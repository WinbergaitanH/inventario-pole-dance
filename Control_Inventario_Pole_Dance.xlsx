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 Dashboard Control" sheetId="1" state="visible" r:id="rId3"/>
    <sheet name="📈 Resumen Dinámico" sheetId="2" state="visible" r:id="rId4"/>
    <sheet name="🎓 Alumnas" sheetId="3" state="visible" r:id="rId5"/>
    <sheet name="🤸 Ingresos Pole" sheetId="4" state="visible" r:id="rId6"/>
    <sheet name="📑 Resumen Contable" sheetId="5" state="visible" r:id="rId7"/>
    <sheet name="💸 Gastos" sheetId="6" state="visible" r:id="rId8"/>
    <sheet name="Marcancia" sheetId="7" state="visible" r:id="rId9"/>
    <sheet name="🏢 Activos Fijos" sheetId="8" state="visible" r:id="rId10"/>
    <sheet name="🛒 Ventas" sheetId="9" state="visible" r:id="rId11"/>
    <sheet name="⚙️ Configuración" sheetId="10" state="visible" r:id="rId12"/>
  </sheets>
  <definedNames>
    <definedName function="false" hidden="true" localSheetId="2" name="_xlnm._FilterDatabase" vbProcedure="false">'🎓 Alumnas'!$A$1:$R$298</definedName>
    <definedName function="false" hidden="true" localSheetId="7" name="_xlnm._FilterDatabase" vbProcedure="false">'🏢 Activos Fijos'!$A$1:$J$47</definedName>
    <definedName function="false" hidden="true" localSheetId="5" name="_xlnm._FilterDatabase" vbProcedure="false">'💸 Gastos'!$A$1:$I$66</definedName>
    <definedName function="false" hidden="true" localSheetId="3" name="_xlnm._FilterDatabase" vbProcedure="false">'🤸 Ingresos Pole'!$A$1:$W$400</definedName>
    <definedName function="false" hidden="true" localSheetId="8" name="_xlnm._FilterDatabase" vbProcedure="false">'🛒 Ventas'!$A$1:$K$41</definedName>
    <definedName function="false" hidden="true" localSheetId="6" name="_xlnm._FilterDatabase" vbProcedure="false">Marcancia!$A$1:$L$48</definedName>
    <definedName function="false" hidden="false" name="lista_alumnas" vbProcedure="false">OFFSET('⚙️ Configuración'!$AC$4,0,0,MAX(1,COUNTIF('🎓 Alumnas'!$P$2:$P$1000,"?*")),1)</definedName>
    <definedName function="false" hidden="false" name="lista_categorias_activo" vbProcedure="false">OFFSET('⚙️ Configuración'!$I$4,0,0,MAX(1,COUNTA('⚙️ Configuración'!$I$4:$I$200)),1)</definedName>
    <definedName function="false" hidden="false" name="lista_categorias_gasto" vbProcedure="false">OFFSET('⚙️ Configuración'!$K$4,0,0,MAX(1,COUNTA('⚙️ Configuración'!$K$4:$K$200)),1)</definedName>
    <definedName function="false" hidden="false" name="lista_clasif_activo" vbProcedure="false">OFFSET('⚙️ Configuración'!$W$4,0,0,MAX(1,COUNTA('⚙️ Configuración'!$W$4:$W$200)),1)</definedName>
    <definedName function="false" hidden="false" name="lista_clasif_contable" vbProcedure="false">OFFSET('⚙️ Configuración'!$S$4,0,0,MAX(1,COUNTA('⚙️ Configuración'!$S$4:$S$200)),1)</definedName>
    <definedName function="false" hidden="false" name="lista_clasif_mercancia" vbProcedure="false">OFFSET('⚙️ Configuración'!$Y$4,0,0,MAX(1,COUNTA('⚙️ Configuración'!$Y$4:$Y$200)),1)</definedName>
    <definedName function="false" hidden="false" name="lista_codigos" vbProcedure="false">OFFSET('⚙️ Configuración'!$Q$4,0,0,MAX(1,COUNTA('⚙️ Configuración'!$Q$4:$Q$200)),1)</definedName>
    <definedName function="false" hidden="false" name="lista_colores" vbProcedure="false">OFFSET('⚙️ Configuración'!$M$4,0,0,MAX(1,COUNTA('⚙️ Configuración'!$M$4:$M$200)),1)</definedName>
    <definedName function="false" hidden="false" name="lista_conceptos" vbProcedure="false">OFFSET('⚙️ Configuración'!$AA$4,0,0,MAX(1,COUNTA('⚙️ Configuración'!$AA$4:$AA$200)),1)</definedName>
    <definedName function="false" hidden="false" name="lista_descripciones" vbProcedure="false">OFFSET('⚙️ Configuración'!$U$4,0,0,MAX(1,COUNTA('⚙️ Configuración'!$U$4:$U$200)),1)</definedName>
    <definedName function="false" hidden="false" name="lista_estados_activo" vbProcedure="false">OFFSET('⚙️ Configuración'!$G$4,0,0,MAX(1,COUNTA('⚙️ Configuración'!$G$4:$G$200)),1)</definedName>
    <definedName function="false" hidden="false" name="lista_metodos_pago" vbProcedure="false">OFFSET('⚙️ Configuración'!$E$4,0,0,MAX(1,COUNTA('⚙️ Configuración'!$E$4:$E$200)),1)</definedName>
    <definedName function="false" hidden="false" name="lista_registrado" vbProcedure="false">OFFSET('⚙️ Configuración'!$AE$4,0,0,MAX(1,COUNTA('⚙️ Configuración'!$AE$4:$AE$200)),1)</definedName>
    <definedName function="false" hidden="false" name="lista_tallas" vbProcedure="false">OFFSET('⚙️ Configuración'!$C$4,0,0,MAX(1,COUNTA('⚙️ Configuración'!$C$4:$C$200)),1)</definedName>
    <definedName function="false" hidden="false" name="lista_tipos" vbProcedure="false">OFFSET('⚙️ Configuración'!$A$4,0,0,MAX(1,COUNTA('⚙️ Configuración'!$A$4:$A$200)),1)</definedName>
    <definedName function="false" hidden="false" name="lista_unidades" vbProcedure="false">OFFSET('⚙️ Configuración'!$O$4,0,0,MAX(1,COUNTA('⚙️ Configuración'!$O$4:$O$200)),1)</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K15" authorId="0">
      <text>
        <r>
          <rPr>
            <sz val="10"/>
            <rFont val="Arial"/>
            <family val="2"/>
          </rPr>
          <t xml:space="preserve">Ingresos de clases (Ingresos Pole) + ventas de ropa − gastos.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Una fila por alumna. AZUL = lo escribes tú. GRIS = fórmula automática.
Todo lo que cambies aquí (cel, correo, dirección...) se actualiza solo en 🤸 Ingresos Pole. Las alumnas nuevas aparecen solas en la lista.
Estado: Nueva = 1 inscripción en paquete; Recurrente = 2 o más; Sin paquete = solo clases sueltas/alquiler.</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AZUL = lo escribes tú. GRIS = fórmula automática, no la borres.
Alumna: escribe SOLO el apellido o SOLO el nombre (o elige de la lista). Si es única, se llenan solos Apellidos, Nombre, Cel, Correo, Dirección, Fecha de nacimiento y Edad.
Si queda en rojo: no existe o hay varias con ese dato -&gt; elige de la lista o agrégala en 🎓 Alumnas.
Concepto / Método de pago / Registrado por: listas de ⚙️ Configuración (si agregas una opción allá, aparece aquí).</t>
        </r>
      </text>
    </comment>
  </commentList>
</comments>
</file>

<file path=xl/sharedStrings.xml><?xml version="1.0" encoding="utf-8"?>
<sst xmlns="http://schemas.openxmlformats.org/spreadsheetml/2006/main" count="2242" uniqueCount="1434">
  <si>
    <t xml:space="preserve">PANEL DE CONTROL E INVENTARIOS - POLE DANCE ACADEMY</t>
  </si>
  <si>
    <t xml:space="preserve">⚡ CONSULTA RÁPIDA DE PRODUCTO Y CONSECUTIVO</t>
  </si>
  <si>
    <t xml:space="preserve">Escribe el Código de Prenda:</t>
  </si>
  <si>
    <t xml:space="preserve">TM</t>
  </si>
  <si>
    <t xml:space="preserve">Descripción del Producto:</t>
  </si>
  <si>
    <t xml:space="preserve">Talla:</t>
  </si>
  <si>
    <t xml:space="preserve">Precio de Venta Unitario:</t>
  </si>
  <si>
    <t xml:space="preserve">Existencias Actuales (Stock):</t>
  </si>
  <si>
    <t xml:space="preserve">Total Unidades Vendidas:</t>
  </si>
  <si>
    <t xml:space="preserve">PRÓXIMO CONSECUTIVO DE VENTA:</t>
  </si>
  <si>
    <t xml:space="preserve">RESUMEN GENERAL ACADEMIA</t>
  </si>
  <si>
    <t xml:space="preserve">UNIDADES EN STOCK</t>
  </si>
  <si>
    <t xml:space="preserve">VALOR INVENTARIO ROPA</t>
  </si>
  <si>
    <t xml:space="preserve">VENTAS TOTALES ($)</t>
  </si>
  <si>
    <t xml:space="preserve">VALOR ACTIVOS FIJOS ($)</t>
  </si>
  <si>
    <t xml:space="preserve">GASTOS TOTALES ($)</t>
  </si>
  <si>
    <t xml:space="preserve">BALANCE NETO ($)</t>
  </si>
  <si>
    <t xml:space="preserve">VENTAS POR TIPO DE PRENDA</t>
  </si>
  <si>
    <t xml:space="preserve">VENTAS POR MÉTODO DE PAGO</t>
  </si>
  <si>
    <t xml:space="preserve">Tipo Prenda</t>
  </si>
  <si>
    <t xml:space="preserve">Unidades Vendidas</t>
  </si>
  <si>
    <t xml:space="preserve">Total Recaudado ($)</t>
  </si>
  <si>
    <t xml:space="preserve">Método Pago</t>
  </si>
  <si>
    <t xml:space="preserve">N° Transacciones</t>
  </si>
  <si>
    <t xml:space="preserve">Total ($)</t>
  </si>
  <si>
    <t xml:space="preserve">Short (S)</t>
  </si>
  <si>
    <t xml:space="preserve">Nequi</t>
  </si>
  <si>
    <t xml:space="preserve">Pantalón (P)</t>
  </si>
  <si>
    <t xml:space="preserve">Daviplata</t>
  </si>
  <si>
    <t xml:space="preserve">Top/Sujetador (T)</t>
  </si>
  <si>
    <t xml:space="preserve">Efectivo</t>
  </si>
  <si>
    <t xml:space="preserve">Body (B)</t>
  </si>
  <si>
    <t xml:space="preserve">Transferencia Bancaria</t>
  </si>
  <si>
    <t xml:space="preserve">Accesorio (A)</t>
  </si>
  <si>
    <t xml:space="preserve">Tarjeta Débito/Crédito</t>
  </si>
  <si>
    <t xml:space="preserve">TOTALES</t>
  </si>
  <si>
    <t xml:space="preserve">RESUMEN DINÁMICO</t>
  </si>
  <si>
    <t xml:space="preserve">Estas tablas se recalculan solas a partir de Gastos y Ventas. No las edites directamente.</t>
  </si>
  <si>
    <t xml:space="preserve">GASTOS POR CATEGORÍA</t>
  </si>
  <si>
    <t xml:space="preserve">GASTOS POR MÉTODO DE PAGO</t>
  </si>
  <si>
    <t xml:space="preserve">Categoría</t>
  </si>
  <si>
    <t xml:space="preserve">N° Registros</t>
  </si>
  <si>
    <t xml:space="preserve">Arriendo</t>
  </si>
  <si>
    <t xml:space="preserve">Servicios Públicos</t>
  </si>
  <si>
    <t xml:space="preserve">Nómina / Personal</t>
  </si>
  <si>
    <t xml:space="preserve">Insumos y Aseo</t>
  </si>
  <si>
    <t xml:space="preserve">Mantenimiento Equipos</t>
  </si>
  <si>
    <t xml:space="preserve">Marketing y Publicidad</t>
  </si>
  <si>
    <t xml:space="preserve">TOTAL</t>
  </si>
  <si>
    <t xml:space="preserve">Software / Suscripciones</t>
  </si>
  <si>
    <t xml:space="preserve">Mantenimiento Local/Infraestructura</t>
  </si>
  <si>
    <t xml:space="preserve">Envíos/Transporte</t>
  </si>
  <si>
    <t xml:space="preserve">Otros</t>
  </si>
  <si>
    <t xml:space="preserve">VENTAS POR COLOR</t>
  </si>
  <si>
    <t xml:space="preserve">Color</t>
  </si>
  <si>
    <t xml:space="preserve">Negro</t>
  </si>
  <si>
    <t xml:space="preserve">Azul</t>
  </si>
  <si>
    <t xml:space="preserve">Rojo</t>
  </si>
  <si>
    <t xml:space="preserve">Verde</t>
  </si>
  <si>
    <t xml:space="preserve">Amarillo</t>
  </si>
  <si>
    <t xml:space="preserve">Blanco</t>
  </si>
  <si>
    <t xml:space="preserve">ID Alumna</t>
  </si>
  <si>
    <t xml:space="preserve">Apellidos</t>
  </si>
  <si>
    <t xml:space="preserve">Nombre</t>
  </si>
  <si>
    <t xml:space="preserve">Cel</t>
  </si>
  <si>
    <t xml:space="preserve">Correo</t>
  </si>
  <si>
    <t xml:space="preserve">Dirección</t>
  </si>
  <si>
    <t xml:space="preserve">Fecha de nacimiento</t>
  </si>
  <si>
    <t xml:space="preserve">Edad</t>
  </si>
  <si>
    <t xml:space="preserve">N° de inscripciones (paquetes)</t>
  </si>
  <si>
    <t xml:space="preserve">N° de pagos registrados</t>
  </si>
  <si>
    <t xml:space="preserve">Total pagado ($)</t>
  </si>
  <si>
    <t xml:space="preserve">Primera fecha</t>
  </si>
  <si>
    <t xml:space="preserve">Última fecha</t>
  </si>
  <si>
    <t xml:space="preserve">Estado</t>
  </si>
  <si>
    <t xml:space="preserve">Clave (auto)</t>
  </si>
  <si>
    <t xml:space="preserve">Alumna (lista, auto)</t>
  </si>
  <si>
    <t xml:space="preserve">Nombre + Apellidos (auto)</t>
  </si>
  <si>
    <t xml:space="preserve">Orden lista (auto)</t>
  </si>
  <si>
    <t xml:space="preserve">A-017</t>
  </si>
  <si>
    <t xml:space="preserve">Ortega Agudelo</t>
  </si>
  <si>
    <t xml:space="preserve">María Alejandra</t>
  </si>
  <si>
    <t xml:space="preserve">3114401669</t>
  </si>
  <si>
    <t xml:space="preserve">malejandra94@hotmail.es</t>
  </si>
  <si>
    <t xml:space="preserve">Cl. 47a Sur #2 a 50, Bogotá, Colombia</t>
  </si>
  <si>
    <t xml:space="preserve">A-001</t>
  </si>
  <si>
    <t xml:space="preserve">López Galván</t>
  </si>
  <si>
    <t xml:space="preserve">Ana Carolina</t>
  </si>
  <si>
    <t xml:space="preserve">3229015452</t>
  </si>
  <si>
    <t xml:space="preserve">anacaloga88@gmail.com</t>
  </si>
  <si>
    <t xml:space="preserve">Cra. 79a # 16F-8, Fontibón, Bogotá, D.C., Bogotá, Bogotá, D.C., Colombia</t>
  </si>
  <si>
    <t xml:space="preserve">A-012</t>
  </si>
  <si>
    <t xml:space="preserve">Avila</t>
  </si>
  <si>
    <t xml:space="preserve">Daniel</t>
  </si>
  <si>
    <t xml:space="preserve">A-003</t>
  </si>
  <si>
    <t xml:space="preserve">Bermúdez Cardona</t>
  </si>
  <si>
    <t xml:space="preserve">Diana</t>
  </si>
  <si>
    <t xml:space="preserve">3196364084</t>
  </si>
  <si>
    <t xml:space="preserve">diana0.bermudez@gmail.com</t>
  </si>
  <si>
    <t xml:space="preserve">Cra. 72k #39a Sur-96, Bogotá, Colombia</t>
  </si>
  <si>
    <t xml:space="preserve">A-019</t>
  </si>
  <si>
    <t xml:space="preserve">Lopez Salamanca</t>
  </si>
  <si>
    <t xml:space="preserve">Elizabeth</t>
  </si>
  <si>
    <t xml:space="preserve">3197067161</t>
  </si>
  <si>
    <t xml:space="preserve">elizabethlopez2698@gmail.com</t>
  </si>
  <si>
    <t xml:space="preserve">Cra. 74f #76-88, Soacha, Bogotá, Colombia</t>
  </si>
  <si>
    <t xml:space="preserve">A-002</t>
  </si>
  <si>
    <t xml:space="preserve">Arias Ospitia</t>
  </si>
  <si>
    <t xml:space="preserve">Francya Damaris</t>
  </si>
  <si>
    <t xml:space="preserve">3142183412</t>
  </si>
  <si>
    <t xml:space="preserve">fraariaspi@hotmail.com</t>
  </si>
  <si>
    <t xml:space="preserve">Cra. 73 #7f-7, Bogotá, Colombia</t>
  </si>
  <si>
    <t xml:space="preserve">A-015</t>
  </si>
  <si>
    <t xml:space="preserve">Rojas</t>
  </si>
  <si>
    <t xml:space="preserve">Jose Alberto</t>
  </si>
  <si>
    <t xml:space="preserve">3209390563</t>
  </si>
  <si>
    <t xml:space="preserve">j.rojas.ve@gmail.com</t>
  </si>
  <si>
    <t xml:space="preserve">A-006</t>
  </si>
  <si>
    <t xml:space="preserve">Bossa</t>
  </si>
  <si>
    <t xml:space="preserve">Juliana</t>
  </si>
  <si>
    <t xml:space="preserve">A-024</t>
  </si>
  <si>
    <t xml:space="preserve">Karen</t>
  </si>
  <si>
    <t xml:space="preserve">A-013</t>
  </si>
  <si>
    <t xml:space="preserve">Sierra</t>
  </si>
  <si>
    <t xml:space="preserve">Karol</t>
  </si>
  <si>
    <t xml:space="preserve">A-005</t>
  </si>
  <si>
    <t xml:space="preserve">Ramírez Galvis</t>
  </si>
  <si>
    <t xml:space="preserve">Laura Camila</t>
  </si>
  <si>
    <t xml:space="preserve">3057941612</t>
  </si>
  <si>
    <t xml:space="preserve">lauracamilaramirez13@gmail.com</t>
  </si>
  <si>
    <t xml:space="preserve">Cl. 57d Sur # 84C-44, Bosa, Bogotá, D.C., Bogotá, Bogotá, D.C., Colombia</t>
  </si>
  <si>
    <t xml:space="preserve">A-016</t>
  </si>
  <si>
    <t xml:space="preserve">Hilarión Abril</t>
  </si>
  <si>
    <t xml:space="preserve">Laura Sofia</t>
  </si>
  <si>
    <t xml:space="preserve">3204479014</t>
  </si>
  <si>
    <t xml:space="preserve">laura.hilarion.1003@gmail.com</t>
  </si>
  <si>
    <t xml:space="preserve">Cl. 4b #39b-90, Puente Aranda, Bogotá, Cundinamarca, Colombia</t>
  </si>
  <si>
    <t xml:space="preserve">A-007</t>
  </si>
  <si>
    <t xml:space="preserve">Guerra Aguilar</t>
  </si>
  <si>
    <t xml:space="preserve">Laura Vanessa</t>
  </si>
  <si>
    <t xml:space="preserve">3196332220</t>
  </si>
  <si>
    <t xml:space="preserve">laura.guerra16@hotmail.com</t>
  </si>
  <si>
    <t xml:space="preserve">Parques de Castilla 3, Cra. 79 #10d-59, Bogotá, Colombia</t>
  </si>
  <si>
    <t xml:space="preserve">A-014</t>
  </si>
  <si>
    <t xml:space="preserve">Vergara Hernández</t>
  </si>
  <si>
    <t xml:space="preserve">Maira Alejandra</t>
  </si>
  <si>
    <t xml:space="preserve">300 300 0010</t>
  </si>
  <si>
    <t xml:space="preserve">mairalejandravh93@gmail.com</t>
  </si>
  <si>
    <t xml:space="preserve">Cra. 78 #11c-21, Bogotá, Colombia</t>
  </si>
  <si>
    <t xml:space="preserve">A-021</t>
  </si>
  <si>
    <t xml:space="preserve">García Sanabria</t>
  </si>
  <si>
    <t xml:space="preserve">Marcela</t>
  </si>
  <si>
    <t xml:space="preserve">3102674123</t>
  </si>
  <si>
    <t xml:space="preserve">laumargs@hotmail.com</t>
  </si>
  <si>
    <t xml:space="preserve">Cra. 68m #38d Sur-17, Bogotá, Colombia</t>
  </si>
  <si>
    <t xml:space="preserve">A-011</t>
  </si>
  <si>
    <t xml:space="preserve">Cuellar Galvira</t>
  </si>
  <si>
    <t xml:space="preserve">Deisy Marcela</t>
  </si>
  <si>
    <t xml:space="preserve">3003463615</t>
  </si>
  <si>
    <t xml:space="preserve">deisycuellarg@gmail.com</t>
  </si>
  <si>
    <t xml:space="preserve">Cl. 74b #70D-3, Bogotá, D.C, Bogotá, Colombia</t>
  </si>
  <si>
    <t xml:space="preserve">A-009</t>
  </si>
  <si>
    <t xml:space="preserve">León González</t>
  </si>
  <si>
    <t xml:space="preserve">María Paula</t>
  </si>
  <si>
    <t xml:space="preserve">3057112045</t>
  </si>
  <si>
    <t xml:space="preserve">m.paulaleon@gmail.com</t>
  </si>
  <si>
    <t xml:space="preserve">A-026</t>
  </si>
  <si>
    <t xml:space="preserve">Aragón González</t>
  </si>
  <si>
    <t xml:space="preserve">Martha Yasmin</t>
  </si>
  <si>
    <t xml:space="preserve">320 4601481</t>
  </si>
  <si>
    <t xml:space="preserve">mayaragonz@hotmail.com</t>
  </si>
  <si>
    <t xml:space="preserve">Cra. 81f #54a Sur-54, Bogotá, Colombia</t>
  </si>
  <si>
    <t xml:space="preserve">A-018</t>
  </si>
  <si>
    <t xml:space="preserve">Osorio Álvarez</t>
  </si>
  <si>
    <t xml:space="preserve">Mary Aurora</t>
  </si>
  <si>
    <t xml:space="preserve">3186650375</t>
  </si>
  <si>
    <t xml:space="preserve">ojoslindos256@hotmail.com</t>
  </si>
  <si>
    <t xml:space="preserve">Cl. 51b Sur #80a-8, Bogotá, Colombia</t>
  </si>
  <si>
    <t xml:space="preserve">A-027</t>
  </si>
  <si>
    <t xml:space="preserve">Avila Peñuela</t>
  </si>
  <si>
    <t xml:space="preserve">Melanie Jankey</t>
  </si>
  <si>
    <t xml:space="preserve">3182579916</t>
  </si>
  <si>
    <t xml:space="preserve">melyankey77@gmail.com</t>
  </si>
  <si>
    <t xml:space="preserve">Cl. 7a #73b-98, Kennedy, Bogotá, Colombia</t>
  </si>
  <si>
    <t xml:space="preserve">A-010</t>
  </si>
  <si>
    <t xml:space="preserve">Luna Méndez</t>
  </si>
  <si>
    <t xml:space="preserve">Natalia Alejandra</t>
  </si>
  <si>
    <t xml:space="preserve">3232763285</t>
  </si>
  <si>
    <t xml:space="preserve">nataliasluto@gmail.com</t>
  </si>
  <si>
    <t xml:space="preserve">Cl. 10 #81a-20, Bogotá, Colombia</t>
  </si>
  <si>
    <t xml:space="preserve">A-020</t>
  </si>
  <si>
    <t xml:space="preserve">Pinzón Ayala</t>
  </si>
  <si>
    <t xml:space="preserve">Paula Andrea</t>
  </si>
  <si>
    <t xml:space="preserve">3045662127</t>
  </si>
  <si>
    <t xml:space="preserve">paulitaandrea333@gmail.com</t>
  </si>
  <si>
    <t xml:space="preserve">Cra. 99a #26-27 SUR, Bogotá, Colombia</t>
  </si>
  <si>
    <t xml:space="preserve">A-008</t>
  </si>
  <si>
    <t xml:space="preserve">Chavarro Jiménez</t>
  </si>
  <si>
    <t xml:space="preserve">Shirley Dayanna</t>
  </si>
  <si>
    <t xml:space="preserve">3003445355</t>
  </si>
  <si>
    <t xml:space="preserve">dayannajimenez4@gmail.com</t>
  </si>
  <si>
    <t xml:space="preserve">Cl. 8c #87b-15, Kennedy, Bogotá, Cundinamarca, Colombia</t>
  </si>
  <si>
    <t xml:space="preserve">A-004</t>
  </si>
  <si>
    <t xml:space="preserve">Torres Olarte</t>
  </si>
  <si>
    <t xml:space="preserve">Jessica</t>
  </si>
  <si>
    <t xml:space="preserve">3104775381</t>
  </si>
  <si>
    <t xml:space="preserve">jessicatorresolarte@gmail.com</t>
  </si>
  <si>
    <t xml:space="preserve">Cl. 6b #80b85, Bogotá, Colombia</t>
  </si>
  <si>
    <t xml:space="preserve">A-025</t>
  </si>
  <si>
    <t xml:space="preserve">Dugarte Jaimes</t>
  </si>
  <si>
    <t xml:space="preserve">Yendi Alejandra</t>
  </si>
  <si>
    <t xml:space="preserve">315 882 8852</t>
  </si>
  <si>
    <t xml:space="preserve">yendi.dugarte@outlook.com</t>
  </si>
  <si>
    <t xml:space="preserve">Cl. 23 #72d-27, Bogotá, Colombia</t>
  </si>
  <si>
    <t xml:space="preserve">A-028</t>
  </si>
  <si>
    <t xml:space="preserve">Moyano Merchan</t>
  </si>
  <si>
    <t xml:space="preserve">Nidia Marcela</t>
  </si>
  <si>
    <t xml:space="preserve">A-029</t>
  </si>
  <si>
    <t xml:space="preserve">Umbarila Delgado</t>
  </si>
  <si>
    <t xml:space="preserve">3224284046</t>
  </si>
  <si>
    <t xml:space="preserve">johanaumbarila9@gmail.com</t>
  </si>
  <si>
    <t xml:space="preserve">Cl. 34 Sur # 93-70, Kennedy, Bogotá, D.C., Bogotá, Bogotá, D.C., Colombia</t>
  </si>
  <si>
    <t xml:space="preserve">A-030</t>
  </si>
  <si>
    <t xml:space="preserve">Sierra Méndez</t>
  </si>
  <si>
    <t xml:space="preserve">Jennifer Xamara</t>
  </si>
  <si>
    <t xml:space="preserve">3142660549</t>
  </si>
  <si>
    <t xml:space="preserve">mendezxamara@gmail.com</t>
  </si>
  <si>
    <t xml:space="preserve">Av. Ferrocarril de Occidente #97-41, Bogotá, Colombia</t>
  </si>
  <si>
    <t xml:space="preserve">A-031</t>
  </si>
  <si>
    <t xml:space="preserve">A-032</t>
  </si>
  <si>
    <t xml:space="preserve">A-033</t>
  </si>
  <si>
    <t xml:space="preserve">A-034</t>
  </si>
  <si>
    <t xml:space="preserve">A-035</t>
  </si>
  <si>
    <t xml:space="preserve">A-036</t>
  </si>
  <si>
    <t xml:space="preserve">A-037</t>
  </si>
  <si>
    <t xml:space="preserve">A-038</t>
  </si>
  <si>
    <t xml:space="preserve">A-039</t>
  </si>
  <si>
    <t xml:space="preserve">A-040</t>
  </si>
  <si>
    <t xml:space="preserve">A-041</t>
  </si>
  <si>
    <t xml:space="preserve">A-042</t>
  </si>
  <si>
    <t xml:space="preserve">A-043</t>
  </si>
  <si>
    <t xml:space="preserve">A-044</t>
  </si>
  <si>
    <t xml:space="preserve">A-045</t>
  </si>
  <si>
    <t xml:space="preserve">A-046</t>
  </si>
  <si>
    <t xml:space="preserve">A-047</t>
  </si>
  <si>
    <t xml:space="preserve">A-048</t>
  </si>
  <si>
    <t xml:space="preserve">A-049</t>
  </si>
  <si>
    <t xml:space="preserve">A-050</t>
  </si>
  <si>
    <t xml:space="preserve">A-051</t>
  </si>
  <si>
    <t xml:space="preserve">A-052</t>
  </si>
  <si>
    <t xml:space="preserve">A-053</t>
  </si>
  <si>
    <t xml:space="preserve">A-054</t>
  </si>
  <si>
    <t xml:space="preserve">A-055</t>
  </si>
  <si>
    <t xml:space="preserve">A-056</t>
  </si>
  <si>
    <t xml:space="preserve">A-057</t>
  </si>
  <si>
    <t xml:space="preserve">A-058</t>
  </si>
  <si>
    <t xml:space="preserve">A-059</t>
  </si>
  <si>
    <t xml:space="preserve">A-060</t>
  </si>
  <si>
    <t xml:space="preserve">A-061</t>
  </si>
  <si>
    <t xml:space="preserve">A-062</t>
  </si>
  <si>
    <t xml:space="preserve">A-063</t>
  </si>
  <si>
    <t xml:space="preserve">A-064</t>
  </si>
  <si>
    <t xml:space="preserve">A-065</t>
  </si>
  <si>
    <t xml:space="preserve">A-066</t>
  </si>
  <si>
    <t xml:space="preserve">A-067</t>
  </si>
  <si>
    <t xml:space="preserve">A-068</t>
  </si>
  <si>
    <t xml:space="preserve">A-069</t>
  </si>
  <si>
    <t xml:space="preserve">A-070</t>
  </si>
  <si>
    <t xml:space="preserve">A-071</t>
  </si>
  <si>
    <t xml:space="preserve">A-072</t>
  </si>
  <si>
    <t xml:space="preserve">A-073</t>
  </si>
  <si>
    <t xml:space="preserve">A-074</t>
  </si>
  <si>
    <t xml:space="preserve">A-075</t>
  </si>
  <si>
    <t xml:space="preserve">A-076</t>
  </si>
  <si>
    <t xml:space="preserve">A-077</t>
  </si>
  <si>
    <t xml:space="preserve">A-078</t>
  </si>
  <si>
    <t xml:space="preserve">A-079</t>
  </si>
  <si>
    <t xml:space="preserve">A-080</t>
  </si>
  <si>
    <t xml:space="preserve">A-081</t>
  </si>
  <si>
    <t xml:space="preserve">A-082</t>
  </si>
  <si>
    <t xml:space="preserve">A-083</t>
  </si>
  <si>
    <t xml:space="preserve">A-084</t>
  </si>
  <si>
    <t xml:space="preserve">A-085</t>
  </si>
  <si>
    <t xml:space="preserve">A-086</t>
  </si>
  <si>
    <t xml:space="preserve">A-087</t>
  </si>
  <si>
    <t xml:space="preserve">A-088</t>
  </si>
  <si>
    <t xml:space="preserve">A-089</t>
  </si>
  <si>
    <t xml:space="preserve">A-090</t>
  </si>
  <si>
    <t xml:space="preserve">A-091</t>
  </si>
  <si>
    <t xml:space="preserve">A-092</t>
  </si>
  <si>
    <t xml:space="preserve">A-093</t>
  </si>
  <si>
    <t xml:space="preserve">A-094</t>
  </si>
  <si>
    <t xml:space="preserve">A-095</t>
  </si>
  <si>
    <t xml:space="preserve">A-096</t>
  </si>
  <si>
    <t xml:space="preserve">A-097</t>
  </si>
  <si>
    <t xml:space="preserve">A-098</t>
  </si>
  <si>
    <t xml:space="preserve">A-099</t>
  </si>
  <si>
    <t xml:space="preserve">A-100</t>
  </si>
  <si>
    <t xml:space="preserve">A-101</t>
  </si>
  <si>
    <t xml:space="preserve">A-102</t>
  </si>
  <si>
    <t xml:space="preserve">A-103</t>
  </si>
  <si>
    <t xml:space="preserve">A-104</t>
  </si>
  <si>
    <t xml:space="preserve">A-105</t>
  </si>
  <si>
    <t xml:space="preserve">A-106</t>
  </si>
  <si>
    <t xml:space="preserve">A-107</t>
  </si>
  <si>
    <t xml:space="preserve">A-108</t>
  </si>
  <si>
    <t xml:space="preserve">A-109</t>
  </si>
  <si>
    <t xml:space="preserve">A-110</t>
  </si>
  <si>
    <t xml:space="preserve">A-111</t>
  </si>
  <si>
    <t xml:space="preserve">A-112</t>
  </si>
  <si>
    <t xml:space="preserve">A-113</t>
  </si>
  <si>
    <t xml:space="preserve">A-114</t>
  </si>
  <si>
    <t xml:space="preserve">A-115</t>
  </si>
  <si>
    <t xml:space="preserve">A-116</t>
  </si>
  <si>
    <t xml:space="preserve">A-117</t>
  </si>
  <si>
    <t xml:space="preserve">A-118</t>
  </si>
  <si>
    <t xml:space="preserve">A-119</t>
  </si>
  <si>
    <t xml:space="preserve">A-120</t>
  </si>
  <si>
    <t xml:space="preserve">A-121</t>
  </si>
  <si>
    <t xml:space="preserve">A-122</t>
  </si>
  <si>
    <t xml:space="preserve">A-123</t>
  </si>
  <si>
    <t xml:space="preserve">A-124</t>
  </si>
  <si>
    <t xml:space="preserve">A-125</t>
  </si>
  <si>
    <t xml:space="preserve">A-126</t>
  </si>
  <si>
    <t xml:space="preserve">A-127</t>
  </si>
  <si>
    <t xml:space="preserve">A-128</t>
  </si>
  <si>
    <t xml:space="preserve">A-129</t>
  </si>
  <si>
    <t xml:space="preserve">A-130</t>
  </si>
  <si>
    <t xml:space="preserve">A-131</t>
  </si>
  <si>
    <t xml:space="preserve">A-132</t>
  </si>
  <si>
    <t xml:space="preserve">A-133</t>
  </si>
  <si>
    <t xml:space="preserve">A-134</t>
  </si>
  <si>
    <t xml:space="preserve">A-135</t>
  </si>
  <si>
    <t xml:space="preserve">A-136</t>
  </si>
  <si>
    <t xml:space="preserve">A-137</t>
  </si>
  <si>
    <t xml:space="preserve">A-138</t>
  </si>
  <si>
    <t xml:space="preserve">A-139</t>
  </si>
  <si>
    <t xml:space="preserve">A-140</t>
  </si>
  <si>
    <t xml:space="preserve">A-141</t>
  </si>
  <si>
    <t xml:space="preserve">A-142</t>
  </si>
  <si>
    <t xml:space="preserve">A-143</t>
  </si>
  <si>
    <t xml:space="preserve">A-144</t>
  </si>
  <si>
    <t xml:space="preserve">A-145</t>
  </si>
  <si>
    <t xml:space="preserve">A-146</t>
  </si>
  <si>
    <t xml:space="preserve">A-147</t>
  </si>
  <si>
    <t xml:space="preserve">A-148</t>
  </si>
  <si>
    <t xml:space="preserve">A-149</t>
  </si>
  <si>
    <t xml:space="preserve">A-150</t>
  </si>
  <si>
    <t xml:space="preserve">A-151</t>
  </si>
  <si>
    <t xml:space="preserve">A-152</t>
  </si>
  <si>
    <t xml:space="preserve">A-153</t>
  </si>
  <si>
    <t xml:space="preserve">A-154</t>
  </si>
  <si>
    <t xml:space="preserve">A-155</t>
  </si>
  <si>
    <t xml:space="preserve">A-156</t>
  </si>
  <si>
    <t xml:space="preserve">A-157</t>
  </si>
  <si>
    <t xml:space="preserve">A-158</t>
  </si>
  <si>
    <t xml:space="preserve">A-159</t>
  </si>
  <si>
    <t xml:space="preserve">A-160</t>
  </si>
  <si>
    <t xml:space="preserve">A-161</t>
  </si>
  <si>
    <t xml:space="preserve">A-162</t>
  </si>
  <si>
    <t xml:space="preserve">A-163</t>
  </si>
  <si>
    <t xml:space="preserve">A-164</t>
  </si>
  <si>
    <t xml:space="preserve">A-165</t>
  </si>
  <si>
    <t xml:space="preserve">A-166</t>
  </si>
  <si>
    <t xml:space="preserve">A-167</t>
  </si>
  <si>
    <t xml:space="preserve">A-168</t>
  </si>
  <si>
    <t xml:space="preserve">A-169</t>
  </si>
  <si>
    <t xml:space="preserve">A-170</t>
  </si>
  <si>
    <t xml:space="preserve">A-171</t>
  </si>
  <si>
    <t xml:space="preserve">A-172</t>
  </si>
  <si>
    <t xml:space="preserve">A-173</t>
  </si>
  <si>
    <t xml:space="preserve">A-174</t>
  </si>
  <si>
    <t xml:space="preserve">A-175</t>
  </si>
  <si>
    <t xml:space="preserve">A-176</t>
  </si>
  <si>
    <t xml:space="preserve">A-177</t>
  </si>
  <si>
    <t xml:space="preserve">A-178</t>
  </si>
  <si>
    <t xml:space="preserve">A-179</t>
  </si>
  <si>
    <t xml:space="preserve">A-180</t>
  </si>
  <si>
    <t xml:space="preserve">A-181</t>
  </si>
  <si>
    <t xml:space="preserve">A-182</t>
  </si>
  <si>
    <t xml:space="preserve">A-183</t>
  </si>
  <si>
    <t xml:space="preserve">A-184</t>
  </si>
  <si>
    <t xml:space="preserve">A-185</t>
  </si>
  <si>
    <t xml:space="preserve">A-186</t>
  </si>
  <si>
    <t xml:space="preserve">A-187</t>
  </si>
  <si>
    <t xml:space="preserve">A-188</t>
  </si>
  <si>
    <t xml:space="preserve">A-189</t>
  </si>
  <si>
    <t xml:space="preserve">A-190</t>
  </si>
  <si>
    <t xml:space="preserve">A-191</t>
  </si>
  <si>
    <t xml:space="preserve">A-192</t>
  </si>
  <si>
    <t xml:space="preserve">A-193</t>
  </si>
  <si>
    <t xml:space="preserve">A-194</t>
  </si>
  <si>
    <t xml:space="preserve">A-195</t>
  </si>
  <si>
    <t xml:space="preserve">A-196</t>
  </si>
  <si>
    <t xml:space="preserve">A-197</t>
  </si>
  <si>
    <t xml:space="preserve">A-198</t>
  </si>
  <si>
    <t xml:space="preserve">A-199</t>
  </si>
  <si>
    <t xml:space="preserve">A-200</t>
  </si>
  <si>
    <t xml:space="preserve">A-201</t>
  </si>
  <si>
    <t xml:space="preserve">A-202</t>
  </si>
  <si>
    <t xml:space="preserve">A-203</t>
  </si>
  <si>
    <t xml:space="preserve">A-204</t>
  </si>
  <si>
    <t xml:space="preserve">A-205</t>
  </si>
  <si>
    <t xml:space="preserve">A-206</t>
  </si>
  <si>
    <t xml:space="preserve">A-207</t>
  </si>
  <si>
    <t xml:space="preserve">A-208</t>
  </si>
  <si>
    <t xml:space="preserve">A-209</t>
  </si>
  <si>
    <t xml:space="preserve">A-210</t>
  </si>
  <si>
    <t xml:space="preserve">A-211</t>
  </si>
  <si>
    <t xml:space="preserve">A-212</t>
  </si>
  <si>
    <t xml:space="preserve">A-213</t>
  </si>
  <si>
    <t xml:space="preserve">A-214</t>
  </si>
  <si>
    <t xml:space="preserve">A-215</t>
  </si>
  <si>
    <t xml:space="preserve">A-216</t>
  </si>
  <si>
    <t xml:space="preserve">A-217</t>
  </si>
  <si>
    <t xml:space="preserve">A-218</t>
  </si>
  <si>
    <t xml:space="preserve">A-219</t>
  </si>
  <si>
    <t xml:space="preserve">A-220</t>
  </si>
  <si>
    <t xml:space="preserve">A-221</t>
  </si>
  <si>
    <t xml:space="preserve">A-222</t>
  </si>
  <si>
    <t xml:space="preserve">A-223</t>
  </si>
  <si>
    <t xml:space="preserve">A-224</t>
  </si>
  <si>
    <t xml:space="preserve">A-225</t>
  </si>
  <si>
    <t xml:space="preserve">A-226</t>
  </si>
  <si>
    <t xml:space="preserve">A-227</t>
  </si>
  <si>
    <t xml:space="preserve">A-228</t>
  </si>
  <si>
    <t xml:space="preserve">A-229</t>
  </si>
  <si>
    <t xml:space="preserve">A-230</t>
  </si>
  <si>
    <t xml:space="preserve">A-231</t>
  </si>
  <si>
    <t xml:space="preserve">A-232</t>
  </si>
  <si>
    <t xml:space="preserve">A-233</t>
  </si>
  <si>
    <t xml:space="preserve">A-234</t>
  </si>
  <si>
    <t xml:space="preserve">A-235</t>
  </si>
  <si>
    <t xml:space="preserve">A-236</t>
  </si>
  <si>
    <t xml:space="preserve">A-237</t>
  </si>
  <si>
    <t xml:space="preserve">A-238</t>
  </si>
  <si>
    <t xml:space="preserve">A-239</t>
  </si>
  <si>
    <t xml:space="preserve">A-240</t>
  </si>
  <si>
    <t xml:space="preserve">A-241</t>
  </si>
  <si>
    <t xml:space="preserve">A-242</t>
  </si>
  <si>
    <t xml:space="preserve">A-243</t>
  </si>
  <si>
    <t xml:space="preserve">A-244</t>
  </si>
  <si>
    <t xml:space="preserve">A-245</t>
  </si>
  <si>
    <t xml:space="preserve">A-246</t>
  </si>
  <si>
    <t xml:space="preserve">A-247</t>
  </si>
  <si>
    <t xml:space="preserve">A-248</t>
  </si>
  <si>
    <t xml:space="preserve">A-249</t>
  </si>
  <si>
    <t xml:space="preserve">A-250</t>
  </si>
  <si>
    <t xml:space="preserve">A-251</t>
  </si>
  <si>
    <t xml:space="preserve">A-252</t>
  </si>
  <si>
    <t xml:space="preserve">A-253</t>
  </si>
  <si>
    <t xml:space="preserve">A-254</t>
  </si>
  <si>
    <t xml:space="preserve">A-255</t>
  </si>
  <si>
    <t xml:space="preserve">A-256</t>
  </si>
  <si>
    <t xml:space="preserve">A-257</t>
  </si>
  <si>
    <t xml:space="preserve">A-258</t>
  </si>
  <si>
    <t xml:space="preserve">A-259</t>
  </si>
  <si>
    <t xml:space="preserve">A-260</t>
  </si>
  <si>
    <t xml:space="preserve">A-261</t>
  </si>
  <si>
    <t xml:space="preserve">A-262</t>
  </si>
  <si>
    <t xml:space="preserve">A-263</t>
  </si>
  <si>
    <t xml:space="preserve">A-264</t>
  </si>
  <si>
    <t xml:space="preserve">A-265</t>
  </si>
  <si>
    <t xml:space="preserve">A-266</t>
  </si>
  <si>
    <t xml:space="preserve">A-267</t>
  </si>
  <si>
    <t xml:space="preserve">A-268</t>
  </si>
  <si>
    <t xml:space="preserve">A-269</t>
  </si>
  <si>
    <t xml:space="preserve">A-270</t>
  </si>
  <si>
    <t xml:space="preserve">A-271</t>
  </si>
  <si>
    <t xml:space="preserve">A-272</t>
  </si>
  <si>
    <t xml:space="preserve">A-273</t>
  </si>
  <si>
    <t xml:space="preserve">A-274</t>
  </si>
  <si>
    <t xml:space="preserve">A-275</t>
  </si>
  <si>
    <t xml:space="preserve">A-276</t>
  </si>
  <si>
    <t xml:space="preserve">A-277</t>
  </si>
  <si>
    <t xml:space="preserve">A-278</t>
  </si>
  <si>
    <t xml:space="preserve">A-279</t>
  </si>
  <si>
    <t xml:space="preserve">A-280</t>
  </si>
  <si>
    <t xml:space="preserve">A-281</t>
  </si>
  <si>
    <t xml:space="preserve">A-282</t>
  </si>
  <si>
    <t xml:space="preserve">A-283</t>
  </si>
  <si>
    <t xml:space="preserve">A-284</t>
  </si>
  <si>
    <t xml:space="preserve">A-285</t>
  </si>
  <si>
    <t xml:space="preserve">A-286</t>
  </si>
  <si>
    <t xml:space="preserve">A-287</t>
  </si>
  <si>
    <t xml:space="preserve">A-288</t>
  </si>
  <si>
    <t xml:space="preserve">A-289</t>
  </si>
  <si>
    <t xml:space="preserve">A-290</t>
  </si>
  <si>
    <t xml:space="preserve">A-291</t>
  </si>
  <si>
    <t xml:space="preserve">A-292</t>
  </si>
  <si>
    <t xml:space="preserve">A-293</t>
  </si>
  <si>
    <t xml:space="preserve">A-294</t>
  </si>
  <si>
    <t xml:space="preserve">A-295</t>
  </si>
  <si>
    <t xml:space="preserve">A-296</t>
  </si>
  <si>
    <t xml:space="preserve">A-297</t>
  </si>
  <si>
    <t xml:space="preserve">A-298</t>
  </si>
  <si>
    <t xml:space="preserve">A-299</t>
  </si>
  <si>
    <t xml:space="preserve">ID Ingreso</t>
  </si>
  <si>
    <t xml:space="preserve">Fecha</t>
  </si>
  <si>
    <t xml:space="preserve">Alumna</t>
  </si>
  <si>
    <t xml:space="preserve">Apellidos (auto)</t>
  </si>
  <si>
    <t xml:space="preserve">Nombre (auto)</t>
  </si>
  <si>
    <t xml:space="preserve">Concepto</t>
  </si>
  <si>
    <t xml:space="preserve">Tipo</t>
  </si>
  <si>
    <t xml:space="preserve">Descripción</t>
  </si>
  <si>
    <t xml:space="preserve">Cantidad</t>
  </si>
  <si>
    <t xml:space="preserve">Valor Unitario ($)</t>
  </si>
  <si>
    <t xml:space="preserve">Porcentaje que paga</t>
  </si>
  <si>
    <t xml:space="preserve">Método de Pago</t>
  </si>
  <si>
    <t xml:space="preserve">Registrado Por</t>
  </si>
  <si>
    <t xml:space="preserve">¿Alumna nueva?</t>
  </si>
  <si>
    <t xml:space="preserve">N° de inscripción</t>
  </si>
  <si>
    <t xml:space="preserve">Notas</t>
  </si>
  <si>
    <t xml:space="preserve">ID Alumna (auto)</t>
  </si>
  <si>
    <t xml:space="preserve">I-001</t>
  </si>
  <si>
    <t xml:space="preserve">López Galván, Ana Carolina</t>
  </si>
  <si>
    <t xml:space="preserve">4 clases: Sport Fitness Challenge $200.000</t>
  </si>
  <si>
    <t xml:space="preserve">Carolina</t>
  </si>
  <si>
    <t xml:space="preserve">I-002</t>
  </si>
  <si>
    <t xml:space="preserve">Arias Ospitia, Francya Damaris</t>
  </si>
  <si>
    <t xml:space="preserve">9 clases: Sport Power Team $350.000</t>
  </si>
  <si>
    <t xml:space="preserve">Jose</t>
  </si>
  <si>
    <t xml:space="preserve">I-003</t>
  </si>
  <si>
    <t xml:space="preserve">Bermúdez Cardona, Diana</t>
  </si>
  <si>
    <t xml:space="preserve">16 clases : Sport Elite club $480.000</t>
  </si>
  <si>
    <t xml:space="preserve">Promo 2x1</t>
  </si>
  <si>
    <t xml:space="preserve">I-004</t>
  </si>
  <si>
    <t xml:space="preserve">Torres Olarte, Jessica</t>
  </si>
  <si>
    <t xml:space="preserve">I-005</t>
  </si>
  <si>
    <t xml:space="preserve">Ramírez Galvis, Laura Camila</t>
  </si>
  <si>
    <t xml:space="preserve">I-006</t>
  </si>
  <si>
    <t xml:space="preserve">Bossa, Juliana</t>
  </si>
  <si>
    <t xml:space="preserve">1 Pole: Alquiler $22000</t>
  </si>
  <si>
    <t xml:space="preserve">I-007</t>
  </si>
  <si>
    <t xml:space="preserve">Guerra Aguilar, Laura Vanessa</t>
  </si>
  <si>
    <t xml:space="preserve">I-008</t>
  </si>
  <si>
    <t xml:space="preserve">Chavarro Jiménez, Shirley Dayanna</t>
  </si>
  <si>
    <t xml:space="preserve">I-009</t>
  </si>
  <si>
    <t xml:space="preserve">León González, María Paula</t>
  </si>
  <si>
    <t xml:space="preserve">I-010</t>
  </si>
  <si>
    <t xml:space="preserve">Luna Méndez, Natalia Alejandra</t>
  </si>
  <si>
    <t xml:space="preserve">I-011</t>
  </si>
  <si>
    <t xml:space="preserve">Cuellar Galvira, Deisy Marcela</t>
  </si>
  <si>
    <t xml:space="preserve">I-012</t>
  </si>
  <si>
    <t xml:space="preserve">Avila, Daniel</t>
  </si>
  <si>
    <t xml:space="preserve">I-013</t>
  </si>
  <si>
    <t xml:space="preserve">Sierra, Karol</t>
  </si>
  <si>
    <t xml:space="preserve">I-015</t>
  </si>
  <si>
    <t xml:space="preserve">Vergara Hernández, Maira Alejandra</t>
  </si>
  <si>
    <t xml:space="preserve">I-016</t>
  </si>
  <si>
    <t xml:space="preserve">Rojas, Jose Alberto</t>
  </si>
  <si>
    <t xml:space="preserve">I-017</t>
  </si>
  <si>
    <t xml:space="preserve">I-018</t>
  </si>
  <si>
    <t xml:space="preserve">Hilarión Abril, Laura Sofia</t>
  </si>
  <si>
    <t xml:space="preserve">I-019</t>
  </si>
  <si>
    <t xml:space="preserve">Ortega Agudelo, María Alejandra</t>
  </si>
  <si>
    <t xml:space="preserve">I-020</t>
  </si>
  <si>
    <t xml:space="preserve">I-021</t>
  </si>
  <si>
    <t xml:space="preserve">Osorio Álvarez, Mary Aurora</t>
  </si>
  <si>
    <t xml:space="preserve">1 Clase: Individual $50000</t>
  </si>
  <si>
    <t xml:space="preserve">I-022</t>
  </si>
  <si>
    <t xml:space="preserve">Lopez Salamanca, Elizabeth</t>
  </si>
  <si>
    <t xml:space="preserve">I-023</t>
  </si>
  <si>
    <t xml:space="preserve">I-024</t>
  </si>
  <si>
    <t xml:space="preserve">Pinzón Ayala, Paula Andrea</t>
  </si>
  <si>
    <t xml:space="preserve">I-025</t>
  </si>
  <si>
    <t xml:space="preserve">García Sanabria, Marcela</t>
  </si>
  <si>
    <t xml:space="preserve">I-026</t>
  </si>
  <si>
    <t xml:space="preserve">I-027</t>
  </si>
  <si>
    <t xml:space="preserve">I-028</t>
  </si>
  <si>
    <t xml:space="preserve">I-029</t>
  </si>
  <si>
    <t xml:space="preserve">I-030</t>
  </si>
  <si>
    <t xml:space="preserve">Arias Ospitia, Karen</t>
  </si>
  <si>
    <t xml:space="preserve">I-031</t>
  </si>
  <si>
    <t xml:space="preserve">Dugarte Jaimes, Yendi Alejandra</t>
  </si>
  <si>
    <t xml:space="preserve">I-032</t>
  </si>
  <si>
    <t xml:space="preserve">Aragón González, Martha Yasmin</t>
  </si>
  <si>
    <t xml:space="preserve">I-033</t>
  </si>
  <si>
    <t xml:space="preserve">Avila Peñuela, Melanie Jankey</t>
  </si>
  <si>
    <t xml:space="preserve">I-034</t>
  </si>
  <si>
    <t xml:space="preserve">I-035</t>
  </si>
  <si>
    <t xml:space="preserve">I-036</t>
  </si>
  <si>
    <t xml:space="preserve">I-037</t>
  </si>
  <si>
    <t xml:space="preserve">I-038</t>
  </si>
  <si>
    <t xml:space="preserve">I-039</t>
  </si>
  <si>
    <t xml:space="preserve">I-040</t>
  </si>
  <si>
    <t xml:space="preserve">I-041</t>
  </si>
  <si>
    <t xml:space="preserve">I-042</t>
  </si>
  <si>
    <t xml:space="preserve">I-043</t>
  </si>
  <si>
    <t xml:space="preserve">I-044</t>
  </si>
  <si>
    <t xml:space="preserve">I-045</t>
  </si>
  <si>
    <t xml:space="preserve">I-046</t>
  </si>
  <si>
    <t xml:space="preserve">I-047</t>
  </si>
  <si>
    <t xml:space="preserve">I-048</t>
  </si>
  <si>
    <t xml:space="preserve">I-049</t>
  </si>
  <si>
    <t xml:space="preserve">I-050</t>
  </si>
  <si>
    <t xml:space="preserve">I-051</t>
  </si>
  <si>
    <t xml:space="preserve">I-052</t>
  </si>
  <si>
    <t xml:space="preserve">I-053</t>
  </si>
  <si>
    <t xml:space="preserve">I-054</t>
  </si>
  <si>
    <t xml:space="preserve">I-055</t>
  </si>
  <si>
    <t xml:space="preserve">I-056</t>
  </si>
  <si>
    <t xml:space="preserve">I-057</t>
  </si>
  <si>
    <t xml:space="preserve">I-058</t>
  </si>
  <si>
    <t xml:space="preserve">I-059</t>
  </si>
  <si>
    <t xml:space="preserve">I-060</t>
  </si>
  <si>
    <t xml:space="preserve">I-061</t>
  </si>
  <si>
    <t xml:space="preserve">I-062</t>
  </si>
  <si>
    <t xml:space="preserve">I-063</t>
  </si>
  <si>
    <t xml:space="preserve">I-064</t>
  </si>
  <si>
    <t xml:space="preserve">I-065</t>
  </si>
  <si>
    <t xml:space="preserve">I-066</t>
  </si>
  <si>
    <t xml:space="preserve">I-067</t>
  </si>
  <si>
    <t xml:space="preserve">I-068</t>
  </si>
  <si>
    <t xml:space="preserve">I-069</t>
  </si>
  <si>
    <t xml:space="preserve">I-070</t>
  </si>
  <si>
    <t xml:space="preserve">I-071</t>
  </si>
  <si>
    <t xml:space="preserve">I-072</t>
  </si>
  <si>
    <t xml:space="preserve">I-073</t>
  </si>
  <si>
    <t xml:space="preserve">I-074</t>
  </si>
  <si>
    <t xml:space="preserve">I-075</t>
  </si>
  <si>
    <t xml:space="preserve">I-076</t>
  </si>
  <si>
    <t xml:space="preserve">I-077</t>
  </si>
  <si>
    <t xml:space="preserve">I-078</t>
  </si>
  <si>
    <t xml:space="preserve">I-079</t>
  </si>
  <si>
    <t xml:space="preserve">I-080</t>
  </si>
  <si>
    <t xml:space="preserve">I-081</t>
  </si>
  <si>
    <t xml:space="preserve">I-082</t>
  </si>
  <si>
    <t xml:space="preserve">I-083</t>
  </si>
  <si>
    <t xml:space="preserve">I-084</t>
  </si>
  <si>
    <t xml:space="preserve">I-085</t>
  </si>
  <si>
    <t xml:space="preserve">I-086</t>
  </si>
  <si>
    <t xml:space="preserve">I-087</t>
  </si>
  <si>
    <t xml:space="preserve">I-088</t>
  </si>
  <si>
    <t xml:space="preserve">I-089</t>
  </si>
  <si>
    <t xml:space="preserve">I-090</t>
  </si>
  <si>
    <t xml:space="preserve">I-091</t>
  </si>
  <si>
    <t xml:space="preserve">I-092</t>
  </si>
  <si>
    <t xml:space="preserve">I-093</t>
  </si>
  <si>
    <t xml:space="preserve">I-094</t>
  </si>
  <si>
    <t xml:space="preserve">I-095</t>
  </si>
  <si>
    <t xml:space="preserve">I-096</t>
  </si>
  <si>
    <t xml:space="preserve">I-097</t>
  </si>
  <si>
    <t xml:space="preserve">I-098</t>
  </si>
  <si>
    <t xml:space="preserve">I-099</t>
  </si>
  <si>
    <t xml:space="preserve">I-100</t>
  </si>
  <si>
    <t xml:space="preserve">I-101</t>
  </si>
  <si>
    <t xml:space="preserve">I-102</t>
  </si>
  <si>
    <t xml:space="preserve">I-103</t>
  </si>
  <si>
    <t xml:space="preserve">I-104</t>
  </si>
  <si>
    <t xml:space="preserve">I-105</t>
  </si>
  <si>
    <t xml:space="preserve">I-106</t>
  </si>
  <si>
    <t xml:space="preserve">I-107</t>
  </si>
  <si>
    <t xml:space="preserve">I-108</t>
  </si>
  <si>
    <t xml:space="preserve">I-109</t>
  </si>
  <si>
    <t xml:space="preserve">I-110</t>
  </si>
  <si>
    <t xml:space="preserve">I-111</t>
  </si>
  <si>
    <t xml:space="preserve">I-112</t>
  </si>
  <si>
    <t xml:space="preserve">I-113</t>
  </si>
  <si>
    <t xml:space="preserve">I-114</t>
  </si>
  <si>
    <t xml:space="preserve">I-115</t>
  </si>
  <si>
    <t xml:space="preserve">I-116</t>
  </si>
  <si>
    <t xml:space="preserve">I-117</t>
  </si>
  <si>
    <t xml:space="preserve">I-118</t>
  </si>
  <si>
    <t xml:space="preserve">I-119</t>
  </si>
  <si>
    <t xml:space="preserve">I-120</t>
  </si>
  <si>
    <t xml:space="preserve">I-121</t>
  </si>
  <si>
    <t xml:space="preserve">I-122</t>
  </si>
  <si>
    <t xml:space="preserve">I-123</t>
  </si>
  <si>
    <t xml:space="preserve">I-124</t>
  </si>
  <si>
    <t xml:space="preserve">I-125</t>
  </si>
  <si>
    <t xml:space="preserve">I-126</t>
  </si>
  <si>
    <t xml:space="preserve">I-127</t>
  </si>
  <si>
    <t xml:space="preserve">I-128</t>
  </si>
  <si>
    <t xml:space="preserve">I-129</t>
  </si>
  <si>
    <t xml:space="preserve">I-130</t>
  </si>
  <si>
    <t xml:space="preserve">I-131</t>
  </si>
  <si>
    <t xml:space="preserve">I-132</t>
  </si>
  <si>
    <t xml:space="preserve">I-133</t>
  </si>
  <si>
    <t xml:space="preserve">I-134</t>
  </si>
  <si>
    <t xml:space="preserve">I-135</t>
  </si>
  <si>
    <t xml:space="preserve">I-136</t>
  </si>
  <si>
    <t xml:space="preserve">I-137</t>
  </si>
  <si>
    <t xml:space="preserve">I-138</t>
  </si>
  <si>
    <t xml:space="preserve">I-139</t>
  </si>
  <si>
    <t xml:space="preserve">I-140</t>
  </si>
  <si>
    <t xml:space="preserve">I-141</t>
  </si>
  <si>
    <t xml:space="preserve">I-142</t>
  </si>
  <si>
    <t xml:space="preserve">I-143</t>
  </si>
  <si>
    <t xml:space="preserve">I-144</t>
  </si>
  <si>
    <t xml:space="preserve">I-145</t>
  </si>
  <si>
    <t xml:space="preserve">I-146</t>
  </si>
  <si>
    <t xml:space="preserve">I-147</t>
  </si>
  <si>
    <t xml:space="preserve">I-148</t>
  </si>
  <si>
    <t xml:space="preserve">I-149</t>
  </si>
  <si>
    <t xml:space="preserve">I-150</t>
  </si>
  <si>
    <t xml:space="preserve">I-151</t>
  </si>
  <si>
    <t xml:space="preserve">I-152</t>
  </si>
  <si>
    <t xml:space="preserve">I-153</t>
  </si>
  <si>
    <t xml:space="preserve">I-154</t>
  </si>
  <si>
    <t xml:space="preserve">I-155</t>
  </si>
  <si>
    <t xml:space="preserve">I-156</t>
  </si>
  <si>
    <t xml:space="preserve">I-157</t>
  </si>
  <si>
    <t xml:space="preserve">I-158</t>
  </si>
  <si>
    <t xml:space="preserve">I-159</t>
  </si>
  <si>
    <t xml:space="preserve">I-160</t>
  </si>
  <si>
    <t xml:space="preserve">I-161</t>
  </si>
  <si>
    <t xml:space="preserve">I-162</t>
  </si>
  <si>
    <t xml:space="preserve">I-163</t>
  </si>
  <si>
    <t xml:space="preserve">I-164</t>
  </si>
  <si>
    <t xml:space="preserve">I-165</t>
  </si>
  <si>
    <t xml:space="preserve">I-166</t>
  </si>
  <si>
    <t xml:space="preserve">I-167</t>
  </si>
  <si>
    <t xml:space="preserve">I-168</t>
  </si>
  <si>
    <t xml:space="preserve">I-169</t>
  </si>
  <si>
    <t xml:space="preserve">I-170</t>
  </si>
  <si>
    <t xml:space="preserve">I-171</t>
  </si>
  <si>
    <t xml:space="preserve">I-172</t>
  </si>
  <si>
    <t xml:space="preserve">I-173</t>
  </si>
  <si>
    <t xml:space="preserve">I-174</t>
  </si>
  <si>
    <t xml:space="preserve">I-175</t>
  </si>
  <si>
    <t xml:space="preserve">I-176</t>
  </si>
  <si>
    <t xml:space="preserve">I-177</t>
  </si>
  <si>
    <t xml:space="preserve">I-178</t>
  </si>
  <si>
    <t xml:space="preserve">I-179</t>
  </si>
  <si>
    <t xml:space="preserve">I-180</t>
  </si>
  <si>
    <t xml:space="preserve">I-181</t>
  </si>
  <si>
    <t xml:space="preserve">I-182</t>
  </si>
  <si>
    <t xml:space="preserve">I-183</t>
  </si>
  <si>
    <t xml:space="preserve">I-184</t>
  </si>
  <si>
    <t xml:space="preserve">I-185</t>
  </si>
  <si>
    <t xml:space="preserve">I-186</t>
  </si>
  <si>
    <t xml:space="preserve">I-187</t>
  </si>
  <si>
    <t xml:space="preserve">I-188</t>
  </si>
  <si>
    <t xml:space="preserve">I-189</t>
  </si>
  <si>
    <t xml:space="preserve">I-190</t>
  </si>
  <si>
    <t xml:space="preserve">I-191</t>
  </si>
  <si>
    <t xml:space="preserve">I-192</t>
  </si>
  <si>
    <t xml:space="preserve">I-193</t>
  </si>
  <si>
    <t xml:space="preserve">I-194</t>
  </si>
  <si>
    <t xml:space="preserve">I-195</t>
  </si>
  <si>
    <t xml:space="preserve">I-196</t>
  </si>
  <si>
    <t xml:space="preserve">I-197</t>
  </si>
  <si>
    <t xml:space="preserve">I-198</t>
  </si>
  <si>
    <t xml:space="preserve">I-199</t>
  </si>
  <si>
    <t xml:space="preserve">I-200</t>
  </si>
  <si>
    <t xml:space="preserve">I-201</t>
  </si>
  <si>
    <t xml:space="preserve">I-202</t>
  </si>
  <si>
    <t xml:space="preserve">I-203</t>
  </si>
  <si>
    <t xml:space="preserve">I-204</t>
  </si>
  <si>
    <t xml:space="preserve">I-205</t>
  </si>
  <si>
    <t xml:space="preserve">I-206</t>
  </si>
  <si>
    <t xml:space="preserve">I-207</t>
  </si>
  <si>
    <t xml:space="preserve">I-208</t>
  </si>
  <si>
    <t xml:space="preserve">I-209</t>
  </si>
  <si>
    <t xml:space="preserve">I-210</t>
  </si>
  <si>
    <t xml:space="preserve">I-211</t>
  </si>
  <si>
    <t xml:space="preserve">I-212</t>
  </si>
  <si>
    <t xml:space="preserve">I-213</t>
  </si>
  <si>
    <t xml:space="preserve">I-214</t>
  </si>
  <si>
    <t xml:space="preserve">I-215</t>
  </si>
  <si>
    <t xml:space="preserve">I-216</t>
  </si>
  <si>
    <t xml:space="preserve">I-217</t>
  </si>
  <si>
    <t xml:space="preserve">I-218</t>
  </si>
  <si>
    <t xml:space="preserve">I-219</t>
  </si>
  <si>
    <t xml:space="preserve">I-220</t>
  </si>
  <si>
    <t xml:space="preserve">I-221</t>
  </si>
  <si>
    <t xml:space="preserve">I-222</t>
  </si>
  <si>
    <t xml:space="preserve">I-223</t>
  </si>
  <si>
    <t xml:space="preserve">I-224</t>
  </si>
  <si>
    <t xml:space="preserve">I-225</t>
  </si>
  <si>
    <t xml:space="preserve">I-226</t>
  </si>
  <si>
    <t xml:space="preserve">I-227</t>
  </si>
  <si>
    <t xml:space="preserve">I-228</t>
  </si>
  <si>
    <t xml:space="preserve">I-229</t>
  </si>
  <si>
    <t xml:space="preserve">I-230</t>
  </si>
  <si>
    <t xml:space="preserve">I-231</t>
  </si>
  <si>
    <t xml:space="preserve">I-232</t>
  </si>
  <si>
    <t xml:space="preserve">I-233</t>
  </si>
  <si>
    <t xml:space="preserve">I-234</t>
  </si>
  <si>
    <t xml:space="preserve">I-235</t>
  </si>
  <si>
    <t xml:space="preserve">I-236</t>
  </si>
  <si>
    <t xml:space="preserve">I-237</t>
  </si>
  <si>
    <t xml:space="preserve">I-238</t>
  </si>
  <si>
    <t xml:space="preserve">I-239</t>
  </si>
  <si>
    <t xml:space="preserve">I-240</t>
  </si>
  <si>
    <t xml:space="preserve">I-241</t>
  </si>
  <si>
    <t xml:space="preserve">I-242</t>
  </si>
  <si>
    <t xml:space="preserve">I-243</t>
  </si>
  <si>
    <t xml:space="preserve">I-244</t>
  </si>
  <si>
    <t xml:space="preserve">I-245</t>
  </si>
  <si>
    <t xml:space="preserve">I-246</t>
  </si>
  <si>
    <t xml:space="preserve">I-247</t>
  </si>
  <si>
    <t xml:space="preserve">I-248</t>
  </si>
  <si>
    <t xml:space="preserve">I-249</t>
  </si>
  <si>
    <t xml:space="preserve">I-250</t>
  </si>
  <si>
    <t xml:space="preserve">I-251</t>
  </si>
  <si>
    <t xml:space="preserve">I-252</t>
  </si>
  <si>
    <t xml:space="preserve">I-253</t>
  </si>
  <si>
    <t xml:space="preserve">I-254</t>
  </si>
  <si>
    <t xml:space="preserve">I-255</t>
  </si>
  <si>
    <t xml:space="preserve">I-256</t>
  </si>
  <si>
    <t xml:space="preserve">I-257</t>
  </si>
  <si>
    <t xml:space="preserve">I-258</t>
  </si>
  <si>
    <t xml:space="preserve">I-259</t>
  </si>
  <si>
    <t xml:space="preserve">I-260</t>
  </si>
  <si>
    <t xml:space="preserve">I-261</t>
  </si>
  <si>
    <t xml:space="preserve">I-262</t>
  </si>
  <si>
    <t xml:space="preserve">I-263</t>
  </si>
  <si>
    <t xml:space="preserve">I-264</t>
  </si>
  <si>
    <t xml:space="preserve">I-265</t>
  </si>
  <si>
    <t xml:space="preserve">I-266</t>
  </si>
  <si>
    <t xml:space="preserve">I-267</t>
  </si>
  <si>
    <t xml:space="preserve">I-268</t>
  </si>
  <si>
    <t xml:space="preserve">I-269</t>
  </si>
  <si>
    <t xml:space="preserve">I-270</t>
  </si>
  <si>
    <t xml:space="preserve">I-271</t>
  </si>
  <si>
    <t xml:space="preserve">I-272</t>
  </si>
  <si>
    <t xml:space="preserve">I-273</t>
  </si>
  <si>
    <t xml:space="preserve">I-274</t>
  </si>
  <si>
    <t xml:space="preserve">I-275</t>
  </si>
  <si>
    <t xml:space="preserve">I-276</t>
  </si>
  <si>
    <t xml:space="preserve">I-277</t>
  </si>
  <si>
    <t xml:space="preserve">I-278</t>
  </si>
  <si>
    <t xml:space="preserve">I-279</t>
  </si>
  <si>
    <t xml:space="preserve">I-280</t>
  </si>
  <si>
    <t xml:space="preserve">I-281</t>
  </si>
  <si>
    <t xml:space="preserve">I-282</t>
  </si>
  <si>
    <t xml:space="preserve">I-283</t>
  </si>
  <si>
    <t xml:space="preserve">I-284</t>
  </si>
  <si>
    <t xml:space="preserve">I-285</t>
  </si>
  <si>
    <t xml:space="preserve">I-286</t>
  </si>
  <si>
    <t xml:space="preserve">I-287</t>
  </si>
  <si>
    <t xml:space="preserve">I-288</t>
  </si>
  <si>
    <t xml:space="preserve">I-289</t>
  </si>
  <si>
    <t xml:space="preserve">I-290</t>
  </si>
  <si>
    <t xml:space="preserve">I-291</t>
  </si>
  <si>
    <t xml:space="preserve">I-292</t>
  </si>
  <si>
    <t xml:space="preserve">I-293</t>
  </si>
  <si>
    <t xml:space="preserve">I-294</t>
  </si>
  <si>
    <t xml:space="preserve">I-295</t>
  </si>
  <si>
    <t xml:space="preserve">I-296</t>
  </si>
  <si>
    <t xml:space="preserve">I-297</t>
  </si>
  <si>
    <t xml:space="preserve">I-298</t>
  </si>
  <si>
    <t xml:space="preserve">I-299</t>
  </si>
  <si>
    <t xml:space="preserve">I-300</t>
  </si>
  <si>
    <t xml:space="preserve">I-301</t>
  </si>
  <si>
    <t xml:space="preserve">I-302</t>
  </si>
  <si>
    <t xml:space="preserve">I-303</t>
  </si>
  <si>
    <t xml:space="preserve">I-304</t>
  </si>
  <si>
    <t xml:space="preserve">I-305</t>
  </si>
  <si>
    <t xml:space="preserve">I-306</t>
  </si>
  <si>
    <t xml:space="preserve">I-307</t>
  </si>
  <si>
    <t xml:space="preserve">I-308</t>
  </si>
  <si>
    <t xml:space="preserve">I-309</t>
  </si>
  <si>
    <t xml:space="preserve">I-310</t>
  </si>
  <si>
    <t xml:space="preserve">I-311</t>
  </si>
  <si>
    <t xml:space="preserve">I-312</t>
  </si>
  <si>
    <t xml:space="preserve">I-313</t>
  </si>
  <si>
    <t xml:space="preserve">I-314</t>
  </si>
  <si>
    <t xml:space="preserve">I-315</t>
  </si>
  <si>
    <t xml:space="preserve">I-316</t>
  </si>
  <si>
    <t xml:space="preserve">I-317</t>
  </si>
  <si>
    <t xml:space="preserve">I-318</t>
  </si>
  <si>
    <t xml:space="preserve">I-319</t>
  </si>
  <si>
    <t xml:space="preserve">I-320</t>
  </si>
  <si>
    <t xml:space="preserve">I-321</t>
  </si>
  <si>
    <t xml:space="preserve">I-322</t>
  </si>
  <si>
    <t xml:space="preserve">I-323</t>
  </si>
  <si>
    <t xml:space="preserve">I-324</t>
  </si>
  <si>
    <t xml:space="preserve">I-325</t>
  </si>
  <si>
    <t xml:space="preserve">I-326</t>
  </si>
  <si>
    <t xml:space="preserve">I-327</t>
  </si>
  <si>
    <t xml:space="preserve">I-328</t>
  </si>
  <si>
    <t xml:space="preserve">I-329</t>
  </si>
  <si>
    <t xml:space="preserve">I-330</t>
  </si>
  <si>
    <t xml:space="preserve">I-331</t>
  </si>
  <si>
    <t xml:space="preserve">I-332</t>
  </si>
  <si>
    <t xml:space="preserve">I-333</t>
  </si>
  <si>
    <t xml:space="preserve">I-334</t>
  </si>
  <si>
    <t xml:space="preserve">I-335</t>
  </si>
  <si>
    <t xml:space="preserve">I-336</t>
  </si>
  <si>
    <t xml:space="preserve">I-337</t>
  </si>
  <si>
    <t xml:space="preserve">I-338</t>
  </si>
  <si>
    <t xml:space="preserve">I-339</t>
  </si>
  <si>
    <t xml:space="preserve">I-340</t>
  </si>
  <si>
    <t xml:space="preserve">I-341</t>
  </si>
  <si>
    <t xml:space="preserve">I-342</t>
  </si>
  <si>
    <t xml:space="preserve">I-343</t>
  </si>
  <si>
    <t xml:space="preserve">I-344</t>
  </si>
  <si>
    <t xml:space="preserve">I-345</t>
  </si>
  <si>
    <t xml:space="preserve">I-346</t>
  </si>
  <si>
    <t xml:space="preserve">I-347</t>
  </si>
  <si>
    <t xml:space="preserve">I-348</t>
  </si>
  <si>
    <t xml:space="preserve">I-349</t>
  </si>
  <si>
    <t xml:space="preserve">I-350</t>
  </si>
  <si>
    <t xml:space="preserve">I-351</t>
  </si>
  <si>
    <t xml:space="preserve">I-352</t>
  </si>
  <si>
    <t xml:space="preserve">I-353</t>
  </si>
  <si>
    <t xml:space="preserve">I-354</t>
  </si>
  <si>
    <t xml:space="preserve">I-355</t>
  </si>
  <si>
    <t xml:space="preserve">I-356</t>
  </si>
  <si>
    <t xml:space="preserve">I-357</t>
  </si>
  <si>
    <t xml:space="preserve">I-358</t>
  </si>
  <si>
    <t xml:space="preserve">I-359</t>
  </si>
  <si>
    <t xml:space="preserve">I-360</t>
  </si>
  <si>
    <t xml:space="preserve">I-361</t>
  </si>
  <si>
    <t xml:space="preserve">I-362</t>
  </si>
  <si>
    <t xml:space="preserve">I-363</t>
  </si>
  <si>
    <t xml:space="preserve">I-364</t>
  </si>
  <si>
    <t xml:space="preserve">I-365</t>
  </si>
  <si>
    <t xml:space="preserve">I-366</t>
  </si>
  <si>
    <t xml:space="preserve">I-367</t>
  </si>
  <si>
    <t xml:space="preserve">I-368</t>
  </si>
  <si>
    <t xml:space="preserve">I-369</t>
  </si>
  <si>
    <t xml:space="preserve">I-370</t>
  </si>
  <si>
    <t xml:space="preserve">I-371</t>
  </si>
  <si>
    <t xml:space="preserve">I-372</t>
  </si>
  <si>
    <t xml:space="preserve">I-373</t>
  </si>
  <si>
    <t xml:space="preserve">I-374</t>
  </si>
  <si>
    <t xml:space="preserve">I-375</t>
  </si>
  <si>
    <t xml:space="preserve">I-376</t>
  </si>
  <si>
    <t xml:space="preserve">I-377</t>
  </si>
  <si>
    <t xml:space="preserve">I-378</t>
  </si>
  <si>
    <t xml:space="preserve">I-379</t>
  </si>
  <si>
    <t xml:space="preserve">I-380</t>
  </si>
  <si>
    <t xml:space="preserve">I-381</t>
  </si>
  <si>
    <t xml:space="preserve">I-382</t>
  </si>
  <si>
    <t xml:space="preserve">I-383</t>
  </si>
  <si>
    <t xml:space="preserve">I-384</t>
  </si>
  <si>
    <t xml:space="preserve">I-385</t>
  </si>
  <si>
    <t xml:space="preserve">I-386</t>
  </si>
  <si>
    <t xml:space="preserve">I-387</t>
  </si>
  <si>
    <t xml:space="preserve">I-388</t>
  </si>
  <si>
    <t xml:space="preserve">I-389</t>
  </si>
  <si>
    <t xml:space="preserve">I-390</t>
  </si>
  <si>
    <t xml:space="preserve">I-391</t>
  </si>
  <si>
    <t xml:space="preserve">I-392</t>
  </si>
  <si>
    <t xml:space="preserve">I-393</t>
  </si>
  <si>
    <t xml:space="preserve">I-394</t>
  </si>
  <si>
    <t xml:space="preserve">I-395</t>
  </si>
  <si>
    <t xml:space="preserve">I-396</t>
  </si>
  <si>
    <t xml:space="preserve">I-397</t>
  </si>
  <si>
    <t xml:space="preserve">I-398</t>
  </si>
  <si>
    <t xml:space="preserve">I-399</t>
  </si>
  <si>
    <t xml:space="preserve">📑 RESUMEN CONTABLE SIMPLIFICADO</t>
  </si>
  <si>
    <t xml:space="preserve">No reemplaza a un contador, pero te ayuda a ver de un vistazo si el negocio del día a día es rentable, separado de lo que invertiste para montarlo.</t>
  </si>
  <si>
    <t xml:space="preserve">1. RESULTADO OPERATIVO (el día a día del negocio)</t>
  </si>
  <si>
    <t xml:space="preserve">Ingresos por clases / membresías (Pole)</t>
  </si>
  <si>
    <t xml:space="preserve">← Lo que entra por clases, paquetes y membresías.</t>
  </si>
  <si>
    <t xml:space="preserve">Ingresos por venta de mercancía (ropa/accesorios)</t>
  </si>
  <si>
    <t xml:space="preserve">← Lo que entra por vender ropa, tops, shorts, accesorios, etc.</t>
  </si>
  <si>
    <t xml:space="preserve">TOTAL INGRESOS OPERATIVOS</t>
  </si>
  <si>
    <t xml:space="preserve">Gastos operativos (marcados como 'Operativo' en Gastos)</t>
  </si>
  <si>
    <t xml:space="preserve">← Solo suma los gastos que marcaste como 'Operativo' (no cuenta preoperativos ni inversión).</t>
  </si>
  <si>
    <t xml:space="preserve">UTILIDAD / PÉRDIDA OPERATIVA</t>
  </si>
  <si>
    <t xml:space="preserve">← Si es negativo, el negocio del mes/periodo aún no se sostiene solo con lo operativo.</t>
  </si>
  <si>
    <t xml:space="preserve">2. LO QUE INVERTISTE PARA MONTAR EL NEGOCIO (no es gasto del mes a mes)</t>
  </si>
  <si>
    <t xml:space="preserve">Activos fijos marcados como 'Inversión Inicial'</t>
  </si>
  <si>
    <t xml:space="preserve">← Poles, colchonetas, mobiliario, equipos... todo lo que ya marcaste 'Inversión Inicial' en Activos Fijos.</t>
  </si>
  <si>
    <t xml:space="preserve">Costo de mercancía inicial (ropa/accesorios comprados para abrir)</t>
  </si>
  <si>
    <t xml:space="preserve">← Columna 'Costo Total' de la hoja Mercancía, solo lo marcado como 'Inversión Inicial' (no cuenta reposiciones futuras).</t>
  </si>
  <si>
    <t xml:space="preserve">Gastos marcados como 'Preoperativo'</t>
  </si>
  <si>
    <t xml:space="preserve">← Gastos antes de abrir (arreglo del local, trámites, decoración inicial, etc.).</t>
  </si>
  <si>
    <t xml:space="preserve">Gastos marcados como 'Inversión Inicial'</t>
  </si>
  <si>
    <t xml:space="preserve">← Ojo: si ya registraste la compra de mercancía aquí en Gastos, bórrala de aquí para no duplicarla; la mercancía va en la hoja Mercancía.</t>
  </si>
  <si>
    <t xml:space="preserve">TOTAL INVERTIDO PARA ABRIR</t>
  </si>
  <si>
    <t xml:space="preserve">← Este monto no se resta cada mes; es lo que "debes recuperar" con las utilidades del negocio con el tiempo.</t>
  </si>
  <si>
    <t xml:space="preserve">3. BALANCE GENERAL DEL PERIODO</t>
  </si>
  <si>
    <t xml:space="preserve">Utilidad operativa</t>
  </si>
  <si>
    <t xml:space="preserve">Menos: inversión / preoperativos del periodo</t>
  </si>
  <si>
    <t xml:space="preserve">BALANCE NETO (caja real, incluyendo inversión)</t>
  </si>
  <si>
    <t xml:space="preserve">← Este sí mezcla todo: cuánto ha salido realmente de caja/bolsillo hasta hoy, contando la inversión inicial.</t>
  </si>
  <si>
    <t xml:space="preserve">ID Gasto</t>
  </si>
  <si>
    <t xml:space="preserve">Concepto / Descripción</t>
  </si>
  <si>
    <t xml:space="preserve">Valor ($)</t>
  </si>
  <si>
    <t xml:space="preserve">Clasificación Contable</t>
  </si>
  <si>
    <t xml:space="preserve">GAS-001</t>
  </si>
  <si>
    <t xml:space="preserve">Arreglo del techo</t>
  </si>
  <si>
    <t xml:space="preserve">Preoperativo</t>
  </si>
  <si>
    <t xml:space="preserve">Se pagó en dos plazos: 3 y 2 millones</t>
  </si>
  <si>
    <t xml:space="preserve">GAS-002</t>
  </si>
  <si>
    <t xml:space="preserve">Envío de 2 colchonetas</t>
  </si>
  <si>
    <t xml:space="preserve">GAS-003</t>
  </si>
  <si>
    <t xml:space="preserve">Pegatina redonda con logo x 112</t>
  </si>
  <si>
    <t xml:space="preserve">GAS-004</t>
  </si>
  <si>
    <t xml:space="preserve">Bolsa blanca x 50</t>
  </si>
  <si>
    <t xml:space="preserve">GAS-005</t>
  </si>
  <si>
    <t xml:space="preserve">Llavero metalico personalizado x 20 </t>
  </si>
  <si>
    <t xml:space="preserve">1169 por unidad</t>
  </si>
  <si>
    <t xml:space="preserve">GAS-006</t>
  </si>
  <si>
    <t xml:space="preserve">Seguridad/señalizacion</t>
  </si>
  <si>
    <t xml:space="preserve">Pegatina de timbre</t>
  </si>
  <si>
    <t xml:space="preserve">GAS-007</t>
  </si>
  <si>
    <t xml:space="preserve">Pegatina de vigilancia por camara X5</t>
  </si>
  <si>
    <t xml:space="preserve">GAS-008</t>
  </si>
  <si>
    <t xml:space="preserve">Bolsa blanca personalizada en tela x 10</t>
  </si>
  <si>
    <t xml:space="preserve">GAS-009</t>
  </si>
  <si>
    <t xml:space="preserve">llavero en aclirico x 10</t>
  </si>
  <si>
    <t xml:space="preserve">GAS-011</t>
  </si>
  <si>
    <t xml:space="preserve">Aviso de prohibido pasar x 3</t>
  </si>
  <si>
    <t xml:space="preserve">GAS-012</t>
  </si>
  <si>
    <t xml:space="preserve">Decoracion/adecuacion</t>
  </si>
  <si>
    <t xml:space="preserve">Pegatina de bailarinas/gimnasia</t>
  </si>
  <si>
    <t xml:space="preserve">GAS-013</t>
  </si>
  <si>
    <t xml:space="preserve">Avisosde baño x3</t>
  </si>
  <si>
    <t xml:space="preserve">GAS-014</t>
  </si>
  <si>
    <t xml:space="preserve">Aviso de botiquin y extintor x 2</t>
  </si>
  <si>
    <t xml:space="preserve">GAS-015</t>
  </si>
  <si>
    <t xml:space="preserve">Aviso de zona de evacuacion x 3</t>
  </si>
  <si>
    <t xml:space="preserve">GAS-016</t>
  </si>
  <si>
    <t xml:space="preserve">Cinta antideslizante</t>
  </si>
  <si>
    <t xml:space="preserve">GAS-017</t>
  </si>
  <si>
    <t xml:space="preserve">Pegatina antideslizantes para tapete x 12</t>
  </si>
  <si>
    <t xml:space="preserve">GAS-018</t>
  </si>
  <si>
    <t xml:space="preserve">Toalla de papel x 1388</t>
  </si>
  <si>
    <t xml:space="preserve">GAS-019</t>
  </si>
  <si>
    <t xml:space="preserve">Pegatina mujer haciendo yoga</t>
  </si>
  <si>
    <t xml:space="preserve">GAS-020</t>
  </si>
  <si>
    <t xml:space="preserve">Aviso vintage con mensaje</t>
  </si>
  <si>
    <t xml:space="preserve">GAS-021</t>
  </si>
  <si>
    <t xml:space="preserve">Globo de Hallowen x 7</t>
  </si>
  <si>
    <t xml:space="preserve">GAS-022</t>
  </si>
  <si>
    <t xml:space="preserve">Globo estampados de Hallowen x 16</t>
  </si>
  <si>
    <t xml:space="preserve">GAS-023</t>
  </si>
  <si>
    <t xml:space="preserve">Bolsa blancas personalizada en yute x 50</t>
  </si>
  <si>
    <t xml:space="preserve">GAS-024</t>
  </si>
  <si>
    <t xml:space="preserve">Llavero metalico personalizado x 50</t>
  </si>
  <si>
    <t xml:space="preserve">GAS-025</t>
  </si>
  <si>
    <t xml:space="preserve">Tramites/papeleria</t>
  </si>
  <si>
    <t xml:space="preserve">Autenticacion del contrato</t>
  </si>
  <si>
    <t xml:space="preserve">GAS-026</t>
  </si>
  <si>
    <t xml:space="preserve">Instalacion de pisos</t>
  </si>
  <si>
    <t xml:space="preserve">GAS-027</t>
  </si>
  <si>
    <t xml:space="preserve">Compra en el D1 aseo general</t>
  </si>
  <si>
    <t xml:space="preserve">GAS-028</t>
  </si>
  <si>
    <t xml:space="preserve">Perfil para espejos</t>
  </si>
  <si>
    <t xml:space="preserve">GAS-029</t>
  </si>
  <si>
    <t xml:space="preserve">Elementos e ferreteria</t>
  </si>
  <si>
    <t xml:space="preserve">GAS-030</t>
  </si>
  <si>
    <t xml:space="preserve">Toalla de limpieza</t>
  </si>
  <si>
    <t xml:space="preserve">GAS-031</t>
  </si>
  <si>
    <t xml:space="preserve">Pintura y brocha</t>
  </si>
  <si>
    <t xml:space="preserve">GAS-032</t>
  </si>
  <si>
    <t xml:space="preserve">Canaletas para luces de espejo</t>
  </si>
  <si>
    <t xml:space="preserve">GAS-033</t>
  </si>
  <si>
    <t xml:space="preserve">Ferreteria</t>
  </si>
  <si>
    <t xml:space="preserve">GAS-034</t>
  </si>
  <si>
    <t xml:space="preserve">Alquiler de escalera</t>
  </si>
  <si>
    <t xml:space="preserve">GAS-035</t>
  </si>
  <si>
    <t xml:space="preserve">Pintura</t>
  </si>
  <si>
    <t xml:space="preserve">GAS-036</t>
  </si>
  <si>
    <t xml:space="preserve">GAS-037</t>
  </si>
  <si>
    <t xml:space="preserve">Cambio de guardas</t>
  </si>
  <si>
    <t xml:space="preserve">GAS-038</t>
  </si>
  <si>
    <t xml:space="preserve">Garrafa de alcohol</t>
  </si>
  <si>
    <t xml:space="preserve">GAS-039</t>
  </si>
  <si>
    <t xml:space="preserve">Eventos/celebraciones</t>
  </si>
  <si>
    <t xml:space="preserve">Pasabocas y elementos necesarios</t>
  </si>
  <si>
    <t xml:space="preserve">GAS-040</t>
  </si>
  <si>
    <t xml:space="preserve">GAS-041</t>
  </si>
  <si>
    <t xml:space="preserve">GAS-042</t>
  </si>
  <si>
    <t xml:space="preserve">GAS-043</t>
  </si>
  <si>
    <t xml:space="preserve">Papeleria</t>
  </si>
  <si>
    <t xml:space="preserve">GAS-044</t>
  </si>
  <si>
    <t xml:space="preserve">Jabon, palillos y paños humedos</t>
  </si>
  <si>
    <t xml:space="preserve">GAS-045</t>
  </si>
  <si>
    <t xml:space="preserve">GAS-046</t>
  </si>
  <si>
    <t xml:space="preserve">Desechables y dulces</t>
  </si>
  <si>
    <t xml:space="preserve">inaguracion</t>
  </si>
  <si>
    <t xml:space="preserve">GAS-047</t>
  </si>
  <si>
    <t xml:space="preserve">Elaboracion del logo</t>
  </si>
  <si>
    <t xml:space="preserve">GAS-048</t>
  </si>
  <si>
    <t xml:space="preserve">GAS-049</t>
  </si>
  <si>
    <t xml:space="preserve">Materas y plantas</t>
  </si>
  <si>
    <t xml:space="preserve">GAS-050</t>
  </si>
  <si>
    <t xml:space="preserve">Vasos y bolsa de agua</t>
  </si>
  <si>
    <t xml:space="preserve">Inaguracion</t>
  </si>
  <si>
    <t xml:space="preserve">GAS-051</t>
  </si>
  <si>
    <t xml:space="preserve">Interruptor timbre</t>
  </si>
  <si>
    <t xml:space="preserve">GAS-052</t>
  </si>
  <si>
    <t xml:space="preserve">GAS-053</t>
  </si>
  <si>
    <t xml:space="preserve">Alquiler de sillas</t>
  </si>
  <si>
    <t xml:space="preserve">GAS-054</t>
  </si>
  <si>
    <t xml:space="preserve">Glade con repuesto para ambientador</t>
  </si>
  <si>
    <t xml:space="preserve">GAS-055</t>
  </si>
  <si>
    <t xml:space="preserve">Uber para trasporte de sillas</t>
  </si>
  <si>
    <t xml:space="preserve">Luz</t>
  </si>
  <si>
    <t xml:space="preserve">Insumos del botiquin</t>
  </si>
  <si>
    <t xml:space="preserve">Churrusco del baño</t>
  </si>
  <si>
    <t xml:space="preserve">De 20 dias</t>
  </si>
  <si>
    <t xml:space="preserve">Inversión Inicial</t>
  </si>
  <si>
    <t xml:space="preserve">Instalacion de pole</t>
  </si>
  <si>
    <t xml:space="preserve">Pago de dia de limpieza</t>
  </si>
  <si>
    <t xml:space="preserve">Pago de instructor</t>
  </si>
  <si>
    <t xml:space="preserve">Operativo</t>
  </si>
  <si>
    <t xml:space="preserve">Guía rápida: 'Preoperativo' = gastos antes de abrir el salón. 'Inversión Inicial' = compras grandes/activos para montar el negocio. 'Operativo' = gastos del día a día ya abiertos.</t>
  </si>
  <si>
    <t xml:space="preserve">ID Entrada</t>
  </si>
  <si>
    <t xml:space="preserve">Código Prenda</t>
  </si>
  <si>
    <t xml:space="preserve">Talla</t>
  </si>
  <si>
    <t xml:space="preserve">Cantidad (+)</t>
  </si>
  <si>
    <t xml:space="preserve">Unidad de Medida</t>
  </si>
  <si>
    <t xml:space="preserve">Precio compra($)</t>
  </si>
  <si>
    <t xml:space="preserve">Costo Total ($)</t>
  </si>
  <si>
    <t xml:space="preserve">Precio venta</t>
  </si>
  <si>
    <t xml:space="preserve">Proveedor / Notas</t>
  </si>
  <si>
    <t xml:space="preserve">Clasificación</t>
  </si>
  <si>
    <t xml:space="preserve">ENT-001</t>
  </si>
  <si>
    <t xml:space="preserve"> Top Negro con esptampado blanco</t>
  </si>
  <si>
    <t xml:space="preserve">UN</t>
  </si>
  <si>
    <t xml:space="preserve">ENT-002</t>
  </si>
  <si>
    <t xml:space="preserve">SS</t>
  </si>
  <si>
    <t xml:space="preserve">Short con malla lateral negro</t>
  </si>
  <si>
    <t xml:space="preserve">ENT-003</t>
  </si>
  <si>
    <t xml:space="preserve">TS</t>
  </si>
  <si>
    <t xml:space="preserve">Top blanco estampado negro de calabera</t>
  </si>
  <si>
    <t xml:space="preserve">ENT-004</t>
  </si>
  <si>
    <t xml:space="preserve">RS</t>
  </si>
  <si>
    <t xml:space="preserve">Rodillera negra</t>
  </si>
  <si>
    <t xml:space="preserve">Par</t>
  </si>
  <si>
    <t xml:space="preserve">ENT-005</t>
  </si>
  <si>
    <t xml:space="preserve">SM</t>
  </si>
  <si>
    <t xml:space="preserve">Short de rayas blancas y negras </t>
  </si>
  <si>
    <t xml:space="preserve">Combinado</t>
  </si>
  <si>
    <t xml:space="preserve">ENT-006</t>
  </si>
  <si>
    <t xml:space="preserve">Top Azul con tirantes cruzados  en espalda</t>
  </si>
  <si>
    <t xml:space="preserve">ENT-007</t>
  </si>
  <si>
    <t xml:space="preserve">Top negro, malla en espalda y frente</t>
  </si>
  <si>
    <t xml:space="preserve">ENT-008</t>
  </si>
  <si>
    <t xml:space="preserve">Short con corazon lateral</t>
  </si>
  <si>
    <t xml:space="preserve">Variado</t>
  </si>
  <si>
    <t xml:space="preserve">ENT-009</t>
  </si>
  <si>
    <t xml:space="preserve">Short con cintura de leopardo</t>
  </si>
  <si>
    <t xml:space="preserve">ENT-010</t>
  </si>
  <si>
    <t xml:space="preserve">RM</t>
  </si>
  <si>
    <t xml:space="preserve">ENT-011</t>
  </si>
  <si>
    <t xml:space="preserve">SL</t>
  </si>
  <si>
    <t xml:space="preserve">Short gris acanalado</t>
  </si>
  <si>
    <t xml:space="preserve">Gris</t>
  </si>
  <si>
    <t xml:space="preserve">ENT-012</t>
  </si>
  <si>
    <t xml:space="preserve">SXL</t>
  </si>
  <si>
    <t xml:space="preserve">Short negro de pliegues laterales</t>
  </si>
  <si>
    <t xml:space="preserve">ENT-013</t>
  </si>
  <si>
    <t xml:space="preserve">TL</t>
  </si>
  <si>
    <t xml:space="preserve">Top gris con estampado negro</t>
  </si>
  <si>
    <t xml:space="preserve">ENT-014</t>
  </si>
  <si>
    <t xml:space="preserve">TXL</t>
  </si>
  <si>
    <t xml:space="preserve">Top negro doble tira en el hombro</t>
  </si>
  <si>
    <t xml:space="preserve">ENT-015</t>
  </si>
  <si>
    <t xml:space="preserve">Short azul agua marina</t>
  </si>
  <si>
    <t xml:space="preserve">ENT-016</t>
  </si>
  <si>
    <t xml:space="preserve">CS</t>
  </si>
  <si>
    <t xml:space="preserve">Conjunto con estampado de leopardo</t>
  </si>
  <si>
    <t xml:space="preserve">ENT-017</t>
  </si>
  <si>
    <t xml:space="preserve">MU</t>
  </si>
  <si>
    <t xml:space="preserve">Media en malla</t>
  </si>
  <si>
    <t xml:space="preserve">ENT-018</t>
  </si>
  <si>
    <t xml:space="preserve">Top con correa y hebilla frontal estampadpo de leopardo</t>
  </si>
  <si>
    <t xml:space="preserve">ENT-019</t>
  </si>
  <si>
    <t xml:space="preserve">A</t>
  </si>
  <si>
    <t xml:space="preserve">Alas de ada</t>
  </si>
  <si>
    <t xml:space="preserve">ENT-020</t>
  </si>
  <si>
    <t xml:space="preserve">Top corset rojo de leopardo</t>
  </si>
  <si>
    <t xml:space="preserve">ENT-021</t>
  </si>
  <si>
    <t xml:space="preserve">Accesorio en cuero para la pierna</t>
  </si>
  <si>
    <t xml:space="preserve">ENT-022</t>
  </si>
  <si>
    <t xml:space="preserve">Accesorio en cuero sintetico para el cuello</t>
  </si>
  <si>
    <t xml:space="preserve">ENT-023</t>
  </si>
  <si>
    <t xml:space="preserve">Accesorio en cuero sintetico multicapa negro</t>
  </si>
  <si>
    <t xml:space="preserve">ENT-024</t>
  </si>
  <si>
    <t xml:space="preserve">Accesorio monedero estampado de pole</t>
  </si>
  <si>
    <t xml:space="preserve">ENT-025</t>
  </si>
  <si>
    <t xml:space="preserve">Accesorio, botella de agua con estampado de pole</t>
  </si>
  <si>
    <t xml:space="preserve">ENT-026</t>
  </si>
  <si>
    <t xml:space="preserve">Short acanalado</t>
  </si>
  <si>
    <t xml:space="preserve">Purpura</t>
  </si>
  <si>
    <t xml:space="preserve">ENT-027</t>
  </si>
  <si>
    <t xml:space="preserve">ENT-028</t>
  </si>
  <si>
    <t xml:space="preserve">Top rojo con malla en espalda y tirantes cruzados</t>
  </si>
  <si>
    <t xml:space="preserve">ENT-029</t>
  </si>
  <si>
    <t xml:space="preserve">Top cordon al cuello</t>
  </si>
  <si>
    <t xml:space="preserve">Borgoña</t>
  </si>
  <si>
    <t xml:space="preserve">ENT-030</t>
  </si>
  <si>
    <t xml:space="preserve">Top street casual</t>
  </si>
  <si>
    <t xml:space="preserve">ENT-031</t>
  </si>
  <si>
    <t xml:space="preserve">ENT-032</t>
  </si>
  <si>
    <t xml:space="preserve">Top street casual leopardo</t>
  </si>
  <si>
    <t xml:space="preserve">ENT-033</t>
  </si>
  <si>
    <t xml:space="preserve">Top en malla negra-chaleco</t>
  </si>
  <si>
    <t xml:space="preserve">ENT-034</t>
  </si>
  <si>
    <t xml:space="preserve">ENT-035</t>
  </si>
  <si>
    <t xml:space="preserve">Top rojo escote pronunciado con argolla y tira al cuello</t>
  </si>
  <si>
    <t xml:space="preserve">ENT-036</t>
  </si>
  <si>
    <t xml:space="preserve">SXXL</t>
  </si>
  <si>
    <t xml:space="preserve">Short con cintura en malla</t>
  </si>
  <si>
    <t xml:space="preserve">ENT-037</t>
  </si>
  <si>
    <t xml:space="preserve">SU</t>
  </si>
  <si>
    <t xml:space="preserve">Short negro en malla</t>
  </si>
  <si>
    <t xml:space="preserve">ENT-038</t>
  </si>
  <si>
    <t xml:space="preserve">Medias en malla</t>
  </si>
  <si>
    <t xml:space="preserve">ENT-039</t>
  </si>
  <si>
    <t xml:space="preserve">Accesorio  bolso en yute  estampado de pole</t>
  </si>
  <si>
    <t xml:space="preserve">ENT-040</t>
  </si>
  <si>
    <t xml:space="preserve">Short  falda de flecos</t>
  </si>
  <si>
    <t xml:space="preserve">ENT-041</t>
  </si>
  <si>
    <t xml:space="preserve">Short falda de flecos</t>
  </si>
  <si>
    <t xml:space="preserve">ENT-042</t>
  </si>
  <si>
    <t xml:space="preserve">TU</t>
  </si>
  <si>
    <t xml:space="preserve">Top body de flecos</t>
  </si>
  <si>
    <t xml:space="preserve">ENT-043</t>
  </si>
  <si>
    <t xml:space="preserve">Accesirio bufanda de flecos y lentejuelas</t>
  </si>
  <si>
    <t xml:space="preserve">Dorado</t>
  </si>
  <si>
    <t xml:space="preserve">ENT-044</t>
  </si>
  <si>
    <t xml:space="preserve">Itac 2</t>
  </si>
  <si>
    <t xml:space="preserve">ENT-045</t>
  </si>
  <si>
    <t xml:space="preserve">Monkey gluey de 100 ml</t>
  </si>
  <si>
    <t xml:space="preserve">ENT-046</t>
  </si>
  <si>
    <t xml:space="preserve">ENT-047</t>
  </si>
  <si>
    <t xml:space="preserve">Total</t>
  </si>
  <si>
    <t xml:space="preserve">Nota: todas las entradas actuales se marcaron 'Inversión Inicial' porque son el stock con el que abriste. Cuando compres mercancía nueva ya con el negocio abierto (reposición), márcala como 'Reposición de Stock' para que NO se sume otra vez al capital inicial en el Resumen Contable.</t>
  </si>
  <si>
    <t xml:space="preserve">Código Activo</t>
  </si>
  <si>
    <t xml:space="preserve">Nombre del Activo</t>
  </si>
  <si>
    <t xml:space="preserve">Ubicación</t>
  </si>
  <si>
    <t xml:space="preserve">Valor Est. Unit ($)</t>
  </si>
  <si>
    <t xml:space="preserve">Valor Total ($)</t>
  </si>
  <si>
    <t xml:space="preserve">Fecha Adquisición</t>
  </si>
  <si>
    <t xml:space="preserve">Observaciones</t>
  </si>
  <si>
    <t xml:space="preserve">ACT-001</t>
  </si>
  <si>
    <t xml:space="preserve">Barra / Pole Profesional Dorado</t>
  </si>
  <si>
    <t xml:space="preserve">Equipamiento Pole</t>
  </si>
  <si>
    <t xml:space="preserve">Salón Principal</t>
  </si>
  <si>
    <t xml:space="preserve">Excelente</t>
  </si>
  <si>
    <t xml:space="preserve">Poles de acero inoxidable removibles</t>
  </si>
  <si>
    <t xml:space="preserve">ACT-002</t>
  </si>
  <si>
    <t xml:space="preserve">Barra / Pole Profesional Plateado</t>
  </si>
  <si>
    <t xml:space="preserve">Poles de bronce removibles</t>
  </si>
  <si>
    <t xml:space="preserve">ACT-003</t>
  </si>
  <si>
    <t xml:space="preserve">Poltrona</t>
  </si>
  <si>
    <t xml:space="preserve">Mobiliario y Confort</t>
  </si>
  <si>
    <t xml:space="preserve">Recepción</t>
  </si>
  <si>
    <t xml:space="preserve">Sillas individuales</t>
  </si>
  <si>
    <t xml:space="preserve">ACT-004</t>
  </si>
  <si>
    <t xml:space="preserve">Colchoneta profesional para Pole solo espuma</t>
  </si>
  <si>
    <t xml:space="preserve">Espuma alta densidad</t>
  </si>
  <si>
    <t xml:space="preserve">ACT-005</t>
  </si>
  <si>
    <t xml:space="preserve">Colchoneta profesional para Pole espuma + casata</t>
  </si>
  <si>
    <t xml:space="preserve">Espuma + casata</t>
  </si>
  <si>
    <t xml:space="preserve">ACT-006</t>
  </si>
  <si>
    <t xml:space="preserve">Atomizador Negro de 250 ml</t>
  </si>
  <si>
    <t xml:space="preserve">Aseo y Limpieza</t>
  </si>
  <si>
    <t xml:space="preserve">Salón / Recepción</t>
  </si>
  <si>
    <t xml:space="preserve">Reemplazar</t>
  </si>
  <si>
    <t xml:space="preserve">Para desinfección de poles</t>
  </si>
  <si>
    <t xml:space="preserve">ACT-007</t>
  </si>
  <si>
    <t xml:space="preserve">Atomizador vintage negro 300 ml</t>
  </si>
  <si>
    <t xml:space="preserve">Para desinfección</t>
  </si>
  <si>
    <t xml:space="preserve">ACT-008</t>
  </si>
  <si>
    <t xml:space="preserve">Atomizador vintage diamante-gris 400 ml</t>
  </si>
  <si>
    <t xml:space="preserve">ACT-009</t>
  </si>
  <si>
    <t xml:space="preserve">Canastas de Almacenamiento Objetos</t>
  </si>
  <si>
    <t xml:space="preserve">Vestier / Salón</t>
  </si>
  <si>
    <t xml:space="preserve">Canastas organizadoras alumnas</t>
  </si>
  <si>
    <t xml:space="preserve">ACT-010</t>
  </si>
  <si>
    <t xml:space="preserve">Bafle AS-800 pro</t>
  </si>
  <si>
    <t xml:space="preserve">Equipos y tecnologia</t>
  </si>
  <si>
    <t xml:space="preserve">Torre de sonido con micrófono</t>
  </si>
  <si>
    <t xml:space="preserve">ACT-011</t>
  </si>
  <si>
    <t xml:space="preserve">Mate negro </t>
  </si>
  <si>
    <t xml:space="preserve">Promediando lo del mismo color </t>
  </si>
  <si>
    <t xml:space="preserve">ACT-012</t>
  </si>
  <si>
    <t xml:space="preserve">Mate Gris</t>
  </si>
  <si>
    <t xml:space="preserve">ACT-013</t>
  </si>
  <si>
    <t xml:space="preserve">Bandas de resistencia</t>
  </si>
  <si>
    <t xml:space="preserve">ACT-014</t>
  </si>
  <si>
    <t xml:space="preserve">Bandas para Mate</t>
  </si>
  <si>
    <t xml:space="preserve">ACT-015</t>
  </si>
  <si>
    <t xml:space="preserve">Toalla de limpieza negra</t>
  </si>
  <si>
    <t xml:space="preserve">ACT-018</t>
  </si>
  <si>
    <t xml:space="preserve">Estante de pared compacto blanco de 3 niveles</t>
  </si>
  <si>
    <t xml:space="preserve">ACT-019</t>
  </si>
  <si>
    <t xml:space="preserve">Aclirico personalizado rectanguar</t>
  </si>
  <si>
    <t xml:space="preserve">Decoración</t>
  </si>
  <si>
    <t xml:space="preserve">ACT-020</t>
  </si>
  <si>
    <t xml:space="preserve">Tapete personalizado</t>
  </si>
  <si>
    <t xml:space="preserve">ACT-021</t>
  </si>
  <si>
    <t xml:space="preserve">Aclirico personalizado redondo</t>
  </si>
  <si>
    <t xml:space="preserve">ACT-022</t>
  </si>
  <si>
    <t xml:space="preserve">Ganchos con revestimiento plastico</t>
  </si>
  <si>
    <t xml:space="preserve">ACT-023</t>
  </si>
  <si>
    <t xml:space="preserve">Tendedero de ropa plegable blanco</t>
  </si>
  <si>
    <t xml:space="preserve">ACT-024</t>
  </si>
  <si>
    <t xml:space="preserve">Mate rosado</t>
  </si>
  <si>
    <t xml:space="preserve">ACT-025</t>
  </si>
  <si>
    <t xml:space="preserve">Proyector led de planetas</t>
  </si>
  <si>
    <t xml:space="preserve">ACT-026</t>
  </si>
  <si>
    <t xml:space="preserve">Proyector led giratorio</t>
  </si>
  <si>
    <t xml:space="preserve">ACT-027</t>
  </si>
  <si>
    <t xml:space="preserve">Capa de disfraz para Hallowen</t>
  </si>
  <si>
    <t xml:space="preserve">ACT-028</t>
  </si>
  <si>
    <t xml:space="preserve">Bandera decorativa Hallowen</t>
  </si>
  <si>
    <t xml:space="preserve">ACT-029</t>
  </si>
  <si>
    <t xml:space="preserve">Murcielagos de Hallowen x 288</t>
  </si>
  <si>
    <t xml:space="preserve">ACT-030</t>
  </si>
  <si>
    <t xml:space="preserve">Capa roja y orejas de elfo</t>
  </si>
  <si>
    <t xml:space="preserve">ACT-031</t>
  </si>
  <si>
    <t xml:space="preserve">Proyector led de hallowen</t>
  </si>
  <si>
    <t xml:space="preserve">ACT-032</t>
  </si>
  <si>
    <t xml:space="preserve">Malla de poliester negra x 6 metros</t>
  </si>
  <si>
    <t xml:space="preserve">ACT-033</t>
  </si>
  <si>
    <t xml:space="preserve">Bufanda de plumas</t>
  </si>
  <si>
    <t xml:space="preserve">ACT-034</t>
  </si>
  <si>
    <t xml:space="preserve">Atomizador con tramas 600 ml</t>
  </si>
  <si>
    <t xml:space="preserve">ACT-035</t>
  </si>
  <si>
    <t xml:space="preserve">Atomizador con tramas forma de lagrima 500 ml</t>
  </si>
  <si>
    <t xml:space="preserve">ACT-036</t>
  </si>
  <si>
    <t xml:space="preserve">Bloques de yoga</t>
  </si>
  <si>
    <t xml:space="preserve">ACT-037</t>
  </si>
  <si>
    <t xml:space="preserve">Toalla de limpieza azul</t>
  </si>
  <si>
    <t xml:space="preserve">ACT-038</t>
  </si>
  <si>
    <t xml:space="preserve">Telas para practica de pole</t>
  </si>
  <si>
    <t xml:space="preserve">ACT-039</t>
  </si>
  <si>
    <t xml:space="preserve">Estrutura del techo (travesaño)</t>
  </si>
  <si>
    <t xml:space="preserve">ACT-040</t>
  </si>
  <si>
    <t xml:space="preserve">Zapatero</t>
  </si>
  <si>
    <t xml:space="preserve">ACT-041</t>
  </si>
  <si>
    <t xml:space="preserve">Mueble entrepaños para vestier</t>
  </si>
  <si>
    <t xml:space="preserve">Vestier</t>
  </si>
  <si>
    <t xml:space="preserve">ACT-042</t>
  </si>
  <si>
    <t xml:space="preserve">Espejos</t>
  </si>
  <si>
    <t xml:space="preserve">ACT-043</t>
  </si>
  <si>
    <t xml:space="preserve">Papelera</t>
  </si>
  <si>
    <t xml:space="preserve">ACT-044</t>
  </si>
  <si>
    <t xml:space="preserve">Extension electrica</t>
  </si>
  <si>
    <t xml:space="preserve">Bodega</t>
  </si>
  <si>
    <t xml:space="preserve">ACT-046</t>
  </si>
  <si>
    <t xml:space="preserve">Bases empotradas</t>
  </si>
  <si>
    <t xml:space="preserve">TOTAL VALOR ACTIVOS</t>
  </si>
  <si>
    <t xml:space="preserve">Nota: se marcaron todos como 'Inversión Inicial' porque se compraron para montar el salón. Si compras algo nuevo más adelante ya abierto, marca esa fila como 'Posterior a Apertura'.</t>
  </si>
  <si>
    <t xml:space="preserve">Ref Venta (Consecutivo)</t>
  </si>
  <si>
    <t xml:space="preserve">Cant. Vendida (-)</t>
  </si>
  <si>
    <t xml:space="preserve">Precio Unit. ($)</t>
  </si>
  <si>
    <t xml:space="preserve">Total Venta ($)</t>
  </si>
  <si>
    <t xml:space="preserve">V1</t>
  </si>
  <si>
    <t xml:space="preserve">Nicole</t>
  </si>
  <si>
    <t xml:space="preserve">V2</t>
  </si>
  <si>
    <t xml:space="preserve">V3</t>
  </si>
  <si>
    <t xml:space="preserve">V4</t>
  </si>
  <si>
    <t xml:space="preserve">V5</t>
  </si>
  <si>
    <t xml:space="preserve">V6</t>
  </si>
  <si>
    <t xml:space="preserve">V7</t>
  </si>
  <si>
    <t xml:space="preserve">V8</t>
  </si>
  <si>
    <t xml:space="preserve">V9</t>
  </si>
  <si>
    <t xml:space="preserve">V10</t>
  </si>
  <si>
    <t xml:space="preserve">V11</t>
  </si>
  <si>
    <t xml:space="preserve">V12</t>
  </si>
  <si>
    <t xml:space="preserve">V13</t>
  </si>
  <si>
    <t xml:space="preserve">V14</t>
  </si>
  <si>
    <t xml:space="preserve">V15</t>
  </si>
  <si>
    <t xml:space="preserve">V16</t>
  </si>
  <si>
    <t xml:space="preserve">V17</t>
  </si>
  <si>
    <t xml:space="preserve">V18</t>
  </si>
  <si>
    <t xml:space="preserve">V19</t>
  </si>
  <si>
    <t xml:space="preserve">V20</t>
  </si>
  <si>
    <t xml:space="preserve">V21</t>
  </si>
  <si>
    <t xml:space="preserve">V22</t>
  </si>
  <si>
    <t xml:space="preserve">V23</t>
  </si>
  <si>
    <t xml:space="preserve">V24</t>
  </si>
  <si>
    <t xml:space="preserve">V25</t>
  </si>
  <si>
    <t xml:space="preserve">V26</t>
  </si>
  <si>
    <t xml:space="preserve">V27</t>
  </si>
  <si>
    <t xml:space="preserve">V28</t>
  </si>
  <si>
    <t xml:space="preserve">V29</t>
  </si>
  <si>
    <t xml:space="preserve">V30</t>
  </si>
  <si>
    <t xml:space="preserve">V31</t>
  </si>
  <si>
    <t xml:space="preserve">V32</t>
  </si>
  <si>
    <t xml:space="preserve">V33</t>
  </si>
  <si>
    <t xml:space="preserve">V34</t>
  </si>
  <si>
    <t xml:space="preserve">V35</t>
  </si>
  <si>
    <t xml:space="preserve">V36</t>
  </si>
  <si>
    <t xml:space="preserve">V37</t>
  </si>
  <si>
    <t xml:space="preserve">V38</t>
  </si>
  <si>
    <t xml:space="preserve">V39</t>
  </si>
  <si>
    <t xml:space="preserve">V40</t>
  </si>
  <si>
    <t xml:space="preserve">LISTAS DE PARÁMETROS</t>
  </si>
  <si>
    <t xml:space="preserve">Estas listas alimentan los menús desplegables de todas las hojas. Para agregar una opción nueva, escríbela al final de la lista correspondiente (no dejes filas vacías en medio).</t>
  </si>
  <si>
    <t xml:space="preserve">Tallas</t>
  </si>
  <si>
    <t xml:space="preserve">Metodos Pago</t>
  </si>
  <si>
    <t xml:space="preserve">Estados Activo</t>
  </si>
  <si>
    <t xml:space="preserve">Categorias Activos</t>
  </si>
  <si>
    <t xml:space="preserve">Categorías Gastos</t>
  </si>
  <si>
    <t xml:space="preserve">Unidades Medida</t>
  </si>
  <si>
    <t xml:space="preserve">Codigo</t>
  </si>
  <si>
    <t xml:space="preserve">Descripcion</t>
  </si>
  <si>
    <t xml:space="preserve">Clasificación Activo</t>
  </si>
  <si>
    <t xml:space="preserve">Clasificación Mercancía</t>
  </si>
  <si>
    <t xml:space="preserve">Alumnas (lista automática)</t>
  </si>
  <si>
    <t xml:space="preserve">Short</t>
  </si>
  <si>
    <t xml:space="preserve">XS</t>
  </si>
  <si>
    <t xml:space="preserve">Clase Suelta</t>
  </si>
  <si>
    <t xml:space="preserve">Top/Sujetador</t>
  </si>
  <si>
    <t xml:space="preserve">S</t>
  </si>
  <si>
    <t xml:space="preserve">Bueno</t>
  </si>
  <si>
    <t xml:space="preserve">Paquete de Clases</t>
  </si>
  <si>
    <t xml:space="preserve">Posterior a Apertura</t>
  </si>
  <si>
    <t xml:space="preserve">Reposición de Stock</t>
  </si>
  <si>
    <t xml:space="preserve">Mallas</t>
  </si>
  <si>
    <t xml:space="preserve">M</t>
  </si>
  <si>
    <t xml:space="preserve">Regular / Mantenimiento</t>
  </si>
  <si>
    <t xml:space="preserve">Pack</t>
  </si>
  <si>
    <t xml:space="preserve">Membresía Mensual</t>
  </si>
  <si>
    <t xml:space="preserve">12 clases: Sport Intense $420.000</t>
  </si>
  <si>
    <t xml:space="preserve">Accesorios</t>
  </si>
  <si>
    <t xml:space="preserve">L</t>
  </si>
  <si>
    <t xml:space="preserve">Caja</t>
  </si>
  <si>
    <t xml:space="preserve">TXS</t>
  </si>
  <si>
    <t xml:space="preserve">Evento / Taller</t>
  </si>
  <si>
    <t xml:space="preserve">Grip</t>
  </si>
  <si>
    <t xml:space="preserve">XL</t>
  </si>
  <si>
    <t xml:space="preserve">Aberiado</t>
  </si>
  <si>
    <t xml:space="preserve">Kit</t>
  </si>
  <si>
    <t xml:space="preserve">Otro</t>
  </si>
  <si>
    <t xml:space="preserve">Conjunto</t>
  </si>
  <si>
    <t xml:space="preserve">XXL</t>
  </si>
  <si>
    <t xml:space="preserve">TXXL</t>
  </si>
  <si>
    <t xml:space="preserve">Promo 2x1 </t>
  </si>
  <si>
    <t xml:space="preserve">Única</t>
  </si>
  <si>
    <t xml:space="preserve">Alquiler Pole</t>
  </si>
  <si>
    <t xml:space="preserve">SXS</t>
  </si>
  <si>
    <t xml:space="preserve">RL</t>
  </si>
  <si>
    <t xml:space="preserve">CM</t>
  </si>
  <si>
    <t xml:space="preserve">CXS</t>
  </si>
  <si>
    <t xml:space="preserve">CL</t>
  </si>
  <si>
    <t xml:space="preserve">CXL</t>
  </si>
  <si>
    <t xml:space="preserve">CXXL</t>
  </si>
</sst>
</file>

<file path=xl/styles.xml><?xml version="1.0" encoding="utf-8"?>
<styleSheet xmlns="http://schemas.openxmlformats.org/spreadsheetml/2006/main">
  <numFmts count="12">
    <numFmt numFmtId="164" formatCode="General"/>
    <numFmt numFmtId="165" formatCode="\$#,##0"/>
    <numFmt numFmtId="166" formatCode="#,##0"/>
    <numFmt numFmtId="167" formatCode="0"/>
    <numFmt numFmtId="168" formatCode="m/d/yyyy"/>
    <numFmt numFmtId="169" formatCode="General"/>
    <numFmt numFmtId="170" formatCode="0%"/>
    <numFmt numFmtId="171" formatCode="\$#,##0;&quot;($&quot;#,##0\);\-"/>
    <numFmt numFmtId="172" formatCode="\$#,##0.00"/>
    <numFmt numFmtId="173" formatCode="_-\$* #,##0.00_-;&quot;-$&quot;* #,##0.00_-;_-\$* \-??_-;_-@_-"/>
    <numFmt numFmtId="174" formatCode="[$-F800]dddd&quot;, &quot;mmmm\ dd&quot;, &quot;yyyy"/>
    <numFmt numFmtId="175" formatCode="yyyy\-mm\-dd"/>
  </numFmts>
  <fonts count="27">
    <font>
      <sz val="11"/>
      <color theme="1"/>
      <name val="Calibri"/>
      <family val="2"/>
      <charset val="1"/>
    </font>
    <font>
      <sz val="10"/>
      <name val="Arial"/>
      <family val="0"/>
    </font>
    <font>
      <sz val="10"/>
      <name val="Arial"/>
      <family val="0"/>
    </font>
    <font>
      <sz val="10"/>
      <name val="Arial"/>
      <family val="0"/>
    </font>
    <font>
      <b val="true"/>
      <sz val="16"/>
      <color rgb="FFFFFFFF"/>
      <name val="Calibri"/>
      <family val="2"/>
      <charset val="1"/>
    </font>
    <font>
      <b val="true"/>
      <sz val="14"/>
      <color rgb="FF4A1525"/>
      <name val="Calibri"/>
      <family val="2"/>
      <charset val="1"/>
    </font>
    <font>
      <sz val="11"/>
      <name val="Calibri"/>
      <family val="2"/>
      <charset val="1"/>
    </font>
    <font>
      <b val="true"/>
      <sz val="11"/>
      <color rgb="FF4A1525"/>
      <name val="Calibri"/>
      <family val="2"/>
      <charset val="1"/>
    </font>
    <font>
      <b val="true"/>
      <sz val="13"/>
      <color rgb="FF4A1525"/>
      <name val="Calibri"/>
      <family val="2"/>
      <charset val="1"/>
    </font>
    <font>
      <b val="true"/>
      <sz val="10"/>
      <color rgb="FF555555"/>
      <name val="Calibri"/>
      <family val="2"/>
      <charset val="1"/>
    </font>
    <font>
      <b val="true"/>
      <sz val="20"/>
      <color rgb="FF4A1525"/>
      <name val="Calibri"/>
      <family val="2"/>
      <charset val="1"/>
    </font>
    <font>
      <b val="true"/>
      <sz val="11"/>
      <color rgb="FFFFFFFF"/>
      <name val="Calibri"/>
      <family val="2"/>
      <charset val="1"/>
    </font>
    <font>
      <b val="true"/>
      <sz val="11"/>
      <name val="Calibri"/>
      <family val="2"/>
      <charset val="1"/>
    </font>
    <font>
      <sz val="10"/>
      <name val="Arial"/>
      <family val="2"/>
    </font>
    <font>
      <i val="true"/>
      <sz val="9"/>
      <color rgb="FF777777"/>
      <name val="Calibri"/>
      <family val="2"/>
      <charset val="1"/>
    </font>
    <font>
      <b val="true"/>
      <sz val="10"/>
      <name val="Arial"/>
      <family val="2"/>
      <charset val="1"/>
    </font>
    <font>
      <sz val="10"/>
      <name val="Arial"/>
      <family val="2"/>
      <charset val="1"/>
    </font>
    <font>
      <b val="true"/>
      <sz val="10"/>
      <color rgb="FF000000"/>
      <name val="Arial"/>
      <family val="2"/>
      <charset val="1"/>
    </font>
    <font>
      <b val="true"/>
      <sz val="14"/>
      <color rgb="FF6D28D9"/>
      <name val="Arial"/>
      <family val="2"/>
      <charset val="1"/>
    </font>
    <font>
      <i val="true"/>
      <sz val="9"/>
      <color rgb="FF64748B"/>
      <name val="Arial"/>
      <family val="2"/>
      <charset val="1"/>
    </font>
    <font>
      <b val="true"/>
      <sz val="11"/>
      <color rgb="FF5B21B6"/>
      <name val="Arial"/>
      <family val="2"/>
      <charset val="1"/>
    </font>
    <font>
      <b val="true"/>
      <sz val="10.5"/>
      <name val="Arial"/>
      <family val="2"/>
      <charset val="1"/>
    </font>
    <font>
      <b val="true"/>
      <sz val="11"/>
      <color rgb="FF047857"/>
      <name val="Arial"/>
      <family val="2"/>
      <charset val="1"/>
    </font>
    <font>
      <b val="true"/>
      <sz val="11"/>
      <color rgb="FFFFFFFF"/>
      <name val="Arial"/>
      <family val="2"/>
      <charset val="1"/>
    </font>
    <font>
      <b val="true"/>
      <sz val="11"/>
      <color rgb="FFFF0000"/>
      <name val="Calibri"/>
      <family val="2"/>
      <charset val="1"/>
    </font>
    <font>
      <b val="true"/>
      <sz val="11"/>
      <color theme="1"/>
      <name val="Calibri"/>
      <family val="2"/>
      <charset val="1"/>
    </font>
    <font>
      <b val="true"/>
      <sz val="11"/>
      <name val="Arial"/>
      <family val="2"/>
      <charset val="1"/>
    </font>
  </fonts>
  <fills count="12">
    <fill>
      <patternFill patternType="none"/>
    </fill>
    <fill>
      <patternFill patternType="gray125"/>
    </fill>
    <fill>
      <patternFill patternType="solid">
        <fgColor rgb="FF00B050"/>
        <bgColor rgb="FF008080"/>
      </patternFill>
    </fill>
    <fill>
      <patternFill patternType="solid">
        <fgColor rgb="FFE8D4DC"/>
        <bgColor rgb="FFE7E6E6"/>
      </patternFill>
    </fill>
    <fill>
      <patternFill patternType="solid">
        <fgColor rgb="FFF4EBEF"/>
        <bgColor rgb="FFF2F2F2"/>
      </patternFill>
    </fill>
    <fill>
      <patternFill patternType="solid">
        <fgColor rgb="FFDDEBF7"/>
        <bgColor rgb="FFE7E6E6"/>
      </patternFill>
    </fill>
    <fill>
      <patternFill patternType="solid">
        <fgColor rgb="FFE7E6E6"/>
        <bgColor rgb="FFF4EBEF"/>
      </patternFill>
    </fill>
    <fill>
      <patternFill patternType="solid">
        <fgColor rgb="FFF2F2F2"/>
        <bgColor rgb="FFF4EBEF"/>
      </patternFill>
    </fill>
    <fill>
      <patternFill patternType="solid">
        <fgColor rgb="FFEDE9FE"/>
        <bgColor rgb="FFF4EBEF"/>
      </patternFill>
    </fill>
    <fill>
      <patternFill patternType="solid">
        <fgColor rgb="FFD946EF"/>
        <bgColor rgb="FFFF00FF"/>
      </patternFill>
    </fill>
    <fill>
      <patternFill patternType="solid">
        <fgColor rgb="FFFFF9C4"/>
        <bgColor rgb="FFFDEADA"/>
      </patternFill>
    </fill>
    <fill>
      <patternFill patternType="solid">
        <fgColor theme="9" tint="0.7998"/>
        <bgColor rgb="FFF4EBEF"/>
      </patternFill>
    </fill>
  </fills>
  <borders count="3">
    <border diagonalUp="false" diagonalDown="false">
      <left/>
      <right/>
      <top/>
      <bottom/>
      <diagonal/>
    </border>
    <border diagonalUp="false" diagonalDown="false">
      <left style="thin">
        <color rgb="FFD9C5CC"/>
      </left>
      <right style="thin">
        <color rgb="FFD9C5CC"/>
      </right>
      <top style="thin">
        <color rgb="FFD9C5CC"/>
      </top>
      <bottom style="thin">
        <color rgb="FFD9C5CC"/>
      </bottom>
      <diagonal/>
    </border>
    <border diagonalUp="false" diagonalDown="false">
      <left style="thin">
        <color rgb="FFD9C5CC"/>
      </left>
      <right style="thin">
        <color rgb="FFD9C5CC"/>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2" borderId="0"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true" applyAlignment="true" applyProtection="false">
      <alignment horizontal="center" vertical="center" textRotation="0" wrapText="false" indent="0" shrinkToFit="false"/>
      <protection locked="true" hidden="false"/>
    </xf>
    <xf numFmtId="165" fontId="6" fillId="0" borderId="0" xfId="0" applyFont="true" applyBorder="true" applyAlignment="true" applyProtection="false">
      <alignment horizontal="center" vertical="center" textRotation="0" wrapText="false" indent="0" shrinkToFit="false"/>
      <protection locked="true" hidden="false"/>
    </xf>
    <xf numFmtId="164" fontId="7" fillId="3" borderId="0"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6" fontId="6" fillId="0" borderId="1" xfId="0" applyFont="true" applyBorder="true" applyAlignment="true" applyProtection="false">
      <alignment horizontal="center" vertical="center" textRotation="0" wrapText="false" indent="0" shrinkToFit="false"/>
      <protection locked="true" hidden="false"/>
    </xf>
    <xf numFmtId="165" fontId="6" fillId="0" borderId="1" xfId="0" applyFont="true" applyBorder="true" applyAlignment="true" applyProtection="false">
      <alignment horizontal="right"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5" fontId="12"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right" vertical="center" textRotation="0" wrapText="false" indent="0" shrinkToFit="false"/>
      <protection locked="true" hidden="false"/>
    </xf>
    <xf numFmtId="165" fontId="12" fillId="0" borderId="1" xfId="0" applyFont="true" applyBorder="true" applyAlignment="true" applyProtection="false">
      <alignment horizontal="right" vertical="center" textRotation="0" wrapText="false" indent="0" shrinkToFit="false"/>
      <protection locked="true" hidden="false"/>
    </xf>
    <xf numFmtId="164" fontId="15" fillId="5" borderId="0" xfId="0" applyFont="true" applyBorder="false" applyAlignment="true" applyProtection="false">
      <alignment horizontal="center" vertical="center" textRotation="0" wrapText="true" indent="0" shrinkToFit="false"/>
      <protection locked="true" hidden="false"/>
    </xf>
    <xf numFmtId="164" fontId="15" fillId="6" borderId="0" xfId="0" applyFont="true" applyBorder="fals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center" vertical="center" textRotation="0" wrapText="false" indent="0" shrinkToFit="false"/>
      <protection locked="true" hidden="false"/>
    </xf>
    <xf numFmtId="167" fontId="16" fillId="0" borderId="1" xfId="0" applyFont="true" applyBorder="true" applyAlignment="true" applyProtection="false">
      <alignment horizontal="center" vertical="center" textRotation="0" wrapText="false" indent="0" shrinkToFit="false"/>
      <protection locked="true" hidden="false"/>
    </xf>
    <xf numFmtId="168" fontId="16" fillId="0" borderId="1" xfId="0" applyFont="true" applyBorder="true" applyAlignment="true" applyProtection="false">
      <alignment horizontal="center" vertical="center" textRotation="0" wrapText="false" indent="0" shrinkToFit="false"/>
      <protection locked="true" hidden="false"/>
    </xf>
    <xf numFmtId="169" fontId="16" fillId="7" borderId="1" xfId="0" applyFont="true" applyBorder="true" applyAlignment="true" applyProtection="false">
      <alignment horizontal="center" vertical="center" textRotation="0" wrapText="false" indent="0" shrinkToFit="false"/>
      <protection locked="true" hidden="false"/>
    </xf>
    <xf numFmtId="165" fontId="16" fillId="7" borderId="1" xfId="0" applyFont="true" applyBorder="true" applyAlignment="true" applyProtection="false">
      <alignment horizontal="center" vertical="center" textRotation="0" wrapText="false" indent="0" shrinkToFit="false"/>
      <protection locked="true" hidden="false"/>
    </xf>
    <xf numFmtId="168" fontId="16" fillId="7"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17" fillId="5" borderId="0" xfId="0" applyFont="true" applyBorder="false" applyAlignment="true" applyProtection="false">
      <alignment horizontal="center" vertical="center" textRotation="0" wrapText="true" indent="0" shrinkToFit="false"/>
      <protection locked="true" hidden="false"/>
    </xf>
    <xf numFmtId="164" fontId="17" fillId="6" borderId="0" xfId="0" applyFont="true" applyBorder="false" applyAlignment="true" applyProtection="false">
      <alignment horizontal="center" vertical="center" textRotation="0" wrapText="true" indent="0" shrinkToFit="false"/>
      <protection locked="true" hidden="false"/>
    </xf>
    <xf numFmtId="167" fontId="16" fillId="7" borderId="1" xfId="0" applyFont="true" applyBorder="true" applyAlignment="true" applyProtection="false">
      <alignment horizontal="center" vertical="center" textRotation="0" wrapText="false" indent="0" shrinkToFit="false"/>
      <protection locked="true" hidden="false"/>
    </xf>
    <xf numFmtId="165" fontId="16" fillId="0" borderId="1" xfId="0" applyFont="true" applyBorder="true" applyAlignment="true" applyProtection="false">
      <alignment horizontal="center" vertical="center" textRotation="0" wrapText="false" indent="0" shrinkToFit="false"/>
      <protection locked="true" hidden="false"/>
    </xf>
    <xf numFmtId="170" fontId="16" fillId="0" borderId="1"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20" fillId="8" borderId="0" xfId="0" applyFont="true" applyBorder="true" applyAlignment="true" applyProtection="false">
      <alignment horizontal="general"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71" fontId="22"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8" fontId="11" fillId="2" borderId="0" xfId="0" applyFont="true" applyBorder="false" applyAlignment="true" applyProtection="false">
      <alignment horizontal="center" vertical="center" textRotation="0" wrapText="false" indent="0" shrinkToFit="false"/>
      <protection locked="true" hidden="false"/>
    </xf>
    <xf numFmtId="164" fontId="23" fillId="9" borderId="0" xfId="0" applyFont="true" applyBorder="fals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8" fontId="6" fillId="0" borderId="1" xfId="0" applyFont="true" applyBorder="true" applyAlignment="true" applyProtection="false">
      <alignment horizontal="center" vertical="center" textRotation="0" wrapText="false" indent="0" shrinkToFit="false"/>
      <protection locked="true" hidden="false"/>
    </xf>
    <xf numFmtId="165" fontId="6" fillId="10" borderId="1" xfId="0" applyFont="true" applyBorder="true" applyAlignment="true" applyProtection="false">
      <alignment horizontal="right" vertical="center" textRotation="0" wrapText="false" indent="0" shrinkToFit="false"/>
      <protection locked="true" hidden="false"/>
    </xf>
    <xf numFmtId="164" fontId="6" fillId="10" borderId="1" xfId="0" applyFont="true" applyBorder="true" applyAlignment="true" applyProtection="false">
      <alignment horizontal="left" vertical="center" textRotation="0" wrapText="false" indent="0" shrinkToFit="false"/>
      <protection locked="true" hidden="false"/>
    </xf>
    <xf numFmtId="168" fontId="12" fillId="0" borderId="1" xfId="0" applyFont="true" applyBorder="tru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73" fontId="16"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5" fontId="11" fillId="2" borderId="0" xfId="0" applyFont="true" applyBorder="false" applyAlignment="true" applyProtection="false">
      <alignment horizontal="center" vertical="center" textRotation="0" wrapText="false" indent="0" shrinkToFit="false"/>
      <protection locked="true" hidden="false"/>
    </xf>
    <xf numFmtId="164" fontId="23" fillId="9"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center" vertical="center" textRotation="0" wrapText="false" indent="0" shrinkToFit="false"/>
      <protection locked="true" hidden="false"/>
    </xf>
    <xf numFmtId="165" fontId="6" fillId="0" borderId="2" xfId="0" applyFont="true" applyBorder="true" applyAlignment="true" applyProtection="false">
      <alignment horizontal="righ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4" fontId="24" fillId="0" borderId="0" xfId="0" applyFont="true" applyBorder="false" applyAlignment="true" applyProtection="false">
      <alignment horizontal="center" vertical="center" textRotation="0" wrapText="false" indent="0" shrinkToFit="false"/>
      <protection locked="true" hidden="false"/>
    </xf>
    <xf numFmtId="165" fontId="25" fillId="0" borderId="0" xfId="0" applyFont="true" applyBorder="false" applyAlignment="true" applyProtection="false">
      <alignment horizontal="general" vertical="bottom" textRotation="0" wrapText="false" indent="0" shrinkToFit="false"/>
      <protection locked="true" hidden="false"/>
    </xf>
    <xf numFmtId="165" fontId="6" fillId="11" borderId="1" xfId="0" applyFont="true" applyBorder="true" applyAlignment="true" applyProtection="false">
      <alignment horizontal="right" vertical="center" textRotation="0" wrapText="false" indent="0" shrinkToFit="false"/>
      <protection locked="true" hidden="false"/>
    </xf>
    <xf numFmtId="174" fontId="6" fillId="0" borderId="1" xfId="0" applyFont="true" applyBorder="true" applyAlignment="true" applyProtection="false">
      <alignment horizontal="center" vertical="center" textRotation="0" wrapText="false" indent="0" shrinkToFit="false"/>
      <protection locked="true" hidden="false"/>
    </xf>
    <xf numFmtId="175" fontId="6" fillId="0" borderId="1"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E7E6E6"/>
          <bgColor rgb="FF000000"/>
        </patternFill>
      </fill>
    </dxf>
    <dxf>
      <fill>
        <patternFill patternType="solid">
          <fgColor rgb="FFF2F2F2"/>
          <bgColor rgb="FF000000"/>
        </patternFill>
      </fill>
    </dxf>
    <dxf>
      <font>
        <b val="1"/>
        <color rgb="FF9C0006"/>
      </font>
      <fill>
        <patternFill>
          <bgColor rgb="FFF8CBAD"/>
        </patternFill>
      </fill>
    </dxf>
    <dxf>
      <fill>
        <patternFill patternType="solid">
          <fgColor rgb="FF00B050"/>
          <bgColor rgb="FF000000"/>
        </patternFill>
      </fill>
    </dxf>
    <dxf>
      <fill>
        <patternFill patternType="solid">
          <fgColor rgb="FFFFFFFF"/>
          <bgColor rgb="FF000000"/>
        </patternFill>
      </fill>
    </dxf>
    <dxf>
      <fill>
        <patternFill patternType="solid">
          <fgColor rgb="FFD946EF"/>
          <bgColor rgb="FF000000"/>
        </patternFill>
      </fill>
    </dxf>
    <dxf>
      <fill>
        <patternFill patternType="solid">
          <fgColor rgb="FFFFF9C4"/>
          <bgColor rgb="FF000000"/>
        </patternFill>
      </fill>
    </dxf>
    <dxf>
      <fill>
        <patternFill patternType="solid">
          <fgColor rgb="FFFDEADA"/>
          <bgColor rgb="FF000000"/>
        </patternFill>
      </fill>
    </dxf>
  </dxfs>
  <colors>
    <indexedColors>
      <rgbColor rgb="FF000000"/>
      <rgbColor rgb="FFFFFFFF"/>
      <rgbColor rgb="FFFF0000"/>
      <rgbColor rgb="FF00FF00"/>
      <rgbColor rgb="FF0000FF"/>
      <rgbColor rgb="FFFFFF00"/>
      <rgbColor rgb="FFD946EF"/>
      <rgbColor rgb="FF00FFFF"/>
      <rgbColor rgb="FF9C0006"/>
      <rgbColor rgb="FF008000"/>
      <rgbColor rgb="FF000080"/>
      <rgbColor rgb="FF808000"/>
      <rgbColor rgb="FF6D28D9"/>
      <rgbColor rgb="FF047857"/>
      <rgbColor rgb="FFD9C5CC"/>
      <rgbColor rgb="FF777777"/>
      <rgbColor rgb="FF9999FF"/>
      <rgbColor rgb="FF993366"/>
      <rgbColor rgb="FFFFF9C4"/>
      <rgbColor rgb="FFDDEBF7"/>
      <rgbColor rgb="FF660066"/>
      <rgbColor rgb="FFFF8080"/>
      <rgbColor rgb="FF0066CC"/>
      <rgbColor rgb="FFE8D4DC"/>
      <rgbColor rgb="FF000080"/>
      <rgbColor rgb="FFFF00FF"/>
      <rgbColor rgb="FFFFFF00"/>
      <rgbColor rgb="FF00FFFF"/>
      <rgbColor rgb="FF800080"/>
      <rgbColor rgb="FF800000"/>
      <rgbColor rgb="FF008080"/>
      <rgbColor rgb="FF0000FF"/>
      <rgbColor rgb="FF00CCFF"/>
      <rgbColor rgb="FFF2F2F2"/>
      <rgbColor rgb="FFE7E6E6"/>
      <rgbColor rgb="FFFDEADA"/>
      <rgbColor rgb="FFEDE9FE"/>
      <rgbColor rgb="FFF4EBEF"/>
      <rgbColor rgb="FFCC99FF"/>
      <rgbColor rgb="FFF8CBAD"/>
      <rgbColor rgb="FF3366FF"/>
      <rgbColor rgb="FF33CCCC"/>
      <rgbColor rgb="FF99CC00"/>
      <rgbColor rgb="FFFFCC00"/>
      <rgbColor rgb="FFFF9900"/>
      <rgbColor rgb="FFFF6600"/>
      <rgbColor rgb="FF64748B"/>
      <rgbColor rgb="FF969696"/>
      <rgbColor rgb="FF003366"/>
      <rgbColor rgb="FF00B050"/>
      <rgbColor rgb="FF003300"/>
      <rgbColor rgb="FF555555"/>
      <rgbColor rgb="FF993300"/>
      <rgbColor rgb="FF993366"/>
      <rgbColor rgb="FF5B21B6"/>
      <rgbColor rgb="FF4A152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7"/>
  <sheetViews>
    <sheetView showFormulas="false" showGridLines="false" showRowColHeaders="true" showZeros="true" rightToLeft="false" tabSelected="false" showOutlineSymbols="true" defaultGridColor="true" view="normal" topLeftCell="A9" colorId="64" zoomScale="100" zoomScaleNormal="100" zoomScalePageLayoutView="100" workbookViewId="0">
      <selection pane="topLeft" activeCell="G9" activeCellId="0" sqref="G9"/>
    </sheetView>
  </sheetViews>
  <sheetFormatPr defaultColWidth="8.6328125" defaultRowHeight="14.25" zeroHeight="false" outlineLevelRow="0" outlineLevelCol="0"/>
  <cols>
    <col collapsed="false" customWidth="true" hidden="false" outlineLevel="0" max="1" min="1" style="1" width="26"/>
    <col collapsed="false" customWidth="true" hidden="false" outlineLevel="0" max="2" min="2" style="1" width="16"/>
    <col collapsed="false" customWidth="true" hidden="false" outlineLevel="0" max="3" min="3" style="1" width="22"/>
    <col collapsed="false" customWidth="true" hidden="false" outlineLevel="0" max="4" min="4" style="1" width="4"/>
    <col collapsed="false" customWidth="true" hidden="false" outlineLevel="0" max="5" min="5" style="1" width="22"/>
    <col collapsed="false" customWidth="true" hidden="false" outlineLevel="0" max="6" min="6" style="1" width="16"/>
    <col collapsed="false" customWidth="true" hidden="false" outlineLevel="0" max="7" min="7" style="1" width="20"/>
    <col collapsed="false" customWidth="true" hidden="false" outlineLevel="0" max="8" min="8" style="1" width="4"/>
    <col collapsed="false" customWidth="true" hidden="false" outlineLevel="0" max="9" min="9" style="1" width="22"/>
    <col collapsed="false" customWidth="true" hidden="false" outlineLevel="0" max="10" min="10" style="1" width="4"/>
    <col collapsed="false" customWidth="true" hidden="false" outlineLevel="0" max="11" min="11" style="1" width="20"/>
    <col collapsed="false" customWidth="true" hidden="false" outlineLevel="0" max="12" min="12" style="1" width="4"/>
  </cols>
  <sheetData>
    <row r="1" customFormat="false" ht="39.75" hidden="false" customHeight="true" outlineLevel="0" collapsed="false">
      <c r="A1" s="2" t="s">
        <v>0</v>
      </c>
      <c r="B1" s="2"/>
      <c r="C1" s="2"/>
      <c r="D1" s="2"/>
      <c r="E1" s="2"/>
      <c r="F1" s="2"/>
      <c r="G1" s="2"/>
      <c r="H1" s="2"/>
      <c r="I1" s="2"/>
      <c r="J1" s="2"/>
      <c r="K1" s="2"/>
      <c r="L1" s="2"/>
    </row>
    <row r="3" customFormat="false" ht="25.5" hidden="false" customHeight="true" outlineLevel="0" collapsed="false">
      <c r="A3" s="3" t="s">
        <v>1</v>
      </c>
      <c r="B3" s="3"/>
      <c r="C3" s="3"/>
      <c r="D3" s="3"/>
    </row>
    <row r="4" customFormat="false" ht="31.5" hidden="false" customHeight="true" outlineLevel="0" collapsed="false">
      <c r="A4" s="4" t="s">
        <v>2</v>
      </c>
      <c r="B4" s="4"/>
      <c r="C4" s="5" t="s">
        <v>3</v>
      </c>
      <c r="D4" s="5"/>
    </row>
    <row r="5" customFormat="false" ht="21.75" hidden="false" customHeight="true" outlineLevel="0" collapsed="false">
      <c r="A5" s="4" t="s">
        <v>4</v>
      </c>
      <c r="B5" s="4"/>
      <c r="C5" s="5" t="str">
        <f aca="false">IFERROR(TRIM(INDEX(Marcancia!$D$2:$D$1000,MATCH(C4,Marcancia!$C$2:$C$1000,0))),"⚠️ Código no encontrado")</f>
        <v>Top Negro con esptampado blanco</v>
      </c>
      <c r="D5" s="5"/>
    </row>
    <row r="6" customFormat="false" ht="21.75" hidden="false" customHeight="true" outlineLevel="0" collapsed="false">
      <c r="A6" s="4" t="s">
        <v>5</v>
      </c>
      <c r="B6" s="4"/>
      <c r="C6" s="5" t="str">
        <f aca="false">IFERROR(INDEX(Marcancia!$E$2:$E$1000,MATCH(C4,Marcancia!$C$2:$C$1000,0)),"-")</f>
        <v>M</v>
      </c>
      <c r="D6" s="5"/>
    </row>
    <row r="7" customFormat="false" ht="21.75" hidden="false" customHeight="true" outlineLevel="0" collapsed="false">
      <c r="A7" s="4" t="s">
        <v>6</v>
      </c>
      <c r="B7" s="4"/>
      <c r="C7" s="6" t="n">
        <f aca="false">IFERROR(INDEX(Marcancia!$K$2:$K$1000,MATCH(C4,Marcancia!$C$2:$C$1000,0)),0)</f>
        <v>27454</v>
      </c>
      <c r="D7" s="6"/>
    </row>
    <row r="8" customFormat="false" ht="21.75" hidden="false" customHeight="true" outlineLevel="0" collapsed="false">
      <c r="A8" s="4" t="s">
        <v>7</v>
      </c>
      <c r="B8" s="4"/>
      <c r="C8" s="5" t="n">
        <f aca="false">SUMIF(Marcancia!$C$2:$C$1000,C4,Marcancia!$G$2:$G$1000)-SUMIF('🛒 Ventas'!$C$2:$C$1000,C4,'🛒 Ventas'!$G$2:$G$1000)</f>
        <v>5</v>
      </c>
      <c r="D8" s="5"/>
    </row>
    <row r="9" customFormat="false" ht="21.75" hidden="false" customHeight="true" outlineLevel="0" collapsed="false">
      <c r="A9" s="4" t="s">
        <v>8</v>
      </c>
      <c r="B9" s="4"/>
      <c r="C9" s="5" t="n">
        <f aca="false">SUMIF('🛒 Ventas'!C:C, C4, '🛒 Ventas'!G:G)</f>
        <v>0</v>
      </c>
      <c r="D9" s="5"/>
    </row>
    <row r="10" customFormat="false" ht="21.75" hidden="false" customHeight="true" outlineLevel="0" collapsed="false">
      <c r="A10" s="4" t="s">
        <v>9</v>
      </c>
      <c r="B10" s="4"/>
      <c r="C10" s="7" t="str">
        <f aca="false">IF(C4="","", C4 &amp; (SUMIF('🛒 Ventas'!C:C, C4, '🛒 Ventas'!G:G) + 1))</f>
        <v>TM1</v>
      </c>
      <c r="D10" s="7"/>
    </row>
    <row r="12" customFormat="false" ht="16.5" hidden="false" customHeight="true" outlineLevel="0" collapsed="false">
      <c r="A12" s="8" t="s">
        <v>10</v>
      </c>
    </row>
    <row r="14" customFormat="false" ht="14.25" hidden="false" customHeight="true" outlineLevel="0" collapsed="false">
      <c r="A14" s="9" t="s">
        <v>11</v>
      </c>
      <c r="B14" s="9"/>
      <c r="C14" s="9" t="s">
        <v>12</v>
      </c>
      <c r="D14" s="9"/>
      <c r="E14" s="9" t="s">
        <v>13</v>
      </c>
      <c r="F14" s="9"/>
      <c r="G14" s="9" t="s">
        <v>14</v>
      </c>
      <c r="H14" s="9"/>
      <c r="I14" s="9" t="s">
        <v>15</v>
      </c>
      <c r="J14" s="9"/>
      <c r="K14" s="9" t="s">
        <v>16</v>
      </c>
      <c r="L14" s="9"/>
    </row>
    <row r="15" customFormat="false" ht="14.25" hidden="false" customHeight="true" outlineLevel="0" collapsed="false">
      <c r="A15" s="10" t="n">
        <f aca="false">SUMIF(Marcancia!$A$2:$A$1000,"?*",Marcancia!$G$2:$G$1000)-SUMIF('🛒 Ventas'!$A$2:$A$1000,"?*",'🛒 Ventas'!$G$2:$G$1000)</f>
        <v>71</v>
      </c>
      <c r="B15" s="10"/>
      <c r="C15" s="11" t="n">
        <f aca="false">IFERROR(SUMIF(Marcancia!$A$2:$A$1000,"?*",Marcancia!$J$2:$J$1000)/SUMIF(Marcancia!$A$2:$A$1000,"?*",Marcancia!$G$2:$G$1000)*A15,0)</f>
        <v>1393575</v>
      </c>
      <c r="D15" s="11"/>
      <c r="E15" s="11" t="n">
        <f aca="false">SUMIF('🛒 Ventas'!$A$2:$A$1000,"?*",'🛒 Ventas'!$I$2:$I$1000)</f>
        <v>0</v>
      </c>
      <c r="F15" s="11"/>
      <c r="G15" s="11" t="n">
        <f aca="false">SUMIF('🏢 Activos Fijos'!$A$2:$A$1000,"?*",'🏢 Activos Fijos'!$H$2:$H$1000)</f>
        <v>20857007</v>
      </c>
      <c r="H15" s="11"/>
      <c r="I15" s="11" t="n">
        <f aca="false">SUMIF('💸 Gastos'!$A$2:$A$1000,"?*",'💸 Gastos'!$E$2:$E$1000)</f>
        <v>14256280</v>
      </c>
      <c r="J15" s="11"/>
      <c r="K15" s="11" t="n">
        <f aca="false">SUM('🤸 Ingresos Pole'!$P$2:$P$1000)+E15-I15</f>
        <v>-6632280</v>
      </c>
      <c r="L15" s="11"/>
    </row>
    <row r="16" customFormat="false" ht="14.25" hidden="false" customHeight="true" outlineLevel="0" collapsed="false">
      <c r="A16" s="10"/>
      <c r="B16" s="10"/>
      <c r="C16" s="11"/>
      <c r="D16" s="11"/>
      <c r="E16" s="11"/>
      <c r="F16" s="11"/>
      <c r="G16" s="11"/>
      <c r="H16" s="11"/>
      <c r="I16" s="11"/>
      <c r="J16" s="11"/>
      <c r="K16" s="11"/>
      <c r="L16" s="11"/>
    </row>
    <row r="19" customFormat="false" ht="16.5" hidden="false" customHeight="true" outlineLevel="0" collapsed="false">
      <c r="A19" s="8" t="s">
        <v>17</v>
      </c>
      <c r="E19" s="8" t="s">
        <v>18</v>
      </c>
    </row>
    <row r="21" customFormat="false" ht="24" hidden="false" customHeight="true" outlineLevel="0" collapsed="false">
      <c r="A21" s="12" t="s">
        <v>19</v>
      </c>
      <c r="B21" s="12" t="s">
        <v>20</v>
      </c>
      <c r="C21" s="12" t="s">
        <v>21</v>
      </c>
      <c r="E21" s="12" t="s">
        <v>22</v>
      </c>
      <c r="F21" s="12" t="s">
        <v>23</v>
      </c>
      <c r="G21" s="12" t="s">
        <v>24</v>
      </c>
    </row>
    <row r="22" customFormat="false" ht="14.25" hidden="false" customHeight="true" outlineLevel="0" collapsed="false">
      <c r="A22" s="13" t="s">
        <v>25</v>
      </c>
      <c r="B22" s="14" t="n">
        <f aca="false">SUMIF('🛒 Ventas'!C:C, "S*", '🛒 Ventas'!G:G)</f>
        <v>0</v>
      </c>
      <c r="C22" s="15" t="n">
        <f aca="false">SUMIF('🛒 Ventas'!C:C, "S*", '🛒 Ventas'!I:I)</f>
        <v>0</v>
      </c>
      <c r="E22" s="13" t="s">
        <v>26</v>
      </c>
      <c r="F22" s="14" t="n">
        <f aca="false">COUNTIF('🛒 Ventas'!J:J, "Nequi")</f>
        <v>1</v>
      </c>
      <c r="G22" s="15" t="n">
        <f aca="false">SUMIF('🛒 Ventas'!J:J, "Nequi", '🛒 Ventas'!I:I)</f>
        <v>0</v>
      </c>
    </row>
    <row r="23" customFormat="false" ht="14.25" hidden="false" customHeight="true" outlineLevel="0" collapsed="false">
      <c r="A23" s="13" t="s">
        <v>27</v>
      </c>
      <c r="B23" s="14" t="n">
        <f aca="false">SUMIF('🛒 Ventas'!C:C, "P*", '🛒 Ventas'!G:G)</f>
        <v>0</v>
      </c>
      <c r="C23" s="15" t="n">
        <f aca="false">SUMIF('🛒 Ventas'!C:C, "P*", '🛒 Ventas'!I:I)</f>
        <v>0</v>
      </c>
      <c r="E23" s="13" t="s">
        <v>28</v>
      </c>
      <c r="F23" s="14" t="n">
        <f aca="false">COUNTIF('🛒 Ventas'!J:J, "Daviplata")</f>
        <v>0</v>
      </c>
      <c r="G23" s="15" t="n">
        <f aca="false">SUMIF('🛒 Ventas'!J:J, "Daviplata", '🛒 Ventas'!I:I)</f>
        <v>0</v>
      </c>
    </row>
    <row r="24" customFormat="false" ht="14.25" hidden="false" customHeight="true" outlineLevel="0" collapsed="false">
      <c r="A24" s="13" t="s">
        <v>29</v>
      </c>
      <c r="B24" s="14" t="n">
        <f aca="false">SUMIF('🛒 Ventas'!C:C, "T*", '🛒 Ventas'!G:G)</f>
        <v>0</v>
      </c>
      <c r="C24" s="15" t="n">
        <f aca="false">SUMIF('🛒 Ventas'!C:C, "T*", '🛒 Ventas'!I:I)</f>
        <v>0</v>
      </c>
      <c r="E24" s="13" t="s">
        <v>30</v>
      </c>
      <c r="F24" s="14" t="n">
        <f aca="false">COUNTIF('🛒 Ventas'!J:J, "Efectivo")</f>
        <v>0</v>
      </c>
      <c r="G24" s="15" t="n">
        <f aca="false">SUMIF('🛒 Ventas'!J:J, "Efectivo", '🛒 Ventas'!I:I)</f>
        <v>0</v>
      </c>
    </row>
    <row r="25" customFormat="false" ht="14.25" hidden="false" customHeight="true" outlineLevel="0" collapsed="false">
      <c r="A25" s="13" t="s">
        <v>31</v>
      </c>
      <c r="B25" s="14" t="n">
        <f aca="false">SUMIF('🛒 Ventas'!C:C, "B*", '🛒 Ventas'!G:G)</f>
        <v>0</v>
      </c>
      <c r="C25" s="15" t="n">
        <f aca="false">SUMIF('🛒 Ventas'!C:C, "B*", '🛒 Ventas'!I:I)</f>
        <v>0</v>
      </c>
      <c r="E25" s="13" t="s">
        <v>32</v>
      </c>
      <c r="F25" s="14" t="n">
        <f aca="false">COUNTIF('🛒 Ventas'!J:J, "Transferencia Bancaria")</f>
        <v>0</v>
      </c>
      <c r="G25" s="15" t="n">
        <f aca="false">SUMIF('🛒 Ventas'!J:J, "Transferencia Bancaria", '🛒 Ventas'!I:I)</f>
        <v>0</v>
      </c>
    </row>
    <row r="26" customFormat="false" ht="14.25" hidden="false" customHeight="true" outlineLevel="0" collapsed="false">
      <c r="A26" s="13" t="s">
        <v>33</v>
      </c>
      <c r="B26" s="14" t="n">
        <f aca="false">SUMIF('🛒 Ventas'!C:C, "A*", '🛒 Ventas'!G:G)</f>
        <v>0</v>
      </c>
      <c r="C26" s="15" t="n">
        <f aca="false">SUMIF('🛒 Ventas'!C:C, "A*", '🛒 Ventas'!I:I)</f>
        <v>0</v>
      </c>
      <c r="E26" s="13" t="s">
        <v>34</v>
      </c>
      <c r="F26" s="14" t="n">
        <f aca="false">COUNTIF('🛒 Ventas'!J:J, "Tarjeta Débito/Crédito")</f>
        <v>0</v>
      </c>
      <c r="G26" s="15" t="n">
        <f aca="false">SUMIF('🛒 Ventas'!J:J, "Tarjeta Débito/Crédito", '🛒 Ventas'!I:I)</f>
        <v>0</v>
      </c>
    </row>
    <row r="27" customFormat="false" ht="14.25" hidden="false" customHeight="true" outlineLevel="0" collapsed="false">
      <c r="A27" s="16" t="s">
        <v>35</v>
      </c>
      <c r="B27" s="17" t="n">
        <f aca="false">SUM(B22:B26)</f>
        <v>0</v>
      </c>
      <c r="C27" s="18" t="n">
        <f aca="false">SUM(C22:C26)</f>
        <v>0</v>
      </c>
      <c r="E27" s="16" t="s">
        <v>35</v>
      </c>
      <c r="F27" s="17" t="n">
        <f aca="false">SUM(F22:F26)</f>
        <v>1</v>
      </c>
      <c r="G27" s="18" t="n">
        <f aca="false">SUM(G22:G26)</f>
        <v>0</v>
      </c>
    </row>
  </sheetData>
  <mergeCells count="28">
    <mergeCell ref="A1:L1"/>
    <mergeCell ref="A3:D3"/>
    <mergeCell ref="A4:B4"/>
    <mergeCell ref="C4:D4"/>
    <mergeCell ref="A5:B5"/>
    <mergeCell ref="C5:D5"/>
    <mergeCell ref="A6:B6"/>
    <mergeCell ref="C6:D6"/>
    <mergeCell ref="A7:B7"/>
    <mergeCell ref="C7:D7"/>
    <mergeCell ref="A8:B8"/>
    <mergeCell ref="C8:D8"/>
    <mergeCell ref="A9:B9"/>
    <mergeCell ref="C9:D9"/>
    <mergeCell ref="A10:B10"/>
    <mergeCell ref="C10:D10"/>
    <mergeCell ref="A14:B14"/>
    <mergeCell ref="C14:D14"/>
    <mergeCell ref="E14:F14"/>
    <mergeCell ref="G14:H14"/>
    <mergeCell ref="I14:J14"/>
    <mergeCell ref="K14:L14"/>
    <mergeCell ref="A15:B16"/>
    <mergeCell ref="C15:D16"/>
    <mergeCell ref="E15:F16"/>
    <mergeCell ref="G15:H16"/>
    <mergeCell ref="I15:J16"/>
    <mergeCell ref="K15:L16"/>
  </mergeCells>
  <dataValidations count="1">
    <dataValidation allowBlank="true" errorStyle="stop" operator="between" showDropDown="false" showErrorMessage="false" showInputMessage="false" sqref="C4" type="list">
      <formula1>lista_codigos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false" showRowColHeaders="true" showZeros="true" rightToLeft="false" tabSelected="false" showOutlineSymbols="true" defaultGridColor="true" view="normal" topLeftCell="A5" colorId="64" zoomScale="100" zoomScaleNormal="100" zoomScalePageLayoutView="100" workbookViewId="0">
      <selection pane="topLeft" activeCell="B19" activeCellId="0" sqref="B19"/>
    </sheetView>
  </sheetViews>
  <sheetFormatPr defaultColWidth="8.6328125" defaultRowHeight="14.25"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16"/>
    <col collapsed="false" customWidth="true" hidden="false" outlineLevel="0" max="5" min="4" style="1" width="4"/>
    <col collapsed="false" customWidth="true" hidden="false" outlineLevel="0" max="6" min="6" style="1" width="24"/>
    <col collapsed="false" customWidth="true" hidden="false" outlineLevel="0" max="7" min="7" style="1" width="14"/>
    <col collapsed="false" customWidth="true" hidden="false" outlineLevel="0" max="8" min="8" style="1" width="16"/>
  </cols>
  <sheetData>
    <row r="1" customFormat="false" ht="31.5" hidden="false" customHeight="true" outlineLevel="0" collapsed="false">
      <c r="A1" s="2" t="s">
        <v>36</v>
      </c>
      <c r="B1" s="2"/>
      <c r="C1" s="2"/>
      <c r="D1" s="2"/>
      <c r="E1" s="2"/>
      <c r="F1" s="2"/>
      <c r="G1" s="2"/>
      <c r="H1" s="2"/>
    </row>
    <row r="2" customFormat="false" ht="14.25" hidden="false" customHeight="true" outlineLevel="0" collapsed="false">
      <c r="A2" s="19" t="s">
        <v>37</v>
      </c>
    </row>
    <row r="4" customFormat="false" ht="16.5" hidden="false" customHeight="true" outlineLevel="0" collapsed="false">
      <c r="A4" s="8" t="s">
        <v>38</v>
      </c>
      <c r="F4" s="8" t="s">
        <v>39</v>
      </c>
    </row>
    <row r="5" customFormat="false" ht="21.75" hidden="false" customHeight="true" outlineLevel="0" collapsed="false">
      <c r="A5" s="12" t="s">
        <v>40</v>
      </c>
      <c r="B5" s="12" t="s">
        <v>41</v>
      </c>
      <c r="C5" s="12" t="s">
        <v>24</v>
      </c>
      <c r="F5" s="12" t="s">
        <v>22</v>
      </c>
      <c r="G5" s="12" t="s">
        <v>41</v>
      </c>
      <c r="H5" s="12" t="s">
        <v>24</v>
      </c>
    </row>
    <row r="6" customFormat="false" ht="14.25" hidden="false" customHeight="true" outlineLevel="0" collapsed="false">
      <c r="A6" s="13" t="s">
        <v>42</v>
      </c>
      <c r="B6" s="14" t="n">
        <f aca="false">COUNTIF('💸 Gastos'!C:C,"Arriendo")</f>
        <v>2</v>
      </c>
      <c r="C6" s="15" t="n">
        <f aca="false">SUMIF('💸 Gastos'!C:C,"Arriendo",'💸 Gastos'!E:E)</f>
        <v>3950000</v>
      </c>
      <c r="F6" s="13" t="s">
        <v>26</v>
      </c>
      <c r="G6" s="14" t="n">
        <f aca="false">COUNTIF('💸 Gastos'!H:H,"Nequi")</f>
        <v>0</v>
      </c>
      <c r="H6" s="15" t="n">
        <f aca="false">SUMIF('💸 Gastos'!H:H,"Nequi",'💸 Gastos'!E:E)</f>
        <v>0</v>
      </c>
    </row>
    <row r="7" customFormat="false" ht="14.25" hidden="false" customHeight="true" outlineLevel="0" collapsed="false">
      <c r="A7" s="13" t="s">
        <v>43</v>
      </c>
      <c r="B7" s="14" t="n">
        <f aca="false">COUNTIF('💸 Gastos'!C:C,"Servicios Públicos")</f>
        <v>1</v>
      </c>
      <c r="C7" s="15" t="n">
        <f aca="false">SUMIF('💸 Gastos'!C:C,"Servicios Públicos",'💸 Gastos'!E:E)</f>
        <v>35850</v>
      </c>
      <c r="F7" s="13" t="s">
        <v>28</v>
      </c>
      <c r="G7" s="14" t="n">
        <f aca="false">COUNTIF('💸 Gastos'!H:H,"Daviplata")</f>
        <v>0</v>
      </c>
      <c r="H7" s="15" t="n">
        <f aca="false">SUMIF('💸 Gastos'!H:H,"Daviplata",'💸 Gastos'!E:E)</f>
        <v>0</v>
      </c>
    </row>
    <row r="8" customFormat="false" ht="14.25" hidden="false" customHeight="true" outlineLevel="0" collapsed="false">
      <c r="A8" s="13" t="s">
        <v>44</v>
      </c>
      <c r="B8" s="14" t="n">
        <f aca="false">COUNTIF('💸 Gastos'!C:C,"Nómina / Personal")</f>
        <v>1</v>
      </c>
      <c r="C8" s="15" t="n">
        <f aca="false">SUMIF('💸 Gastos'!C:C,"Nómina / Personal",'💸 Gastos'!E:E)</f>
        <v>906000</v>
      </c>
      <c r="F8" s="13" t="s">
        <v>30</v>
      </c>
      <c r="G8" s="14" t="n">
        <f aca="false">COUNTIF('💸 Gastos'!H:H,"Efectivo")</f>
        <v>62</v>
      </c>
      <c r="H8" s="15" t="n">
        <f aca="false">SUMIF('💸 Gastos'!H:H,"Efectivo",'💸 Gastos'!E:E)</f>
        <v>14256280</v>
      </c>
    </row>
    <row r="9" customFormat="false" ht="14.25" hidden="false" customHeight="true" outlineLevel="0" collapsed="false">
      <c r="A9" s="13" t="s">
        <v>45</v>
      </c>
      <c r="B9" s="14" t="n">
        <f aca="false">COUNTIF('💸 Gastos'!C:C,"Insumos y Aseo")</f>
        <v>8</v>
      </c>
      <c r="C9" s="15" t="n">
        <f aca="false">SUMIF('💸 Gastos'!C:C,"Insumos y Aseo",'💸 Gastos'!E:E)</f>
        <v>398403</v>
      </c>
      <c r="F9" s="13" t="s">
        <v>32</v>
      </c>
      <c r="G9" s="14" t="n">
        <f aca="false">COUNTIF('💸 Gastos'!H:H,"Transferencia Bancaria")</f>
        <v>0</v>
      </c>
      <c r="H9" s="15" t="n">
        <f aca="false">SUMIF('💸 Gastos'!H:H,"Transferencia Bancaria",'💸 Gastos'!E:E)</f>
        <v>0</v>
      </c>
    </row>
    <row r="10" customFormat="false" ht="14.25" hidden="false" customHeight="true" outlineLevel="0" collapsed="false">
      <c r="A10" s="13" t="s">
        <v>46</v>
      </c>
      <c r="B10" s="14" t="n">
        <f aca="false">COUNTIF('💸 Gastos'!C:C,"Mantenimiento Equipos")</f>
        <v>0</v>
      </c>
      <c r="C10" s="15" t="n">
        <f aca="false">SUMIF('💸 Gastos'!C:C,"Mantenimiento Equipos",'💸 Gastos'!E:E)</f>
        <v>0</v>
      </c>
      <c r="F10" s="13" t="s">
        <v>34</v>
      </c>
      <c r="G10" s="14" t="n">
        <f aca="false">COUNTIF('💸 Gastos'!H:H,"Tarjeta Débito/Crédito")</f>
        <v>0</v>
      </c>
      <c r="H10" s="15" t="n">
        <f aca="false">SUMIF('💸 Gastos'!H:H,"Tarjeta Débito/Crédito",'💸 Gastos'!E:E)</f>
        <v>0</v>
      </c>
    </row>
    <row r="11" customFormat="false" ht="14.25" hidden="false" customHeight="true" outlineLevel="0" collapsed="false">
      <c r="A11" s="13" t="s">
        <v>47</v>
      </c>
      <c r="B11" s="14" t="n">
        <f aca="false">COUNTIF('💸 Gastos'!C:C,"Marketing y Publicidad")</f>
        <v>8</v>
      </c>
      <c r="C11" s="15" t="n">
        <f aca="false">SUMIF('💸 Gastos'!C:C,"Marketing y Publicidad",'💸 Gastos'!E:E)</f>
        <v>554179</v>
      </c>
      <c r="F11" s="20" t="s">
        <v>48</v>
      </c>
      <c r="G11" s="21" t="n">
        <f aca="false">SUM(G6:G10)</f>
        <v>62</v>
      </c>
      <c r="H11" s="22" t="n">
        <f aca="false">SUM(H6:H10)</f>
        <v>14256280</v>
      </c>
    </row>
    <row r="12" customFormat="false" ht="14.25" hidden="false" customHeight="true" outlineLevel="0" collapsed="false">
      <c r="A12" s="13" t="s">
        <v>49</v>
      </c>
      <c r="B12" s="14" t="n">
        <f aca="false">COUNTIF('💸 Gastos'!C:C,"Software / Suscripciones")</f>
        <v>0</v>
      </c>
      <c r="C12" s="15" t="n">
        <f aca="false">SUMIF('💸 Gastos'!C:C,"Software / Suscripciones",'💸 Gastos'!E:E)</f>
        <v>0</v>
      </c>
    </row>
    <row r="13" customFormat="false" ht="14.25" hidden="false" customHeight="true" outlineLevel="0" collapsed="false">
      <c r="A13" s="13" t="s">
        <v>50</v>
      </c>
      <c r="B13" s="14" t="n">
        <f aca="false">COUNTIF('💸 Gastos'!C:C,"Mantenimiento Local/Infraestructura")</f>
        <v>2</v>
      </c>
      <c r="C13" s="15" t="n">
        <f aca="false">SUMIF('💸 Gastos'!C:C,"Mantenimiento Local/Infraestructura",'💸 Gastos'!E:E)</f>
        <v>6364500</v>
      </c>
    </row>
    <row r="14" customFormat="false" ht="14.25" hidden="false" customHeight="true" outlineLevel="0" collapsed="false">
      <c r="A14" s="13" t="s">
        <v>51</v>
      </c>
      <c r="B14" s="14" t="n">
        <f aca="false">COUNTIF('💸 Gastos'!C:C,"Envíos/Transporte")</f>
        <v>1</v>
      </c>
      <c r="C14" s="15" t="n">
        <f aca="false">SUMIF('💸 Gastos'!C:C,"Envíos/Transporte",'💸 Gastos'!E:E)</f>
        <v>195000</v>
      </c>
    </row>
    <row r="15" customFormat="false" ht="14.25" hidden="false" customHeight="true" outlineLevel="0" collapsed="false">
      <c r="A15" s="13" t="s">
        <v>52</v>
      </c>
      <c r="B15" s="14" t="n">
        <f aca="false">COUNTIF('💸 Gastos'!C:C,"Otros")</f>
        <v>0</v>
      </c>
      <c r="C15" s="15" t="n">
        <f aca="false">SUMIF('💸 Gastos'!C:C,"Otros",'💸 Gastos'!E:E)</f>
        <v>0</v>
      </c>
    </row>
    <row r="16" customFormat="false" ht="14.25" hidden="false" customHeight="true" outlineLevel="0" collapsed="false">
      <c r="A16" s="20" t="s">
        <v>48</v>
      </c>
      <c r="B16" s="21" t="n">
        <f aca="false">SUM(B6:B15)</f>
        <v>23</v>
      </c>
      <c r="C16" s="22" t="n">
        <f aca="false">SUM(C6:C15)</f>
        <v>12403932</v>
      </c>
    </row>
    <row r="18" customFormat="false" ht="16.5" hidden="false" customHeight="true" outlineLevel="0" collapsed="false">
      <c r="A18" s="8" t="s">
        <v>53</v>
      </c>
    </row>
    <row r="19" customFormat="false" ht="21.75" hidden="false" customHeight="true" outlineLevel="0" collapsed="false">
      <c r="A19" s="12" t="s">
        <v>54</v>
      </c>
      <c r="B19" s="12" t="s">
        <v>20</v>
      </c>
      <c r="C19" s="12" t="s">
        <v>24</v>
      </c>
    </row>
    <row r="20" customFormat="false" ht="14.25" hidden="false" customHeight="true" outlineLevel="0" collapsed="false">
      <c r="A20" s="13" t="s">
        <v>55</v>
      </c>
      <c r="B20" s="14" t="n">
        <f aca="false">SUMIF('🛒 Ventas'!F:F,"Negro",'🛒 Ventas'!G:G)</f>
        <v>0</v>
      </c>
      <c r="C20" s="15" t="n">
        <f aca="false">SUMIF('🛒 Ventas'!F:F,"Negro",'🛒 Ventas'!I:I)</f>
        <v>0</v>
      </c>
    </row>
    <row r="21" customFormat="false" ht="14.25" hidden="false" customHeight="true" outlineLevel="0" collapsed="false">
      <c r="A21" s="13" t="s">
        <v>56</v>
      </c>
      <c r="B21" s="14" t="n">
        <f aca="false">SUMIF('🛒 Ventas'!F:F,"Azul",'🛒 Ventas'!G:G)</f>
        <v>0</v>
      </c>
      <c r="C21" s="15" t="n">
        <f aca="false">SUMIF('🛒 Ventas'!F:F,"Azul",'🛒 Ventas'!I:I)</f>
        <v>0</v>
      </c>
    </row>
    <row r="22" customFormat="false" ht="14.25" hidden="false" customHeight="true" outlineLevel="0" collapsed="false">
      <c r="A22" s="13" t="s">
        <v>57</v>
      </c>
      <c r="B22" s="14" t="n">
        <f aca="false">SUMIF('🛒 Ventas'!F:F,"Rojo",'🛒 Ventas'!G:G)</f>
        <v>0</v>
      </c>
      <c r="C22" s="15" t="n">
        <f aca="false">SUMIF('🛒 Ventas'!F:F,"Rojo",'🛒 Ventas'!I:I)</f>
        <v>0</v>
      </c>
    </row>
    <row r="23" customFormat="false" ht="14.25" hidden="false" customHeight="true" outlineLevel="0" collapsed="false">
      <c r="A23" s="13" t="s">
        <v>58</v>
      </c>
      <c r="B23" s="14" t="n">
        <f aca="false">SUMIF('🛒 Ventas'!F:F,"Verde",'🛒 Ventas'!G:G)</f>
        <v>0</v>
      </c>
      <c r="C23" s="15" t="n">
        <f aca="false">SUMIF('🛒 Ventas'!F:F,"Verde",'🛒 Ventas'!I:I)</f>
        <v>0</v>
      </c>
    </row>
    <row r="24" customFormat="false" ht="14.25" hidden="false" customHeight="true" outlineLevel="0" collapsed="false">
      <c r="A24" s="13" t="s">
        <v>59</v>
      </c>
      <c r="B24" s="14" t="n">
        <f aca="false">SUMIF('🛒 Ventas'!F:F,"Amarillo",'🛒 Ventas'!G:G)</f>
        <v>0</v>
      </c>
      <c r="C24" s="15" t="n">
        <f aca="false">SUMIF('🛒 Ventas'!F:F,"Amarillo",'🛒 Ventas'!I:I)</f>
        <v>0</v>
      </c>
    </row>
    <row r="25" customFormat="false" ht="14.25" hidden="false" customHeight="true" outlineLevel="0" collapsed="false">
      <c r="A25" s="13" t="s">
        <v>60</v>
      </c>
      <c r="B25" s="14" t="n">
        <f aca="false">SUMIF('🛒 Ventas'!F:F,"Blanco",'🛒 Ventas'!G:G)</f>
        <v>0</v>
      </c>
      <c r="C25" s="15" t="n">
        <f aca="false">SUMIF('🛒 Ventas'!F:F,"Blanco",'🛒 Ventas'!I:I)</f>
        <v>0</v>
      </c>
    </row>
    <row r="26" customFormat="false" ht="14.25" hidden="false" customHeight="true" outlineLevel="0" collapsed="false">
      <c r="A26" s="20" t="s">
        <v>48</v>
      </c>
      <c r="B26" s="21" t="n">
        <f aca="false">SUM(B20:B25)</f>
        <v>0</v>
      </c>
      <c r="C26" s="22" t="n">
        <f aca="false">SUM(C20:C25)</f>
        <v>0</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98"/>
  <sheetViews>
    <sheetView showFormulas="false" showGridLines="true" showRowColHeaders="true" showZeros="true" rightToLeft="false" tabSelected="true" showOutlineSymbols="true" defaultGridColor="true" view="normal" topLeftCell="A1" colorId="64" zoomScale="104" zoomScaleNormal="104"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B7" activeCellId="0" sqref="B7"/>
    </sheetView>
  </sheetViews>
  <sheetFormatPr defaultColWidth="8.6328125" defaultRowHeight="14.25" zeroHeight="false" outlineLevelRow="0" outlineLevelCol="0"/>
  <cols>
    <col collapsed="false" customWidth="true" hidden="false" outlineLevel="0" max="1" min="1" style="1" width="10"/>
    <col collapsed="false" customWidth="true" hidden="false" outlineLevel="0" max="2" min="2" style="1" width="16.36"/>
    <col collapsed="false" customWidth="true" hidden="false" outlineLevel="0" max="3" min="3" style="1" width="15.36"/>
    <col collapsed="false" customWidth="true" hidden="false" outlineLevel="0" max="4" min="4" style="1" width="13"/>
    <col collapsed="false" customWidth="true" hidden="false" outlineLevel="0" max="5" min="5" style="1" width="28"/>
    <col collapsed="false" customWidth="true" hidden="false" outlineLevel="0" max="6" min="6" style="1" width="63.63"/>
    <col collapsed="false" customWidth="true" hidden="false" outlineLevel="0" max="7" min="7" style="1" width="14"/>
    <col collapsed="false" customWidth="true" hidden="false" outlineLevel="0" max="8" min="8" style="1" width="7"/>
    <col collapsed="false" customWidth="true" hidden="false" outlineLevel="0" max="9" min="9" style="1" width="14"/>
    <col collapsed="false" customWidth="true" hidden="false" outlineLevel="0" max="10" min="10" style="1" width="12"/>
    <col collapsed="false" customWidth="true" hidden="false" outlineLevel="0" max="11" min="11" style="1" width="14"/>
    <col collapsed="false" customWidth="true" hidden="false" outlineLevel="0" max="14" min="12" style="1" width="13"/>
    <col collapsed="false" customWidth="true" hidden="true" outlineLevel="0" max="15" min="15" style="1" width="26"/>
    <col collapsed="false" customWidth="true" hidden="true" outlineLevel="0" max="17" min="16" style="1" width="34"/>
    <col collapsed="false" customWidth="true" hidden="true" outlineLevel="0" max="18" min="18" style="1" width="10"/>
  </cols>
  <sheetData>
    <row r="1" customFormat="false" ht="45" hidden="false" customHeight="true" outlineLevel="0" collapsed="false">
      <c r="A1" s="23" t="s">
        <v>61</v>
      </c>
      <c r="B1" s="23" t="s">
        <v>62</v>
      </c>
      <c r="C1" s="23" t="s">
        <v>63</v>
      </c>
      <c r="D1" s="23" t="s">
        <v>64</v>
      </c>
      <c r="E1" s="23" t="s">
        <v>65</v>
      </c>
      <c r="F1" s="23" t="s">
        <v>66</v>
      </c>
      <c r="G1" s="23" t="s">
        <v>67</v>
      </c>
      <c r="H1" s="24" t="s">
        <v>68</v>
      </c>
      <c r="I1" s="24" t="s">
        <v>69</v>
      </c>
      <c r="J1" s="24" t="s">
        <v>70</v>
      </c>
      <c r="K1" s="24" t="s">
        <v>71</v>
      </c>
      <c r="L1" s="24" t="s">
        <v>72</v>
      </c>
      <c r="M1" s="24" t="s">
        <v>73</v>
      </c>
      <c r="N1" s="24" t="s">
        <v>74</v>
      </c>
      <c r="O1" s="24" t="s">
        <v>75</v>
      </c>
      <c r="P1" s="24" t="s">
        <v>76</v>
      </c>
      <c r="Q1" s="24" t="s">
        <v>77</v>
      </c>
      <c r="R1" s="24" t="s">
        <v>78</v>
      </c>
    </row>
    <row r="2" customFormat="false" ht="14.25" hidden="false" customHeight="true" outlineLevel="0" collapsed="false">
      <c r="A2" s="25" t="s">
        <v>79</v>
      </c>
      <c r="B2" s="25" t="s">
        <v>80</v>
      </c>
      <c r="C2" s="25" t="s">
        <v>81</v>
      </c>
      <c r="D2" s="26" t="s">
        <v>82</v>
      </c>
      <c r="E2" s="25" t="s">
        <v>83</v>
      </c>
      <c r="F2" s="25" t="s">
        <v>84</v>
      </c>
      <c r="G2" s="27" t="n">
        <v>34388</v>
      </c>
      <c r="H2" s="28" t="n">
        <f aca="true">IF(G2="","",DATEDIF(G2,TODAY(),"Y"))</f>
        <v>32</v>
      </c>
      <c r="I2" s="28" t="n">
        <f aca="false">IF($A2="","",COUNTIFS('🤸 Ingresos Pole'!$W$2:$W$1000,$A2,'🤸 Ingresos Pole'!$L$2:$L$1000,"Paquete"))</f>
        <v>1</v>
      </c>
      <c r="J2" s="28" t="n">
        <f aca="false">IF($A2="","",COUNTIF('🤸 Ingresos Pole'!$W$2:$W$1000,$A2))</f>
        <v>1</v>
      </c>
      <c r="K2" s="29" t="n">
        <f aca="false">IF($A2="","",SUMIF('🤸 Ingresos Pole'!$W$2:$W$1000,$A2,'🤸 Ingresos Pole'!$P$2:$P$1000))</f>
        <v>240000</v>
      </c>
      <c r="L2" s="30" t="n">
        <f aca="false">IF(OR($A2="",J2=0),"",_xlfn.MINIFS('🤸 Ingresos Pole'!$B$2:$B$1000,'🤸 Ingresos Pole'!$W$2:$W$1000,$A2))</f>
        <v>46283</v>
      </c>
      <c r="M2" s="30" t="n">
        <f aca="false">IF(OR($A2="",J2=0),"",_xlfn.MAXIFS('🤸 Ingresos Pole'!$B$2:$B$1000,'🤸 Ingresos Pole'!$W$2:$W$1000,$A2))</f>
        <v>46283</v>
      </c>
      <c r="N2" s="28" t="str">
        <f aca="false">IF(OR($A2="",J2=0),"",IF(I2=0,"Sin paquete",IF(I2=1,"Nueva","Recurrente")))</f>
        <v>Nueva</v>
      </c>
      <c r="O2" s="25" t="str">
        <f aca="false">IF(AND(TRIM(B2)="",TRIM(C2)=""),"",TRIM(B2)&amp;"|"&amp;TRIM(C2))</f>
        <v>Ortega Agudelo|María Alejandra</v>
      </c>
      <c r="P2" s="25" t="str">
        <f aca="false">IF(O2="","",IF(TRIM(C2)="",TRIM(B2),IF(TRIM(B2)="",TRIM(C2),TRIM(B2)&amp;", "&amp;TRIM(C2))))</f>
        <v>Ortega Agudelo, María Alejandra</v>
      </c>
      <c r="Q2" s="25" t="str">
        <f aca="false">IF(O2="","",TRIM(TRIM(C2)&amp;" "&amp;TRIM(B2)))</f>
        <v>María Alejandra Ortega Agudelo</v>
      </c>
      <c r="R2" s="25" t="n">
        <f aca="false">IF(P2="","",COUNTIFS($P$2:$P$1000,"&lt;"&amp;P2,$P$2:$P$1000,"?*")+COUNTIF($P$2:P2,P2))</f>
        <v>19</v>
      </c>
    </row>
    <row r="3" customFormat="false" ht="14.25" hidden="false" customHeight="true" outlineLevel="0" collapsed="false">
      <c r="A3" s="25" t="s">
        <v>85</v>
      </c>
      <c r="B3" s="25" t="s">
        <v>86</v>
      </c>
      <c r="C3" s="25" t="s">
        <v>87</v>
      </c>
      <c r="D3" s="26" t="s">
        <v>88</v>
      </c>
      <c r="E3" s="25" t="s">
        <v>89</v>
      </c>
      <c r="F3" s="25" t="s">
        <v>90</v>
      </c>
      <c r="G3" s="27" t="n">
        <v>32232</v>
      </c>
      <c r="H3" s="28" t="n">
        <f aca="true">IF(G3="","",DATEDIF(G3,TODAY(),"Y"))</f>
        <v>38</v>
      </c>
      <c r="I3" s="28" t="n">
        <f aca="false">IF($A3="","",COUNTIFS('🤸 Ingresos Pole'!$W$2:$W$1000,$A3,'🤸 Ingresos Pole'!$L$2:$L$1000,"Paquete"))</f>
        <v>2</v>
      </c>
      <c r="J3" s="28" t="n">
        <f aca="false">IF($A3="","",COUNTIF('🤸 Ingresos Pole'!$W$2:$W$1000,$A3))</f>
        <v>2</v>
      </c>
      <c r="K3" s="29" t="n">
        <f aca="false">IF($A3="","",SUMIF('🤸 Ingresos Pole'!$W$2:$W$1000,$A3,'🤸 Ingresos Pole'!$P$2:$P$1000))</f>
        <v>440000</v>
      </c>
      <c r="L3" s="30" t="n">
        <f aca="false">IF(OR($A3="",J3=0),"",_xlfn.MINIFS('🤸 Ingresos Pole'!$B$2:$B$1000,'🤸 Ingresos Pole'!$W$2:$W$1000,$A3))</f>
        <v>46264</v>
      </c>
      <c r="M3" s="30" t="n">
        <f aca="false">IF(OR($A3="",J3=0),"",_xlfn.MAXIFS('🤸 Ingresos Pole'!$B$2:$B$1000,'🤸 Ingresos Pole'!$W$2:$W$1000,$A3))</f>
        <v>46293</v>
      </c>
      <c r="N3" s="28" t="str">
        <f aca="false">IF(OR($A3="",J3=0),"",IF(I3=0,"Sin paquete",IF(I3=1,"Nueva","Recurrente")))</f>
        <v>Recurrente</v>
      </c>
      <c r="O3" s="25" t="str">
        <f aca="false">IF(AND(TRIM(B3)="",TRIM(C3)=""),"",TRIM(B3)&amp;"|"&amp;TRIM(C3))</f>
        <v>López Galván|Ana Carolina</v>
      </c>
      <c r="P3" s="25" t="str">
        <f aca="false">IF(O3="","",IF(TRIM(C3)="",TRIM(B3),IF(TRIM(B3)="",TRIM(C3),TRIM(B3)&amp;", "&amp;TRIM(C3))))</f>
        <v>López Galván, Ana Carolina</v>
      </c>
      <c r="Q3" s="25" t="str">
        <f aca="false">IF(O3="","",TRIM(TRIM(C3)&amp;" "&amp;TRIM(B3)))</f>
        <v>Ana Carolina López Galván</v>
      </c>
      <c r="R3" s="25" t="n">
        <f aca="false">IF(P3="","",COUNTIFS($P$2:$P$1000,"&lt;"&amp;P3,$P$2:$P$1000,"?*")+COUNTIF($P$2:P3,P3))</f>
        <v>15</v>
      </c>
    </row>
    <row r="4" customFormat="false" ht="14.25" hidden="false" customHeight="true" outlineLevel="0" collapsed="false">
      <c r="A4" s="25" t="s">
        <v>91</v>
      </c>
      <c r="B4" s="25" t="s">
        <v>92</v>
      </c>
      <c r="C4" s="31" t="s">
        <v>93</v>
      </c>
      <c r="D4" s="26"/>
      <c r="E4" s="25"/>
      <c r="F4" s="25"/>
      <c r="G4" s="27"/>
      <c r="H4" s="28" t="str">
        <f aca="true">IF(G4="","",DATEDIF(G4,TODAY(),"Y"))</f>
        <v/>
      </c>
      <c r="I4" s="28" t="n">
        <f aca="false">IF($A4="","",COUNTIFS('🤸 Ingresos Pole'!$W$2:$W$1000,$A4,'🤸 Ingresos Pole'!$L$2:$L$1000,"Paquete"))</f>
        <v>0</v>
      </c>
      <c r="J4" s="28" t="n">
        <f aca="false">IF($A4="","",COUNTIF('🤸 Ingresos Pole'!$W$2:$W$1000,$A4))</f>
        <v>2</v>
      </c>
      <c r="K4" s="29" t="n">
        <f aca="false">IF($A4="","",SUMIF('🤸 Ingresos Pole'!$W$2:$W$1000,$A4,'🤸 Ingresos Pole'!$P$2:$P$1000))</f>
        <v>44000</v>
      </c>
      <c r="L4" s="30" t="n">
        <f aca="false">IF(OR($A4="",J4=0),"",_xlfn.MINIFS('🤸 Ingresos Pole'!$B$2:$B$1000,'🤸 Ingresos Pole'!$W$2:$W$1000,$A4))</f>
        <v>46274</v>
      </c>
      <c r="M4" s="30" t="n">
        <f aca="false">IF(OR($A4="",J4=0),"",_xlfn.MAXIFS('🤸 Ingresos Pole'!$B$2:$B$1000,'🤸 Ingresos Pole'!$W$2:$W$1000,$A4))</f>
        <v>46281</v>
      </c>
      <c r="N4" s="28" t="str">
        <f aca="false">IF(OR($A4="",J4=0),"",IF(I4=0,"Sin paquete",IF(I4=1,"Nueva","Recurrente")))</f>
        <v>Sin paquete</v>
      </c>
      <c r="O4" s="25" t="str">
        <f aca="false">IF(AND(TRIM(B4)="",TRIM(C4)=""),"",TRIM(B4)&amp;"|"&amp;TRIM(C4))</f>
        <v>Avila|Daniel</v>
      </c>
      <c r="P4" s="25" t="str">
        <f aca="false">IF(O4="","",IF(TRIM(C4)="",TRIM(B4),IF(TRIM(B4)="",TRIM(C4),TRIM(B4)&amp;", "&amp;TRIM(C4))))</f>
        <v>Avila, Daniel</v>
      </c>
      <c r="Q4" s="25" t="str">
        <f aca="false">IF(O4="","",TRIM(TRIM(C4)&amp;" "&amp;TRIM(B4)))</f>
        <v>Daniel Avila</v>
      </c>
      <c r="R4" s="25" t="n">
        <f aca="false">IF(P4="","",COUNTIFS($P$2:$P$1000,"&lt;"&amp;P4,$P$2:$P$1000,"?*")+COUNTIF($P$2:P4,P4))</f>
        <v>5</v>
      </c>
    </row>
    <row r="5" customFormat="false" ht="14.25" hidden="false" customHeight="true" outlineLevel="0" collapsed="false">
      <c r="A5" s="25" t="s">
        <v>94</v>
      </c>
      <c r="B5" s="25" t="s">
        <v>95</v>
      </c>
      <c r="C5" s="25" t="s">
        <v>96</v>
      </c>
      <c r="D5" s="26" t="s">
        <v>97</v>
      </c>
      <c r="E5" s="25" t="s">
        <v>98</v>
      </c>
      <c r="F5" s="25" t="s">
        <v>99</v>
      </c>
      <c r="G5" s="27" t="n">
        <v>33374</v>
      </c>
      <c r="H5" s="28" t="n">
        <f aca="true">IF(G5="","",DATEDIF(G5,TODAY(),"Y"))</f>
        <v>35</v>
      </c>
      <c r="I5" s="28" t="n">
        <f aca="false">IF($A5="","",COUNTIFS('🤸 Ingresos Pole'!$W$2:$W$1000,$A5,'🤸 Ingresos Pole'!$L$2:$L$1000,"Paquete"))</f>
        <v>2</v>
      </c>
      <c r="J5" s="28" t="n">
        <f aca="false">IF($A5="","",COUNTIF('🤸 Ingresos Pole'!$W$2:$W$1000,$A5))</f>
        <v>2</v>
      </c>
      <c r="K5" s="29" t="n">
        <f aca="false">IF($A5="","",SUMIF('🤸 Ingresos Pole'!$W$2:$W$1000,$A5,'🤸 Ingresos Pole'!$P$2:$P$1000))</f>
        <v>960000</v>
      </c>
      <c r="L5" s="30" t="n">
        <f aca="false">IF(OR($A5="",J5=0),"",_xlfn.MINIFS('🤸 Ingresos Pole'!$B$2:$B$1000,'🤸 Ingresos Pole'!$W$2:$W$1000,$A5))</f>
        <v>46264</v>
      </c>
      <c r="M5" s="30" t="n">
        <f aca="false">IF(OR($A5="",J5=0),"",_xlfn.MAXIFS('🤸 Ingresos Pole'!$B$2:$B$1000,'🤸 Ingresos Pole'!$W$2:$W$1000,$A5))</f>
        <v>46295</v>
      </c>
      <c r="N5" s="28" t="str">
        <f aca="false">IF(OR($A5="",J5=0),"",IF(I5=0,"Sin paquete",IF(I5=1,"Nueva","Recurrente")))</f>
        <v>Recurrente</v>
      </c>
      <c r="O5" s="25" t="str">
        <f aca="false">IF(AND(TRIM(B5)="",TRIM(C5)=""),"",TRIM(B5)&amp;"|"&amp;TRIM(C5))</f>
        <v>Bermúdez Cardona|Diana</v>
      </c>
      <c r="P5" s="25" t="str">
        <f aca="false">IF(O5="","",IF(TRIM(C5)="",TRIM(B5),IF(TRIM(B5)="",TRIM(C5),TRIM(B5)&amp;", "&amp;TRIM(C5))))</f>
        <v>Bermúdez Cardona, Diana</v>
      </c>
      <c r="Q5" s="25" t="str">
        <f aca="false">IF(O5="","",TRIM(TRIM(C5)&amp;" "&amp;TRIM(B5)))</f>
        <v>Diana Bermúdez Cardona</v>
      </c>
      <c r="R5" s="25" t="n">
        <f aca="false">IF(P5="","",COUNTIFS($P$2:$P$1000,"&lt;"&amp;P5,$P$2:$P$1000,"?*")+COUNTIF($P$2:P5,P5))</f>
        <v>6</v>
      </c>
    </row>
    <row r="6" customFormat="false" ht="14.25" hidden="false" customHeight="true" outlineLevel="0" collapsed="false">
      <c r="A6" s="25" t="s">
        <v>100</v>
      </c>
      <c r="B6" s="25" t="s">
        <v>101</v>
      </c>
      <c r="C6" s="25" t="s">
        <v>102</v>
      </c>
      <c r="D6" s="26" t="s">
        <v>103</v>
      </c>
      <c r="E6" s="25" t="s">
        <v>104</v>
      </c>
      <c r="F6" s="25" t="s">
        <v>105</v>
      </c>
      <c r="G6" s="27" t="n">
        <v>29745</v>
      </c>
      <c r="H6" s="28" t="n">
        <f aca="true">IF(G6="","",DATEDIF(G6,TODAY(),"Y"))</f>
        <v>45</v>
      </c>
      <c r="I6" s="28" t="n">
        <f aca="false">IF($A6="","",COUNTIFS('🤸 Ingresos Pole'!$W$2:$W$1000,$A6,'🤸 Ingresos Pole'!$L$2:$L$1000,"Paquete"))</f>
        <v>0</v>
      </c>
      <c r="J6" s="28" t="n">
        <f aca="false">IF($A6="","",COUNTIF('🤸 Ingresos Pole'!$W$2:$W$1000,$A6))</f>
        <v>1</v>
      </c>
      <c r="K6" s="29" t="n">
        <f aca="false">IF($A6="","",SUMIF('🤸 Ingresos Pole'!$W$2:$W$1000,$A6,'🤸 Ingresos Pole'!$P$2:$P$1000))</f>
        <v>50000</v>
      </c>
      <c r="L6" s="30" t="n">
        <f aca="false">IF(OR($A6="",J6=0),"",_xlfn.MINIFS('🤸 Ingresos Pole'!$B$2:$B$1000,'🤸 Ingresos Pole'!$W$2:$W$1000,$A6))</f>
        <v>46283</v>
      </c>
      <c r="M6" s="30" t="n">
        <f aca="false">IF(OR($A6="",J6=0),"",_xlfn.MAXIFS('🤸 Ingresos Pole'!$B$2:$B$1000,'🤸 Ingresos Pole'!$W$2:$W$1000,$A6))</f>
        <v>46283</v>
      </c>
      <c r="N6" s="28" t="str">
        <f aca="false">IF(OR($A6="",J6=0),"",IF(I6=0,"Sin paquete",IF(I6=1,"Nueva","Recurrente")))</f>
        <v>Sin paquete</v>
      </c>
      <c r="O6" s="25" t="str">
        <f aca="false">IF(AND(TRIM(B6)="",TRIM(C6)=""),"",TRIM(B6)&amp;"|"&amp;TRIM(C6))</f>
        <v>Lopez Salamanca|Elizabeth</v>
      </c>
      <c r="P6" s="25" t="str">
        <f aca="false">IF(O6="","",IF(TRIM(C6)="",TRIM(B6),IF(TRIM(B6)="",TRIM(C6),TRIM(B6)&amp;", "&amp;TRIM(C6))))</f>
        <v>Lopez Salamanca, Elizabeth</v>
      </c>
      <c r="Q6" s="25" t="str">
        <f aca="false">IF(O6="","",TRIM(TRIM(C6)&amp;" "&amp;TRIM(B6)))</f>
        <v>Elizabeth Lopez Salamanca</v>
      </c>
      <c r="R6" s="25" t="n">
        <f aca="false">IF(P6="","",COUNTIFS($P$2:$P$1000,"&lt;"&amp;P6,$P$2:$P$1000,"?*")+COUNTIF($P$2:P6,P6))</f>
        <v>16</v>
      </c>
    </row>
    <row r="7" customFormat="false" ht="14.25" hidden="false" customHeight="true" outlineLevel="0" collapsed="false">
      <c r="A7" s="25" t="s">
        <v>106</v>
      </c>
      <c r="B7" s="25" t="s">
        <v>107</v>
      </c>
      <c r="C7" s="25" t="s">
        <v>108</v>
      </c>
      <c r="D7" s="26" t="s">
        <v>109</v>
      </c>
      <c r="E7" s="25" t="s">
        <v>110</v>
      </c>
      <c r="F7" s="25" t="s">
        <v>111</v>
      </c>
      <c r="G7" s="27" t="n">
        <v>27887</v>
      </c>
      <c r="H7" s="28" t="n">
        <f aca="true">IF(G7="","",DATEDIF(G7,TODAY(),"Y"))</f>
        <v>50</v>
      </c>
      <c r="I7" s="28" t="n">
        <f aca="false">IF($A7="","",COUNTIFS('🤸 Ingresos Pole'!$W$2:$W$1000,$A7,'🤸 Ingresos Pole'!$L$2:$L$1000,"Paquete"))</f>
        <v>2</v>
      </c>
      <c r="J7" s="28" t="n">
        <f aca="false">IF($A7="","",COUNTIF('🤸 Ingresos Pole'!$W$2:$W$1000,$A7))</f>
        <v>2</v>
      </c>
      <c r="K7" s="29" t="n">
        <f aca="false">IF($A7="","",SUMIF('🤸 Ingresos Pole'!$W$2:$W$1000,$A7,'🤸 Ingresos Pole'!$P$2:$P$1000))</f>
        <v>830000</v>
      </c>
      <c r="L7" s="30" t="n">
        <f aca="false">IF(OR($A7="",J7=0),"",_xlfn.MINIFS('🤸 Ingresos Pole'!$B$2:$B$1000,'🤸 Ingresos Pole'!$W$2:$W$1000,$A7))</f>
        <v>46265</v>
      </c>
      <c r="M7" s="30" t="n">
        <f aca="false">IF(OR($A7="",J7=0),"",_xlfn.MAXIFS('🤸 Ingresos Pole'!$B$2:$B$1000,'🤸 Ingresos Pole'!$W$2:$W$1000,$A7))</f>
        <v>46294</v>
      </c>
      <c r="N7" s="28" t="str">
        <f aca="false">IF(OR($A7="",J7=0),"",IF(I7=0,"Sin paquete",IF(I7=1,"Nueva","Recurrente")))</f>
        <v>Recurrente</v>
      </c>
      <c r="O7" s="25" t="str">
        <f aca="false">IF(AND(TRIM(B7)="",TRIM(C7)=""),"",TRIM(B7)&amp;"|"&amp;TRIM(C7))</f>
        <v>Arias Ospitia|Francya Damaris</v>
      </c>
      <c r="P7" s="25" t="str">
        <f aca="false">IF(O7="","",IF(TRIM(C7)="",TRIM(B7),IF(TRIM(B7)="",TRIM(C7),TRIM(B7)&amp;", "&amp;TRIM(C7))))</f>
        <v>Arias Ospitia, Francya Damaris</v>
      </c>
      <c r="Q7" s="25" t="str">
        <f aca="false">IF(O7="","",TRIM(TRIM(C7)&amp;" "&amp;TRIM(B7)))</f>
        <v>Francya Damaris Arias Ospitia</v>
      </c>
      <c r="R7" s="25" t="n">
        <f aca="false">IF(P7="","",COUNTIFS($P$2:$P$1000,"&lt;"&amp;P7,$P$2:$P$1000,"?*")+COUNTIF($P$2:P7,P7))</f>
        <v>2</v>
      </c>
    </row>
    <row r="8" customFormat="false" ht="14.25" hidden="false" customHeight="true" outlineLevel="0" collapsed="false">
      <c r="A8" s="25" t="s">
        <v>112</v>
      </c>
      <c r="B8" s="25" t="s">
        <v>113</v>
      </c>
      <c r="C8" s="25" t="s">
        <v>114</v>
      </c>
      <c r="D8" s="26" t="s">
        <v>115</v>
      </c>
      <c r="E8" s="25" t="s">
        <v>116</v>
      </c>
      <c r="F8" s="25"/>
      <c r="G8" s="27" t="n">
        <v>30415</v>
      </c>
      <c r="H8" s="28" t="n">
        <f aca="true">IF(G8="","",DATEDIF(G8,TODAY(),"Y"))</f>
        <v>43</v>
      </c>
      <c r="I8" s="28" t="n">
        <f aca="false">IF($A8="","",COUNTIFS('🤸 Ingresos Pole'!$W$2:$W$1000,$A8,'🤸 Ingresos Pole'!$L$2:$L$1000,"Paquete"))</f>
        <v>0</v>
      </c>
      <c r="J8" s="28" t="n">
        <f aca="false">IF($A8="","",COUNTIF('🤸 Ingresos Pole'!$W$2:$W$1000,$A8))</f>
        <v>1</v>
      </c>
      <c r="K8" s="29" t="n">
        <f aca="false">IF($A8="","",SUMIF('🤸 Ingresos Pole'!$W$2:$W$1000,$A8,'🤸 Ingresos Pole'!$P$2:$P$1000))</f>
        <v>44000</v>
      </c>
      <c r="L8" s="30" t="n">
        <f aca="false">IF(OR($A8="",J8=0),"",_xlfn.MINIFS('🤸 Ingresos Pole'!$B$2:$B$1000,'🤸 Ingresos Pole'!$W$2:$W$1000,$A8))</f>
        <v>46280</v>
      </c>
      <c r="M8" s="30" t="n">
        <f aca="false">IF(OR($A8="",J8=0),"",_xlfn.MAXIFS('🤸 Ingresos Pole'!$B$2:$B$1000,'🤸 Ingresos Pole'!$W$2:$W$1000,$A8))</f>
        <v>46280</v>
      </c>
      <c r="N8" s="28" t="str">
        <f aca="false">IF(OR($A8="",J8=0),"",IF(I8=0,"Sin paquete",IF(I8=1,"Nueva","Recurrente")))</f>
        <v>Sin paquete</v>
      </c>
      <c r="O8" s="25" t="str">
        <f aca="false">IF(AND(TRIM(B8)="",TRIM(C8)=""),"",TRIM(B8)&amp;"|"&amp;TRIM(C8))</f>
        <v>Rojas|Jose Alberto</v>
      </c>
      <c r="P8" s="25" t="str">
        <f aca="false">IF(O8="","",IF(TRIM(C8)="",TRIM(B8),IF(TRIM(B8)="",TRIM(C8),TRIM(B8)&amp;", "&amp;TRIM(C8))))</f>
        <v>Rojas, Jose Alberto</v>
      </c>
      <c r="Q8" s="25" t="str">
        <f aca="false">IF(O8="","",TRIM(TRIM(C8)&amp;" "&amp;TRIM(B8)))</f>
        <v>Jose Alberto Rojas</v>
      </c>
      <c r="R8" s="25" t="n">
        <f aca="false">IF(P8="","",COUNTIFS($P$2:$P$1000,"&lt;"&amp;P8,$P$2:$P$1000,"?*")+COUNTIF($P$2:P8,P8))</f>
        <v>23</v>
      </c>
    </row>
    <row r="9" customFormat="false" ht="14.25" hidden="false" customHeight="true" outlineLevel="0" collapsed="false">
      <c r="A9" s="25" t="s">
        <v>117</v>
      </c>
      <c r="B9" s="25" t="s">
        <v>118</v>
      </c>
      <c r="C9" s="25" t="s">
        <v>119</v>
      </c>
      <c r="D9" s="26" t="n">
        <v>3185937737</v>
      </c>
      <c r="E9" s="25"/>
      <c r="F9" s="25"/>
      <c r="G9" s="27"/>
      <c r="H9" s="28" t="str">
        <f aca="true">IF(G9="","",DATEDIF(G9,TODAY(),"Y"))</f>
        <v/>
      </c>
      <c r="I9" s="28" t="n">
        <f aca="false">IF($A9="","",COUNTIFS('🤸 Ingresos Pole'!$W$2:$W$1000,$A9,'🤸 Ingresos Pole'!$L$2:$L$1000,"Paquete"))</f>
        <v>0</v>
      </c>
      <c r="J9" s="28" t="n">
        <f aca="false">IF($A9="","",COUNTIF('🤸 Ingresos Pole'!$W$2:$W$1000,$A9))</f>
        <v>2</v>
      </c>
      <c r="K9" s="29" t="n">
        <f aca="false">IF($A9="","",SUMIF('🤸 Ingresos Pole'!$W$2:$W$1000,$A9,'🤸 Ingresos Pole'!$P$2:$P$1000))</f>
        <v>44000</v>
      </c>
      <c r="L9" s="30" t="n">
        <f aca="false">IF(OR($A9="",J9=0),"",_xlfn.MINIFS('🤸 Ingresos Pole'!$B$2:$B$1000,'🤸 Ingresos Pole'!$W$2:$W$1000,$A9))</f>
        <v>46267</v>
      </c>
      <c r="M9" s="30" t="n">
        <f aca="false">IF(OR($A9="",J9=0),"",_xlfn.MAXIFS('🤸 Ingresos Pole'!$B$2:$B$1000,'🤸 Ingresos Pole'!$W$2:$W$1000,$A9))</f>
        <v>46283</v>
      </c>
      <c r="N9" s="28" t="str">
        <f aca="false">IF(OR($A9="",J9=0),"",IF(I9=0,"Sin paquete",IF(I9=1,"Nueva","Recurrente")))</f>
        <v>Sin paquete</v>
      </c>
      <c r="O9" s="25" t="str">
        <f aca="false">IF(AND(TRIM(B9)="",TRIM(C9)=""),"",TRIM(B9)&amp;"|"&amp;TRIM(C9))</f>
        <v>Bossa|Juliana</v>
      </c>
      <c r="P9" s="25" t="str">
        <f aca="false">IF(O9="","",IF(TRIM(C9)="",TRIM(B9),IF(TRIM(B9)="",TRIM(C9),TRIM(B9)&amp;", "&amp;TRIM(C9))))</f>
        <v>Bossa, Juliana</v>
      </c>
      <c r="Q9" s="25" t="str">
        <f aca="false">IF(O9="","",TRIM(TRIM(C9)&amp;" "&amp;TRIM(B9)))</f>
        <v>Juliana Bossa</v>
      </c>
      <c r="R9" s="25" t="n">
        <f aca="false">IF(P9="","",COUNTIFS($P$2:$P$1000,"&lt;"&amp;P9,$P$2:$P$1000,"?*")+COUNTIF($P$2:P9,P9))</f>
        <v>7</v>
      </c>
    </row>
    <row r="10" customFormat="false" ht="14.25" hidden="false" customHeight="true" outlineLevel="0" collapsed="false">
      <c r="A10" s="25" t="s">
        <v>120</v>
      </c>
      <c r="B10" s="25" t="s">
        <v>107</v>
      </c>
      <c r="C10" s="25" t="s">
        <v>121</v>
      </c>
      <c r="D10" s="26" t="s">
        <v>109</v>
      </c>
      <c r="E10" s="25" t="s">
        <v>110</v>
      </c>
      <c r="F10" s="25" t="s">
        <v>111</v>
      </c>
      <c r="G10" s="27" t="n">
        <v>27887</v>
      </c>
      <c r="H10" s="28" t="n">
        <f aca="true">IF(G10="","",DATEDIF(G10,TODAY(),"Y"))</f>
        <v>50</v>
      </c>
      <c r="I10" s="28" t="n">
        <f aca="false">IF($A10="","",COUNTIFS('🤸 Ingresos Pole'!$W$2:$W$1000,$A10,'🤸 Ingresos Pole'!$L$2:$L$1000,"Paquete"))</f>
        <v>1</v>
      </c>
      <c r="J10" s="28" t="n">
        <f aca="false">IF($A10="","",COUNTIF('🤸 Ingresos Pole'!$W$2:$W$1000,$A10))</f>
        <v>1</v>
      </c>
      <c r="K10" s="29" t="n">
        <f aca="false">IF($A10="","",SUMIF('🤸 Ingresos Pole'!$W$2:$W$1000,$A10,'🤸 Ingresos Pole'!$P$2:$P$1000))</f>
        <v>0</v>
      </c>
      <c r="L10" s="30" t="n">
        <f aca="false">IF(OR($A10="",J10=0),"",_xlfn.MINIFS('🤸 Ingresos Pole'!$B$2:$B$1000,'🤸 Ingresos Pole'!$W$2:$W$1000,$A10))</f>
        <v>46294</v>
      </c>
      <c r="M10" s="30" t="n">
        <f aca="false">IF(OR($A10="",J10=0),"",_xlfn.MAXIFS('🤸 Ingresos Pole'!$B$2:$B$1000,'🤸 Ingresos Pole'!$W$2:$W$1000,$A10))</f>
        <v>46294</v>
      </c>
      <c r="N10" s="28" t="str">
        <f aca="false">IF(OR($A10="",J10=0),"",IF(I10=0,"Sin paquete",IF(I10=1,"Nueva","Recurrente")))</f>
        <v>Nueva</v>
      </c>
      <c r="O10" s="25" t="str">
        <f aca="false">IF(AND(TRIM(B10)="",TRIM(C10)=""),"",TRIM(B10)&amp;"|"&amp;TRIM(C10))</f>
        <v>Arias Ospitia|Karen</v>
      </c>
      <c r="P10" s="25" t="str">
        <f aca="false">IF(O10="","",IF(TRIM(C10)="",TRIM(B10),IF(TRIM(B10)="",TRIM(C10),TRIM(B10)&amp;", "&amp;TRIM(C10))))</f>
        <v>Arias Ospitia, Karen</v>
      </c>
      <c r="Q10" s="25" t="str">
        <f aca="false">IF(O10="","",TRIM(TRIM(C10)&amp;" "&amp;TRIM(B10)))</f>
        <v>Karen Arias Ospitia</v>
      </c>
      <c r="R10" s="25" t="n">
        <f aca="false">IF(P10="","",COUNTIFS($P$2:$P$1000,"&lt;"&amp;P10,$P$2:$P$1000,"?*")+COUNTIF($P$2:P10,P10))</f>
        <v>3</v>
      </c>
    </row>
    <row r="11" customFormat="false" ht="14.25" hidden="false" customHeight="true" outlineLevel="0" collapsed="false">
      <c r="A11" s="25" t="s">
        <v>122</v>
      </c>
      <c r="B11" s="25" t="s">
        <v>123</v>
      </c>
      <c r="C11" s="25" t="s">
        <v>124</v>
      </c>
      <c r="D11" s="26"/>
      <c r="E11" s="25"/>
      <c r="F11" s="25"/>
      <c r="G11" s="27"/>
      <c r="H11" s="28" t="str">
        <f aca="true">IF(G11="","",DATEDIF(G11,TODAY(),"Y"))</f>
        <v/>
      </c>
      <c r="I11" s="28" t="n">
        <f aca="false">IF($A11="","",COUNTIFS('🤸 Ingresos Pole'!$W$2:$W$1000,$A11,'🤸 Ingresos Pole'!$L$2:$L$1000,"Paquete"))</f>
        <v>0</v>
      </c>
      <c r="J11" s="28" t="n">
        <f aca="false">IF($A11="","",COUNTIF('🤸 Ingresos Pole'!$W$2:$W$1000,$A11))</f>
        <v>4</v>
      </c>
      <c r="K11" s="29" t="n">
        <f aca="false">IF($A11="","",SUMIF('🤸 Ingresos Pole'!$W$2:$W$1000,$A11,'🤸 Ingresos Pole'!$P$2:$P$1000))</f>
        <v>132000</v>
      </c>
      <c r="L11" s="30" t="n">
        <f aca="false">IF(OR($A11="",J11=0),"",_xlfn.MINIFS('🤸 Ingresos Pole'!$B$2:$B$1000,'🤸 Ingresos Pole'!$W$2:$W$1000,$A11))</f>
        <v>46274</v>
      </c>
      <c r="M11" s="30" t="n">
        <f aca="false">IF(OR($A11="",J11=0),"",_xlfn.MAXIFS('🤸 Ingresos Pole'!$B$2:$B$1000,'🤸 Ingresos Pole'!$W$2:$W$1000,$A11))</f>
        <v>46295</v>
      </c>
      <c r="N11" s="28" t="str">
        <f aca="false">IF(OR($A11="",J11=0),"",IF(I11=0,"Sin paquete",IF(I11=1,"Nueva","Recurrente")))</f>
        <v>Sin paquete</v>
      </c>
      <c r="O11" s="25" t="str">
        <f aca="false">IF(AND(TRIM(B11)="",TRIM(C11)=""),"",TRIM(B11)&amp;"|"&amp;TRIM(C11))</f>
        <v>Sierra|Karol</v>
      </c>
      <c r="P11" s="25" t="str">
        <f aca="false">IF(O11="","",IF(TRIM(C11)="",TRIM(B11),IF(TRIM(B11)="",TRIM(C11),TRIM(B11)&amp;", "&amp;TRIM(C11))))</f>
        <v>Sierra, Karol</v>
      </c>
      <c r="Q11" s="25" t="str">
        <f aca="false">IF(O11="","",TRIM(TRIM(C11)&amp;" "&amp;TRIM(B11)))</f>
        <v>Karol Sierra</v>
      </c>
      <c r="R11" s="25" t="n">
        <f aca="false">IF(P11="","",COUNTIFS($P$2:$P$1000,"&lt;"&amp;P11,$P$2:$P$1000,"?*")+COUNTIF($P$2:P11,P11))</f>
        <v>25</v>
      </c>
    </row>
    <row r="12" customFormat="false" ht="14.25" hidden="false" customHeight="true" outlineLevel="0" collapsed="false">
      <c r="A12" s="25" t="s">
        <v>125</v>
      </c>
      <c r="B12" s="25" t="s">
        <v>126</v>
      </c>
      <c r="C12" s="25" t="s">
        <v>127</v>
      </c>
      <c r="D12" s="26" t="s">
        <v>128</v>
      </c>
      <c r="E12" s="25" t="s">
        <v>129</v>
      </c>
      <c r="F12" s="25" t="s">
        <v>130</v>
      </c>
      <c r="G12" s="27" t="n">
        <v>36998</v>
      </c>
      <c r="H12" s="28" t="n">
        <f aca="true">IF(G12="","",DATEDIF(G12,TODAY(),"Y"))</f>
        <v>25</v>
      </c>
      <c r="I12" s="28" t="n">
        <f aca="false">IF($A12="","",COUNTIFS('🤸 Ingresos Pole'!$W$2:$W$1000,$A12,'🤸 Ingresos Pole'!$L$2:$L$1000,"Paquete"))</f>
        <v>1</v>
      </c>
      <c r="J12" s="28" t="n">
        <f aca="false">IF($A12="","",COUNTIF('🤸 Ingresos Pole'!$W$2:$W$1000,$A12))</f>
        <v>1</v>
      </c>
      <c r="K12" s="29" t="n">
        <f aca="false">IF($A12="","",SUMIF('🤸 Ingresos Pole'!$W$2:$W$1000,$A12,'🤸 Ingresos Pole'!$P$2:$P$1000))</f>
        <v>480000</v>
      </c>
      <c r="L12" s="30" t="n">
        <f aca="false">IF(OR($A12="",J12=0),"",_xlfn.MINIFS('🤸 Ingresos Pole'!$B$2:$B$1000,'🤸 Ingresos Pole'!$W$2:$W$1000,$A12))</f>
        <v>46265</v>
      </c>
      <c r="M12" s="30" t="n">
        <f aca="false">IF(OR($A12="",J12=0),"",_xlfn.MAXIFS('🤸 Ingresos Pole'!$B$2:$B$1000,'🤸 Ingresos Pole'!$W$2:$W$1000,$A12))</f>
        <v>46265</v>
      </c>
      <c r="N12" s="28" t="str">
        <f aca="false">IF(OR($A12="",J12=0),"",IF(I12=0,"Sin paquete",IF(I12=1,"Nueva","Recurrente")))</f>
        <v>Nueva</v>
      </c>
      <c r="O12" s="25" t="str">
        <f aca="false">IF(AND(TRIM(B12)="",TRIM(C12)=""),"",TRIM(B12)&amp;"|"&amp;TRIM(C12))</f>
        <v>Ramírez Galvis|Laura Camila</v>
      </c>
      <c r="P12" s="25" t="str">
        <f aca="false">IF(O12="","",IF(TRIM(C12)="",TRIM(B12),IF(TRIM(B12)="",TRIM(C12),TRIM(B12)&amp;", "&amp;TRIM(C12))))</f>
        <v>Ramírez Galvis, Laura Camila</v>
      </c>
      <c r="Q12" s="25" t="str">
        <f aca="false">IF(O12="","",TRIM(TRIM(C12)&amp;" "&amp;TRIM(B12)))</f>
        <v>Laura Camila Ramírez Galvis</v>
      </c>
      <c r="R12" s="25" t="n">
        <f aca="false">IF(P12="","",COUNTIFS($P$2:$P$1000,"&lt;"&amp;P12,$P$2:$P$1000,"?*")+COUNTIF($P$2:P12,P12))</f>
        <v>22</v>
      </c>
    </row>
    <row r="13" customFormat="false" ht="14.25" hidden="false" customHeight="true" outlineLevel="0" collapsed="false">
      <c r="A13" s="25" t="s">
        <v>131</v>
      </c>
      <c r="B13" s="25" t="s">
        <v>132</v>
      </c>
      <c r="C13" s="25" t="s">
        <v>133</v>
      </c>
      <c r="D13" s="26" t="s">
        <v>134</v>
      </c>
      <c r="E13" s="25" t="s">
        <v>135</v>
      </c>
      <c r="F13" s="25" t="s">
        <v>136</v>
      </c>
      <c r="G13" s="27" t="n">
        <v>38993</v>
      </c>
      <c r="H13" s="28" t="n">
        <f aca="true">IF(G13="","",DATEDIF(G13,TODAY(),"Y"))</f>
        <v>20</v>
      </c>
      <c r="I13" s="28" t="n">
        <f aca="false">IF($A13="","",COUNTIFS('🤸 Ingresos Pole'!$W$2:$W$1000,$A13,'🤸 Ingresos Pole'!$L$2:$L$1000,"Paquete"))</f>
        <v>1</v>
      </c>
      <c r="J13" s="28" t="n">
        <f aca="false">IF($A13="","",COUNTIF('🤸 Ingresos Pole'!$W$2:$W$1000,$A13))</f>
        <v>1</v>
      </c>
      <c r="K13" s="29" t="n">
        <f aca="false">IF($A13="","",SUMIF('🤸 Ingresos Pole'!$W$2:$W$1000,$A13,'🤸 Ingresos Pole'!$P$2:$P$1000))</f>
        <v>480000</v>
      </c>
      <c r="L13" s="30" t="n">
        <f aca="false">IF(OR($A13="",J13=0),"",_xlfn.MINIFS('🤸 Ingresos Pole'!$B$2:$B$1000,'🤸 Ingresos Pole'!$W$2:$W$1000,$A13))</f>
        <v>46281</v>
      </c>
      <c r="M13" s="30" t="n">
        <f aca="false">IF(OR($A13="",J13=0),"",_xlfn.MAXIFS('🤸 Ingresos Pole'!$B$2:$B$1000,'🤸 Ingresos Pole'!$W$2:$W$1000,$A13))</f>
        <v>46281</v>
      </c>
      <c r="N13" s="28" t="str">
        <f aca="false">IF(OR($A13="",J13=0),"",IF(I13=0,"Sin paquete",IF(I13=1,"Nueva","Recurrente")))</f>
        <v>Nueva</v>
      </c>
      <c r="O13" s="25" t="str">
        <f aca="false">IF(AND(TRIM(B13)="",TRIM(C13)=""),"",TRIM(B13)&amp;"|"&amp;TRIM(C13))</f>
        <v>Hilarión Abril|Laura Sofia</v>
      </c>
      <c r="P13" s="25" t="str">
        <f aca="false">IF(O13="","",IF(TRIM(C13)="",TRIM(B13),IF(TRIM(B13)="",TRIM(C13),TRIM(B13)&amp;", "&amp;TRIM(C13))))</f>
        <v>Hilarión Abril, Laura Sofia</v>
      </c>
      <c r="Q13" s="25" t="str">
        <f aca="false">IF(O13="","",TRIM(TRIM(C13)&amp;" "&amp;TRIM(B13)))</f>
        <v>Laura Sofia Hilarión Abril</v>
      </c>
      <c r="R13" s="25" t="n">
        <f aca="false">IF(P13="","",COUNTIFS($P$2:$P$1000,"&lt;"&amp;P13,$P$2:$P$1000,"?*")+COUNTIF($P$2:P13,P13))</f>
        <v>13</v>
      </c>
    </row>
    <row r="14" customFormat="false" ht="14.25" hidden="false" customHeight="true" outlineLevel="0" collapsed="false">
      <c r="A14" s="25" t="s">
        <v>137</v>
      </c>
      <c r="B14" s="25" t="s">
        <v>138</v>
      </c>
      <c r="C14" s="25" t="s">
        <v>139</v>
      </c>
      <c r="D14" s="26" t="s">
        <v>140</v>
      </c>
      <c r="E14" s="25" t="s">
        <v>141</v>
      </c>
      <c r="F14" s="25" t="s">
        <v>142</v>
      </c>
      <c r="G14" s="27" t="n">
        <v>34407</v>
      </c>
      <c r="H14" s="28" t="n">
        <f aca="true">IF(G14="","",DATEDIF(G14,TODAY(),"Y"))</f>
        <v>32</v>
      </c>
      <c r="I14" s="28" t="n">
        <f aca="false">IF($A14="","",COUNTIFS('🤸 Ingresos Pole'!$W$2:$W$1000,$A14,'🤸 Ingresos Pole'!$L$2:$L$1000,"Paquete"))</f>
        <v>2</v>
      </c>
      <c r="J14" s="28" t="n">
        <f aca="false">IF($A14="","",COUNTIF('🤸 Ingresos Pole'!$W$2:$W$1000,$A14))</f>
        <v>2</v>
      </c>
      <c r="K14" s="29" t="n">
        <f aca="false">IF($A14="","",SUMIF('🤸 Ingresos Pole'!$W$2:$W$1000,$A14,'🤸 Ingresos Pole'!$P$2:$P$1000))</f>
        <v>480000</v>
      </c>
      <c r="L14" s="30" t="n">
        <f aca="false">IF(OR($A14="",J14=0),"",_xlfn.MINIFS('🤸 Ingresos Pole'!$B$2:$B$1000,'🤸 Ingresos Pole'!$W$2:$W$1000,$A14))</f>
        <v>46267</v>
      </c>
      <c r="M14" s="30" t="n">
        <f aca="false">IF(OR($A14="",J14=0),"",_xlfn.MAXIFS('🤸 Ingresos Pole'!$B$2:$B$1000,'🤸 Ingresos Pole'!$W$2:$W$1000,$A14))</f>
        <v>46295</v>
      </c>
      <c r="N14" s="28" t="str">
        <f aca="false">IF(OR($A14="",J14=0),"",IF(I14=0,"Sin paquete",IF(I14=1,"Nueva","Recurrente")))</f>
        <v>Recurrente</v>
      </c>
      <c r="O14" s="25" t="str">
        <f aca="false">IF(AND(TRIM(B14)="",TRIM(C14)=""),"",TRIM(B14)&amp;"|"&amp;TRIM(C14))</f>
        <v>Guerra Aguilar|Laura Vanessa</v>
      </c>
      <c r="P14" s="25" t="str">
        <f aca="false">IF(O14="","",IF(TRIM(C14)="",TRIM(B14),IF(TRIM(B14)="",TRIM(C14),TRIM(B14)&amp;", "&amp;TRIM(C14))))</f>
        <v>Guerra Aguilar, Laura Vanessa</v>
      </c>
      <c r="Q14" s="25" t="str">
        <f aca="false">IF(O14="","",TRIM(TRIM(C14)&amp;" "&amp;TRIM(B14)))</f>
        <v>Laura Vanessa Guerra Aguilar</v>
      </c>
      <c r="R14" s="25" t="n">
        <f aca="false">IF(P14="","",COUNTIFS($P$2:$P$1000,"&lt;"&amp;P14,$P$2:$P$1000,"?*")+COUNTIF($P$2:P14,P14))</f>
        <v>12</v>
      </c>
    </row>
    <row r="15" customFormat="false" ht="14.25" hidden="false" customHeight="true" outlineLevel="0" collapsed="false">
      <c r="A15" s="25" t="s">
        <v>143</v>
      </c>
      <c r="B15" s="25" t="s">
        <v>144</v>
      </c>
      <c r="C15" s="25" t="s">
        <v>145</v>
      </c>
      <c r="D15" s="26" t="s">
        <v>146</v>
      </c>
      <c r="E15" s="25" t="s">
        <v>147</v>
      </c>
      <c r="F15" s="25" t="s">
        <v>148</v>
      </c>
      <c r="G15" s="27"/>
      <c r="H15" s="28" t="str">
        <f aca="true">IF(G15="","",DATEDIF(G15,TODAY(),"Y"))</f>
        <v/>
      </c>
      <c r="I15" s="28" t="n">
        <f aca="false">IF($A15="","",COUNTIFS('🤸 Ingresos Pole'!$W$2:$W$1000,$A15,'🤸 Ingresos Pole'!$L$2:$L$1000,"Paquete"))</f>
        <v>2</v>
      </c>
      <c r="J15" s="28" t="n">
        <f aca="false">IF($A15="","",COUNTIF('🤸 Ingresos Pole'!$W$2:$W$1000,$A15))</f>
        <v>2</v>
      </c>
      <c r="K15" s="29" t="n">
        <f aca="false">IF($A15="","",SUMIF('🤸 Ingresos Pole'!$W$2:$W$1000,$A15,'🤸 Ingresos Pole'!$P$2:$P$1000))</f>
        <v>590000</v>
      </c>
      <c r="L15" s="30" t="n">
        <f aca="false">IF(OR($A15="",J15=0),"",_xlfn.MINIFS('🤸 Ingresos Pole'!$B$2:$B$1000,'🤸 Ingresos Pole'!$W$2:$W$1000,$A15))</f>
        <v>46276</v>
      </c>
      <c r="M15" s="30" t="n">
        <f aca="false">IF(OR($A15="",J15=0),"",_xlfn.MAXIFS('🤸 Ingresos Pole'!$B$2:$B$1000,'🤸 Ingresos Pole'!$W$2:$W$1000,$A15))</f>
        <v>46295</v>
      </c>
      <c r="N15" s="28" t="str">
        <f aca="false">IF(OR($A15="",J15=0),"",IF(I15=0,"Sin paquete",IF(I15=1,"Nueva","Recurrente")))</f>
        <v>Recurrente</v>
      </c>
      <c r="O15" s="25" t="str">
        <f aca="false">IF(AND(TRIM(B15)="",TRIM(C15)=""),"",TRIM(B15)&amp;"|"&amp;TRIM(C15))</f>
        <v>Vergara Hernández|Maira Alejandra</v>
      </c>
      <c r="P15" s="25" t="str">
        <f aca="false">IF(O15="","",IF(TRIM(C15)="",TRIM(B15),IF(TRIM(B15)="",TRIM(C15),TRIM(B15)&amp;", "&amp;TRIM(C15))))</f>
        <v>Vergara Hernández, Maira Alejandra</v>
      </c>
      <c r="Q15" s="25" t="str">
        <f aca="false">IF(O15="","",TRIM(TRIM(C15)&amp;" "&amp;TRIM(B15)))</f>
        <v>Maira Alejandra Vergara Hernández</v>
      </c>
      <c r="R15" s="25" t="n">
        <f aca="false">IF(P15="","",COUNTIFS($P$2:$P$1000,"&lt;"&amp;P15,$P$2:$P$1000,"?*")+COUNTIF($P$2:P15,P15))</f>
        <v>28</v>
      </c>
    </row>
    <row r="16" customFormat="false" ht="14.25" hidden="false" customHeight="true" outlineLevel="0" collapsed="false">
      <c r="A16" s="25" t="s">
        <v>149</v>
      </c>
      <c r="B16" s="25" t="s">
        <v>150</v>
      </c>
      <c r="C16" s="25" t="s">
        <v>151</v>
      </c>
      <c r="D16" s="26" t="s">
        <v>152</v>
      </c>
      <c r="E16" s="25" t="s">
        <v>153</v>
      </c>
      <c r="F16" s="25" t="s">
        <v>154</v>
      </c>
      <c r="G16" s="27" t="n">
        <v>37473</v>
      </c>
      <c r="H16" s="28" t="n">
        <f aca="true">IF(G16="","",DATEDIF(G16,TODAY(),"Y"))</f>
        <v>24</v>
      </c>
      <c r="I16" s="28" t="n">
        <f aca="false">IF($A16="","",COUNTIFS('🤸 Ingresos Pole'!$W$2:$W$1000,$A16,'🤸 Ingresos Pole'!$L$2:$L$1000,"Paquete"))</f>
        <v>1</v>
      </c>
      <c r="J16" s="28" t="n">
        <f aca="false">IF($A16="","",COUNTIF('🤸 Ingresos Pole'!$W$2:$W$1000,$A16))</f>
        <v>1</v>
      </c>
      <c r="K16" s="29" t="n">
        <f aca="false">IF($A16="","",SUMIF('🤸 Ingresos Pole'!$W$2:$W$1000,$A16,'🤸 Ingresos Pole'!$P$2:$P$1000))</f>
        <v>350000</v>
      </c>
      <c r="L16" s="30" t="n">
        <f aca="false">IF(OR($A16="",J16=0),"",_xlfn.MINIFS('🤸 Ingresos Pole'!$B$2:$B$1000,'🤸 Ingresos Pole'!$W$2:$W$1000,$A16))</f>
        <v>46291</v>
      </c>
      <c r="M16" s="30" t="n">
        <f aca="false">IF(OR($A16="",J16=0),"",_xlfn.MAXIFS('🤸 Ingresos Pole'!$B$2:$B$1000,'🤸 Ingresos Pole'!$W$2:$W$1000,$A16))</f>
        <v>46291</v>
      </c>
      <c r="N16" s="28" t="str">
        <f aca="false">IF(OR($A16="",J16=0),"",IF(I16=0,"Sin paquete",IF(I16=1,"Nueva","Recurrente")))</f>
        <v>Nueva</v>
      </c>
      <c r="O16" s="25" t="str">
        <f aca="false">IF(AND(TRIM(B16)="",TRIM(C16)=""),"",TRIM(B16)&amp;"|"&amp;TRIM(C16))</f>
        <v>García Sanabria|Marcela</v>
      </c>
      <c r="P16" s="25" t="str">
        <f aca="false">IF(O16="","",IF(TRIM(C16)="",TRIM(B16),IF(TRIM(B16)="",TRIM(C16),TRIM(B16)&amp;", "&amp;TRIM(C16))))</f>
        <v>García Sanabria, Marcela</v>
      </c>
      <c r="Q16" s="25" t="str">
        <f aca="false">IF(O16="","",TRIM(TRIM(C16)&amp;" "&amp;TRIM(B16)))</f>
        <v>Marcela García Sanabria</v>
      </c>
      <c r="R16" s="25" t="n">
        <f aca="false">IF(P16="","",COUNTIFS($P$2:$P$1000,"&lt;"&amp;P16,$P$2:$P$1000,"?*")+COUNTIF($P$2:P16,P16))</f>
        <v>11</v>
      </c>
    </row>
    <row r="17" customFormat="false" ht="14.25" hidden="false" customHeight="true" outlineLevel="0" collapsed="false">
      <c r="A17" s="25" t="s">
        <v>155</v>
      </c>
      <c r="B17" s="25" t="s">
        <v>156</v>
      </c>
      <c r="C17" s="25" t="s">
        <v>157</v>
      </c>
      <c r="D17" s="26" t="s">
        <v>158</v>
      </c>
      <c r="E17" s="25" t="s">
        <v>159</v>
      </c>
      <c r="F17" s="25" t="s">
        <v>160</v>
      </c>
      <c r="G17" s="27" t="n">
        <v>34586</v>
      </c>
      <c r="H17" s="28" t="n">
        <f aca="true">IF(G17="","",DATEDIF(G17,TODAY(),"Y"))</f>
        <v>32</v>
      </c>
      <c r="I17" s="28" t="n">
        <f aca="false">IF($A17="","",COUNTIFS('🤸 Ingresos Pole'!$W$2:$W$1000,$A17,'🤸 Ingresos Pole'!$L$2:$L$1000,"Paquete"))</f>
        <v>1</v>
      </c>
      <c r="J17" s="28" t="n">
        <f aca="false">IF($A17="","",COUNTIF('🤸 Ingresos Pole'!$W$2:$W$1000,$A17))</f>
        <v>1</v>
      </c>
      <c r="K17" s="29" t="n">
        <f aca="false">IF($A17="","",SUMIF('🤸 Ingresos Pole'!$W$2:$W$1000,$A17,'🤸 Ingresos Pole'!$P$2:$P$1000))</f>
        <v>240000</v>
      </c>
      <c r="L17" s="30" t="n">
        <f aca="false">IF(OR($A17="",J17=0),"",_xlfn.MINIFS('🤸 Ingresos Pole'!$B$2:$B$1000,'🤸 Ingresos Pole'!$W$2:$W$1000,$A17))</f>
        <v>46272</v>
      </c>
      <c r="M17" s="30" t="n">
        <f aca="false">IF(OR($A17="",J17=0),"",_xlfn.MAXIFS('🤸 Ingresos Pole'!$B$2:$B$1000,'🤸 Ingresos Pole'!$W$2:$W$1000,$A17))</f>
        <v>46272</v>
      </c>
      <c r="N17" s="28" t="str">
        <f aca="false">IF(OR($A17="",J17=0),"",IF(I17=0,"Sin paquete",IF(I17=1,"Nueva","Recurrente")))</f>
        <v>Nueva</v>
      </c>
      <c r="O17" s="25" t="str">
        <f aca="false">IF(AND(TRIM(B17)="",TRIM(C17)=""),"",TRIM(B17)&amp;"|"&amp;TRIM(C17))</f>
        <v>Cuellar Galvira|Deisy Marcela</v>
      </c>
      <c r="P17" s="25" t="str">
        <f aca="false">IF(O17="","",IF(TRIM(C17)="",TRIM(B17),IF(TRIM(B17)="",TRIM(C17),TRIM(B17)&amp;", "&amp;TRIM(C17))))</f>
        <v>Cuellar Galvira, Deisy Marcela</v>
      </c>
      <c r="Q17" s="25" t="str">
        <f aca="false">IF(O17="","",TRIM(TRIM(C17)&amp;" "&amp;TRIM(B17)))</f>
        <v>Deisy Marcela Cuellar Galvira</v>
      </c>
      <c r="R17" s="25" t="n">
        <f aca="false">IF(P17="","",COUNTIFS($P$2:$P$1000,"&lt;"&amp;P17,$P$2:$P$1000,"?*")+COUNTIF($P$2:P17,P17))</f>
        <v>9</v>
      </c>
    </row>
    <row r="18" customFormat="false" ht="14.25" hidden="false" customHeight="true" outlineLevel="0" collapsed="false">
      <c r="A18" s="25" t="s">
        <v>161</v>
      </c>
      <c r="B18" s="25" t="s">
        <v>162</v>
      </c>
      <c r="C18" s="25" t="s">
        <v>163</v>
      </c>
      <c r="D18" s="26" t="s">
        <v>164</v>
      </c>
      <c r="E18" s="25" t="s">
        <v>165</v>
      </c>
      <c r="F18" s="25" t="s">
        <v>142</v>
      </c>
      <c r="G18" s="27" t="n">
        <v>35421</v>
      </c>
      <c r="H18" s="28" t="n">
        <f aca="true">IF(G18="","",DATEDIF(G18,TODAY(),"Y"))</f>
        <v>29</v>
      </c>
      <c r="I18" s="28" t="n">
        <f aca="false">IF($A18="","",COUNTIFS('🤸 Ingresos Pole'!$W$2:$W$1000,$A18,'🤸 Ingresos Pole'!$L$2:$L$1000,"Paquete"))</f>
        <v>1</v>
      </c>
      <c r="J18" s="28" t="n">
        <f aca="false">IF($A18="","",COUNTIF('🤸 Ingresos Pole'!$W$2:$W$1000,$A18))</f>
        <v>1</v>
      </c>
      <c r="K18" s="29" t="n">
        <f aca="false">IF($A18="","",SUMIF('🤸 Ingresos Pole'!$W$2:$W$1000,$A18,'🤸 Ingresos Pole'!$P$2:$P$1000))</f>
        <v>240000</v>
      </c>
      <c r="L18" s="30" t="n">
        <f aca="false">IF(OR($A18="",J18=0),"",_xlfn.MINIFS('🤸 Ingresos Pole'!$B$2:$B$1000,'🤸 Ingresos Pole'!$W$2:$W$1000,$A18))</f>
        <v>46267</v>
      </c>
      <c r="M18" s="30" t="n">
        <f aca="false">IF(OR($A18="",J18=0),"",_xlfn.MAXIFS('🤸 Ingresos Pole'!$B$2:$B$1000,'🤸 Ingresos Pole'!$W$2:$W$1000,$A18))</f>
        <v>46267</v>
      </c>
      <c r="N18" s="28" t="str">
        <f aca="false">IF(OR($A18="",J18=0),"",IF(I18=0,"Sin paquete",IF(I18=1,"Nueva","Recurrente")))</f>
        <v>Nueva</v>
      </c>
      <c r="O18" s="25" t="str">
        <f aca="false">IF(AND(TRIM(B18)="",TRIM(C18)=""),"",TRIM(B18)&amp;"|"&amp;TRIM(C18))</f>
        <v>León González|María Paula</v>
      </c>
      <c r="P18" s="25" t="str">
        <f aca="false">IF(O18="","",IF(TRIM(C18)="",TRIM(B18),IF(TRIM(B18)="",TRIM(C18),TRIM(B18)&amp;", "&amp;TRIM(C18))))</f>
        <v>León González, María Paula</v>
      </c>
      <c r="Q18" s="25" t="str">
        <f aca="false">IF(O18="","",TRIM(TRIM(C18)&amp;" "&amp;TRIM(B18)))</f>
        <v>María Paula León González</v>
      </c>
      <c r="R18" s="25" t="n">
        <f aca="false">IF(P18="","",COUNTIFS($P$2:$P$1000,"&lt;"&amp;P18,$P$2:$P$1000,"?*")+COUNTIF($P$2:P18,P18))</f>
        <v>14</v>
      </c>
    </row>
    <row r="19" customFormat="false" ht="14.25" hidden="false" customHeight="true" outlineLevel="0" collapsed="false">
      <c r="A19" s="25" t="s">
        <v>166</v>
      </c>
      <c r="B19" s="25" t="s">
        <v>167</v>
      </c>
      <c r="C19" s="25" t="s">
        <v>168</v>
      </c>
      <c r="D19" s="26" t="s">
        <v>169</v>
      </c>
      <c r="E19" s="25" t="s">
        <v>170</v>
      </c>
      <c r="F19" s="25" t="s">
        <v>171</v>
      </c>
      <c r="G19" s="27" t="n">
        <v>28515</v>
      </c>
      <c r="H19" s="28" t="n">
        <f aca="true">IF(G19="","",DATEDIF(G19,TODAY(),"Y"))</f>
        <v>48</v>
      </c>
      <c r="I19" s="28" t="n">
        <f aca="false">IF($A19="","",COUNTIFS('🤸 Ingresos Pole'!$W$2:$W$1000,$A19,'🤸 Ingresos Pole'!$L$2:$L$1000,"Paquete"))</f>
        <v>1</v>
      </c>
      <c r="J19" s="28" t="n">
        <f aca="false">IF($A19="","",COUNTIF('🤸 Ingresos Pole'!$W$2:$W$1000,$A19))</f>
        <v>2</v>
      </c>
      <c r="K19" s="29" t="n">
        <f aca="false">IF($A19="","",SUMIF('🤸 Ingresos Pole'!$W$2:$W$1000,$A19,'🤸 Ingresos Pole'!$P$2:$P$1000))</f>
        <v>290000</v>
      </c>
      <c r="L19" s="30" t="n">
        <f aca="false">IF(OR($A19="",J19=0),"",_xlfn.MINIFS('🤸 Ingresos Pole'!$B$2:$B$1000,'🤸 Ingresos Pole'!$W$2:$W$1000,$A19))</f>
        <v>46294</v>
      </c>
      <c r="M19" s="30" t="n">
        <f aca="false">IF(OR($A19="",J19=0),"",_xlfn.MAXIFS('🤸 Ingresos Pole'!$B$2:$B$1000,'🤸 Ingresos Pole'!$W$2:$W$1000,$A19))</f>
        <v>46295</v>
      </c>
      <c r="N19" s="28" t="str">
        <f aca="false">IF(OR($A19="",J19=0),"",IF(I19=0,"Sin paquete",IF(I19=1,"Nueva","Recurrente")))</f>
        <v>Nueva</v>
      </c>
      <c r="O19" s="25" t="str">
        <f aca="false">IF(AND(TRIM(B19)="",TRIM(C19)=""),"",TRIM(B19)&amp;"|"&amp;TRIM(C19))</f>
        <v>Aragón González|Martha Yasmin</v>
      </c>
      <c r="P19" s="25" t="str">
        <f aca="false">IF(O19="","",IF(TRIM(C19)="",TRIM(B19),IF(TRIM(B19)="",TRIM(C19),TRIM(B19)&amp;", "&amp;TRIM(C19))))</f>
        <v>Aragón González, Martha Yasmin</v>
      </c>
      <c r="Q19" s="25" t="str">
        <f aca="false">IF(O19="","",TRIM(TRIM(C19)&amp;" "&amp;TRIM(B19)))</f>
        <v>Martha Yasmin Aragón González</v>
      </c>
      <c r="R19" s="25" t="n">
        <f aca="false">IF(P19="","",COUNTIFS($P$2:$P$1000,"&lt;"&amp;P19,$P$2:$P$1000,"?*")+COUNTIF($P$2:P19,P19))</f>
        <v>1</v>
      </c>
    </row>
    <row r="20" customFormat="false" ht="14.25" hidden="false" customHeight="true" outlineLevel="0" collapsed="false">
      <c r="A20" s="25" t="s">
        <v>172</v>
      </c>
      <c r="B20" s="25" t="s">
        <v>173</v>
      </c>
      <c r="C20" s="25" t="s">
        <v>174</v>
      </c>
      <c r="D20" s="26" t="s">
        <v>175</v>
      </c>
      <c r="E20" s="25" t="s">
        <v>176</v>
      </c>
      <c r="F20" s="25" t="s">
        <v>177</v>
      </c>
      <c r="G20" s="27" t="n">
        <v>31279</v>
      </c>
      <c r="H20" s="28" t="n">
        <f aca="true">IF(G20="","",DATEDIF(G20,TODAY(),"Y"))</f>
        <v>41</v>
      </c>
      <c r="I20" s="28" t="n">
        <f aca="false">IF($A20="","",COUNTIFS('🤸 Ingresos Pole'!$W$2:$W$1000,$A20,'🤸 Ingresos Pole'!$L$2:$L$1000,"Paquete"))</f>
        <v>1</v>
      </c>
      <c r="J20" s="28" t="n">
        <f aca="false">IF($A20="","",COUNTIF('🤸 Ingresos Pole'!$W$2:$W$1000,$A20))</f>
        <v>2</v>
      </c>
      <c r="K20" s="29" t="n">
        <f aca="false">IF($A20="","",SUMIF('🤸 Ingresos Pole'!$W$2:$W$1000,$A20,'🤸 Ingresos Pole'!$P$2:$P$1000))</f>
        <v>290000</v>
      </c>
      <c r="L20" s="30" t="n">
        <f aca="false">IF(OR($A20="",J20=0),"",_xlfn.MINIFS('🤸 Ingresos Pole'!$B$2:$B$1000,'🤸 Ingresos Pole'!$W$2:$W$1000,$A20))</f>
        <v>46283</v>
      </c>
      <c r="M20" s="30" t="n">
        <f aca="false">IF(OR($A20="",J20=0),"",_xlfn.MAXIFS('🤸 Ingresos Pole'!$B$2:$B$1000,'🤸 Ingresos Pole'!$W$2:$W$1000,$A20))</f>
        <v>46295</v>
      </c>
      <c r="N20" s="28" t="str">
        <f aca="false">IF(OR($A20="",J20=0),"",IF(I20=0,"Sin paquete",IF(I20=1,"Nueva","Recurrente")))</f>
        <v>Nueva</v>
      </c>
      <c r="O20" s="25" t="str">
        <f aca="false">IF(AND(TRIM(B20)="",TRIM(C20)=""),"",TRIM(B20)&amp;"|"&amp;TRIM(C20))</f>
        <v>Osorio Álvarez|Mary Aurora</v>
      </c>
      <c r="P20" s="25" t="str">
        <f aca="false">IF(O20="","",IF(TRIM(C20)="",TRIM(B20),IF(TRIM(B20)="",TRIM(C20),TRIM(B20)&amp;", "&amp;TRIM(C20))))</f>
        <v>Osorio Álvarez, Mary Aurora</v>
      </c>
      <c r="Q20" s="25" t="str">
        <f aca="false">IF(O20="","",TRIM(TRIM(C20)&amp;" "&amp;TRIM(B20)))</f>
        <v>Mary Aurora Osorio Álvarez</v>
      </c>
      <c r="R20" s="25" t="n">
        <f aca="false">IF(P20="","",COUNTIFS($P$2:$P$1000,"&lt;"&amp;P20,$P$2:$P$1000,"?*")+COUNTIF($P$2:P20,P20))</f>
        <v>20</v>
      </c>
    </row>
    <row r="21" customFormat="false" ht="14.25" hidden="false" customHeight="true" outlineLevel="0" collapsed="false">
      <c r="A21" s="25" t="s">
        <v>178</v>
      </c>
      <c r="B21" s="25" t="s">
        <v>179</v>
      </c>
      <c r="C21" s="25" t="s">
        <v>180</v>
      </c>
      <c r="D21" s="26" t="s">
        <v>181</v>
      </c>
      <c r="E21" s="25" t="s">
        <v>182</v>
      </c>
      <c r="F21" s="25" t="s">
        <v>183</v>
      </c>
      <c r="G21" s="27" t="n">
        <v>37076</v>
      </c>
      <c r="H21" s="28" t="n">
        <f aca="true">IF(G21="","",DATEDIF(G21,TODAY(),"Y"))</f>
        <v>25</v>
      </c>
      <c r="I21" s="28" t="n">
        <f aca="false">IF($A21="","",COUNTIFS('🤸 Ingresos Pole'!$W$2:$W$1000,$A21,'🤸 Ingresos Pole'!$L$2:$L$1000,"Paquete"))</f>
        <v>1</v>
      </c>
      <c r="J21" s="28" t="n">
        <f aca="false">IF($A21="","",COUNTIF('🤸 Ingresos Pole'!$W$2:$W$1000,$A21))</f>
        <v>1</v>
      </c>
      <c r="K21" s="29" t="n">
        <f aca="false">IF($A21="","",SUMIF('🤸 Ingresos Pole'!$W$2:$W$1000,$A21,'🤸 Ingresos Pole'!$P$2:$P$1000))</f>
        <v>240000</v>
      </c>
      <c r="L21" s="30" t="n">
        <f aca="false">IF(OR($A21="",J21=0),"",_xlfn.MINIFS('🤸 Ingresos Pole'!$B$2:$B$1000,'🤸 Ingresos Pole'!$W$2:$W$1000,$A21))</f>
        <v>46295</v>
      </c>
      <c r="M21" s="30" t="n">
        <f aca="false">IF(OR($A21="",J21=0),"",_xlfn.MAXIFS('🤸 Ingresos Pole'!$B$2:$B$1000,'🤸 Ingresos Pole'!$W$2:$W$1000,$A21))</f>
        <v>46295</v>
      </c>
      <c r="N21" s="28" t="str">
        <f aca="false">IF(OR($A21="",J21=0),"",IF(I21=0,"Sin paquete",IF(I21=1,"Nueva","Recurrente")))</f>
        <v>Nueva</v>
      </c>
      <c r="O21" s="25" t="str">
        <f aca="false">IF(AND(TRIM(B21)="",TRIM(C21)=""),"",TRIM(B21)&amp;"|"&amp;TRIM(C21))</f>
        <v>Avila Peñuela|Melanie Jankey</v>
      </c>
      <c r="P21" s="25" t="str">
        <f aca="false">IF(O21="","",IF(TRIM(C21)="",TRIM(B21),IF(TRIM(B21)="",TRIM(C21),TRIM(B21)&amp;", "&amp;TRIM(C21))))</f>
        <v>Avila Peñuela, Melanie Jankey</v>
      </c>
      <c r="Q21" s="25" t="str">
        <f aca="false">IF(O21="","",TRIM(TRIM(C21)&amp;" "&amp;TRIM(B21)))</f>
        <v>Melanie Jankey Avila Peñuela</v>
      </c>
      <c r="R21" s="25" t="n">
        <f aca="false">IF(P21="","",COUNTIFS($P$2:$P$1000,"&lt;"&amp;P21,$P$2:$P$1000,"?*")+COUNTIF($P$2:P21,P21))</f>
        <v>4</v>
      </c>
    </row>
    <row r="22" customFormat="false" ht="14.25" hidden="false" customHeight="true" outlineLevel="0" collapsed="false">
      <c r="A22" s="25" t="s">
        <v>184</v>
      </c>
      <c r="B22" s="25" t="s">
        <v>185</v>
      </c>
      <c r="C22" s="25" t="s">
        <v>186</v>
      </c>
      <c r="D22" s="26" t="s">
        <v>187</v>
      </c>
      <c r="E22" s="25" t="s">
        <v>188</v>
      </c>
      <c r="F22" s="25" t="s">
        <v>189</v>
      </c>
      <c r="G22" s="27" t="n">
        <v>36947</v>
      </c>
      <c r="H22" s="28" t="n">
        <f aca="true">IF(G22="","",DATEDIF(G22,TODAY(),"Y"))</f>
        <v>25</v>
      </c>
      <c r="I22" s="28" t="n">
        <f aca="false">IF($A22="","",COUNTIFS('🤸 Ingresos Pole'!$W$2:$W$1000,$A22,'🤸 Ingresos Pole'!$L$2:$L$1000,"Paquete"))</f>
        <v>1</v>
      </c>
      <c r="J22" s="28" t="n">
        <f aca="false">IF($A22="","",COUNTIF('🤸 Ingresos Pole'!$W$2:$W$1000,$A22))</f>
        <v>1</v>
      </c>
      <c r="K22" s="29" t="n">
        <f aca="false">IF($A22="","",SUMIF('🤸 Ingresos Pole'!$W$2:$W$1000,$A22,'🤸 Ingresos Pole'!$P$2:$P$1000))</f>
        <v>240000</v>
      </c>
      <c r="L22" s="30" t="n">
        <f aca="false">IF(OR($A22="",J22=0),"",_xlfn.MINIFS('🤸 Ingresos Pole'!$B$2:$B$1000,'🤸 Ingresos Pole'!$W$2:$W$1000,$A22))</f>
        <v>46272</v>
      </c>
      <c r="M22" s="30" t="n">
        <f aca="false">IF(OR($A22="",J22=0),"",_xlfn.MAXIFS('🤸 Ingresos Pole'!$B$2:$B$1000,'🤸 Ingresos Pole'!$W$2:$W$1000,$A22))</f>
        <v>46272</v>
      </c>
      <c r="N22" s="28" t="str">
        <f aca="false">IF(OR($A22="",J22=0),"",IF(I22=0,"Sin paquete",IF(I22=1,"Nueva","Recurrente")))</f>
        <v>Nueva</v>
      </c>
      <c r="O22" s="25" t="str">
        <f aca="false">IF(AND(TRIM(B22)="",TRIM(C22)=""),"",TRIM(B22)&amp;"|"&amp;TRIM(C22))</f>
        <v>Luna Méndez|Natalia Alejandra</v>
      </c>
      <c r="P22" s="25" t="str">
        <f aca="false">IF(O22="","",IF(TRIM(C22)="",TRIM(B22),IF(TRIM(B22)="",TRIM(C22),TRIM(B22)&amp;", "&amp;TRIM(C22))))</f>
        <v>Luna Méndez, Natalia Alejandra</v>
      </c>
      <c r="Q22" s="25" t="str">
        <f aca="false">IF(O22="","",TRIM(TRIM(C22)&amp;" "&amp;TRIM(B22)))</f>
        <v>Natalia Alejandra Luna Méndez</v>
      </c>
      <c r="R22" s="25" t="n">
        <f aca="false">IF(P22="","",COUNTIFS($P$2:$P$1000,"&lt;"&amp;P22,$P$2:$P$1000,"?*")+COUNTIF($P$2:P22,P22))</f>
        <v>17</v>
      </c>
    </row>
    <row r="23" customFormat="false" ht="14.25" hidden="false" customHeight="true" outlineLevel="0" collapsed="false">
      <c r="A23" s="25" t="s">
        <v>190</v>
      </c>
      <c r="B23" s="25" t="s">
        <v>191</v>
      </c>
      <c r="C23" s="25" t="s">
        <v>192</v>
      </c>
      <c r="D23" s="26" t="s">
        <v>193</v>
      </c>
      <c r="E23" s="25" t="s">
        <v>194</v>
      </c>
      <c r="F23" s="25" t="s">
        <v>195</v>
      </c>
      <c r="G23" s="27" t="n">
        <v>38020</v>
      </c>
      <c r="H23" s="28" t="n">
        <f aca="true">IF(G23="","",DATEDIF(G23,TODAY(),"Y"))</f>
        <v>22</v>
      </c>
      <c r="I23" s="28" t="n">
        <f aca="false">IF($A23="","",COUNTIFS('🤸 Ingresos Pole'!$W$2:$W$1000,$A23,'🤸 Ingresos Pole'!$L$2:$L$1000,"Paquete"))</f>
        <v>1</v>
      </c>
      <c r="J23" s="28" t="n">
        <f aca="false">IF($A23="","",COUNTIF('🤸 Ingresos Pole'!$W$2:$W$1000,$A23))</f>
        <v>2</v>
      </c>
      <c r="K23" s="29" t="n">
        <f aca="false">IF($A23="","",SUMIF('🤸 Ingresos Pole'!$W$2:$W$1000,$A23,'🤸 Ingresos Pole'!$P$2:$P$1000))</f>
        <v>200000</v>
      </c>
      <c r="L23" s="30" t="n">
        <f aca="false">IF(OR($A23="",J23=0),"",_xlfn.MINIFS('🤸 Ingresos Pole'!$B$2:$B$1000,'🤸 Ingresos Pole'!$W$2:$W$1000,$A23))</f>
        <v>46287</v>
      </c>
      <c r="M23" s="30" t="n">
        <f aca="false">IF(OR($A23="",J23=0),"",_xlfn.MAXIFS('🤸 Ingresos Pole'!$B$2:$B$1000,'🤸 Ingresos Pole'!$W$2:$W$1000,$A23))</f>
        <v>46291</v>
      </c>
      <c r="N23" s="28" t="str">
        <f aca="false">IF(OR($A23="",J23=0),"",IF(I23=0,"Sin paquete",IF(I23=1,"Nueva","Recurrente")))</f>
        <v>Nueva</v>
      </c>
      <c r="O23" s="25" t="str">
        <f aca="false">IF(AND(TRIM(B23)="",TRIM(C23)=""),"",TRIM(B23)&amp;"|"&amp;TRIM(C23))</f>
        <v>Pinzón Ayala|Paula Andrea</v>
      </c>
      <c r="P23" s="25" t="str">
        <f aca="false">IF(O23="","",IF(TRIM(C23)="",TRIM(B23),IF(TRIM(B23)="",TRIM(C23),TRIM(B23)&amp;", "&amp;TRIM(C23))))</f>
        <v>Pinzón Ayala, Paula Andrea</v>
      </c>
      <c r="Q23" s="25" t="str">
        <f aca="false">IF(O23="","",TRIM(TRIM(C23)&amp;" "&amp;TRIM(B23)))</f>
        <v>Paula Andrea Pinzón Ayala</v>
      </c>
      <c r="R23" s="25" t="n">
        <f aca="false">IF(P23="","",COUNTIFS($P$2:$P$1000,"&lt;"&amp;P23,$P$2:$P$1000,"?*")+COUNTIF($P$2:P23,P23))</f>
        <v>21</v>
      </c>
    </row>
    <row r="24" customFormat="false" ht="14.25" hidden="false" customHeight="true" outlineLevel="0" collapsed="false">
      <c r="A24" s="25" t="s">
        <v>196</v>
      </c>
      <c r="B24" s="25" t="s">
        <v>197</v>
      </c>
      <c r="C24" s="25" t="s">
        <v>198</v>
      </c>
      <c r="D24" s="26" t="s">
        <v>199</v>
      </c>
      <c r="E24" s="25" t="s">
        <v>200</v>
      </c>
      <c r="F24" s="25" t="s">
        <v>201</v>
      </c>
      <c r="G24" s="27" t="n">
        <v>34817</v>
      </c>
      <c r="H24" s="28" t="n">
        <f aca="true">IF(G24="","",DATEDIF(G24,TODAY(),"Y"))</f>
        <v>31</v>
      </c>
      <c r="I24" s="28" t="n">
        <f aca="false">IF($A24="","",COUNTIFS('🤸 Ingresos Pole'!$W$2:$W$1000,$A24,'🤸 Ingresos Pole'!$L$2:$L$1000,"Paquete"))</f>
        <v>2</v>
      </c>
      <c r="J24" s="28" t="n">
        <f aca="false">IF($A24="","",COUNTIF('🤸 Ingresos Pole'!$W$2:$W$1000,$A24))</f>
        <v>2</v>
      </c>
      <c r="K24" s="29" t="n">
        <f aca="false">IF($A24="","",SUMIF('🤸 Ingresos Pole'!$W$2:$W$1000,$A24,'🤸 Ingresos Pole'!$P$2:$P$1000))</f>
        <v>480000</v>
      </c>
      <c r="L24" s="30" t="n">
        <f aca="false">IF(OR($A24="",J24=0),"",_xlfn.MINIFS('🤸 Ingresos Pole'!$B$2:$B$1000,'🤸 Ingresos Pole'!$W$2:$W$1000,$A24))</f>
        <v>46267</v>
      </c>
      <c r="M24" s="30" t="n">
        <f aca="false">IF(OR($A24="",J24=0),"",_xlfn.MAXIFS('🤸 Ingresos Pole'!$B$2:$B$1000,'🤸 Ingresos Pole'!$W$2:$W$1000,$A24))</f>
        <v>46295</v>
      </c>
      <c r="N24" s="28" t="str">
        <f aca="false">IF(OR($A24="",J24=0),"",IF(I24=0,"Sin paquete",IF(I24=1,"Nueva","Recurrente")))</f>
        <v>Recurrente</v>
      </c>
      <c r="O24" s="25" t="str">
        <f aca="false">IF(AND(TRIM(B24)="",TRIM(C24)=""),"",TRIM(B24)&amp;"|"&amp;TRIM(C24))</f>
        <v>Chavarro Jiménez|Shirley Dayanna</v>
      </c>
      <c r="P24" s="25" t="str">
        <f aca="false">IF(O24="","",IF(TRIM(C24)="",TRIM(B24),IF(TRIM(B24)="",TRIM(C24),TRIM(B24)&amp;", "&amp;TRIM(C24))))</f>
        <v>Chavarro Jiménez, Shirley Dayanna</v>
      </c>
      <c r="Q24" s="25" t="str">
        <f aca="false">IF(O24="","",TRIM(TRIM(C24)&amp;" "&amp;TRIM(B24)))</f>
        <v>Shirley Dayanna Chavarro Jiménez</v>
      </c>
      <c r="R24" s="25" t="n">
        <f aca="false">IF(P24="","",COUNTIFS($P$2:$P$1000,"&lt;"&amp;P24,$P$2:$P$1000,"?*")+COUNTIF($P$2:P24,P24))</f>
        <v>8</v>
      </c>
    </row>
    <row r="25" customFormat="false" ht="14.25" hidden="false" customHeight="true" outlineLevel="0" collapsed="false">
      <c r="A25" s="25" t="s">
        <v>202</v>
      </c>
      <c r="B25" s="25" t="s">
        <v>203</v>
      </c>
      <c r="C25" s="31" t="s">
        <v>204</v>
      </c>
      <c r="D25" s="26" t="s">
        <v>205</v>
      </c>
      <c r="E25" s="25" t="s">
        <v>206</v>
      </c>
      <c r="F25" s="25" t="s">
        <v>207</v>
      </c>
      <c r="G25" s="27" t="n">
        <v>31592</v>
      </c>
      <c r="H25" s="28" t="n">
        <f aca="true">IF(G25="","",DATEDIF(G25,TODAY(),"Y"))</f>
        <v>40</v>
      </c>
      <c r="I25" s="28" t="n">
        <f aca="false">IF($A25="","",COUNTIFS('🤸 Ingresos Pole'!$W$2:$W$1000,$A25,'🤸 Ingresos Pole'!$L$2:$L$1000,"Paquete"))</f>
        <v>2</v>
      </c>
      <c r="J25" s="28" t="n">
        <f aca="false">IF($A25="","",COUNTIF('🤸 Ingresos Pole'!$W$2:$W$1000,$A25))</f>
        <v>2</v>
      </c>
      <c r="K25" s="29" t="n">
        <f aca="false">IF($A25="","",SUMIF('🤸 Ingresos Pole'!$W$2:$W$1000,$A25,'🤸 Ingresos Pole'!$P$2:$P$1000))</f>
        <v>0</v>
      </c>
      <c r="L25" s="30" t="n">
        <f aca="false">IF(OR($A25="",J25=0),"",_xlfn.MINIFS('🤸 Ingresos Pole'!$B$2:$B$1000,'🤸 Ingresos Pole'!$W$2:$W$1000,$A25))</f>
        <v>46264</v>
      </c>
      <c r="M25" s="30" t="n">
        <f aca="false">IF(OR($A25="",J25=0),"",_xlfn.MAXIFS('🤸 Ingresos Pole'!$B$2:$B$1000,'🤸 Ingresos Pole'!$W$2:$W$1000,$A25))</f>
        <v>46295</v>
      </c>
      <c r="N25" s="28" t="str">
        <f aca="false">IF(OR($A25="",J25=0),"",IF(I25=0,"Sin paquete",IF(I25=1,"Nueva","Recurrente")))</f>
        <v>Recurrente</v>
      </c>
      <c r="O25" s="25" t="str">
        <f aca="false">IF(AND(TRIM(B25)="",TRIM(C25)=""),"",TRIM(B25)&amp;"|"&amp;TRIM(C25))</f>
        <v>Torres Olarte|Jessica</v>
      </c>
      <c r="P25" s="25" t="str">
        <f aca="false">IF(O25="","",IF(TRIM(C25)="",TRIM(B25),IF(TRIM(B25)="",TRIM(C25),TRIM(B25)&amp;", "&amp;TRIM(C25))))</f>
        <v>Torres Olarte, Jessica</v>
      </c>
      <c r="Q25" s="25" t="str">
        <f aca="false">IF(O25="","",TRIM(TRIM(C25)&amp;" "&amp;TRIM(B25)))</f>
        <v>Jessica Torres Olarte</v>
      </c>
      <c r="R25" s="25" t="n">
        <f aca="false">IF(P25="","",COUNTIFS($P$2:$P$1000,"&lt;"&amp;P25,$P$2:$P$1000,"?*")+COUNTIF($P$2:P25,P25))</f>
        <v>26</v>
      </c>
    </row>
    <row r="26" customFormat="false" ht="14.25" hidden="false" customHeight="true" outlineLevel="0" collapsed="false">
      <c r="A26" s="25" t="s">
        <v>208</v>
      </c>
      <c r="B26" s="25" t="s">
        <v>209</v>
      </c>
      <c r="C26" s="25" t="s">
        <v>210</v>
      </c>
      <c r="D26" s="26" t="s">
        <v>211</v>
      </c>
      <c r="E26" s="25" t="s">
        <v>212</v>
      </c>
      <c r="F26" s="25" t="s">
        <v>213</v>
      </c>
      <c r="G26" s="27" t="n">
        <v>34669</v>
      </c>
      <c r="H26" s="28" t="n">
        <f aca="true">IF(G26="","",DATEDIF(G26,TODAY(),"Y"))</f>
        <v>31</v>
      </c>
      <c r="I26" s="28" t="n">
        <f aca="false">IF($A26="","",COUNTIFS('🤸 Ingresos Pole'!$W$2:$W$1000,$A26,'🤸 Ingresos Pole'!$L$2:$L$1000,"Paquete"))</f>
        <v>1</v>
      </c>
      <c r="J26" s="28" t="n">
        <f aca="false">IF($A26="","",COUNTIF('🤸 Ingresos Pole'!$W$2:$W$1000,$A26))</f>
        <v>1</v>
      </c>
      <c r="K26" s="29" t="n">
        <f aca="false">IF($A26="","",SUMIF('🤸 Ingresos Pole'!$W$2:$W$1000,$A26,'🤸 Ingresos Pole'!$P$2:$P$1000))</f>
        <v>240000</v>
      </c>
      <c r="L26" s="30" t="n">
        <f aca="false">IF(OR($A26="",J26=0),"",_xlfn.MINIFS('🤸 Ingresos Pole'!$B$2:$B$1000,'🤸 Ingresos Pole'!$W$2:$W$1000,$A26))</f>
        <v>46294</v>
      </c>
      <c r="M26" s="30" t="n">
        <f aca="false">IF(OR($A26="",J26=0),"",_xlfn.MAXIFS('🤸 Ingresos Pole'!$B$2:$B$1000,'🤸 Ingresos Pole'!$W$2:$W$1000,$A26))</f>
        <v>46294</v>
      </c>
      <c r="N26" s="28" t="str">
        <f aca="false">IF(OR($A26="",J26=0),"",IF(I26=0,"Sin paquete",IF(I26=1,"Nueva","Recurrente")))</f>
        <v>Nueva</v>
      </c>
      <c r="O26" s="25" t="str">
        <f aca="false">IF(AND(TRIM(B26)="",TRIM(C26)=""),"",TRIM(B26)&amp;"|"&amp;TRIM(C26))</f>
        <v>Dugarte Jaimes|Yendi Alejandra</v>
      </c>
      <c r="P26" s="25" t="str">
        <f aca="false">IF(O26="","",IF(TRIM(C26)="",TRIM(B26),IF(TRIM(B26)="",TRIM(C26),TRIM(B26)&amp;", "&amp;TRIM(C26))))</f>
        <v>Dugarte Jaimes, Yendi Alejandra</v>
      </c>
      <c r="Q26" s="25" t="str">
        <f aca="false">IF(O26="","",TRIM(TRIM(C26)&amp;" "&amp;TRIM(B26)))</f>
        <v>Yendi Alejandra Dugarte Jaimes</v>
      </c>
      <c r="R26" s="25" t="n">
        <f aca="false">IF(P26="","",COUNTIFS($P$2:$P$1000,"&lt;"&amp;P26,$P$2:$P$1000,"?*")+COUNTIF($P$2:P26,P26))</f>
        <v>10</v>
      </c>
    </row>
    <row r="27" customFormat="false" ht="14.25" hidden="false" customHeight="true" outlineLevel="0" collapsed="false">
      <c r="A27" s="25" t="s">
        <v>214</v>
      </c>
      <c r="B27" s="25" t="s">
        <v>215</v>
      </c>
      <c r="C27" s="25" t="s">
        <v>216</v>
      </c>
      <c r="D27" s="26"/>
      <c r="E27" s="25"/>
      <c r="F27" s="25"/>
      <c r="G27" s="27"/>
      <c r="H27" s="28" t="str">
        <f aca="true">IF(G27="","",DATEDIF(G27,TODAY(),"Y"))</f>
        <v/>
      </c>
      <c r="I27" s="28" t="n">
        <f aca="false">IF($A27="","",COUNTIFS('🤸 Ingresos Pole'!$W$2:$W$1000,$A27,'🤸 Ingresos Pole'!$L$2:$L$1000,"Paquete"))</f>
        <v>0</v>
      </c>
      <c r="J27" s="28" t="n">
        <f aca="false">IF($A27="","",COUNTIF('🤸 Ingresos Pole'!$W$2:$W$1000,$A27))</f>
        <v>0</v>
      </c>
      <c r="K27" s="29" t="n">
        <f aca="false">IF($A27="","",SUMIF('🤸 Ingresos Pole'!$W$2:$W$1000,$A27,'🤸 Ingresos Pole'!$P$2:$P$1000))</f>
        <v>0</v>
      </c>
      <c r="L27" s="30" t="str">
        <f aca="false">IF(OR($A27="",J27=0),"",_xlfn.MINIFS('🤸 Ingresos Pole'!$B$2:$B$1000,'🤸 Ingresos Pole'!$W$2:$W$1000,$A27))</f>
        <v/>
      </c>
      <c r="M27" s="30" t="str">
        <f aca="false">IF(OR($A27="",J27=0),"",_xlfn.MAXIFS('🤸 Ingresos Pole'!$B$2:$B$1000,'🤸 Ingresos Pole'!$W$2:$W$1000,$A27))</f>
        <v/>
      </c>
      <c r="N27" s="28" t="str">
        <f aca="false">IF(OR($A27="",J27=0),"",IF(I27=0,"Sin paquete",IF(I27=1,"Nueva","Recurrente")))</f>
        <v/>
      </c>
      <c r="O27" s="25" t="str">
        <f aca="false">IF(AND(TRIM(B27)="",TRIM(C27)=""),"",TRIM(B27)&amp;"|"&amp;TRIM(C27))</f>
        <v>Moyano Merchan|Nidia Marcela</v>
      </c>
      <c r="P27" s="25" t="str">
        <f aca="false">IF(O27="","",IF(TRIM(C27)="",TRIM(B27),IF(TRIM(B27)="",TRIM(C27),TRIM(B27)&amp;", "&amp;TRIM(C27))))</f>
        <v>Moyano Merchan, Nidia Marcela</v>
      </c>
      <c r="Q27" s="25" t="str">
        <f aca="false">IF(O27="","",TRIM(TRIM(C27)&amp;" "&amp;TRIM(B27)))</f>
        <v>Nidia Marcela Moyano Merchan</v>
      </c>
      <c r="R27" s="25" t="n">
        <f aca="false">IF(P27="","",COUNTIFS($P$2:$P$1000,"&lt;"&amp;P27,$P$2:$P$1000,"?*")+COUNTIF($P$2:P27,P27))</f>
        <v>18</v>
      </c>
    </row>
    <row r="28" customFormat="false" ht="14.25" hidden="false" customHeight="true" outlineLevel="0" collapsed="false">
      <c r="A28" s="25" t="s">
        <v>217</v>
      </c>
      <c r="B28" s="1" t="s">
        <v>218</v>
      </c>
      <c r="C28" s="1" t="s">
        <v>218</v>
      </c>
      <c r="D28" s="26" t="s">
        <v>219</v>
      </c>
      <c r="E28" s="25" t="s">
        <v>220</v>
      </c>
      <c r="F28" s="25" t="s">
        <v>221</v>
      </c>
      <c r="G28" s="27" t="n">
        <v>35618</v>
      </c>
      <c r="H28" s="28" t="n">
        <f aca="true">IF(G28="","",DATEDIF(G28,TODAY(),"Y"))</f>
        <v>29</v>
      </c>
      <c r="I28" s="28" t="n">
        <f aca="false">IF($A28="","",COUNTIFS('🤸 Ingresos Pole'!$W$2:$W$1000,$A28,'🤸 Ingresos Pole'!$L$2:$L$1000,"Paquete"))</f>
        <v>0</v>
      </c>
      <c r="J28" s="28" t="n">
        <f aca="false">IF($A28="","",COUNTIF('🤸 Ingresos Pole'!$W$2:$W$1000,$A28))</f>
        <v>0</v>
      </c>
      <c r="K28" s="29" t="n">
        <f aca="false">IF($A28="","",SUMIF('🤸 Ingresos Pole'!$W$2:$W$1000,$A28,'🤸 Ingresos Pole'!$P$2:$P$1000))</f>
        <v>0</v>
      </c>
      <c r="L28" s="30" t="str">
        <f aca="false">IF(OR($A28="",J28=0),"",_xlfn.MINIFS('🤸 Ingresos Pole'!$B$2:$B$1000,'🤸 Ingresos Pole'!$W$2:$W$1000,$A28))</f>
        <v/>
      </c>
      <c r="M28" s="30" t="str">
        <f aca="false">IF(OR($A28="",J28=0),"",_xlfn.MAXIFS('🤸 Ingresos Pole'!$B$2:$B$1000,'🤸 Ingresos Pole'!$W$2:$W$1000,$A28))</f>
        <v/>
      </c>
      <c r="N28" s="28" t="str">
        <f aca="false">IF(OR($A28="",J28=0),"",IF(I28=0,"Sin paquete",IF(I28=1,"Nueva","Recurrente")))</f>
        <v/>
      </c>
      <c r="O28" s="25" t="str">
        <f aca="false">IF(AND(TRIM(B28)="",TRIM(C28)=""),"",TRIM(B28)&amp;"|"&amp;TRIM(C28))</f>
        <v>Umbarila Delgado|Umbarila Delgado</v>
      </c>
      <c r="P28" s="25" t="str">
        <f aca="false">IF(O28="","",IF(TRIM(C28)="",TRIM(B28),IF(TRIM(B28)="",TRIM(C28),TRIM(B28)&amp;", "&amp;TRIM(C28))))</f>
        <v>Umbarila Delgado, Umbarila Delgado</v>
      </c>
      <c r="Q28" s="25" t="str">
        <f aca="false">IF(O28="","",TRIM(TRIM(C28)&amp;" "&amp;TRIM(B28)))</f>
        <v>Umbarila Delgado Umbarila Delgado</v>
      </c>
      <c r="R28" s="25" t="n">
        <f aca="false">IF(P28="","",COUNTIFS($P$2:$P$1000,"&lt;"&amp;P28,$P$2:$P$1000,"?*")+COUNTIF($P$2:P28,P28))</f>
        <v>27</v>
      </c>
    </row>
    <row r="29" customFormat="false" ht="14.25" hidden="false" customHeight="true" outlineLevel="0" collapsed="false">
      <c r="A29" s="25" t="s">
        <v>222</v>
      </c>
      <c r="B29" s="1" t="s">
        <v>223</v>
      </c>
      <c r="C29" s="1" t="s">
        <v>224</v>
      </c>
      <c r="D29" s="26" t="s">
        <v>225</v>
      </c>
      <c r="E29" s="25" t="s">
        <v>226</v>
      </c>
      <c r="F29" s="25" t="s">
        <v>227</v>
      </c>
      <c r="G29" s="27" t="n">
        <v>34271</v>
      </c>
      <c r="H29" s="28" t="n">
        <f aca="true">IF(G29="","",DATEDIF(G29,TODAY(),"Y"))</f>
        <v>32</v>
      </c>
      <c r="I29" s="28" t="n">
        <f aca="false">IF($A29="","",COUNTIFS('🤸 Ingresos Pole'!$W$2:$W$1000,$A29,'🤸 Ingresos Pole'!$L$2:$L$1000,"Paquete"))</f>
        <v>0</v>
      </c>
      <c r="J29" s="28" t="n">
        <f aca="false">IF($A29="","",COUNTIF('🤸 Ingresos Pole'!$W$2:$W$1000,$A29))</f>
        <v>0</v>
      </c>
      <c r="K29" s="29" t="n">
        <f aca="false">IF($A29="","",SUMIF('🤸 Ingresos Pole'!$W$2:$W$1000,$A29,'🤸 Ingresos Pole'!$P$2:$P$1000))</f>
        <v>0</v>
      </c>
      <c r="L29" s="30" t="str">
        <f aca="false">IF(OR($A29="",J29=0),"",_xlfn.MINIFS('🤸 Ingresos Pole'!$B$2:$B$1000,'🤸 Ingresos Pole'!$W$2:$W$1000,$A29))</f>
        <v/>
      </c>
      <c r="M29" s="30" t="str">
        <f aca="false">IF(OR($A29="",J29=0),"",_xlfn.MAXIFS('🤸 Ingresos Pole'!$B$2:$B$1000,'🤸 Ingresos Pole'!$W$2:$W$1000,$A29))</f>
        <v/>
      </c>
      <c r="N29" s="28" t="str">
        <f aca="false">IF(OR($A29="",J29=0),"",IF(I29=0,"Sin paquete",IF(I29=1,"Nueva","Recurrente")))</f>
        <v/>
      </c>
      <c r="O29" s="25" t="str">
        <f aca="false">IF(AND(TRIM(B29)="",TRIM(C29)=""),"",TRIM(B29)&amp;"|"&amp;TRIM(C29))</f>
        <v>Sierra Méndez|Jennifer Xamara</v>
      </c>
      <c r="P29" s="25" t="str">
        <f aca="false">IF(O29="","",IF(TRIM(C29)="",TRIM(B29),IF(TRIM(B29)="",TRIM(C29),TRIM(B29)&amp;", "&amp;TRIM(C29))))</f>
        <v>Sierra Méndez, Jennifer Xamara</v>
      </c>
      <c r="Q29" s="25" t="str">
        <f aca="false">IF(O29="","",TRIM(TRIM(C29)&amp;" "&amp;TRIM(B29)))</f>
        <v>Jennifer Xamara Sierra Méndez</v>
      </c>
      <c r="R29" s="25" t="n">
        <f aca="false">IF(P29="","",COUNTIFS($P$2:$P$1000,"&lt;"&amp;P29,$P$2:$P$1000,"?*")+COUNTIF($P$2:P29,P29))</f>
        <v>24</v>
      </c>
    </row>
    <row r="30" customFormat="false" ht="14.25" hidden="false" customHeight="true" outlineLevel="0" collapsed="false">
      <c r="A30" s="25" t="s">
        <v>228</v>
      </c>
      <c r="B30" s="25"/>
      <c r="C30" s="25"/>
      <c r="D30" s="26"/>
      <c r="E30" s="25"/>
      <c r="F30" s="25"/>
      <c r="G30" s="27"/>
      <c r="H30" s="28" t="str">
        <f aca="true">IF(G30="","",DATEDIF(G30,TODAY(),"Y"))</f>
        <v/>
      </c>
      <c r="I30" s="28" t="n">
        <f aca="false">IF($A30="","",COUNTIFS('🤸 Ingresos Pole'!$W$2:$W$1000,$A30,'🤸 Ingresos Pole'!$L$2:$L$1000,"Paquete"))</f>
        <v>0</v>
      </c>
      <c r="J30" s="28" t="n">
        <f aca="false">IF($A30="","",COUNTIF('🤸 Ingresos Pole'!$W$2:$W$1000,$A30))</f>
        <v>0</v>
      </c>
      <c r="K30" s="29" t="n">
        <f aca="false">IF($A30="","",SUMIF('🤸 Ingresos Pole'!$W$2:$W$1000,$A30,'🤸 Ingresos Pole'!$P$2:$P$1000))</f>
        <v>0</v>
      </c>
      <c r="L30" s="30" t="str">
        <f aca="false">IF(OR($A30="",J30=0),"",_xlfn.MINIFS('🤸 Ingresos Pole'!$B$2:$B$1000,'🤸 Ingresos Pole'!$W$2:$W$1000,$A30))</f>
        <v/>
      </c>
      <c r="M30" s="30" t="str">
        <f aca="false">IF(OR($A30="",J30=0),"",_xlfn.MAXIFS('🤸 Ingresos Pole'!$B$2:$B$1000,'🤸 Ingresos Pole'!$W$2:$W$1000,$A30))</f>
        <v/>
      </c>
      <c r="N30" s="28" t="str">
        <f aca="false">IF(OR($A30="",J30=0),"",IF(I30=0,"Sin paquete",IF(I30=1,"Nueva","Recurrente")))</f>
        <v/>
      </c>
      <c r="O30" s="25" t="str">
        <f aca="false">IF(AND(TRIM(B30)="",TRIM(C30)=""),"",TRIM(B30)&amp;"|"&amp;TRIM(C30))</f>
        <v/>
      </c>
      <c r="P30" s="25" t="str">
        <f aca="false">IF(O30="","",IF(TRIM(C30)="",TRIM(B30),IF(TRIM(B30)="",TRIM(C30),TRIM(B30)&amp;", "&amp;TRIM(C30))))</f>
        <v/>
      </c>
      <c r="Q30" s="25" t="str">
        <f aca="false">IF(O30="","",TRIM(TRIM(C30)&amp;" "&amp;TRIM(B30)))</f>
        <v/>
      </c>
      <c r="R30" s="25" t="str">
        <f aca="false">IF(P30="","",COUNTIFS($P$2:$P$1000,"&lt;"&amp;P30,$P$2:$P$1000,"?*")+COUNTIF($P$2:P30,P30))</f>
        <v/>
      </c>
    </row>
    <row r="31" customFormat="false" ht="14.25" hidden="false" customHeight="true" outlineLevel="0" collapsed="false">
      <c r="A31" s="25" t="s">
        <v>229</v>
      </c>
      <c r="B31" s="25"/>
      <c r="C31" s="25"/>
      <c r="D31" s="26"/>
      <c r="E31" s="25"/>
      <c r="F31" s="25"/>
      <c r="G31" s="27"/>
      <c r="H31" s="28" t="str">
        <f aca="true">IF(G31="","",DATEDIF(G31,TODAY(),"Y"))</f>
        <v/>
      </c>
      <c r="I31" s="28" t="n">
        <f aca="false">IF($A31="","",COUNTIFS('🤸 Ingresos Pole'!$W$2:$W$1000,$A31,'🤸 Ingresos Pole'!$L$2:$L$1000,"Paquete"))</f>
        <v>0</v>
      </c>
      <c r="J31" s="28" t="n">
        <f aca="false">IF($A31="","",COUNTIF('🤸 Ingresos Pole'!$W$2:$W$1000,$A31))</f>
        <v>0</v>
      </c>
      <c r="K31" s="29" t="n">
        <f aca="false">IF($A31="","",SUMIF('🤸 Ingresos Pole'!$W$2:$W$1000,$A31,'🤸 Ingresos Pole'!$P$2:$P$1000))</f>
        <v>0</v>
      </c>
      <c r="L31" s="30" t="str">
        <f aca="false">IF(OR($A31="",J31=0),"",_xlfn.MINIFS('🤸 Ingresos Pole'!$B$2:$B$1000,'🤸 Ingresos Pole'!$W$2:$W$1000,$A31))</f>
        <v/>
      </c>
      <c r="M31" s="30" t="str">
        <f aca="false">IF(OR($A31="",J31=0),"",_xlfn.MAXIFS('🤸 Ingresos Pole'!$B$2:$B$1000,'🤸 Ingresos Pole'!$W$2:$W$1000,$A31))</f>
        <v/>
      </c>
      <c r="N31" s="28" t="str">
        <f aca="false">IF(OR($A31="",J31=0),"",IF(I31=0,"Sin paquete",IF(I31=1,"Nueva","Recurrente")))</f>
        <v/>
      </c>
      <c r="O31" s="25" t="str">
        <f aca="false">IF(AND(TRIM(B31)="",TRIM(C31)=""),"",TRIM(B31)&amp;"|"&amp;TRIM(C31))</f>
        <v/>
      </c>
      <c r="P31" s="25" t="str">
        <f aca="false">IF(O31="","",IF(TRIM(C31)="",TRIM(B31),IF(TRIM(B31)="",TRIM(C31),TRIM(B31)&amp;", "&amp;TRIM(C31))))</f>
        <v/>
      </c>
      <c r="Q31" s="25" t="str">
        <f aca="false">IF(O31="","",TRIM(TRIM(C31)&amp;" "&amp;TRIM(B31)))</f>
        <v/>
      </c>
      <c r="R31" s="25" t="str">
        <f aca="false">IF(P31="","",COUNTIFS($P$2:$P$1000,"&lt;"&amp;P31,$P$2:$P$1000,"?*")+COUNTIF($P$2:P31,P31))</f>
        <v/>
      </c>
    </row>
    <row r="32" customFormat="false" ht="14.25" hidden="false" customHeight="true" outlineLevel="0" collapsed="false">
      <c r="A32" s="25" t="s">
        <v>230</v>
      </c>
      <c r="B32" s="25"/>
      <c r="C32" s="25"/>
      <c r="D32" s="26"/>
      <c r="E32" s="25"/>
      <c r="F32" s="25"/>
      <c r="G32" s="27"/>
      <c r="H32" s="28" t="str">
        <f aca="true">IF(G32="","",DATEDIF(G32,TODAY(),"Y"))</f>
        <v/>
      </c>
      <c r="I32" s="28" t="n">
        <f aca="false">IF($A32="","",COUNTIFS('🤸 Ingresos Pole'!$W$2:$W$1000,$A32,'🤸 Ingresos Pole'!$L$2:$L$1000,"Paquete"))</f>
        <v>0</v>
      </c>
      <c r="J32" s="28" t="n">
        <f aca="false">IF($A32="","",COUNTIF('🤸 Ingresos Pole'!$W$2:$W$1000,$A32))</f>
        <v>0</v>
      </c>
      <c r="K32" s="29" t="n">
        <f aca="false">IF($A32="","",SUMIF('🤸 Ingresos Pole'!$W$2:$W$1000,$A32,'🤸 Ingresos Pole'!$P$2:$P$1000))</f>
        <v>0</v>
      </c>
      <c r="L32" s="30" t="str">
        <f aca="false">IF(OR($A32="",J32=0),"",_xlfn.MINIFS('🤸 Ingresos Pole'!$B$2:$B$1000,'🤸 Ingresos Pole'!$W$2:$W$1000,$A32))</f>
        <v/>
      </c>
      <c r="M32" s="30" t="str">
        <f aca="false">IF(OR($A32="",J32=0),"",_xlfn.MAXIFS('🤸 Ingresos Pole'!$B$2:$B$1000,'🤸 Ingresos Pole'!$W$2:$W$1000,$A32))</f>
        <v/>
      </c>
      <c r="N32" s="28" t="str">
        <f aca="false">IF(OR($A32="",J32=0),"",IF(I32=0,"Sin paquete",IF(I32=1,"Nueva","Recurrente")))</f>
        <v/>
      </c>
      <c r="O32" s="25" t="str">
        <f aca="false">IF(AND(TRIM(B32)="",TRIM(C32)=""),"",TRIM(B32)&amp;"|"&amp;TRIM(C32))</f>
        <v/>
      </c>
      <c r="P32" s="25" t="str">
        <f aca="false">IF(O32="","",IF(TRIM(C32)="",TRIM(B32),IF(TRIM(B32)="",TRIM(C32),TRIM(B32)&amp;", "&amp;TRIM(C32))))</f>
        <v/>
      </c>
      <c r="Q32" s="25" t="str">
        <f aca="false">IF(O32="","",TRIM(TRIM(C32)&amp;" "&amp;TRIM(B32)))</f>
        <v/>
      </c>
      <c r="R32" s="25" t="str">
        <f aca="false">IF(P32="","",COUNTIFS($P$2:$P$1000,"&lt;"&amp;P32,$P$2:$P$1000,"?*")+COUNTIF($P$2:P32,P32))</f>
        <v/>
      </c>
    </row>
    <row r="33" customFormat="false" ht="14.25" hidden="false" customHeight="true" outlineLevel="0" collapsed="false">
      <c r="A33" s="25" t="s">
        <v>231</v>
      </c>
      <c r="B33" s="25"/>
      <c r="C33" s="25"/>
      <c r="D33" s="26"/>
      <c r="E33" s="25"/>
      <c r="F33" s="25"/>
      <c r="G33" s="27"/>
      <c r="H33" s="28" t="str">
        <f aca="true">IF(G33="","",DATEDIF(G33,TODAY(),"Y"))</f>
        <v/>
      </c>
      <c r="I33" s="28" t="n">
        <f aca="false">IF($A33="","",COUNTIFS('🤸 Ingresos Pole'!$W$2:$W$1000,$A33,'🤸 Ingresos Pole'!$L$2:$L$1000,"Paquete"))</f>
        <v>0</v>
      </c>
      <c r="J33" s="28" t="n">
        <f aca="false">IF($A33="","",COUNTIF('🤸 Ingresos Pole'!$W$2:$W$1000,$A33))</f>
        <v>0</v>
      </c>
      <c r="K33" s="29" t="n">
        <f aca="false">IF($A33="","",SUMIF('🤸 Ingresos Pole'!$W$2:$W$1000,$A33,'🤸 Ingresos Pole'!$P$2:$P$1000))</f>
        <v>0</v>
      </c>
      <c r="L33" s="30" t="str">
        <f aca="false">IF(OR($A33="",J33=0),"",_xlfn.MINIFS('🤸 Ingresos Pole'!$B$2:$B$1000,'🤸 Ingresos Pole'!$W$2:$W$1000,$A33))</f>
        <v/>
      </c>
      <c r="M33" s="30" t="str">
        <f aca="false">IF(OR($A33="",J33=0),"",_xlfn.MAXIFS('🤸 Ingresos Pole'!$B$2:$B$1000,'🤸 Ingresos Pole'!$W$2:$W$1000,$A33))</f>
        <v/>
      </c>
      <c r="N33" s="28" t="str">
        <f aca="false">IF(OR($A33="",J33=0),"",IF(I33=0,"Sin paquete",IF(I33=1,"Nueva","Recurrente")))</f>
        <v/>
      </c>
      <c r="O33" s="25" t="str">
        <f aca="false">IF(AND(TRIM(B33)="",TRIM(C33)=""),"",TRIM(B33)&amp;"|"&amp;TRIM(C33))</f>
        <v/>
      </c>
      <c r="P33" s="25" t="str">
        <f aca="false">IF(O33="","",IF(TRIM(C33)="",TRIM(B33),IF(TRIM(B33)="",TRIM(C33),TRIM(B33)&amp;", "&amp;TRIM(C33))))</f>
        <v/>
      </c>
      <c r="Q33" s="25" t="str">
        <f aca="false">IF(O33="","",TRIM(TRIM(C33)&amp;" "&amp;TRIM(B33)))</f>
        <v/>
      </c>
      <c r="R33" s="25" t="str">
        <f aca="false">IF(P33="","",COUNTIFS($P$2:$P$1000,"&lt;"&amp;P33,$P$2:$P$1000,"?*")+COUNTIF($P$2:P33,P33))</f>
        <v/>
      </c>
    </row>
    <row r="34" customFormat="false" ht="14.25" hidden="false" customHeight="true" outlineLevel="0" collapsed="false">
      <c r="A34" s="25" t="s">
        <v>232</v>
      </c>
      <c r="B34" s="25"/>
      <c r="C34" s="25"/>
      <c r="D34" s="26"/>
      <c r="E34" s="25"/>
      <c r="F34" s="25"/>
      <c r="G34" s="27"/>
      <c r="H34" s="28" t="str">
        <f aca="true">IF(G34="","",DATEDIF(G34,TODAY(),"Y"))</f>
        <v/>
      </c>
      <c r="I34" s="28" t="n">
        <f aca="false">IF($A34="","",COUNTIFS('🤸 Ingresos Pole'!$W$2:$W$1000,$A34,'🤸 Ingresos Pole'!$L$2:$L$1000,"Paquete"))</f>
        <v>0</v>
      </c>
      <c r="J34" s="28" t="n">
        <f aca="false">IF($A34="","",COUNTIF('🤸 Ingresos Pole'!$W$2:$W$1000,$A34))</f>
        <v>0</v>
      </c>
      <c r="K34" s="29" t="n">
        <f aca="false">IF($A34="","",SUMIF('🤸 Ingresos Pole'!$W$2:$W$1000,$A34,'🤸 Ingresos Pole'!$P$2:$P$1000))</f>
        <v>0</v>
      </c>
      <c r="L34" s="30" t="str">
        <f aca="false">IF(OR($A34="",J34=0),"",_xlfn.MINIFS('🤸 Ingresos Pole'!$B$2:$B$1000,'🤸 Ingresos Pole'!$W$2:$W$1000,$A34))</f>
        <v/>
      </c>
      <c r="M34" s="30" t="str">
        <f aca="false">IF(OR($A34="",J34=0),"",_xlfn.MAXIFS('🤸 Ingresos Pole'!$B$2:$B$1000,'🤸 Ingresos Pole'!$W$2:$W$1000,$A34))</f>
        <v/>
      </c>
      <c r="N34" s="28" t="str">
        <f aca="false">IF(OR($A34="",J34=0),"",IF(I34=0,"Sin paquete",IF(I34=1,"Nueva","Recurrente")))</f>
        <v/>
      </c>
      <c r="O34" s="25" t="str">
        <f aca="false">IF(AND(TRIM(B34)="",TRIM(C34)=""),"",TRIM(B34)&amp;"|"&amp;TRIM(C34))</f>
        <v/>
      </c>
      <c r="P34" s="25" t="str">
        <f aca="false">IF(O34="","",IF(TRIM(C34)="",TRIM(B34),IF(TRIM(B34)="",TRIM(C34),TRIM(B34)&amp;", "&amp;TRIM(C34))))</f>
        <v/>
      </c>
      <c r="Q34" s="25" t="str">
        <f aca="false">IF(O34="","",TRIM(TRIM(C34)&amp;" "&amp;TRIM(B34)))</f>
        <v/>
      </c>
      <c r="R34" s="25" t="str">
        <f aca="false">IF(P34="","",COUNTIFS($P$2:$P$1000,"&lt;"&amp;P34,$P$2:$P$1000,"?*")+COUNTIF($P$2:P34,P34))</f>
        <v/>
      </c>
    </row>
    <row r="35" customFormat="false" ht="14.25" hidden="false" customHeight="true" outlineLevel="0" collapsed="false">
      <c r="A35" s="25" t="s">
        <v>233</v>
      </c>
      <c r="B35" s="25"/>
      <c r="C35" s="25"/>
      <c r="D35" s="26"/>
      <c r="E35" s="25"/>
      <c r="F35" s="25"/>
      <c r="G35" s="27"/>
      <c r="H35" s="28" t="str">
        <f aca="true">IF(G35="","",DATEDIF(G35,TODAY(),"Y"))</f>
        <v/>
      </c>
      <c r="I35" s="28" t="n">
        <f aca="false">IF($A35="","",COUNTIFS('🤸 Ingresos Pole'!$W$2:$W$1000,$A35,'🤸 Ingresos Pole'!$L$2:$L$1000,"Paquete"))</f>
        <v>0</v>
      </c>
      <c r="J35" s="28" t="n">
        <f aca="false">IF($A35="","",COUNTIF('🤸 Ingresos Pole'!$W$2:$W$1000,$A35))</f>
        <v>0</v>
      </c>
      <c r="K35" s="29" t="n">
        <f aca="false">IF($A35="","",SUMIF('🤸 Ingresos Pole'!$W$2:$W$1000,$A35,'🤸 Ingresos Pole'!$P$2:$P$1000))</f>
        <v>0</v>
      </c>
      <c r="L35" s="30" t="str">
        <f aca="false">IF(OR($A35="",J35=0),"",_xlfn.MINIFS('🤸 Ingresos Pole'!$B$2:$B$1000,'🤸 Ingresos Pole'!$W$2:$W$1000,$A35))</f>
        <v/>
      </c>
      <c r="M35" s="30" t="str">
        <f aca="false">IF(OR($A35="",J35=0),"",_xlfn.MAXIFS('🤸 Ingresos Pole'!$B$2:$B$1000,'🤸 Ingresos Pole'!$W$2:$W$1000,$A35))</f>
        <v/>
      </c>
      <c r="N35" s="28" t="str">
        <f aca="false">IF(OR($A35="",J35=0),"",IF(I35=0,"Sin paquete",IF(I35=1,"Nueva","Recurrente")))</f>
        <v/>
      </c>
      <c r="O35" s="25" t="str">
        <f aca="false">IF(AND(TRIM(B35)="",TRIM(C35)=""),"",TRIM(B35)&amp;"|"&amp;TRIM(C35))</f>
        <v/>
      </c>
      <c r="P35" s="25" t="str">
        <f aca="false">IF(O35="","",IF(TRIM(C35)="",TRIM(B35),IF(TRIM(B35)="",TRIM(C35),TRIM(B35)&amp;", "&amp;TRIM(C35))))</f>
        <v/>
      </c>
      <c r="Q35" s="25" t="str">
        <f aca="false">IF(O35="","",TRIM(TRIM(C35)&amp;" "&amp;TRIM(B35)))</f>
        <v/>
      </c>
      <c r="R35" s="25" t="str">
        <f aca="false">IF(P35="","",COUNTIFS($P$2:$P$1000,"&lt;"&amp;P35,$P$2:$P$1000,"?*")+COUNTIF($P$2:P35,P35))</f>
        <v/>
      </c>
    </row>
    <row r="36" customFormat="false" ht="14.25" hidden="false" customHeight="true" outlineLevel="0" collapsed="false">
      <c r="A36" s="25" t="s">
        <v>234</v>
      </c>
      <c r="B36" s="25"/>
      <c r="C36" s="25"/>
      <c r="D36" s="26"/>
      <c r="E36" s="25"/>
      <c r="F36" s="25"/>
      <c r="G36" s="27"/>
      <c r="H36" s="28" t="str">
        <f aca="true">IF(G36="","",DATEDIF(G36,TODAY(),"Y"))</f>
        <v/>
      </c>
      <c r="I36" s="28" t="n">
        <f aca="false">IF($A36="","",COUNTIFS('🤸 Ingresos Pole'!$W$2:$W$1000,$A36,'🤸 Ingresos Pole'!$L$2:$L$1000,"Paquete"))</f>
        <v>0</v>
      </c>
      <c r="J36" s="28" t="n">
        <f aca="false">IF($A36="","",COUNTIF('🤸 Ingresos Pole'!$W$2:$W$1000,$A36))</f>
        <v>0</v>
      </c>
      <c r="K36" s="29" t="n">
        <f aca="false">IF($A36="","",SUMIF('🤸 Ingresos Pole'!$W$2:$W$1000,$A36,'🤸 Ingresos Pole'!$P$2:$P$1000))</f>
        <v>0</v>
      </c>
      <c r="L36" s="30" t="str">
        <f aca="false">IF(OR($A36="",J36=0),"",_xlfn.MINIFS('🤸 Ingresos Pole'!$B$2:$B$1000,'🤸 Ingresos Pole'!$W$2:$W$1000,$A36))</f>
        <v/>
      </c>
      <c r="M36" s="30" t="str">
        <f aca="false">IF(OR($A36="",J36=0),"",_xlfn.MAXIFS('🤸 Ingresos Pole'!$B$2:$B$1000,'🤸 Ingresos Pole'!$W$2:$W$1000,$A36))</f>
        <v/>
      </c>
      <c r="N36" s="28" t="str">
        <f aca="false">IF(OR($A36="",J36=0),"",IF(I36=0,"Sin paquete",IF(I36=1,"Nueva","Recurrente")))</f>
        <v/>
      </c>
      <c r="O36" s="25" t="str">
        <f aca="false">IF(AND(TRIM(B36)="",TRIM(C36)=""),"",TRIM(B36)&amp;"|"&amp;TRIM(C36))</f>
        <v/>
      </c>
      <c r="P36" s="25" t="str">
        <f aca="false">IF(O36="","",IF(TRIM(C36)="",TRIM(B36),IF(TRIM(B36)="",TRIM(C36),TRIM(B36)&amp;", "&amp;TRIM(C36))))</f>
        <v/>
      </c>
      <c r="Q36" s="25" t="str">
        <f aca="false">IF(O36="","",TRIM(TRIM(C36)&amp;" "&amp;TRIM(B36)))</f>
        <v/>
      </c>
      <c r="R36" s="25" t="str">
        <f aca="false">IF(P36="","",COUNTIFS($P$2:$P$1000,"&lt;"&amp;P36,$P$2:$P$1000,"?*")+COUNTIF($P$2:P36,P36))</f>
        <v/>
      </c>
    </row>
    <row r="37" customFormat="false" ht="14.25" hidden="false" customHeight="true" outlineLevel="0" collapsed="false">
      <c r="A37" s="25" t="s">
        <v>235</v>
      </c>
      <c r="B37" s="25"/>
      <c r="C37" s="25"/>
      <c r="D37" s="26"/>
      <c r="E37" s="25"/>
      <c r="F37" s="25"/>
      <c r="G37" s="27"/>
      <c r="H37" s="28" t="str">
        <f aca="true">IF(G37="","",DATEDIF(G37,TODAY(),"Y"))</f>
        <v/>
      </c>
      <c r="I37" s="28" t="n">
        <f aca="false">IF($A37="","",COUNTIFS('🤸 Ingresos Pole'!$W$2:$W$1000,$A37,'🤸 Ingresos Pole'!$L$2:$L$1000,"Paquete"))</f>
        <v>0</v>
      </c>
      <c r="J37" s="28" t="n">
        <f aca="false">IF($A37="","",COUNTIF('🤸 Ingresos Pole'!$W$2:$W$1000,$A37))</f>
        <v>0</v>
      </c>
      <c r="K37" s="29" t="n">
        <f aca="false">IF($A37="","",SUMIF('🤸 Ingresos Pole'!$W$2:$W$1000,$A37,'🤸 Ingresos Pole'!$P$2:$P$1000))</f>
        <v>0</v>
      </c>
      <c r="L37" s="30" t="str">
        <f aca="false">IF(OR($A37="",J37=0),"",_xlfn.MINIFS('🤸 Ingresos Pole'!$B$2:$B$1000,'🤸 Ingresos Pole'!$W$2:$W$1000,$A37))</f>
        <v/>
      </c>
      <c r="M37" s="30" t="str">
        <f aca="false">IF(OR($A37="",J37=0),"",_xlfn.MAXIFS('🤸 Ingresos Pole'!$B$2:$B$1000,'🤸 Ingresos Pole'!$W$2:$W$1000,$A37))</f>
        <v/>
      </c>
      <c r="N37" s="28" t="str">
        <f aca="false">IF(OR($A37="",J37=0),"",IF(I37=0,"Sin paquete",IF(I37=1,"Nueva","Recurrente")))</f>
        <v/>
      </c>
      <c r="O37" s="25" t="str">
        <f aca="false">IF(AND(TRIM(B37)="",TRIM(C37)=""),"",TRIM(B37)&amp;"|"&amp;TRIM(C37))</f>
        <v/>
      </c>
      <c r="P37" s="25" t="str">
        <f aca="false">IF(O37="","",IF(TRIM(C37)="",TRIM(B37),IF(TRIM(B37)="",TRIM(C37),TRIM(B37)&amp;", "&amp;TRIM(C37))))</f>
        <v/>
      </c>
      <c r="Q37" s="25" t="str">
        <f aca="false">IF(O37="","",TRIM(TRIM(C37)&amp;" "&amp;TRIM(B37)))</f>
        <v/>
      </c>
      <c r="R37" s="25" t="str">
        <f aca="false">IF(P37="","",COUNTIFS($P$2:$P$1000,"&lt;"&amp;P37,$P$2:$P$1000,"?*")+COUNTIF($P$2:P37,P37))</f>
        <v/>
      </c>
    </row>
    <row r="38" customFormat="false" ht="14.25" hidden="false" customHeight="true" outlineLevel="0" collapsed="false">
      <c r="A38" s="25" t="s">
        <v>236</v>
      </c>
      <c r="B38" s="25"/>
      <c r="C38" s="25"/>
      <c r="D38" s="26"/>
      <c r="E38" s="25"/>
      <c r="F38" s="25"/>
      <c r="G38" s="27"/>
      <c r="H38" s="28" t="str">
        <f aca="true">IF(G38="","",DATEDIF(G38,TODAY(),"Y"))</f>
        <v/>
      </c>
      <c r="I38" s="28" t="n">
        <f aca="false">IF($A38="","",COUNTIFS('🤸 Ingresos Pole'!$W$2:$W$1000,$A38,'🤸 Ingresos Pole'!$L$2:$L$1000,"Paquete"))</f>
        <v>0</v>
      </c>
      <c r="J38" s="28" t="n">
        <f aca="false">IF($A38="","",COUNTIF('🤸 Ingresos Pole'!$W$2:$W$1000,$A38))</f>
        <v>0</v>
      </c>
      <c r="K38" s="29" t="n">
        <f aca="false">IF($A38="","",SUMIF('🤸 Ingresos Pole'!$W$2:$W$1000,$A38,'🤸 Ingresos Pole'!$P$2:$P$1000))</f>
        <v>0</v>
      </c>
      <c r="L38" s="30" t="str">
        <f aca="false">IF(OR($A38="",J38=0),"",_xlfn.MINIFS('🤸 Ingresos Pole'!$B$2:$B$1000,'🤸 Ingresos Pole'!$W$2:$W$1000,$A38))</f>
        <v/>
      </c>
      <c r="M38" s="30" t="str">
        <f aca="false">IF(OR($A38="",J38=0),"",_xlfn.MAXIFS('🤸 Ingresos Pole'!$B$2:$B$1000,'🤸 Ingresos Pole'!$W$2:$W$1000,$A38))</f>
        <v/>
      </c>
      <c r="N38" s="28" t="str">
        <f aca="false">IF(OR($A38="",J38=0),"",IF(I38=0,"Sin paquete",IF(I38=1,"Nueva","Recurrente")))</f>
        <v/>
      </c>
      <c r="O38" s="25" t="str">
        <f aca="false">IF(AND(TRIM(B38)="",TRIM(C38)=""),"",TRIM(B38)&amp;"|"&amp;TRIM(C38))</f>
        <v/>
      </c>
      <c r="P38" s="25" t="str">
        <f aca="false">IF(O38="","",IF(TRIM(C38)="",TRIM(B38),IF(TRIM(B38)="",TRIM(C38),TRIM(B38)&amp;", "&amp;TRIM(C38))))</f>
        <v/>
      </c>
      <c r="Q38" s="25" t="str">
        <f aca="false">IF(O38="","",TRIM(TRIM(C38)&amp;" "&amp;TRIM(B38)))</f>
        <v/>
      </c>
      <c r="R38" s="25" t="str">
        <f aca="false">IF(P38="","",COUNTIFS($P$2:$P$1000,"&lt;"&amp;P38,$P$2:$P$1000,"?*")+COUNTIF($P$2:P38,P38))</f>
        <v/>
      </c>
    </row>
    <row r="39" customFormat="false" ht="14.25" hidden="false" customHeight="true" outlineLevel="0" collapsed="false">
      <c r="A39" s="25" t="s">
        <v>237</v>
      </c>
      <c r="B39" s="25"/>
      <c r="C39" s="25"/>
      <c r="D39" s="26"/>
      <c r="E39" s="25"/>
      <c r="F39" s="25"/>
      <c r="G39" s="27"/>
      <c r="H39" s="28" t="str">
        <f aca="true">IF(G39="","",DATEDIF(G39,TODAY(),"Y"))</f>
        <v/>
      </c>
      <c r="I39" s="28" t="n">
        <f aca="false">IF($A39="","",COUNTIFS('🤸 Ingresos Pole'!$W$2:$W$1000,$A39,'🤸 Ingresos Pole'!$L$2:$L$1000,"Paquete"))</f>
        <v>0</v>
      </c>
      <c r="J39" s="28" t="n">
        <f aca="false">IF($A39="","",COUNTIF('🤸 Ingresos Pole'!$W$2:$W$1000,$A39))</f>
        <v>0</v>
      </c>
      <c r="K39" s="29" t="n">
        <f aca="false">IF($A39="","",SUMIF('🤸 Ingresos Pole'!$W$2:$W$1000,$A39,'🤸 Ingresos Pole'!$P$2:$P$1000))</f>
        <v>0</v>
      </c>
      <c r="L39" s="30" t="str">
        <f aca="false">IF(OR($A39="",J39=0),"",_xlfn.MINIFS('🤸 Ingresos Pole'!$B$2:$B$1000,'🤸 Ingresos Pole'!$W$2:$W$1000,$A39))</f>
        <v/>
      </c>
      <c r="M39" s="30" t="str">
        <f aca="false">IF(OR($A39="",J39=0),"",_xlfn.MAXIFS('🤸 Ingresos Pole'!$B$2:$B$1000,'🤸 Ingresos Pole'!$W$2:$W$1000,$A39))</f>
        <v/>
      </c>
      <c r="N39" s="28" t="str">
        <f aca="false">IF(OR($A39="",J39=0),"",IF(I39=0,"Sin paquete",IF(I39=1,"Nueva","Recurrente")))</f>
        <v/>
      </c>
      <c r="O39" s="25" t="str">
        <f aca="false">IF(AND(TRIM(B39)="",TRIM(C39)=""),"",TRIM(B39)&amp;"|"&amp;TRIM(C39))</f>
        <v/>
      </c>
      <c r="P39" s="25" t="str">
        <f aca="false">IF(O39="","",IF(TRIM(C39)="",TRIM(B39),IF(TRIM(B39)="",TRIM(C39),TRIM(B39)&amp;", "&amp;TRIM(C39))))</f>
        <v/>
      </c>
      <c r="Q39" s="25" t="str">
        <f aca="false">IF(O39="","",TRIM(TRIM(C39)&amp;" "&amp;TRIM(B39)))</f>
        <v/>
      </c>
      <c r="R39" s="25" t="str">
        <f aca="false">IF(P39="","",COUNTIFS($P$2:$P$1000,"&lt;"&amp;P39,$P$2:$P$1000,"?*")+COUNTIF($P$2:P39,P39))</f>
        <v/>
      </c>
    </row>
    <row r="40" customFormat="false" ht="14.25" hidden="false" customHeight="true" outlineLevel="0" collapsed="false">
      <c r="A40" s="25" t="s">
        <v>238</v>
      </c>
      <c r="B40" s="25"/>
      <c r="C40" s="25"/>
      <c r="D40" s="26"/>
      <c r="E40" s="25"/>
      <c r="F40" s="25"/>
      <c r="G40" s="27"/>
      <c r="H40" s="28" t="str">
        <f aca="true">IF(G40="","",DATEDIF(G40,TODAY(),"Y"))</f>
        <v/>
      </c>
      <c r="I40" s="28" t="n">
        <f aca="false">IF($A40="","",COUNTIFS('🤸 Ingresos Pole'!$W$2:$W$1000,$A40,'🤸 Ingresos Pole'!$L$2:$L$1000,"Paquete"))</f>
        <v>0</v>
      </c>
      <c r="J40" s="28" t="n">
        <f aca="false">IF($A40="","",COUNTIF('🤸 Ingresos Pole'!$W$2:$W$1000,$A40))</f>
        <v>0</v>
      </c>
      <c r="K40" s="29" t="n">
        <f aca="false">IF($A40="","",SUMIF('🤸 Ingresos Pole'!$W$2:$W$1000,$A40,'🤸 Ingresos Pole'!$P$2:$P$1000))</f>
        <v>0</v>
      </c>
      <c r="L40" s="30" t="str">
        <f aca="false">IF(OR($A40="",J40=0),"",_xlfn.MINIFS('🤸 Ingresos Pole'!$B$2:$B$1000,'🤸 Ingresos Pole'!$W$2:$W$1000,$A40))</f>
        <v/>
      </c>
      <c r="M40" s="30" t="str">
        <f aca="false">IF(OR($A40="",J40=0),"",_xlfn.MAXIFS('🤸 Ingresos Pole'!$B$2:$B$1000,'🤸 Ingresos Pole'!$W$2:$W$1000,$A40))</f>
        <v/>
      </c>
      <c r="N40" s="28" t="str">
        <f aca="false">IF(OR($A40="",J40=0),"",IF(I40=0,"Sin paquete",IF(I40=1,"Nueva","Recurrente")))</f>
        <v/>
      </c>
      <c r="O40" s="25" t="str">
        <f aca="false">IF(AND(TRIM(B40)="",TRIM(C40)=""),"",TRIM(B40)&amp;"|"&amp;TRIM(C40))</f>
        <v/>
      </c>
      <c r="P40" s="25" t="str">
        <f aca="false">IF(O40="","",IF(TRIM(C40)="",TRIM(B40),IF(TRIM(B40)="",TRIM(C40),TRIM(B40)&amp;", "&amp;TRIM(C40))))</f>
        <v/>
      </c>
      <c r="Q40" s="25" t="str">
        <f aca="false">IF(O40="","",TRIM(TRIM(C40)&amp;" "&amp;TRIM(B40)))</f>
        <v/>
      </c>
      <c r="R40" s="25" t="str">
        <f aca="false">IF(P40="","",COUNTIFS($P$2:$P$1000,"&lt;"&amp;P40,$P$2:$P$1000,"?*")+COUNTIF($P$2:P40,P40))</f>
        <v/>
      </c>
    </row>
    <row r="41" customFormat="false" ht="14.25" hidden="false" customHeight="true" outlineLevel="0" collapsed="false">
      <c r="A41" s="25" t="s">
        <v>239</v>
      </c>
      <c r="B41" s="25"/>
      <c r="C41" s="25"/>
      <c r="D41" s="26"/>
      <c r="E41" s="25"/>
      <c r="F41" s="25"/>
      <c r="G41" s="27"/>
      <c r="H41" s="28" t="str">
        <f aca="true">IF(G41="","",DATEDIF(G41,TODAY(),"Y"))</f>
        <v/>
      </c>
      <c r="I41" s="28" t="n">
        <f aca="false">IF($A41="","",COUNTIFS('🤸 Ingresos Pole'!$W$2:$W$1000,$A41,'🤸 Ingresos Pole'!$L$2:$L$1000,"Paquete"))</f>
        <v>0</v>
      </c>
      <c r="J41" s="28" t="n">
        <f aca="false">IF($A41="","",COUNTIF('🤸 Ingresos Pole'!$W$2:$W$1000,$A41))</f>
        <v>0</v>
      </c>
      <c r="K41" s="29" t="n">
        <f aca="false">IF($A41="","",SUMIF('🤸 Ingresos Pole'!$W$2:$W$1000,$A41,'🤸 Ingresos Pole'!$P$2:$P$1000))</f>
        <v>0</v>
      </c>
      <c r="L41" s="30" t="str">
        <f aca="false">IF(OR($A41="",J41=0),"",_xlfn.MINIFS('🤸 Ingresos Pole'!$B$2:$B$1000,'🤸 Ingresos Pole'!$W$2:$W$1000,$A41))</f>
        <v/>
      </c>
      <c r="M41" s="30" t="str">
        <f aca="false">IF(OR($A41="",J41=0),"",_xlfn.MAXIFS('🤸 Ingresos Pole'!$B$2:$B$1000,'🤸 Ingresos Pole'!$W$2:$W$1000,$A41))</f>
        <v/>
      </c>
      <c r="N41" s="28" t="str">
        <f aca="false">IF(OR($A41="",J41=0),"",IF(I41=0,"Sin paquete",IF(I41=1,"Nueva","Recurrente")))</f>
        <v/>
      </c>
      <c r="O41" s="25" t="str">
        <f aca="false">IF(AND(TRIM(B41)="",TRIM(C41)=""),"",TRIM(B41)&amp;"|"&amp;TRIM(C41))</f>
        <v/>
      </c>
      <c r="P41" s="25" t="str">
        <f aca="false">IF(O41="","",IF(TRIM(C41)="",TRIM(B41),IF(TRIM(B41)="",TRIM(C41),TRIM(B41)&amp;", "&amp;TRIM(C41))))</f>
        <v/>
      </c>
      <c r="Q41" s="25" t="str">
        <f aca="false">IF(O41="","",TRIM(TRIM(C41)&amp;" "&amp;TRIM(B41)))</f>
        <v/>
      </c>
      <c r="R41" s="25" t="str">
        <f aca="false">IF(P41="","",COUNTIFS($P$2:$P$1000,"&lt;"&amp;P41,$P$2:$P$1000,"?*")+COUNTIF($P$2:P41,P41))</f>
        <v/>
      </c>
    </row>
    <row r="42" customFormat="false" ht="14.25" hidden="false" customHeight="true" outlineLevel="0" collapsed="false">
      <c r="A42" s="25" t="s">
        <v>240</v>
      </c>
      <c r="B42" s="25"/>
      <c r="C42" s="25"/>
      <c r="D42" s="26"/>
      <c r="E42" s="25"/>
      <c r="F42" s="25"/>
      <c r="G42" s="27"/>
      <c r="H42" s="28" t="str">
        <f aca="true">IF(G42="","",DATEDIF(G42,TODAY(),"Y"))</f>
        <v/>
      </c>
      <c r="I42" s="28" t="n">
        <f aca="false">IF($A42="","",COUNTIFS('🤸 Ingresos Pole'!$W$2:$W$1000,$A42,'🤸 Ingresos Pole'!$L$2:$L$1000,"Paquete"))</f>
        <v>0</v>
      </c>
      <c r="J42" s="28" t="n">
        <f aca="false">IF($A42="","",COUNTIF('🤸 Ingresos Pole'!$W$2:$W$1000,$A42))</f>
        <v>0</v>
      </c>
      <c r="K42" s="29" t="n">
        <f aca="false">IF($A42="","",SUMIF('🤸 Ingresos Pole'!$W$2:$W$1000,$A42,'🤸 Ingresos Pole'!$P$2:$P$1000))</f>
        <v>0</v>
      </c>
      <c r="L42" s="30" t="str">
        <f aca="false">IF(OR($A42="",J42=0),"",_xlfn.MINIFS('🤸 Ingresos Pole'!$B$2:$B$1000,'🤸 Ingresos Pole'!$W$2:$W$1000,$A42))</f>
        <v/>
      </c>
      <c r="M42" s="30" t="str">
        <f aca="false">IF(OR($A42="",J42=0),"",_xlfn.MAXIFS('🤸 Ingresos Pole'!$B$2:$B$1000,'🤸 Ingresos Pole'!$W$2:$W$1000,$A42))</f>
        <v/>
      </c>
      <c r="N42" s="28" t="str">
        <f aca="false">IF(OR($A42="",J42=0),"",IF(I42=0,"Sin paquete",IF(I42=1,"Nueva","Recurrente")))</f>
        <v/>
      </c>
      <c r="O42" s="25" t="str">
        <f aca="false">IF(AND(TRIM(B42)="",TRIM(C42)=""),"",TRIM(B42)&amp;"|"&amp;TRIM(C42))</f>
        <v/>
      </c>
      <c r="P42" s="25" t="str">
        <f aca="false">IF(O42="","",IF(TRIM(C42)="",TRIM(B42),IF(TRIM(B42)="",TRIM(C42),TRIM(B42)&amp;", "&amp;TRIM(C42))))</f>
        <v/>
      </c>
      <c r="Q42" s="25" t="str">
        <f aca="false">IF(O42="","",TRIM(TRIM(C42)&amp;" "&amp;TRIM(B42)))</f>
        <v/>
      </c>
      <c r="R42" s="25" t="str">
        <f aca="false">IF(P42="","",COUNTIFS($P$2:$P$1000,"&lt;"&amp;P42,$P$2:$P$1000,"?*")+COUNTIF($P$2:P42,P42))</f>
        <v/>
      </c>
    </row>
    <row r="43" customFormat="false" ht="14.25" hidden="false" customHeight="true" outlineLevel="0" collapsed="false">
      <c r="A43" s="25" t="s">
        <v>241</v>
      </c>
      <c r="B43" s="25"/>
      <c r="C43" s="25"/>
      <c r="D43" s="26"/>
      <c r="E43" s="25"/>
      <c r="F43" s="25"/>
      <c r="G43" s="27"/>
      <c r="H43" s="28" t="str">
        <f aca="true">IF(G43="","",DATEDIF(G43,TODAY(),"Y"))</f>
        <v/>
      </c>
      <c r="I43" s="28" t="n">
        <f aca="false">IF($A43="","",COUNTIFS('🤸 Ingresos Pole'!$W$2:$W$1000,$A43,'🤸 Ingresos Pole'!$L$2:$L$1000,"Paquete"))</f>
        <v>0</v>
      </c>
      <c r="J43" s="28" t="n">
        <f aca="false">IF($A43="","",COUNTIF('🤸 Ingresos Pole'!$W$2:$W$1000,$A43))</f>
        <v>0</v>
      </c>
      <c r="K43" s="29" t="n">
        <f aca="false">IF($A43="","",SUMIF('🤸 Ingresos Pole'!$W$2:$W$1000,$A43,'🤸 Ingresos Pole'!$P$2:$P$1000))</f>
        <v>0</v>
      </c>
      <c r="L43" s="30" t="str">
        <f aca="false">IF(OR($A43="",J43=0),"",_xlfn.MINIFS('🤸 Ingresos Pole'!$B$2:$B$1000,'🤸 Ingresos Pole'!$W$2:$W$1000,$A43))</f>
        <v/>
      </c>
      <c r="M43" s="30" t="str">
        <f aca="false">IF(OR($A43="",J43=0),"",_xlfn.MAXIFS('🤸 Ingresos Pole'!$B$2:$B$1000,'🤸 Ingresos Pole'!$W$2:$W$1000,$A43))</f>
        <v/>
      </c>
      <c r="N43" s="28" t="str">
        <f aca="false">IF(OR($A43="",J43=0),"",IF(I43=0,"Sin paquete",IF(I43=1,"Nueva","Recurrente")))</f>
        <v/>
      </c>
      <c r="O43" s="25" t="str">
        <f aca="false">IF(AND(TRIM(B43)="",TRIM(C43)=""),"",TRIM(B43)&amp;"|"&amp;TRIM(C43))</f>
        <v/>
      </c>
      <c r="P43" s="25" t="str">
        <f aca="false">IF(O43="","",IF(TRIM(C43)="",TRIM(B43),IF(TRIM(B43)="",TRIM(C43),TRIM(B43)&amp;", "&amp;TRIM(C43))))</f>
        <v/>
      </c>
      <c r="Q43" s="25" t="str">
        <f aca="false">IF(O43="","",TRIM(TRIM(C43)&amp;" "&amp;TRIM(B43)))</f>
        <v/>
      </c>
      <c r="R43" s="25" t="str">
        <f aca="false">IF(P43="","",COUNTIFS($P$2:$P$1000,"&lt;"&amp;P43,$P$2:$P$1000,"?*")+COUNTIF($P$2:P43,P43))</f>
        <v/>
      </c>
    </row>
    <row r="44" customFormat="false" ht="14.25" hidden="false" customHeight="true" outlineLevel="0" collapsed="false">
      <c r="A44" s="25" t="s">
        <v>242</v>
      </c>
      <c r="B44" s="25"/>
      <c r="C44" s="25"/>
      <c r="D44" s="26"/>
      <c r="E44" s="25"/>
      <c r="F44" s="25"/>
      <c r="G44" s="27"/>
      <c r="H44" s="28" t="str">
        <f aca="true">IF(G44="","",DATEDIF(G44,TODAY(),"Y"))</f>
        <v/>
      </c>
      <c r="I44" s="28" t="n">
        <f aca="false">IF($A44="","",COUNTIFS('🤸 Ingresos Pole'!$W$2:$W$1000,$A44,'🤸 Ingresos Pole'!$L$2:$L$1000,"Paquete"))</f>
        <v>0</v>
      </c>
      <c r="J44" s="28" t="n">
        <f aca="false">IF($A44="","",COUNTIF('🤸 Ingresos Pole'!$W$2:$W$1000,$A44))</f>
        <v>0</v>
      </c>
      <c r="K44" s="29" t="n">
        <f aca="false">IF($A44="","",SUMIF('🤸 Ingresos Pole'!$W$2:$W$1000,$A44,'🤸 Ingresos Pole'!$P$2:$P$1000))</f>
        <v>0</v>
      </c>
      <c r="L44" s="30" t="str">
        <f aca="false">IF(OR($A44="",J44=0),"",_xlfn.MINIFS('🤸 Ingresos Pole'!$B$2:$B$1000,'🤸 Ingresos Pole'!$W$2:$W$1000,$A44))</f>
        <v/>
      </c>
      <c r="M44" s="30" t="str">
        <f aca="false">IF(OR($A44="",J44=0),"",_xlfn.MAXIFS('🤸 Ingresos Pole'!$B$2:$B$1000,'🤸 Ingresos Pole'!$W$2:$W$1000,$A44))</f>
        <v/>
      </c>
      <c r="N44" s="28" t="str">
        <f aca="false">IF(OR($A44="",J44=0),"",IF(I44=0,"Sin paquete",IF(I44=1,"Nueva","Recurrente")))</f>
        <v/>
      </c>
      <c r="O44" s="25" t="str">
        <f aca="false">IF(AND(TRIM(B44)="",TRIM(C44)=""),"",TRIM(B44)&amp;"|"&amp;TRIM(C44))</f>
        <v/>
      </c>
      <c r="P44" s="25" t="str">
        <f aca="false">IF(O44="","",IF(TRIM(C44)="",TRIM(B44),IF(TRIM(B44)="",TRIM(C44),TRIM(B44)&amp;", "&amp;TRIM(C44))))</f>
        <v/>
      </c>
      <c r="Q44" s="25" t="str">
        <f aca="false">IF(O44="","",TRIM(TRIM(C44)&amp;" "&amp;TRIM(B44)))</f>
        <v/>
      </c>
      <c r="R44" s="25" t="str">
        <f aca="false">IF(P44="","",COUNTIFS($P$2:$P$1000,"&lt;"&amp;P44,$P$2:$P$1000,"?*")+COUNTIF($P$2:P44,P44))</f>
        <v/>
      </c>
    </row>
    <row r="45" customFormat="false" ht="14.25" hidden="false" customHeight="true" outlineLevel="0" collapsed="false">
      <c r="A45" s="25" t="s">
        <v>243</v>
      </c>
      <c r="B45" s="25"/>
      <c r="C45" s="25"/>
      <c r="D45" s="26"/>
      <c r="E45" s="25"/>
      <c r="F45" s="25"/>
      <c r="G45" s="27"/>
      <c r="H45" s="28" t="str">
        <f aca="true">IF(G45="","",DATEDIF(G45,TODAY(),"Y"))</f>
        <v/>
      </c>
      <c r="I45" s="28" t="n">
        <f aca="false">IF($A45="","",COUNTIFS('🤸 Ingresos Pole'!$W$2:$W$1000,$A45,'🤸 Ingresos Pole'!$L$2:$L$1000,"Paquete"))</f>
        <v>0</v>
      </c>
      <c r="J45" s="28" t="n">
        <f aca="false">IF($A45="","",COUNTIF('🤸 Ingresos Pole'!$W$2:$W$1000,$A45))</f>
        <v>0</v>
      </c>
      <c r="K45" s="29" t="n">
        <f aca="false">IF($A45="","",SUMIF('🤸 Ingresos Pole'!$W$2:$W$1000,$A45,'🤸 Ingresos Pole'!$P$2:$P$1000))</f>
        <v>0</v>
      </c>
      <c r="L45" s="30" t="str">
        <f aca="false">IF(OR($A45="",J45=0),"",_xlfn.MINIFS('🤸 Ingresos Pole'!$B$2:$B$1000,'🤸 Ingresos Pole'!$W$2:$W$1000,$A45))</f>
        <v/>
      </c>
      <c r="M45" s="30" t="str">
        <f aca="false">IF(OR($A45="",J45=0),"",_xlfn.MAXIFS('🤸 Ingresos Pole'!$B$2:$B$1000,'🤸 Ingresos Pole'!$W$2:$W$1000,$A45))</f>
        <v/>
      </c>
      <c r="N45" s="28" t="str">
        <f aca="false">IF(OR($A45="",J45=0),"",IF(I45=0,"Sin paquete",IF(I45=1,"Nueva","Recurrente")))</f>
        <v/>
      </c>
      <c r="O45" s="25" t="str">
        <f aca="false">IF(AND(TRIM(B45)="",TRIM(C45)=""),"",TRIM(B45)&amp;"|"&amp;TRIM(C45))</f>
        <v/>
      </c>
      <c r="P45" s="25" t="str">
        <f aca="false">IF(O45="","",IF(TRIM(C45)="",TRIM(B45),IF(TRIM(B45)="",TRIM(C45),TRIM(B45)&amp;", "&amp;TRIM(C45))))</f>
        <v/>
      </c>
      <c r="Q45" s="25" t="str">
        <f aca="false">IF(O45="","",TRIM(TRIM(C45)&amp;" "&amp;TRIM(B45)))</f>
        <v/>
      </c>
      <c r="R45" s="25" t="str">
        <f aca="false">IF(P45="","",COUNTIFS($P$2:$P$1000,"&lt;"&amp;P45,$P$2:$P$1000,"?*")+COUNTIF($P$2:P45,P45))</f>
        <v/>
      </c>
    </row>
    <row r="46" customFormat="false" ht="14.25" hidden="false" customHeight="true" outlineLevel="0" collapsed="false">
      <c r="A46" s="25" t="s">
        <v>244</v>
      </c>
      <c r="B46" s="25"/>
      <c r="C46" s="25"/>
      <c r="D46" s="26"/>
      <c r="E46" s="25"/>
      <c r="F46" s="25"/>
      <c r="G46" s="27"/>
      <c r="H46" s="28" t="str">
        <f aca="true">IF(G46="","",DATEDIF(G46,TODAY(),"Y"))</f>
        <v/>
      </c>
      <c r="I46" s="28" t="n">
        <f aca="false">IF($A46="","",COUNTIFS('🤸 Ingresos Pole'!$W$2:$W$1000,$A46,'🤸 Ingresos Pole'!$L$2:$L$1000,"Paquete"))</f>
        <v>0</v>
      </c>
      <c r="J46" s="28" t="n">
        <f aca="false">IF($A46="","",COUNTIF('🤸 Ingresos Pole'!$W$2:$W$1000,$A46))</f>
        <v>0</v>
      </c>
      <c r="K46" s="29" t="n">
        <f aca="false">IF($A46="","",SUMIF('🤸 Ingresos Pole'!$W$2:$W$1000,$A46,'🤸 Ingresos Pole'!$P$2:$P$1000))</f>
        <v>0</v>
      </c>
      <c r="L46" s="30" t="str">
        <f aca="false">IF(OR($A46="",J46=0),"",_xlfn.MINIFS('🤸 Ingresos Pole'!$B$2:$B$1000,'🤸 Ingresos Pole'!$W$2:$W$1000,$A46))</f>
        <v/>
      </c>
      <c r="M46" s="30" t="str">
        <f aca="false">IF(OR($A46="",J46=0),"",_xlfn.MAXIFS('🤸 Ingresos Pole'!$B$2:$B$1000,'🤸 Ingresos Pole'!$W$2:$W$1000,$A46))</f>
        <v/>
      </c>
      <c r="N46" s="28" t="str">
        <f aca="false">IF(OR($A46="",J46=0),"",IF(I46=0,"Sin paquete",IF(I46=1,"Nueva","Recurrente")))</f>
        <v/>
      </c>
      <c r="O46" s="25" t="str">
        <f aca="false">IF(AND(TRIM(B46)="",TRIM(C46)=""),"",TRIM(B46)&amp;"|"&amp;TRIM(C46))</f>
        <v/>
      </c>
      <c r="P46" s="25" t="str">
        <f aca="false">IF(O46="","",IF(TRIM(C46)="",TRIM(B46),IF(TRIM(B46)="",TRIM(C46),TRIM(B46)&amp;", "&amp;TRIM(C46))))</f>
        <v/>
      </c>
      <c r="Q46" s="25" t="str">
        <f aca="false">IF(O46="","",TRIM(TRIM(C46)&amp;" "&amp;TRIM(B46)))</f>
        <v/>
      </c>
      <c r="R46" s="25" t="str">
        <f aca="false">IF(P46="","",COUNTIFS($P$2:$P$1000,"&lt;"&amp;P46,$P$2:$P$1000,"?*")+COUNTIF($P$2:P46,P46))</f>
        <v/>
      </c>
    </row>
    <row r="47" customFormat="false" ht="14.25" hidden="false" customHeight="true" outlineLevel="0" collapsed="false">
      <c r="A47" s="25" t="s">
        <v>245</v>
      </c>
      <c r="B47" s="25"/>
      <c r="C47" s="25"/>
      <c r="D47" s="26"/>
      <c r="E47" s="25"/>
      <c r="F47" s="25"/>
      <c r="G47" s="27"/>
      <c r="H47" s="28" t="str">
        <f aca="true">IF(G47="","",DATEDIF(G47,TODAY(),"Y"))</f>
        <v/>
      </c>
      <c r="I47" s="28" t="n">
        <f aca="false">IF($A47="","",COUNTIFS('🤸 Ingresos Pole'!$W$2:$W$1000,$A47,'🤸 Ingresos Pole'!$L$2:$L$1000,"Paquete"))</f>
        <v>0</v>
      </c>
      <c r="J47" s="28" t="n">
        <f aca="false">IF($A47="","",COUNTIF('🤸 Ingresos Pole'!$W$2:$W$1000,$A47))</f>
        <v>0</v>
      </c>
      <c r="K47" s="29" t="n">
        <f aca="false">IF($A47="","",SUMIF('🤸 Ingresos Pole'!$W$2:$W$1000,$A47,'🤸 Ingresos Pole'!$P$2:$P$1000))</f>
        <v>0</v>
      </c>
      <c r="L47" s="30" t="str">
        <f aca="false">IF(OR($A47="",J47=0),"",_xlfn.MINIFS('🤸 Ingresos Pole'!$B$2:$B$1000,'🤸 Ingresos Pole'!$W$2:$W$1000,$A47))</f>
        <v/>
      </c>
      <c r="M47" s="30" t="str">
        <f aca="false">IF(OR($A47="",J47=0),"",_xlfn.MAXIFS('🤸 Ingresos Pole'!$B$2:$B$1000,'🤸 Ingresos Pole'!$W$2:$W$1000,$A47))</f>
        <v/>
      </c>
      <c r="N47" s="28" t="str">
        <f aca="false">IF(OR($A47="",J47=0),"",IF(I47=0,"Sin paquete",IF(I47=1,"Nueva","Recurrente")))</f>
        <v/>
      </c>
      <c r="O47" s="25" t="str">
        <f aca="false">IF(AND(TRIM(B47)="",TRIM(C47)=""),"",TRIM(B47)&amp;"|"&amp;TRIM(C47))</f>
        <v/>
      </c>
      <c r="P47" s="25" t="str">
        <f aca="false">IF(O47="","",IF(TRIM(C47)="",TRIM(B47),IF(TRIM(B47)="",TRIM(C47),TRIM(B47)&amp;", "&amp;TRIM(C47))))</f>
        <v/>
      </c>
      <c r="Q47" s="25" t="str">
        <f aca="false">IF(O47="","",TRIM(TRIM(C47)&amp;" "&amp;TRIM(B47)))</f>
        <v/>
      </c>
      <c r="R47" s="25" t="str">
        <f aca="false">IF(P47="","",COUNTIFS($P$2:$P$1000,"&lt;"&amp;P47,$P$2:$P$1000,"?*")+COUNTIF($P$2:P47,P47))</f>
        <v/>
      </c>
    </row>
    <row r="48" customFormat="false" ht="14.25" hidden="false" customHeight="true" outlineLevel="0" collapsed="false">
      <c r="A48" s="25" t="s">
        <v>246</v>
      </c>
      <c r="B48" s="25"/>
      <c r="C48" s="25"/>
      <c r="D48" s="26"/>
      <c r="E48" s="25"/>
      <c r="F48" s="25"/>
      <c r="G48" s="27"/>
      <c r="H48" s="28" t="str">
        <f aca="true">IF(G48="","",DATEDIF(G48,TODAY(),"Y"))</f>
        <v/>
      </c>
      <c r="I48" s="28" t="n">
        <f aca="false">IF($A48="","",COUNTIFS('🤸 Ingresos Pole'!$W$2:$W$1000,$A48,'🤸 Ingresos Pole'!$L$2:$L$1000,"Paquete"))</f>
        <v>0</v>
      </c>
      <c r="J48" s="28" t="n">
        <f aca="false">IF($A48="","",COUNTIF('🤸 Ingresos Pole'!$W$2:$W$1000,$A48))</f>
        <v>0</v>
      </c>
      <c r="K48" s="29" t="n">
        <f aca="false">IF($A48="","",SUMIF('🤸 Ingresos Pole'!$W$2:$W$1000,$A48,'🤸 Ingresos Pole'!$P$2:$P$1000))</f>
        <v>0</v>
      </c>
      <c r="L48" s="30" t="str">
        <f aca="false">IF(OR($A48="",J48=0),"",_xlfn.MINIFS('🤸 Ingresos Pole'!$B$2:$B$1000,'🤸 Ingresos Pole'!$W$2:$W$1000,$A48))</f>
        <v/>
      </c>
      <c r="M48" s="30" t="str">
        <f aca="false">IF(OR($A48="",J48=0),"",_xlfn.MAXIFS('🤸 Ingresos Pole'!$B$2:$B$1000,'🤸 Ingresos Pole'!$W$2:$W$1000,$A48))</f>
        <v/>
      </c>
      <c r="N48" s="28" t="str">
        <f aca="false">IF(OR($A48="",J48=0),"",IF(I48=0,"Sin paquete",IF(I48=1,"Nueva","Recurrente")))</f>
        <v/>
      </c>
      <c r="O48" s="25" t="str">
        <f aca="false">IF(AND(TRIM(B48)="",TRIM(C48)=""),"",TRIM(B48)&amp;"|"&amp;TRIM(C48))</f>
        <v/>
      </c>
      <c r="P48" s="25" t="str">
        <f aca="false">IF(O48="","",IF(TRIM(C48)="",TRIM(B48),IF(TRIM(B48)="",TRIM(C48),TRIM(B48)&amp;", "&amp;TRIM(C48))))</f>
        <v/>
      </c>
      <c r="Q48" s="25" t="str">
        <f aca="false">IF(O48="","",TRIM(TRIM(C48)&amp;" "&amp;TRIM(B48)))</f>
        <v/>
      </c>
      <c r="R48" s="25" t="str">
        <f aca="false">IF(P48="","",COUNTIFS($P$2:$P$1000,"&lt;"&amp;P48,$P$2:$P$1000,"?*")+COUNTIF($P$2:P48,P48))</f>
        <v/>
      </c>
    </row>
    <row r="49" customFormat="false" ht="14.25" hidden="false" customHeight="true" outlineLevel="0" collapsed="false">
      <c r="A49" s="25" t="s">
        <v>247</v>
      </c>
      <c r="B49" s="25"/>
      <c r="C49" s="25"/>
      <c r="D49" s="26"/>
      <c r="E49" s="25"/>
      <c r="F49" s="25"/>
      <c r="G49" s="27"/>
      <c r="H49" s="28" t="str">
        <f aca="true">IF(G49="","",DATEDIF(G49,TODAY(),"Y"))</f>
        <v/>
      </c>
      <c r="I49" s="28" t="n">
        <f aca="false">IF($A49="","",COUNTIFS('🤸 Ingresos Pole'!$W$2:$W$1000,$A49,'🤸 Ingresos Pole'!$L$2:$L$1000,"Paquete"))</f>
        <v>0</v>
      </c>
      <c r="J49" s="28" t="n">
        <f aca="false">IF($A49="","",COUNTIF('🤸 Ingresos Pole'!$W$2:$W$1000,$A49))</f>
        <v>0</v>
      </c>
      <c r="K49" s="29" t="n">
        <f aca="false">IF($A49="","",SUMIF('🤸 Ingresos Pole'!$W$2:$W$1000,$A49,'🤸 Ingresos Pole'!$P$2:$P$1000))</f>
        <v>0</v>
      </c>
      <c r="L49" s="30" t="str">
        <f aca="false">IF(OR($A49="",J49=0),"",_xlfn.MINIFS('🤸 Ingresos Pole'!$B$2:$B$1000,'🤸 Ingresos Pole'!$W$2:$W$1000,$A49))</f>
        <v/>
      </c>
      <c r="M49" s="30" t="str">
        <f aca="false">IF(OR($A49="",J49=0),"",_xlfn.MAXIFS('🤸 Ingresos Pole'!$B$2:$B$1000,'🤸 Ingresos Pole'!$W$2:$W$1000,$A49))</f>
        <v/>
      </c>
      <c r="N49" s="28" t="str">
        <f aca="false">IF(OR($A49="",J49=0),"",IF(I49=0,"Sin paquete",IF(I49=1,"Nueva","Recurrente")))</f>
        <v/>
      </c>
      <c r="O49" s="25" t="str">
        <f aca="false">IF(AND(TRIM(B49)="",TRIM(C49)=""),"",TRIM(B49)&amp;"|"&amp;TRIM(C49))</f>
        <v/>
      </c>
      <c r="P49" s="25" t="str">
        <f aca="false">IF(O49="","",IF(TRIM(C49)="",TRIM(B49),IF(TRIM(B49)="",TRIM(C49),TRIM(B49)&amp;", "&amp;TRIM(C49))))</f>
        <v/>
      </c>
      <c r="Q49" s="25" t="str">
        <f aca="false">IF(O49="","",TRIM(TRIM(C49)&amp;" "&amp;TRIM(B49)))</f>
        <v/>
      </c>
      <c r="R49" s="25" t="str">
        <f aca="false">IF(P49="","",COUNTIFS($P$2:$P$1000,"&lt;"&amp;P49,$P$2:$P$1000,"?*")+COUNTIF($P$2:P49,P49))</f>
        <v/>
      </c>
    </row>
    <row r="50" customFormat="false" ht="14.25" hidden="false" customHeight="true" outlineLevel="0" collapsed="false">
      <c r="A50" s="25" t="s">
        <v>248</v>
      </c>
      <c r="B50" s="25"/>
      <c r="C50" s="25"/>
      <c r="D50" s="26"/>
      <c r="E50" s="25"/>
      <c r="F50" s="25"/>
      <c r="G50" s="27"/>
      <c r="H50" s="28" t="str">
        <f aca="true">IF(G50="","",DATEDIF(G50,TODAY(),"Y"))</f>
        <v/>
      </c>
      <c r="I50" s="28" t="n">
        <f aca="false">IF($A50="","",COUNTIFS('🤸 Ingresos Pole'!$W$2:$W$1000,$A50,'🤸 Ingresos Pole'!$L$2:$L$1000,"Paquete"))</f>
        <v>0</v>
      </c>
      <c r="J50" s="28" t="n">
        <f aca="false">IF($A50="","",COUNTIF('🤸 Ingresos Pole'!$W$2:$W$1000,$A50))</f>
        <v>0</v>
      </c>
      <c r="K50" s="29" t="n">
        <f aca="false">IF($A50="","",SUMIF('🤸 Ingresos Pole'!$W$2:$W$1000,$A50,'🤸 Ingresos Pole'!$P$2:$P$1000))</f>
        <v>0</v>
      </c>
      <c r="L50" s="30" t="str">
        <f aca="false">IF(OR($A50="",J50=0),"",_xlfn.MINIFS('🤸 Ingresos Pole'!$B$2:$B$1000,'🤸 Ingresos Pole'!$W$2:$W$1000,$A50))</f>
        <v/>
      </c>
      <c r="M50" s="30" t="str">
        <f aca="false">IF(OR($A50="",J50=0),"",_xlfn.MAXIFS('🤸 Ingresos Pole'!$B$2:$B$1000,'🤸 Ingresos Pole'!$W$2:$W$1000,$A50))</f>
        <v/>
      </c>
      <c r="N50" s="28" t="str">
        <f aca="false">IF(OR($A50="",J50=0),"",IF(I50=0,"Sin paquete",IF(I50=1,"Nueva","Recurrente")))</f>
        <v/>
      </c>
      <c r="O50" s="25" t="str">
        <f aca="false">IF(AND(TRIM(B50)="",TRIM(C50)=""),"",TRIM(B50)&amp;"|"&amp;TRIM(C50))</f>
        <v/>
      </c>
      <c r="P50" s="25" t="str">
        <f aca="false">IF(O50="","",IF(TRIM(C50)="",TRIM(B50),IF(TRIM(B50)="",TRIM(C50),TRIM(B50)&amp;", "&amp;TRIM(C50))))</f>
        <v/>
      </c>
      <c r="Q50" s="25" t="str">
        <f aca="false">IF(O50="","",TRIM(TRIM(C50)&amp;" "&amp;TRIM(B50)))</f>
        <v/>
      </c>
      <c r="R50" s="25" t="str">
        <f aca="false">IF(P50="","",COUNTIFS($P$2:$P$1000,"&lt;"&amp;P50,$P$2:$P$1000,"?*")+COUNTIF($P$2:P50,P50))</f>
        <v/>
      </c>
    </row>
    <row r="51" customFormat="false" ht="14.25" hidden="false" customHeight="true" outlineLevel="0" collapsed="false">
      <c r="A51" s="25" t="s">
        <v>249</v>
      </c>
      <c r="B51" s="25"/>
      <c r="C51" s="25"/>
      <c r="D51" s="26"/>
      <c r="E51" s="25"/>
      <c r="F51" s="25"/>
      <c r="G51" s="27"/>
      <c r="H51" s="28" t="str">
        <f aca="true">IF(G51="","",DATEDIF(G51,TODAY(),"Y"))</f>
        <v/>
      </c>
      <c r="I51" s="28" t="n">
        <f aca="false">IF($A51="","",COUNTIFS('🤸 Ingresos Pole'!$W$2:$W$1000,$A51,'🤸 Ingresos Pole'!$L$2:$L$1000,"Paquete"))</f>
        <v>0</v>
      </c>
      <c r="J51" s="28" t="n">
        <f aca="false">IF($A51="","",COUNTIF('🤸 Ingresos Pole'!$W$2:$W$1000,$A51))</f>
        <v>0</v>
      </c>
      <c r="K51" s="29" t="n">
        <f aca="false">IF($A51="","",SUMIF('🤸 Ingresos Pole'!$W$2:$W$1000,$A51,'🤸 Ingresos Pole'!$P$2:$P$1000))</f>
        <v>0</v>
      </c>
      <c r="L51" s="30" t="str">
        <f aca="false">IF(OR($A51="",J51=0),"",_xlfn.MINIFS('🤸 Ingresos Pole'!$B$2:$B$1000,'🤸 Ingresos Pole'!$W$2:$W$1000,$A51))</f>
        <v/>
      </c>
      <c r="M51" s="30" t="str">
        <f aca="false">IF(OR($A51="",J51=0),"",_xlfn.MAXIFS('🤸 Ingresos Pole'!$B$2:$B$1000,'🤸 Ingresos Pole'!$W$2:$W$1000,$A51))</f>
        <v/>
      </c>
      <c r="N51" s="28" t="str">
        <f aca="false">IF(OR($A51="",J51=0),"",IF(I51=0,"Sin paquete",IF(I51=1,"Nueva","Recurrente")))</f>
        <v/>
      </c>
      <c r="O51" s="25" t="str">
        <f aca="false">IF(AND(TRIM(B51)="",TRIM(C51)=""),"",TRIM(B51)&amp;"|"&amp;TRIM(C51))</f>
        <v/>
      </c>
      <c r="P51" s="25" t="str">
        <f aca="false">IF(O51="","",IF(TRIM(C51)="",TRIM(B51),IF(TRIM(B51)="",TRIM(C51),TRIM(B51)&amp;", "&amp;TRIM(C51))))</f>
        <v/>
      </c>
      <c r="Q51" s="25" t="str">
        <f aca="false">IF(O51="","",TRIM(TRIM(C51)&amp;" "&amp;TRIM(B51)))</f>
        <v/>
      </c>
      <c r="R51" s="25" t="str">
        <f aca="false">IF(P51="","",COUNTIFS($P$2:$P$1000,"&lt;"&amp;P51,$P$2:$P$1000,"?*")+COUNTIF($P$2:P51,P51))</f>
        <v/>
      </c>
    </row>
    <row r="52" customFormat="false" ht="14.25" hidden="false" customHeight="true" outlineLevel="0" collapsed="false">
      <c r="A52" s="25" t="s">
        <v>250</v>
      </c>
      <c r="B52" s="25"/>
      <c r="C52" s="25"/>
      <c r="D52" s="26"/>
      <c r="E52" s="25"/>
      <c r="F52" s="25"/>
      <c r="G52" s="27"/>
      <c r="H52" s="28" t="str">
        <f aca="true">IF(G52="","",DATEDIF(G52,TODAY(),"Y"))</f>
        <v/>
      </c>
      <c r="I52" s="28" t="n">
        <f aca="false">IF($A52="","",COUNTIFS('🤸 Ingresos Pole'!$W$2:$W$1000,$A52,'🤸 Ingresos Pole'!$L$2:$L$1000,"Paquete"))</f>
        <v>0</v>
      </c>
      <c r="J52" s="28" t="n">
        <f aca="false">IF($A52="","",COUNTIF('🤸 Ingresos Pole'!$W$2:$W$1000,$A52))</f>
        <v>0</v>
      </c>
      <c r="K52" s="29" t="n">
        <f aca="false">IF($A52="","",SUMIF('🤸 Ingresos Pole'!$W$2:$W$1000,$A52,'🤸 Ingresos Pole'!$P$2:$P$1000))</f>
        <v>0</v>
      </c>
      <c r="L52" s="30" t="str">
        <f aca="false">IF(OR($A52="",J52=0),"",_xlfn.MINIFS('🤸 Ingresos Pole'!$B$2:$B$1000,'🤸 Ingresos Pole'!$W$2:$W$1000,$A52))</f>
        <v/>
      </c>
      <c r="M52" s="30" t="str">
        <f aca="false">IF(OR($A52="",J52=0),"",_xlfn.MAXIFS('🤸 Ingresos Pole'!$B$2:$B$1000,'🤸 Ingresos Pole'!$W$2:$W$1000,$A52))</f>
        <v/>
      </c>
      <c r="N52" s="28" t="str">
        <f aca="false">IF(OR($A52="",J52=0),"",IF(I52=0,"Sin paquete",IF(I52=1,"Nueva","Recurrente")))</f>
        <v/>
      </c>
      <c r="O52" s="25" t="str">
        <f aca="false">IF(AND(TRIM(B52)="",TRIM(C52)=""),"",TRIM(B52)&amp;"|"&amp;TRIM(C52))</f>
        <v/>
      </c>
      <c r="P52" s="25" t="str">
        <f aca="false">IF(O52="","",IF(TRIM(C52)="",TRIM(B52),IF(TRIM(B52)="",TRIM(C52),TRIM(B52)&amp;", "&amp;TRIM(C52))))</f>
        <v/>
      </c>
      <c r="Q52" s="25" t="str">
        <f aca="false">IF(O52="","",TRIM(TRIM(C52)&amp;" "&amp;TRIM(B52)))</f>
        <v/>
      </c>
      <c r="R52" s="25" t="str">
        <f aca="false">IF(P52="","",COUNTIFS($P$2:$P$1000,"&lt;"&amp;P52,$P$2:$P$1000,"?*")+COUNTIF($P$2:P52,P52))</f>
        <v/>
      </c>
    </row>
    <row r="53" customFormat="false" ht="14.25" hidden="false" customHeight="true" outlineLevel="0" collapsed="false">
      <c r="A53" s="25" t="s">
        <v>251</v>
      </c>
      <c r="B53" s="25"/>
      <c r="C53" s="25"/>
      <c r="D53" s="26"/>
      <c r="E53" s="25"/>
      <c r="F53" s="25"/>
      <c r="G53" s="27"/>
      <c r="H53" s="28" t="str">
        <f aca="true">IF(G53="","",DATEDIF(G53,TODAY(),"Y"))</f>
        <v/>
      </c>
      <c r="I53" s="28" t="n">
        <f aca="false">IF($A53="","",COUNTIFS('🤸 Ingresos Pole'!$W$2:$W$1000,$A53,'🤸 Ingresos Pole'!$L$2:$L$1000,"Paquete"))</f>
        <v>0</v>
      </c>
      <c r="J53" s="28" t="n">
        <f aca="false">IF($A53="","",COUNTIF('🤸 Ingresos Pole'!$W$2:$W$1000,$A53))</f>
        <v>0</v>
      </c>
      <c r="K53" s="29" t="n">
        <f aca="false">IF($A53="","",SUMIF('🤸 Ingresos Pole'!$W$2:$W$1000,$A53,'🤸 Ingresos Pole'!$P$2:$P$1000))</f>
        <v>0</v>
      </c>
      <c r="L53" s="30" t="str">
        <f aca="false">IF(OR($A53="",J53=0),"",_xlfn.MINIFS('🤸 Ingresos Pole'!$B$2:$B$1000,'🤸 Ingresos Pole'!$W$2:$W$1000,$A53))</f>
        <v/>
      </c>
      <c r="M53" s="30" t="str">
        <f aca="false">IF(OR($A53="",J53=0),"",_xlfn.MAXIFS('🤸 Ingresos Pole'!$B$2:$B$1000,'🤸 Ingresos Pole'!$W$2:$W$1000,$A53))</f>
        <v/>
      </c>
      <c r="N53" s="28" t="str">
        <f aca="false">IF(OR($A53="",J53=0),"",IF(I53=0,"Sin paquete",IF(I53=1,"Nueva","Recurrente")))</f>
        <v/>
      </c>
      <c r="O53" s="25" t="str">
        <f aca="false">IF(AND(TRIM(B53)="",TRIM(C53)=""),"",TRIM(B53)&amp;"|"&amp;TRIM(C53))</f>
        <v/>
      </c>
      <c r="P53" s="25" t="str">
        <f aca="false">IF(O53="","",IF(TRIM(C53)="",TRIM(B53),IF(TRIM(B53)="",TRIM(C53),TRIM(B53)&amp;", "&amp;TRIM(C53))))</f>
        <v/>
      </c>
      <c r="Q53" s="25" t="str">
        <f aca="false">IF(O53="","",TRIM(TRIM(C53)&amp;" "&amp;TRIM(B53)))</f>
        <v/>
      </c>
      <c r="R53" s="25" t="str">
        <f aca="false">IF(P53="","",COUNTIFS($P$2:$P$1000,"&lt;"&amp;P53,$P$2:$P$1000,"?*")+COUNTIF($P$2:P53,P53))</f>
        <v/>
      </c>
    </row>
    <row r="54" customFormat="false" ht="14.25" hidden="false" customHeight="true" outlineLevel="0" collapsed="false">
      <c r="A54" s="25" t="s">
        <v>252</v>
      </c>
      <c r="B54" s="25"/>
      <c r="C54" s="25"/>
      <c r="D54" s="26"/>
      <c r="E54" s="25"/>
      <c r="F54" s="25"/>
      <c r="G54" s="27"/>
      <c r="H54" s="28" t="str">
        <f aca="true">IF(G54="","",DATEDIF(G54,TODAY(),"Y"))</f>
        <v/>
      </c>
      <c r="I54" s="28" t="n">
        <f aca="false">IF($A54="","",COUNTIFS('🤸 Ingresos Pole'!$W$2:$W$1000,$A54,'🤸 Ingresos Pole'!$L$2:$L$1000,"Paquete"))</f>
        <v>0</v>
      </c>
      <c r="J54" s="28" t="n">
        <f aca="false">IF($A54="","",COUNTIF('🤸 Ingresos Pole'!$W$2:$W$1000,$A54))</f>
        <v>0</v>
      </c>
      <c r="K54" s="29" t="n">
        <f aca="false">IF($A54="","",SUMIF('🤸 Ingresos Pole'!$W$2:$W$1000,$A54,'🤸 Ingresos Pole'!$P$2:$P$1000))</f>
        <v>0</v>
      </c>
      <c r="L54" s="30" t="str">
        <f aca="false">IF(OR($A54="",J54=0),"",_xlfn.MINIFS('🤸 Ingresos Pole'!$B$2:$B$1000,'🤸 Ingresos Pole'!$W$2:$W$1000,$A54))</f>
        <v/>
      </c>
      <c r="M54" s="30" t="str">
        <f aca="false">IF(OR($A54="",J54=0),"",_xlfn.MAXIFS('🤸 Ingresos Pole'!$B$2:$B$1000,'🤸 Ingresos Pole'!$W$2:$W$1000,$A54))</f>
        <v/>
      </c>
      <c r="N54" s="28" t="str">
        <f aca="false">IF(OR($A54="",J54=0),"",IF(I54=0,"Sin paquete",IF(I54=1,"Nueva","Recurrente")))</f>
        <v/>
      </c>
      <c r="O54" s="25" t="str">
        <f aca="false">IF(AND(TRIM(B54)="",TRIM(C54)=""),"",TRIM(B54)&amp;"|"&amp;TRIM(C54))</f>
        <v/>
      </c>
      <c r="P54" s="25" t="str">
        <f aca="false">IF(O54="","",IF(TRIM(C54)="",TRIM(B54),IF(TRIM(B54)="",TRIM(C54),TRIM(B54)&amp;", "&amp;TRIM(C54))))</f>
        <v/>
      </c>
      <c r="Q54" s="25" t="str">
        <f aca="false">IF(O54="","",TRIM(TRIM(C54)&amp;" "&amp;TRIM(B54)))</f>
        <v/>
      </c>
      <c r="R54" s="25" t="str">
        <f aca="false">IF(P54="","",COUNTIFS($P$2:$P$1000,"&lt;"&amp;P54,$P$2:$P$1000,"?*")+COUNTIF($P$2:P54,P54))</f>
        <v/>
      </c>
    </row>
    <row r="55" customFormat="false" ht="14.25" hidden="false" customHeight="true" outlineLevel="0" collapsed="false">
      <c r="A55" s="25" t="s">
        <v>253</v>
      </c>
      <c r="B55" s="25"/>
      <c r="C55" s="25"/>
      <c r="D55" s="26"/>
      <c r="E55" s="25"/>
      <c r="F55" s="25"/>
      <c r="G55" s="27"/>
      <c r="H55" s="28" t="str">
        <f aca="true">IF(G55="","",DATEDIF(G55,TODAY(),"Y"))</f>
        <v/>
      </c>
      <c r="I55" s="28" t="n">
        <f aca="false">IF($A55="","",COUNTIFS('🤸 Ingresos Pole'!$W$2:$W$1000,$A55,'🤸 Ingresos Pole'!$L$2:$L$1000,"Paquete"))</f>
        <v>0</v>
      </c>
      <c r="J55" s="28" t="n">
        <f aca="false">IF($A55="","",COUNTIF('🤸 Ingresos Pole'!$W$2:$W$1000,$A55))</f>
        <v>0</v>
      </c>
      <c r="K55" s="29" t="n">
        <f aca="false">IF($A55="","",SUMIF('🤸 Ingresos Pole'!$W$2:$W$1000,$A55,'🤸 Ingresos Pole'!$P$2:$P$1000))</f>
        <v>0</v>
      </c>
      <c r="L55" s="30" t="str">
        <f aca="false">IF(OR($A55="",J55=0),"",_xlfn.MINIFS('🤸 Ingresos Pole'!$B$2:$B$1000,'🤸 Ingresos Pole'!$W$2:$W$1000,$A55))</f>
        <v/>
      </c>
      <c r="M55" s="30" t="str">
        <f aca="false">IF(OR($A55="",J55=0),"",_xlfn.MAXIFS('🤸 Ingresos Pole'!$B$2:$B$1000,'🤸 Ingresos Pole'!$W$2:$W$1000,$A55))</f>
        <v/>
      </c>
      <c r="N55" s="28" t="str">
        <f aca="false">IF(OR($A55="",J55=0),"",IF(I55=0,"Sin paquete",IF(I55=1,"Nueva","Recurrente")))</f>
        <v/>
      </c>
      <c r="O55" s="25" t="str">
        <f aca="false">IF(AND(TRIM(B55)="",TRIM(C55)=""),"",TRIM(B55)&amp;"|"&amp;TRIM(C55))</f>
        <v/>
      </c>
      <c r="P55" s="25" t="str">
        <f aca="false">IF(O55="","",IF(TRIM(C55)="",TRIM(B55),IF(TRIM(B55)="",TRIM(C55),TRIM(B55)&amp;", "&amp;TRIM(C55))))</f>
        <v/>
      </c>
      <c r="Q55" s="25" t="str">
        <f aca="false">IF(O55="","",TRIM(TRIM(C55)&amp;" "&amp;TRIM(B55)))</f>
        <v/>
      </c>
      <c r="R55" s="25" t="str">
        <f aca="false">IF(P55="","",COUNTIFS($P$2:$P$1000,"&lt;"&amp;P55,$P$2:$P$1000,"?*")+COUNTIF($P$2:P55,P55))</f>
        <v/>
      </c>
    </row>
    <row r="56" customFormat="false" ht="14.25" hidden="false" customHeight="true" outlineLevel="0" collapsed="false">
      <c r="A56" s="25" t="s">
        <v>254</v>
      </c>
      <c r="B56" s="25"/>
      <c r="C56" s="25"/>
      <c r="D56" s="26"/>
      <c r="E56" s="25"/>
      <c r="F56" s="25"/>
      <c r="G56" s="27"/>
      <c r="H56" s="28" t="str">
        <f aca="true">IF(G56="","",DATEDIF(G56,TODAY(),"Y"))</f>
        <v/>
      </c>
      <c r="I56" s="28" t="n">
        <f aca="false">IF($A56="","",COUNTIFS('🤸 Ingresos Pole'!$W$2:$W$1000,$A56,'🤸 Ingresos Pole'!$L$2:$L$1000,"Paquete"))</f>
        <v>0</v>
      </c>
      <c r="J56" s="28" t="n">
        <f aca="false">IF($A56="","",COUNTIF('🤸 Ingresos Pole'!$W$2:$W$1000,$A56))</f>
        <v>0</v>
      </c>
      <c r="K56" s="29" t="n">
        <f aca="false">IF($A56="","",SUMIF('🤸 Ingresos Pole'!$W$2:$W$1000,$A56,'🤸 Ingresos Pole'!$P$2:$P$1000))</f>
        <v>0</v>
      </c>
      <c r="L56" s="30" t="str">
        <f aca="false">IF(OR($A56="",J56=0),"",_xlfn.MINIFS('🤸 Ingresos Pole'!$B$2:$B$1000,'🤸 Ingresos Pole'!$W$2:$W$1000,$A56))</f>
        <v/>
      </c>
      <c r="M56" s="30" t="str">
        <f aca="false">IF(OR($A56="",J56=0),"",_xlfn.MAXIFS('🤸 Ingresos Pole'!$B$2:$B$1000,'🤸 Ingresos Pole'!$W$2:$W$1000,$A56))</f>
        <v/>
      </c>
      <c r="N56" s="28" t="str">
        <f aca="false">IF(OR($A56="",J56=0),"",IF(I56=0,"Sin paquete",IF(I56=1,"Nueva","Recurrente")))</f>
        <v/>
      </c>
      <c r="O56" s="25" t="str">
        <f aca="false">IF(AND(TRIM(B56)="",TRIM(C56)=""),"",TRIM(B56)&amp;"|"&amp;TRIM(C56))</f>
        <v/>
      </c>
      <c r="P56" s="25" t="str">
        <f aca="false">IF(O56="","",IF(TRIM(C56)="",TRIM(B56),IF(TRIM(B56)="",TRIM(C56),TRIM(B56)&amp;", "&amp;TRIM(C56))))</f>
        <v/>
      </c>
      <c r="Q56" s="25" t="str">
        <f aca="false">IF(O56="","",TRIM(TRIM(C56)&amp;" "&amp;TRIM(B56)))</f>
        <v/>
      </c>
      <c r="R56" s="25" t="str">
        <f aca="false">IF(P56="","",COUNTIFS($P$2:$P$1000,"&lt;"&amp;P56,$P$2:$P$1000,"?*")+COUNTIF($P$2:P56,P56))</f>
        <v/>
      </c>
    </row>
    <row r="57" customFormat="false" ht="14.25" hidden="false" customHeight="true" outlineLevel="0" collapsed="false">
      <c r="A57" s="25" t="s">
        <v>255</v>
      </c>
      <c r="B57" s="25"/>
      <c r="C57" s="25"/>
      <c r="D57" s="26"/>
      <c r="E57" s="25"/>
      <c r="F57" s="25"/>
      <c r="G57" s="27"/>
      <c r="H57" s="28" t="str">
        <f aca="true">IF(G57="","",DATEDIF(G57,TODAY(),"Y"))</f>
        <v/>
      </c>
      <c r="I57" s="28" t="n">
        <f aca="false">IF($A57="","",COUNTIFS('🤸 Ingresos Pole'!$W$2:$W$1000,$A57,'🤸 Ingresos Pole'!$L$2:$L$1000,"Paquete"))</f>
        <v>0</v>
      </c>
      <c r="J57" s="28" t="n">
        <f aca="false">IF($A57="","",COUNTIF('🤸 Ingresos Pole'!$W$2:$W$1000,$A57))</f>
        <v>0</v>
      </c>
      <c r="K57" s="29" t="n">
        <f aca="false">IF($A57="","",SUMIF('🤸 Ingresos Pole'!$W$2:$W$1000,$A57,'🤸 Ingresos Pole'!$P$2:$P$1000))</f>
        <v>0</v>
      </c>
      <c r="L57" s="30" t="str">
        <f aca="false">IF(OR($A57="",J57=0),"",_xlfn.MINIFS('🤸 Ingresos Pole'!$B$2:$B$1000,'🤸 Ingresos Pole'!$W$2:$W$1000,$A57))</f>
        <v/>
      </c>
      <c r="M57" s="30" t="str">
        <f aca="false">IF(OR($A57="",J57=0),"",_xlfn.MAXIFS('🤸 Ingresos Pole'!$B$2:$B$1000,'🤸 Ingresos Pole'!$W$2:$W$1000,$A57))</f>
        <v/>
      </c>
      <c r="N57" s="28" t="str">
        <f aca="false">IF(OR($A57="",J57=0),"",IF(I57=0,"Sin paquete",IF(I57=1,"Nueva","Recurrente")))</f>
        <v/>
      </c>
      <c r="O57" s="25" t="str">
        <f aca="false">IF(AND(TRIM(B57)="",TRIM(C57)=""),"",TRIM(B57)&amp;"|"&amp;TRIM(C57))</f>
        <v/>
      </c>
      <c r="P57" s="25" t="str">
        <f aca="false">IF(O57="","",IF(TRIM(C57)="",TRIM(B57),IF(TRIM(B57)="",TRIM(C57),TRIM(B57)&amp;", "&amp;TRIM(C57))))</f>
        <v/>
      </c>
      <c r="Q57" s="25" t="str">
        <f aca="false">IF(O57="","",TRIM(TRIM(C57)&amp;" "&amp;TRIM(B57)))</f>
        <v/>
      </c>
      <c r="R57" s="25" t="str">
        <f aca="false">IF(P57="","",COUNTIFS($P$2:$P$1000,"&lt;"&amp;P57,$P$2:$P$1000,"?*")+COUNTIF($P$2:P57,P57))</f>
        <v/>
      </c>
    </row>
    <row r="58" customFormat="false" ht="14.25" hidden="false" customHeight="true" outlineLevel="0" collapsed="false">
      <c r="A58" s="25" t="s">
        <v>256</v>
      </c>
      <c r="B58" s="25"/>
      <c r="C58" s="25"/>
      <c r="D58" s="26"/>
      <c r="E58" s="25"/>
      <c r="F58" s="25"/>
      <c r="G58" s="27"/>
      <c r="H58" s="28" t="str">
        <f aca="true">IF(G58="","",DATEDIF(G58,TODAY(),"Y"))</f>
        <v/>
      </c>
      <c r="I58" s="28" t="n">
        <f aca="false">IF($A58="","",COUNTIFS('🤸 Ingresos Pole'!$W$2:$W$1000,$A58,'🤸 Ingresos Pole'!$L$2:$L$1000,"Paquete"))</f>
        <v>0</v>
      </c>
      <c r="J58" s="28" t="n">
        <f aca="false">IF($A58="","",COUNTIF('🤸 Ingresos Pole'!$W$2:$W$1000,$A58))</f>
        <v>0</v>
      </c>
      <c r="K58" s="29" t="n">
        <f aca="false">IF($A58="","",SUMIF('🤸 Ingresos Pole'!$W$2:$W$1000,$A58,'🤸 Ingresos Pole'!$P$2:$P$1000))</f>
        <v>0</v>
      </c>
      <c r="L58" s="30" t="str">
        <f aca="false">IF(OR($A58="",J58=0),"",_xlfn.MINIFS('🤸 Ingresos Pole'!$B$2:$B$1000,'🤸 Ingresos Pole'!$W$2:$W$1000,$A58))</f>
        <v/>
      </c>
      <c r="M58" s="30" t="str">
        <f aca="false">IF(OR($A58="",J58=0),"",_xlfn.MAXIFS('🤸 Ingresos Pole'!$B$2:$B$1000,'🤸 Ingresos Pole'!$W$2:$W$1000,$A58))</f>
        <v/>
      </c>
      <c r="N58" s="28" t="str">
        <f aca="false">IF(OR($A58="",J58=0),"",IF(I58=0,"Sin paquete",IF(I58=1,"Nueva","Recurrente")))</f>
        <v/>
      </c>
      <c r="O58" s="25" t="str">
        <f aca="false">IF(AND(TRIM(B58)="",TRIM(C58)=""),"",TRIM(B58)&amp;"|"&amp;TRIM(C58))</f>
        <v/>
      </c>
      <c r="P58" s="25" t="str">
        <f aca="false">IF(O58="","",IF(TRIM(C58)="",TRIM(B58),IF(TRIM(B58)="",TRIM(C58),TRIM(B58)&amp;", "&amp;TRIM(C58))))</f>
        <v/>
      </c>
      <c r="Q58" s="25" t="str">
        <f aca="false">IF(O58="","",TRIM(TRIM(C58)&amp;" "&amp;TRIM(B58)))</f>
        <v/>
      </c>
      <c r="R58" s="25" t="str">
        <f aca="false">IF(P58="","",COUNTIFS($P$2:$P$1000,"&lt;"&amp;P58,$P$2:$P$1000,"?*")+COUNTIF($P$2:P58,P58))</f>
        <v/>
      </c>
    </row>
    <row r="59" customFormat="false" ht="14.25" hidden="false" customHeight="true" outlineLevel="0" collapsed="false">
      <c r="A59" s="25" t="s">
        <v>257</v>
      </c>
      <c r="B59" s="25"/>
      <c r="C59" s="25"/>
      <c r="D59" s="26"/>
      <c r="E59" s="25"/>
      <c r="F59" s="25"/>
      <c r="G59" s="27"/>
      <c r="H59" s="28" t="str">
        <f aca="true">IF(G59="","",DATEDIF(G59,TODAY(),"Y"))</f>
        <v/>
      </c>
      <c r="I59" s="28" t="n">
        <f aca="false">IF($A59="","",COUNTIFS('🤸 Ingresos Pole'!$W$2:$W$1000,$A59,'🤸 Ingresos Pole'!$L$2:$L$1000,"Paquete"))</f>
        <v>0</v>
      </c>
      <c r="J59" s="28" t="n">
        <f aca="false">IF($A59="","",COUNTIF('🤸 Ingresos Pole'!$W$2:$W$1000,$A59))</f>
        <v>0</v>
      </c>
      <c r="K59" s="29" t="n">
        <f aca="false">IF($A59="","",SUMIF('🤸 Ingresos Pole'!$W$2:$W$1000,$A59,'🤸 Ingresos Pole'!$P$2:$P$1000))</f>
        <v>0</v>
      </c>
      <c r="L59" s="30" t="str">
        <f aca="false">IF(OR($A59="",J59=0),"",_xlfn.MINIFS('🤸 Ingresos Pole'!$B$2:$B$1000,'🤸 Ingresos Pole'!$W$2:$W$1000,$A59))</f>
        <v/>
      </c>
      <c r="M59" s="30" t="str">
        <f aca="false">IF(OR($A59="",J59=0),"",_xlfn.MAXIFS('🤸 Ingresos Pole'!$B$2:$B$1000,'🤸 Ingresos Pole'!$W$2:$W$1000,$A59))</f>
        <v/>
      </c>
      <c r="N59" s="28" t="str">
        <f aca="false">IF(OR($A59="",J59=0),"",IF(I59=0,"Sin paquete",IF(I59=1,"Nueva","Recurrente")))</f>
        <v/>
      </c>
      <c r="O59" s="25" t="str">
        <f aca="false">IF(AND(TRIM(B59)="",TRIM(C59)=""),"",TRIM(B59)&amp;"|"&amp;TRIM(C59))</f>
        <v/>
      </c>
      <c r="P59" s="25" t="str">
        <f aca="false">IF(O59="","",IF(TRIM(C59)="",TRIM(B59),IF(TRIM(B59)="",TRIM(C59),TRIM(B59)&amp;", "&amp;TRIM(C59))))</f>
        <v/>
      </c>
      <c r="Q59" s="25" t="str">
        <f aca="false">IF(O59="","",TRIM(TRIM(C59)&amp;" "&amp;TRIM(B59)))</f>
        <v/>
      </c>
      <c r="R59" s="25" t="str">
        <f aca="false">IF(P59="","",COUNTIFS($P$2:$P$1000,"&lt;"&amp;P59,$P$2:$P$1000,"?*")+COUNTIF($P$2:P59,P59))</f>
        <v/>
      </c>
    </row>
    <row r="60" customFormat="false" ht="14.25" hidden="false" customHeight="true" outlineLevel="0" collapsed="false">
      <c r="A60" s="25" t="s">
        <v>258</v>
      </c>
      <c r="B60" s="25"/>
      <c r="C60" s="25"/>
      <c r="D60" s="26"/>
      <c r="E60" s="25"/>
      <c r="F60" s="25"/>
      <c r="G60" s="27"/>
      <c r="H60" s="28" t="str">
        <f aca="true">IF(G60="","",DATEDIF(G60,TODAY(),"Y"))</f>
        <v/>
      </c>
      <c r="I60" s="28" t="n">
        <f aca="false">IF($A60="","",COUNTIFS('🤸 Ingresos Pole'!$W$2:$W$1000,$A60,'🤸 Ingresos Pole'!$L$2:$L$1000,"Paquete"))</f>
        <v>0</v>
      </c>
      <c r="J60" s="28" t="n">
        <f aca="false">IF($A60="","",COUNTIF('🤸 Ingresos Pole'!$W$2:$W$1000,$A60))</f>
        <v>0</v>
      </c>
      <c r="K60" s="29" t="n">
        <f aca="false">IF($A60="","",SUMIF('🤸 Ingresos Pole'!$W$2:$W$1000,$A60,'🤸 Ingresos Pole'!$P$2:$P$1000))</f>
        <v>0</v>
      </c>
      <c r="L60" s="30" t="str">
        <f aca="false">IF(OR($A60="",J60=0),"",_xlfn.MINIFS('🤸 Ingresos Pole'!$B$2:$B$1000,'🤸 Ingresos Pole'!$W$2:$W$1000,$A60))</f>
        <v/>
      </c>
      <c r="M60" s="30" t="str">
        <f aca="false">IF(OR($A60="",J60=0),"",_xlfn.MAXIFS('🤸 Ingresos Pole'!$B$2:$B$1000,'🤸 Ingresos Pole'!$W$2:$W$1000,$A60))</f>
        <v/>
      </c>
      <c r="N60" s="28" t="str">
        <f aca="false">IF(OR($A60="",J60=0),"",IF(I60=0,"Sin paquete",IF(I60=1,"Nueva","Recurrente")))</f>
        <v/>
      </c>
      <c r="O60" s="25" t="str">
        <f aca="false">IF(AND(TRIM(B60)="",TRIM(C60)=""),"",TRIM(B60)&amp;"|"&amp;TRIM(C60))</f>
        <v/>
      </c>
      <c r="P60" s="25" t="str">
        <f aca="false">IF(O60="","",IF(TRIM(C60)="",TRIM(B60),IF(TRIM(B60)="",TRIM(C60),TRIM(B60)&amp;", "&amp;TRIM(C60))))</f>
        <v/>
      </c>
      <c r="Q60" s="25" t="str">
        <f aca="false">IF(O60="","",TRIM(TRIM(C60)&amp;" "&amp;TRIM(B60)))</f>
        <v/>
      </c>
      <c r="R60" s="25" t="str">
        <f aca="false">IF(P60="","",COUNTIFS($P$2:$P$1000,"&lt;"&amp;P60,$P$2:$P$1000,"?*")+COUNTIF($P$2:P60,P60))</f>
        <v/>
      </c>
    </row>
    <row r="61" customFormat="false" ht="14.25" hidden="false" customHeight="true" outlineLevel="0" collapsed="false">
      <c r="A61" s="25" t="s">
        <v>259</v>
      </c>
      <c r="B61" s="25"/>
      <c r="C61" s="25"/>
      <c r="D61" s="26"/>
      <c r="E61" s="25"/>
      <c r="F61" s="25"/>
      <c r="G61" s="27"/>
      <c r="H61" s="28" t="str">
        <f aca="true">IF(G61="","",DATEDIF(G61,TODAY(),"Y"))</f>
        <v/>
      </c>
      <c r="I61" s="28" t="n">
        <f aca="false">IF($A61="","",COUNTIFS('🤸 Ingresos Pole'!$W$2:$W$1000,$A61,'🤸 Ingresos Pole'!$L$2:$L$1000,"Paquete"))</f>
        <v>0</v>
      </c>
      <c r="J61" s="28" t="n">
        <f aca="false">IF($A61="","",COUNTIF('🤸 Ingresos Pole'!$W$2:$W$1000,$A61))</f>
        <v>0</v>
      </c>
      <c r="K61" s="29" t="n">
        <f aca="false">IF($A61="","",SUMIF('🤸 Ingresos Pole'!$W$2:$W$1000,$A61,'🤸 Ingresos Pole'!$P$2:$P$1000))</f>
        <v>0</v>
      </c>
      <c r="L61" s="30" t="str">
        <f aca="false">IF(OR($A61="",J61=0),"",_xlfn.MINIFS('🤸 Ingresos Pole'!$B$2:$B$1000,'🤸 Ingresos Pole'!$W$2:$W$1000,$A61))</f>
        <v/>
      </c>
      <c r="M61" s="30" t="str">
        <f aca="false">IF(OR($A61="",J61=0),"",_xlfn.MAXIFS('🤸 Ingresos Pole'!$B$2:$B$1000,'🤸 Ingresos Pole'!$W$2:$W$1000,$A61))</f>
        <v/>
      </c>
      <c r="N61" s="28" t="str">
        <f aca="false">IF(OR($A61="",J61=0),"",IF(I61=0,"Sin paquete",IF(I61=1,"Nueva","Recurrente")))</f>
        <v/>
      </c>
      <c r="O61" s="25" t="str">
        <f aca="false">IF(AND(TRIM(B61)="",TRIM(C61)=""),"",TRIM(B61)&amp;"|"&amp;TRIM(C61))</f>
        <v/>
      </c>
      <c r="P61" s="25" t="str">
        <f aca="false">IF(O61="","",IF(TRIM(C61)="",TRIM(B61),IF(TRIM(B61)="",TRIM(C61),TRIM(B61)&amp;", "&amp;TRIM(C61))))</f>
        <v/>
      </c>
      <c r="Q61" s="25" t="str">
        <f aca="false">IF(O61="","",TRIM(TRIM(C61)&amp;" "&amp;TRIM(B61)))</f>
        <v/>
      </c>
      <c r="R61" s="25" t="str">
        <f aca="false">IF(P61="","",COUNTIFS($P$2:$P$1000,"&lt;"&amp;P61,$P$2:$P$1000,"?*")+COUNTIF($P$2:P61,P61))</f>
        <v/>
      </c>
    </row>
    <row r="62" customFormat="false" ht="14.25" hidden="false" customHeight="true" outlineLevel="0" collapsed="false">
      <c r="A62" s="25" t="s">
        <v>260</v>
      </c>
      <c r="B62" s="25"/>
      <c r="C62" s="25"/>
      <c r="D62" s="26"/>
      <c r="E62" s="25"/>
      <c r="F62" s="25"/>
      <c r="G62" s="27"/>
      <c r="H62" s="28" t="str">
        <f aca="true">IF(G62="","",DATEDIF(G62,TODAY(),"Y"))</f>
        <v/>
      </c>
      <c r="I62" s="28" t="n">
        <f aca="false">IF($A62="","",COUNTIFS('🤸 Ingresos Pole'!$W$2:$W$1000,$A62,'🤸 Ingresos Pole'!$L$2:$L$1000,"Paquete"))</f>
        <v>0</v>
      </c>
      <c r="J62" s="28" t="n">
        <f aca="false">IF($A62="","",COUNTIF('🤸 Ingresos Pole'!$W$2:$W$1000,$A62))</f>
        <v>0</v>
      </c>
      <c r="K62" s="29" t="n">
        <f aca="false">IF($A62="","",SUMIF('🤸 Ingresos Pole'!$W$2:$W$1000,$A62,'🤸 Ingresos Pole'!$P$2:$P$1000))</f>
        <v>0</v>
      </c>
      <c r="L62" s="30" t="str">
        <f aca="false">IF(OR($A62="",J62=0),"",_xlfn.MINIFS('🤸 Ingresos Pole'!$B$2:$B$1000,'🤸 Ingresos Pole'!$W$2:$W$1000,$A62))</f>
        <v/>
      </c>
      <c r="M62" s="30" t="str">
        <f aca="false">IF(OR($A62="",J62=0),"",_xlfn.MAXIFS('🤸 Ingresos Pole'!$B$2:$B$1000,'🤸 Ingresos Pole'!$W$2:$W$1000,$A62))</f>
        <v/>
      </c>
      <c r="N62" s="28" t="str">
        <f aca="false">IF(OR($A62="",J62=0),"",IF(I62=0,"Sin paquete",IF(I62=1,"Nueva","Recurrente")))</f>
        <v/>
      </c>
      <c r="O62" s="25" t="str">
        <f aca="false">IF(AND(TRIM(B62)="",TRIM(C62)=""),"",TRIM(B62)&amp;"|"&amp;TRIM(C62))</f>
        <v/>
      </c>
      <c r="P62" s="25" t="str">
        <f aca="false">IF(O62="","",IF(TRIM(C62)="",TRIM(B62),IF(TRIM(B62)="",TRIM(C62),TRIM(B62)&amp;", "&amp;TRIM(C62))))</f>
        <v/>
      </c>
      <c r="Q62" s="25" t="str">
        <f aca="false">IF(O62="","",TRIM(TRIM(C62)&amp;" "&amp;TRIM(B62)))</f>
        <v/>
      </c>
      <c r="R62" s="25" t="str">
        <f aca="false">IF(P62="","",COUNTIFS($P$2:$P$1000,"&lt;"&amp;P62,$P$2:$P$1000,"?*")+COUNTIF($P$2:P62,P62))</f>
        <v/>
      </c>
    </row>
    <row r="63" customFormat="false" ht="14.25" hidden="false" customHeight="true" outlineLevel="0" collapsed="false">
      <c r="A63" s="25" t="s">
        <v>261</v>
      </c>
      <c r="B63" s="25"/>
      <c r="C63" s="25"/>
      <c r="D63" s="26"/>
      <c r="E63" s="25"/>
      <c r="F63" s="25"/>
      <c r="G63" s="27"/>
      <c r="H63" s="28" t="str">
        <f aca="true">IF(G63="","",DATEDIF(G63,TODAY(),"Y"))</f>
        <v/>
      </c>
      <c r="I63" s="28" t="n">
        <f aca="false">IF($A63="","",COUNTIFS('🤸 Ingresos Pole'!$W$2:$W$1000,$A63,'🤸 Ingresos Pole'!$L$2:$L$1000,"Paquete"))</f>
        <v>0</v>
      </c>
      <c r="J63" s="28" t="n">
        <f aca="false">IF($A63="","",COUNTIF('🤸 Ingresos Pole'!$W$2:$W$1000,$A63))</f>
        <v>0</v>
      </c>
      <c r="K63" s="29" t="n">
        <f aca="false">IF($A63="","",SUMIF('🤸 Ingresos Pole'!$W$2:$W$1000,$A63,'🤸 Ingresos Pole'!$P$2:$P$1000))</f>
        <v>0</v>
      </c>
      <c r="L63" s="30" t="str">
        <f aca="false">IF(OR($A63="",J63=0),"",_xlfn.MINIFS('🤸 Ingresos Pole'!$B$2:$B$1000,'🤸 Ingresos Pole'!$W$2:$W$1000,$A63))</f>
        <v/>
      </c>
      <c r="M63" s="30" t="str">
        <f aca="false">IF(OR($A63="",J63=0),"",_xlfn.MAXIFS('🤸 Ingresos Pole'!$B$2:$B$1000,'🤸 Ingresos Pole'!$W$2:$W$1000,$A63))</f>
        <v/>
      </c>
      <c r="N63" s="28" t="str">
        <f aca="false">IF(OR($A63="",J63=0),"",IF(I63=0,"Sin paquete",IF(I63=1,"Nueva","Recurrente")))</f>
        <v/>
      </c>
      <c r="O63" s="25" t="str">
        <f aca="false">IF(AND(TRIM(B63)="",TRIM(C63)=""),"",TRIM(B63)&amp;"|"&amp;TRIM(C63))</f>
        <v/>
      </c>
      <c r="P63" s="25" t="str">
        <f aca="false">IF(O63="","",IF(TRIM(C63)="",TRIM(B63),IF(TRIM(B63)="",TRIM(C63),TRIM(B63)&amp;", "&amp;TRIM(C63))))</f>
        <v/>
      </c>
      <c r="Q63" s="25" t="str">
        <f aca="false">IF(O63="","",TRIM(TRIM(C63)&amp;" "&amp;TRIM(B63)))</f>
        <v/>
      </c>
      <c r="R63" s="25" t="str">
        <f aca="false">IF(P63="","",COUNTIFS($P$2:$P$1000,"&lt;"&amp;P63,$P$2:$P$1000,"?*")+COUNTIF($P$2:P63,P63))</f>
        <v/>
      </c>
    </row>
    <row r="64" customFormat="false" ht="14.25" hidden="false" customHeight="true" outlineLevel="0" collapsed="false">
      <c r="A64" s="25" t="s">
        <v>262</v>
      </c>
      <c r="B64" s="25"/>
      <c r="C64" s="25"/>
      <c r="D64" s="26"/>
      <c r="E64" s="25"/>
      <c r="F64" s="25"/>
      <c r="G64" s="27"/>
      <c r="H64" s="28" t="str">
        <f aca="true">IF(G64="","",DATEDIF(G64,TODAY(),"Y"))</f>
        <v/>
      </c>
      <c r="I64" s="28" t="n">
        <f aca="false">IF($A64="","",COUNTIFS('🤸 Ingresos Pole'!$W$2:$W$1000,$A64,'🤸 Ingresos Pole'!$L$2:$L$1000,"Paquete"))</f>
        <v>0</v>
      </c>
      <c r="J64" s="28" t="n">
        <f aca="false">IF($A64="","",COUNTIF('🤸 Ingresos Pole'!$W$2:$W$1000,$A64))</f>
        <v>0</v>
      </c>
      <c r="K64" s="29" t="n">
        <f aca="false">IF($A64="","",SUMIF('🤸 Ingresos Pole'!$W$2:$W$1000,$A64,'🤸 Ingresos Pole'!$P$2:$P$1000))</f>
        <v>0</v>
      </c>
      <c r="L64" s="30" t="str">
        <f aca="false">IF(OR($A64="",J64=0),"",_xlfn.MINIFS('🤸 Ingresos Pole'!$B$2:$B$1000,'🤸 Ingresos Pole'!$W$2:$W$1000,$A64))</f>
        <v/>
      </c>
      <c r="M64" s="30" t="str">
        <f aca="false">IF(OR($A64="",J64=0),"",_xlfn.MAXIFS('🤸 Ingresos Pole'!$B$2:$B$1000,'🤸 Ingresos Pole'!$W$2:$W$1000,$A64))</f>
        <v/>
      </c>
      <c r="N64" s="28" t="str">
        <f aca="false">IF(OR($A64="",J64=0),"",IF(I64=0,"Sin paquete",IF(I64=1,"Nueva","Recurrente")))</f>
        <v/>
      </c>
      <c r="O64" s="25" t="str">
        <f aca="false">IF(AND(TRIM(B64)="",TRIM(C64)=""),"",TRIM(B64)&amp;"|"&amp;TRIM(C64))</f>
        <v/>
      </c>
      <c r="P64" s="25" t="str">
        <f aca="false">IF(O64="","",IF(TRIM(C64)="",TRIM(B64),IF(TRIM(B64)="",TRIM(C64),TRIM(B64)&amp;", "&amp;TRIM(C64))))</f>
        <v/>
      </c>
      <c r="Q64" s="25" t="str">
        <f aca="false">IF(O64="","",TRIM(TRIM(C64)&amp;" "&amp;TRIM(B64)))</f>
        <v/>
      </c>
      <c r="R64" s="25" t="str">
        <f aca="false">IF(P64="","",COUNTIFS($P$2:$P$1000,"&lt;"&amp;P64,$P$2:$P$1000,"?*")+COUNTIF($P$2:P64,P64))</f>
        <v/>
      </c>
    </row>
    <row r="65" customFormat="false" ht="14.25" hidden="false" customHeight="true" outlineLevel="0" collapsed="false">
      <c r="A65" s="25" t="s">
        <v>263</v>
      </c>
      <c r="B65" s="25"/>
      <c r="C65" s="25"/>
      <c r="D65" s="26"/>
      <c r="E65" s="25"/>
      <c r="F65" s="25"/>
      <c r="G65" s="27"/>
      <c r="H65" s="28" t="str">
        <f aca="true">IF(G65="","",DATEDIF(G65,TODAY(),"Y"))</f>
        <v/>
      </c>
      <c r="I65" s="28" t="n">
        <f aca="false">IF($A65="","",COUNTIFS('🤸 Ingresos Pole'!$W$2:$W$1000,$A65,'🤸 Ingresos Pole'!$L$2:$L$1000,"Paquete"))</f>
        <v>0</v>
      </c>
      <c r="J65" s="28" t="n">
        <f aca="false">IF($A65="","",COUNTIF('🤸 Ingresos Pole'!$W$2:$W$1000,$A65))</f>
        <v>0</v>
      </c>
      <c r="K65" s="29" t="n">
        <f aca="false">IF($A65="","",SUMIF('🤸 Ingresos Pole'!$W$2:$W$1000,$A65,'🤸 Ingresos Pole'!$P$2:$P$1000))</f>
        <v>0</v>
      </c>
      <c r="L65" s="30" t="str">
        <f aca="false">IF(OR($A65="",J65=0),"",_xlfn.MINIFS('🤸 Ingresos Pole'!$B$2:$B$1000,'🤸 Ingresos Pole'!$W$2:$W$1000,$A65))</f>
        <v/>
      </c>
      <c r="M65" s="30" t="str">
        <f aca="false">IF(OR($A65="",J65=0),"",_xlfn.MAXIFS('🤸 Ingresos Pole'!$B$2:$B$1000,'🤸 Ingresos Pole'!$W$2:$W$1000,$A65))</f>
        <v/>
      </c>
      <c r="N65" s="28" t="str">
        <f aca="false">IF(OR($A65="",J65=0),"",IF(I65=0,"Sin paquete",IF(I65=1,"Nueva","Recurrente")))</f>
        <v/>
      </c>
      <c r="O65" s="25" t="str">
        <f aca="false">IF(AND(TRIM(B65)="",TRIM(C65)=""),"",TRIM(B65)&amp;"|"&amp;TRIM(C65))</f>
        <v/>
      </c>
      <c r="P65" s="25" t="str">
        <f aca="false">IF(O65="","",IF(TRIM(C65)="",TRIM(B65),IF(TRIM(B65)="",TRIM(C65),TRIM(B65)&amp;", "&amp;TRIM(C65))))</f>
        <v/>
      </c>
      <c r="Q65" s="25" t="str">
        <f aca="false">IF(O65="","",TRIM(TRIM(C65)&amp;" "&amp;TRIM(B65)))</f>
        <v/>
      </c>
      <c r="R65" s="25" t="str">
        <f aca="false">IF(P65="","",COUNTIFS($P$2:$P$1000,"&lt;"&amp;P65,$P$2:$P$1000,"?*")+COUNTIF($P$2:P65,P65))</f>
        <v/>
      </c>
    </row>
    <row r="66" customFormat="false" ht="14.25" hidden="false" customHeight="true" outlineLevel="0" collapsed="false">
      <c r="A66" s="25" t="s">
        <v>264</v>
      </c>
      <c r="B66" s="25"/>
      <c r="C66" s="25"/>
      <c r="D66" s="26"/>
      <c r="E66" s="25"/>
      <c r="F66" s="25"/>
      <c r="G66" s="27"/>
      <c r="H66" s="28" t="str">
        <f aca="true">IF(G66="","",DATEDIF(G66,TODAY(),"Y"))</f>
        <v/>
      </c>
      <c r="I66" s="28" t="n">
        <f aca="false">IF($A66="","",COUNTIFS('🤸 Ingresos Pole'!$W$2:$W$1000,$A66,'🤸 Ingresos Pole'!$L$2:$L$1000,"Paquete"))</f>
        <v>0</v>
      </c>
      <c r="J66" s="28" t="n">
        <f aca="false">IF($A66="","",COUNTIF('🤸 Ingresos Pole'!$W$2:$W$1000,$A66))</f>
        <v>0</v>
      </c>
      <c r="K66" s="29" t="n">
        <f aca="false">IF($A66="","",SUMIF('🤸 Ingresos Pole'!$W$2:$W$1000,$A66,'🤸 Ingresos Pole'!$P$2:$P$1000))</f>
        <v>0</v>
      </c>
      <c r="L66" s="30" t="str">
        <f aca="false">IF(OR($A66="",J66=0),"",_xlfn.MINIFS('🤸 Ingresos Pole'!$B$2:$B$1000,'🤸 Ingresos Pole'!$W$2:$W$1000,$A66))</f>
        <v/>
      </c>
      <c r="M66" s="30" t="str">
        <f aca="false">IF(OR($A66="",J66=0),"",_xlfn.MAXIFS('🤸 Ingresos Pole'!$B$2:$B$1000,'🤸 Ingresos Pole'!$W$2:$W$1000,$A66))</f>
        <v/>
      </c>
      <c r="N66" s="28" t="str">
        <f aca="false">IF(OR($A66="",J66=0),"",IF(I66=0,"Sin paquete",IF(I66=1,"Nueva","Recurrente")))</f>
        <v/>
      </c>
      <c r="O66" s="25" t="str">
        <f aca="false">IF(AND(TRIM(B66)="",TRIM(C66)=""),"",TRIM(B66)&amp;"|"&amp;TRIM(C66))</f>
        <v/>
      </c>
      <c r="P66" s="25" t="str">
        <f aca="false">IF(O66="","",IF(TRIM(C66)="",TRIM(B66),IF(TRIM(B66)="",TRIM(C66),TRIM(B66)&amp;", "&amp;TRIM(C66))))</f>
        <v/>
      </c>
      <c r="Q66" s="25" t="str">
        <f aca="false">IF(O66="","",TRIM(TRIM(C66)&amp;" "&amp;TRIM(B66)))</f>
        <v/>
      </c>
      <c r="R66" s="25" t="str">
        <f aca="false">IF(P66="","",COUNTIFS($P$2:$P$1000,"&lt;"&amp;P66,$P$2:$P$1000,"?*")+COUNTIF($P$2:P66,P66))</f>
        <v/>
      </c>
    </row>
    <row r="67" customFormat="false" ht="14.25" hidden="false" customHeight="true" outlineLevel="0" collapsed="false">
      <c r="A67" s="25" t="s">
        <v>265</v>
      </c>
      <c r="B67" s="25"/>
      <c r="C67" s="25"/>
      <c r="D67" s="26"/>
      <c r="E67" s="25"/>
      <c r="F67" s="25"/>
      <c r="G67" s="27"/>
      <c r="H67" s="28" t="str">
        <f aca="true">IF(G67="","",DATEDIF(G67,TODAY(),"Y"))</f>
        <v/>
      </c>
      <c r="I67" s="28" t="n">
        <f aca="false">IF($A67="","",COUNTIFS('🤸 Ingresos Pole'!$W$2:$W$1000,$A67,'🤸 Ingresos Pole'!$L$2:$L$1000,"Paquete"))</f>
        <v>0</v>
      </c>
      <c r="J67" s="28" t="n">
        <f aca="false">IF($A67="","",COUNTIF('🤸 Ingresos Pole'!$W$2:$W$1000,$A67))</f>
        <v>0</v>
      </c>
      <c r="K67" s="29" t="n">
        <f aca="false">IF($A67="","",SUMIF('🤸 Ingresos Pole'!$W$2:$W$1000,$A67,'🤸 Ingresos Pole'!$P$2:$P$1000))</f>
        <v>0</v>
      </c>
      <c r="L67" s="30" t="str">
        <f aca="false">IF(OR($A67="",J67=0),"",_xlfn.MINIFS('🤸 Ingresos Pole'!$B$2:$B$1000,'🤸 Ingresos Pole'!$W$2:$W$1000,$A67))</f>
        <v/>
      </c>
      <c r="M67" s="30" t="str">
        <f aca="false">IF(OR($A67="",J67=0),"",_xlfn.MAXIFS('🤸 Ingresos Pole'!$B$2:$B$1000,'🤸 Ingresos Pole'!$W$2:$W$1000,$A67))</f>
        <v/>
      </c>
      <c r="N67" s="28" t="str">
        <f aca="false">IF(OR($A67="",J67=0),"",IF(I67=0,"Sin paquete",IF(I67=1,"Nueva","Recurrente")))</f>
        <v/>
      </c>
      <c r="O67" s="25" t="str">
        <f aca="false">IF(AND(TRIM(B67)="",TRIM(C67)=""),"",TRIM(B67)&amp;"|"&amp;TRIM(C67))</f>
        <v/>
      </c>
      <c r="P67" s="25" t="str">
        <f aca="false">IF(O67="","",IF(TRIM(C67)="",TRIM(B67),IF(TRIM(B67)="",TRIM(C67),TRIM(B67)&amp;", "&amp;TRIM(C67))))</f>
        <v/>
      </c>
      <c r="Q67" s="25" t="str">
        <f aca="false">IF(O67="","",TRIM(TRIM(C67)&amp;" "&amp;TRIM(B67)))</f>
        <v/>
      </c>
      <c r="R67" s="25" t="str">
        <f aca="false">IF(P67="","",COUNTIFS($P$2:$P$1000,"&lt;"&amp;P67,$P$2:$P$1000,"?*")+COUNTIF($P$2:P67,P67))</f>
        <v/>
      </c>
    </row>
    <row r="68" customFormat="false" ht="14.25" hidden="false" customHeight="true" outlineLevel="0" collapsed="false">
      <c r="A68" s="25" t="s">
        <v>266</v>
      </c>
      <c r="B68" s="25"/>
      <c r="C68" s="25"/>
      <c r="D68" s="26"/>
      <c r="E68" s="25"/>
      <c r="F68" s="25"/>
      <c r="G68" s="27"/>
      <c r="H68" s="28" t="str">
        <f aca="true">IF(G68="","",DATEDIF(G68,TODAY(),"Y"))</f>
        <v/>
      </c>
      <c r="I68" s="28" t="n">
        <f aca="false">IF($A68="","",COUNTIFS('🤸 Ingresos Pole'!$W$2:$W$1000,$A68,'🤸 Ingresos Pole'!$L$2:$L$1000,"Paquete"))</f>
        <v>0</v>
      </c>
      <c r="J68" s="28" t="n">
        <f aca="false">IF($A68="","",COUNTIF('🤸 Ingresos Pole'!$W$2:$W$1000,$A68))</f>
        <v>0</v>
      </c>
      <c r="K68" s="29" t="n">
        <f aca="false">IF($A68="","",SUMIF('🤸 Ingresos Pole'!$W$2:$W$1000,$A68,'🤸 Ingresos Pole'!$P$2:$P$1000))</f>
        <v>0</v>
      </c>
      <c r="L68" s="30" t="str">
        <f aca="false">IF(OR($A68="",J68=0),"",_xlfn.MINIFS('🤸 Ingresos Pole'!$B$2:$B$1000,'🤸 Ingresos Pole'!$W$2:$W$1000,$A68))</f>
        <v/>
      </c>
      <c r="M68" s="30" t="str">
        <f aca="false">IF(OR($A68="",J68=0),"",_xlfn.MAXIFS('🤸 Ingresos Pole'!$B$2:$B$1000,'🤸 Ingresos Pole'!$W$2:$W$1000,$A68))</f>
        <v/>
      </c>
      <c r="N68" s="28" t="str">
        <f aca="false">IF(OR($A68="",J68=0),"",IF(I68=0,"Sin paquete",IF(I68=1,"Nueva","Recurrente")))</f>
        <v/>
      </c>
      <c r="O68" s="25" t="str">
        <f aca="false">IF(AND(TRIM(B68)="",TRIM(C68)=""),"",TRIM(B68)&amp;"|"&amp;TRIM(C68))</f>
        <v/>
      </c>
      <c r="P68" s="25" t="str">
        <f aca="false">IF(O68="","",IF(TRIM(C68)="",TRIM(B68),IF(TRIM(B68)="",TRIM(C68),TRIM(B68)&amp;", "&amp;TRIM(C68))))</f>
        <v/>
      </c>
      <c r="Q68" s="25" t="str">
        <f aca="false">IF(O68="","",TRIM(TRIM(C68)&amp;" "&amp;TRIM(B68)))</f>
        <v/>
      </c>
      <c r="R68" s="25" t="str">
        <f aca="false">IF(P68="","",COUNTIFS($P$2:$P$1000,"&lt;"&amp;P68,$P$2:$P$1000,"?*")+COUNTIF($P$2:P68,P68))</f>
        <v/>
      </c>
    </row>
    <row r="69" customFormat="false" ht="14.25" hidden="false" customHeight="true" outlineLevel="0" collapsed="false">
      <c r="A69" s="25" t="s">
        <v>267</v>
      </c>
      <c r="B69" s="25"/>
      <c r="C69" s="25"/>
      <c r="D69" s="26"/>
      <c r="E69" s="25"/>
      <c r="F69" s="25"/>
      <c r="G69" s="27"/>
      <c r="H69" s="28" t="str">
        <f aca="true">IF(G69="","",DATEDIF(G69,TODAY(),"Y"))</f>
        <v/>
      </c>
      <c r="I69" s="28" t="n">
        <f aca="false">IF($A69="","",COUNTIFS('🤸 Ingresos Pole'!$W$2:$W$1000,$A69,'🤸 Ingresos Pole'!$L$2:$L$1000,"Paquete"))</f>
        <v>0</v>
      </c>
      <c r="J69" s="28" t="n">
        <f aca="false">IF($A69="","",COUNTIF('🤸 Ingresos Pole'!$W$2:$W$1000,$A69))</f>
        <v>0</v>
      </c>
      <c r="K69" s="29" t="n">
        <f aca="false">IF($A69="","",SUMIF('🤸 Ingresos Pole'!$W$2:$W$1000,$A69,'🤸 Ingresos Pole'!$P$2:$P$1000))</f>
        <v>0</v>
      </c>
      <c r="L69" s="30" t="str">
        <f aca="false">IF(OR($A69="",J69=0),"",_xlfn.MINIFS('🤸 Ingresos Pole'!$B$2:$B$1000,'🤸 Ingresos Pole'!$W$2:$W$1000,$A69))</f>
        <v/>
      </c>
      <c r="M69" s="30" t="str">
        <f aca="false">IF(OR($A69="",J69=0),"",_xlfn.MAXIFS('🤸 Ingresos Pole'!$B$2:$B$1000,'🤸 Ingresos Pole'!$W$2:$W$1000,$A69))</f>
        <v/>
      </c>
      <c r="N69" s="28" t="str">
        <f aca="false">IF(OR($A69="",J69=0),"",IF(I69=0,"Sin paquete",IF(I69=1,"Nueva","Recurrente")))</f>
        <v/>
      </c>
      <c r="O69" s="25" t="str">
        <f aca="false">IF(AND(TRIM(B69)="",TRIM(C69)=""),"",TRIM(B69)&amp;"|"&amp;TRIM(C69))</f>
        <v/>
      </c>
      <c r="P69" s="25" t="str">
        <f aca="false">IF(O69="","",IF(TRIM(C69)="",TRIM(B69),IF(TRIM(B69)="",TRIM(C69),TRIM(B69)&amp;", "&amp;TRIM(C69))))</f>
        <v/>
      </c>
      <c r="Q69" s="25" t="str">
        <f aca="false">IF(O69="","",TRIM(TRIM(C69)&amp;" "&amp;TRIM(B69)))</f>
        <v/>
      </c>
      <c r="R69" s="25" t="str">
        <f aca="false">IF(P69="","",COUNTIFS($P$2:$P$1000,"&lt;"&amp;P69,$P$2:$P$1000,"?*")+COUNTIF($P$2:P69,P69))</f>
        <v/>
      </c>
    </row>
    <row r="70" customFormat="false" ht="14.25" hidden="false" customHeight="true" outlineLevel="0" collapsed="false">
      <c r="A70" s="25" t="s">
        <v>268</v>
      </c>
      <c r="B70" s="25"/>
      <c r="C70" s="25"/>
      <c r="D70" s="26"/>
      <c r="E70" s="25"/>
      <c r="F70" s="25"/>
      <c r="G70" s="27"/>
      <c r="H70" s="28" t="str">
        <f aca="true">IF(G70="","",DATEDIF(G70,TODAY(),"Y"))</f>
        <v/>
      </c>
      <c r="I70" s="28" t="n">
        <f aca="false">IF($A70="","",COUNTIFS('🤸 Ingresos Pole'!$W$2:$W$1000,$A70,'🤸 Ingresos Pole'!$L$2:$L$1000,"Paquete"))</f>
        <v>0</v>
      </c>
      <c r="J70" s="28" t="n">
        <f aca="false">IF($A70="","",COUNTIF('🤸 Ingresos Pole'!$W$2:$W$1000,$A70))</f>
        <v>0</v>
      </c>
      <c r="K70" s="29" t="n">
        <f aca="false">IF($A70="","",SUMIF('🤸 Ingresos Pole'!$W$2:$W$1000,$A70,'🤸 Ingresos Pole'!$P$2:$P$1000))</f>
        <v>0</v>
      </c>
      <c r="L70" s="30" t="str">
        <f aca="false">IF(OR($A70="",J70=0),"",_xlfn.MINIFS('🤸 Ingresos Pole'!$B$2:$B$1000,'🤸 Ingresos Pole'!$W$2:$W$1000,$A70))</f>
        <v/>
      </c>
      <c r="M70" s="30" t="str">
        <f aca="false">IF(OR($A70="",J70=0),"",_xlfn.MAXIFS('🤸 Ingresos Pole'!$B$2:$B$1000,'🤸 Ingresos Pole'!$W$2:$W$1000,$A70))</f>
        <v/>
      </c>
      <c r="N70" s="28" t="str">
        <f aca="false">IF(OR($A70="",J70=0),"",IF(I70=0,"Sin paquete",IF(I70=1,"Nueva","Recurrente")))</f>
        <v/>
      </c>
      <c r="O70" s="25" t="str">
        <f aca="false">IF(AND(TRIM(B70)="",TRIM(C70)=""),"",TRIM(B70)&amp;"|"&amp;TRIM(C70))</f>
        <v/>
      </c>
      <c r="P70" s="25" t="str">
        <f aca="false">IF(O70="","",IF(TRIM(C70)="",TRIM(B70),IF(TRIM(B70)="",TRIM(C70),TRIM(B70)&amp;", "&amp;TRIM(C70))))</f>
        <v/>
      </c>
      <c r="Q70" s="25" t="str">
        <f aca="false">IF(O70="","",TRIM(TRIM(C70)&amp;" "&amp;TRIM(B70)))</f>
        <v/>
      </c>
      <c r="R70" s="25" t="str">
        <f aca="false">IF(P70="","",COUNTIFS($P$2:$P$1000,"&lt;"&amp;P70,$P$2:$P$1000,"?*")+COUNTIF($P$2:P70,P70))</f>
        <v/>
      </c>
    </row>
    <row r="71" customFormat="false" ht="14.25" hidden="false" customHeight="true" outlineLevel="0" collapsed="false">
      <c r="A71" s="25" t="s">
        <v>269</v>
      </c>
      <c r="B71" s="25"/>
      <c r="C71" s="25"/>
      <c r="D71" s="26"/>
      <c r="E71" s="25"/>
      <c r="F71" s="25"/>
      <c r="G71" s="27"/>
      <c r="H71" s="28" t="str">
        <f aca="true">IF(G71="","",DATEDIF(G71,TODAY(),"Y"))</f>
        <v/>
      </c>
      <c r="I71" s="28" t="n">
        <f aca="false">IF($A71="","",COUNTIFS('🤸 Ingresos Pole'!$W$2:$W$1000,$A71,'🤸 Ingresos Pole'!$L$2:$L$1000,"Paquete"))</f>
        <v>0</v>
      </c>
      <c r="J71" s="28" t="n">
        <f aca="false">IF($A71="","",COUNTIF('🤸 Ingresos Pole'!$W$2:$W$1000,$A71))</f>
        <v>0</v>
      </c>
      <c r="K71" s="29" t="n">
        <f aca="false">IF($A71="","",SUMIF('🤸 Ingresos Pole'!$W$2:$W$1000,$A71,'🤸 Ingresos Pole'!$P$2:$P$1000))</f>
        <v>0</v>
      </c>
      <c r="L71" s="30" t="str">
        <f aca="false">IF(OR($A71="",J71=0),"",_xlfn.MINIFS('🤸 Ingresos Pole'!$B$2:$B$1000,'🤸 Ingresos Pole'!$W$2:$W$1000,$A71))</f>
        <v/>
      </c>
      <c r="M71" s="30" t="str">
        <f aca="false">IF(OR($A71="",J71=0),"",_xlfn.MAXIFS('🤸 Ingresos Pole'!$B$2:$B$1000,'🤸 Ingresos Pole'!$W$2:$W$1000,$A71))</f>
        <v/>
      </c>
      <c r="N71" s="28" t="str">
        <f aca="false">IF(OR($A71="",J71=0),"",IF(I71=0,"Sin paquete",IF(I71=1,"Nueva","Recurrente")))</f>
        <v/>
      </c>
      <c r="O71" s="25" t="str">
        <f aca="false">IF(AND(TRIM(B71)="",TRIM(C71)=""),"",TRIM(B71)&amp;"|"&amp;TRIM(C71))</f>
        <v/>
      </c>
      <c r="P71" s="25" t="str">
        <f aca="false">IF(O71="","",IF(TRIM(C71)="",TRIM(B71),IF(TRIM(B71)="",TRIM(C71),TRIM(B71)&amp;", "&amp;TRIM(C71))))</f>
        <v/>
      </c>
      <c r="Q71" s="25" t="str">
        <f aca="false">IF(O71="","",TRIM(TRIM(C71)&amp;" "&amp;TRIM(B71)))</f>
        <v/>
      </c>
      <c r="R71" s="25" t="str">
        <f aca="false">IF(P71="","",COUNTIFS($P$2:$P$1000,"&lt;"&amp;P71,$P$2:$P$1000,"?*")+COUNTIF($P$2:P71,P71))</f>
        <v/>
      </c>
    </row>
    <row r="72" customFormat="false" ht="14.25" hidden="false" customHeight="true" outlineLevel="0" collapsed="false">
      <c r="A72" s="25" t="s">
        <v>270</v>
      </c>
      <c r="B72" s="25"/>
      <c r="C72" s="25"/>
      <c r="D72" s="26"/>
      <c r="E72" s="25"/>
      <c r="F72" s="25"/>
      <c r="G72" s="27"/>
      <c r="H72" s="28" t="str">
        <f aca="true">IF(G72="","",DATEDIF(G72,TODAY(),"Y"))</f>
        <v/>
      </c>
      <c r="I72" s="28" t="n">
        <f aca="false">IF($A72="","",COUNTIFS('🤸 Ingresos Pole'!$W$2:$W$1000,$A72,'🤸 Ingresos Pole'!$L$2:$L$1000,"Paquete"))</f>
        <v>0</v>
      </c>
      <c r="J72" s="28" t="n">
        <f aca="false">IF($A72="","",COUNTIF('🤸 Ingresos Pole'!$W$2:$W$1000,$A72))</f>
        <v>0</v>
      </c>
      <c r="K72" s="29" t="n">
        <f aca="false">IF($A72="","",SUMIF('🤸 Ingresos Pole'!$W$2:$W$1000,$A72,'🤸 Ingresos Pole'!$P$2:$P$1000))</f>
        <v>0</v>
      </c>
      <c r="L72" s="30" t="str">
        <f aca="false">IF(OR($A72="",J72=0),"",_xlfn.MINIFS('🤸 Ingresos Pole'!$B$2:$B$1000,'🤸 Ingresos Pole'!$W$2:$W$1000,$A72))</f>
        <v/>
      </c>
      <c r="M72" s="30" t="str">
        <f aca="false">IF(OR($A72="",J72=0),"",_xlfn.MAXIFS('🤸 Ingresos Pole'!$B$2:$B$1000,'🤸 Ingresos Pole'!$W$2:$W$1000,$A72))</f>
        <v/>
      </c>
      <c r="N72" s="28" t="str">
        <f aca="false">IF(OR($A72="",J72=0),"",IF(I72=0,"Sin paquete",IF(I72=1,"Nueva","Recurrente")))</f>
        <v/>
      </c>
      <c r="O72" s="25" t="str">
        <f aca="false">IF(AND(TRIM(B72)="",TRIM(C72)=""),"",TRIM(B72)&amp;"|"&amp;TRIM(C72))</f>
        <v/>
      </c>
      <c r="P72" s="25" t="str">
        <f aca="false">IF(O72="","",IF(TRIM(C72)="",TRIM(B72),IF(TRIM(B72)="",TRIM(C72),TRIM(B72)&amp;", "&amp;TRIM(C72))))</f>
        <v/>
      </c>
      <c r="Q72" s="25" t="str">
        <f aca="false">IF(O72="","",TRIM(TRIM(C72)&amp;" "&amp;TRIM(B72)))</f>
        <v/>
      </c>
      <c r="R72" s="25" t="str">
        <f aca="false">IF(P72="","",COUNTIFS($P$2:$P$1000,"&lt;"&amp;P72,$P$2:$P$1000,"?*")+COUNTIF($P$2:P72,P72))</f>
        <v/>
      </c>
    </row>
    <row r="73" customFormat="false" ht="14.25" hidden="false" customHeight="true" outlineLevel="0" collapsed="false">
      <c r="A73" s="25" t="s">
        <v>271</v>
      </c>
      <c r="B73" s="25"/>
      <c r="C73" s="25"/>
      <c r="D73" s="26"/>
      <c r="E73" s="25"/>
      <c r="F73" s="25"/>
      <c r="G73" s="27"/>
      <c r="H73" s="28" t="str">
        <f aca="true">IF(G73="","",DATEDIF(G73,TODAY(),"Y"))</f>
        <v/>
      </c>
      <c r="I73" s="28" t="n">
        <f aca="false">IF($A73="","",COUNTIFS('🤸 Ingresos Pole'!$W$2:$W$1000,$A73,'🤸 Ingresos Pole'!$L$2:$L$1000,"Paquete"))</f>
        <v>0</v>
      </c>
      <c r="J73" s="28" t="n">
        <f aca="false">IF($A73="","",COUNTIF('🤸 Ingresos Pole'!$W$2:$W$1000,$A73))</f>
        <v>0</v>
      </c>
      <c r="K73" s="29" t="n">
        <f aca="false">IF($A73="","",SUMIF('🤸 Ingresos Pole'!$W$2:$W$1000,$A73,'🤸 Ingresos Pole'!$P$2:$P$1000))</f>
        <v>0</v>
      </c>
      <c r="L73" s="30" t="str">
        <f aca="false">IF(OR($A73="",J73=0),"",_xlfn.MINIFS('🤸 Ingresos Pole'!$B$2:$B$1000,'🤸 Ingresos Pole'!$W$2:$W$1000,$A73))</f>
        <v/>
      </c>
      <c r="M73" s="30" t="str">
        <f aca="false">IF(OR($A73="",J73=0),"",_xlfn.MAXIFS('🤸 Ingresos Pole'!$B$2:$B$1000,'🤸 Ingresos Pole'!$W$2:$W$1000,$A73))</f>
        <v/>
      </c>
      <c r="N73" s="28" t="str">
        <f aca="false">IF(OR($A73="",J73=0),"",IF(I73=0,"Sin paquete",IF(I73=1,"Nueva","Recurrente")))</f>
        <v/>
      </c>
      <c r="O73" s="25" t="str">
        <f aca="false">IF(AND(TRIM(B73)="",TRIM(C73)=""),"",TRIM(B73)&amp;"|"&amp;TRIM(C73))</f>
        <v/>
      </c>
      <c r="P73" s="25" t="str">
        <f aca="false">IF(O73="","",IF(TRIM(C73)="",TRIM(B73),IF(TRIM(B73)="",TRIM(C73),TRIM(B73)&amp;", "&amp;TRIM(C73))))</f>
        <v/>
      </c>
      <c r="Q73" s="25" t="str">
        <f aca="false">IF(O73="","",TRIM(TRIM(C73)&amp;" "&amp;TRIM(B73)))</f>
        <v/>
      </c>
      <c r="R73" s="25" t="str">
        <f aca="false">IF(P73="","",COUNTIFS($P$2:$P$1000,"&lt;"&amp;P73,$P$2:$P$1000,"?*")+COUNTIF($P$2:P73,P73))</f>
        <v/>
      </c>
    </row>
    <row r="74" customFormat="false" ht="14.25" hidden="false" customHeight="true" outlineLevel="0" collapsed="false">
      <c r="A74" s="25" t="s">
        <v>272</v>
      </c>
      <c r="B74" s="25"/>
      <c r="C74" s="25"/>
      <c r="D74" s="26"/>
      <c r="E74" s="25"/>
      <c r="F74" s="25"/>
      <c r="G74" s="27"/>
      <c r="H74" s="28" t="str">
        <f aca="true">IF(G74="","",DATEDIF(G74,TODAY(),"Y"))</f>
        <v/>
      </c>
      <c r="I74" s="28" t="n">
        <f aca="false">IF($A74="","",COUNTIFS('🤸 Ingresos Pole'!$W$2:$W$1000,$A74,'🤸 Ingresos Pole'!$L$2:$L$1000,"Paquete"))</f>
        <v>0</v>
      </c>
      <c r="J74" s="28" t="n">
        <f aca="false">IF($A74="","",COUNTIF('🤸 Ingresos Pole'!$W$2:$W$1000,$A74))</f>
        <v>0</v>
      </c>
      <c r="K74" s="29" t="n">
        <f aca="false">IF($A74="","",SUMIF('🤸 Ingresos Pole'!$W$2:$W$1000,$A74,'🤸 Ingresos Pole'!$P$2:$P$1000))</f>
        <v>0</v>
      </c>
      <c r="L74" s="30" t="str">
        <f aca="false">IF(OR($A74="",J74=0),"",_xlfn.MINIFS('🤸 Ingresos Pole'!$B$2:$B$1000,'🤸 Ingresos Pole'!$W$2:$W$1000,$A74))</f>
        <v/>
      </c>
      <c r="M74" s="30" t="str">
        <f aca="false">IF(OR($A74="",J74=0),"",_xlfn.MAXIFS('🤸 Ingresos Pole'!$B$2:$B$1000,'🤸 Ingresos Pole'!$W$2:$W$1000,$A74))</f>
        <v/>
      </c>
      <c r="N74" s="28" t="str">
        <f aca="false">IF(OR($A74="",J74=0),"",IF(I74=0,"Sin paquete",IF(I74=1,"Nueva","Recurrente")))</f>
        <v/>
      </c>
      <c r="O74" s="25" t="str">
        <f aca="false">IF(AND(TRIM(B74)="",TRIM(C74)=""),"",TRIM(B74)&amp;"|"&amp;TRIM(C74))</f>
        <v/>
      </c>
      <c r="P74" s="25" t="str">
        <f aca="false">IF(O74="","",IF(TRIM(C74)="",TRIM(B74),IF(TRIM(B74)="",TRIM(C74),TRIM(B74)&amp;", "&amp;TRIM(C74))))</f>
        <v/>
      </c>
      <c r="Q74" s="25" t="str">
        <f aca="false">IF(O74="","",TRIM(TRIM(C74)&amp;" "&amp;TRIM(B74)))</f>
        <v/>
      </c>
      <c r="R74" s="25" t="str">
        <f aca="false">IF(P74="","",COUNTIFS($P$2:$P$1000,"&lt;"&amp;P74,$P$2:$P$1000,"?*")+COUNTIF($P$2:P74,P74))</f>
        <v/>
      </c>
    </row>
    <row r="75" customFormat="false" ht="14.25" hidden="false" customHeight="true" outlineLevel="0" collapsed="false">
      <c r="A75" s="25" t="s">
        <v>273</v>
      </c>
      <c r="B75" s="25"/>
      <c r="C75" s="25"/>
      <c r="D75" s="26"/>
      <c r="E75" s="25"/>
      <c r="F75" s="25"/>
      <c r="G75" s="27"/>
      <c r="H75" s="28" t="str">
        <f aca="true">IF(G75="","",DATEDIF(G75,TODAY(),"Y"))</f>
        <v/>
      </c>
      <c r="I75" s="28" t="n">
        <f aca="false">IF($A75="","",COUNTIFS('🤸 Ingresos Pole'!$W$2:$W$1000,$A75,'🤸 Ingresos Pole'!$L$2:$L$1000,"Paquete"))</f>
        <v>0</v>
      </c>
      <c r="J75" s="28" t="n">
        <f aca="false">IF($A75="","",COUNTIF('🤸 Ingresos Pole'!$W$2:$W$1000,$A75))</f>
        <v>0</v>
      </c>
      <c r="K75" s="29" t="n">
        <f aca="false">IF($A75="","",SUMIF('🤸 Ingresos Pole'!$W$2:$W$1000,$A75,'🤸 Ingresos Pole'!$P$2:$P$1000))</f>
        <v>0</v>
      </c>
      <c r="L75" s="30" t="str">
        <f aca="false">IF(OR($A75="",J75=0),"",_xlfn.MINIFS('🤸 Ingresos Pole'!$B$2:$B$1000,'🤸 Ingresos Pole'!$W$2:$W$1000,$A75))</f>
        <v/>
      </c>
      <c r="M75" s="30" t="str">
        <f aca="false">IF(OR($A75="",J75=0),"",_xlfn.MAXIFS('🤸 Ingresos Pole'!$B$2:$B$1000,'🤸 Ingresos Pole'!$W$2:$W$1000,$A75))</f>
        <v/>
      </c>
      <c r="N75" s="28" t="str">
        <f aca="false">IF(OR($A75="",J75=0),"",IF(I75=0,"Sin paquete",IF(I75=1,"Nueva","Recurrente")))</f>
        <v/>
      </c>
      <c r="O75" s="25" t="str">
        <f aca="false">IF(AND(TRIM(B75)="",TRIM(C75)=""),"",TRIM(B75)&amp;"|"&amp;TRIM(C75))</f>
        <v/>
      </c>
      <c r="P75" s="25" t="str">
        <f aca="false">IF(O75="","",IF(TRIM(C75)="",TRIM(B75),IF(TRIM(B75)="",TRIM(C75),TRIM(B75)&amp;", "&amp;TRIM(C75))))</f>
        <v/>
      </c>
      <c r="Q75" s="25" t="str">
        <f aca="false">IF(O75="","",TRIM(TRIM(C75)&amp;" "&amp;TRIM(B75)))</f>
        <v/>
      </c>
      <c r="R75" s="25" t="str">
        <f aca="false">IF(P75="","",COUNTIFS($P$2:$P$1000,"&lt;"&amp;P75,$P$2:$P$1000,"?*")+COUNTIF($P$2:P75,P75))</f>
        <v/>
      </c>
    </row>
    <row r="76" customFormat="false" ht="14.25" hidden="false" customHeight="true" outlineLevel="0" collapsed="false">
      <c r="A76" s="25" t="s">
        <v>274</v>
      </c>
      <c r="B76" s="25"/>
      <c r="C76" s="25"/>
      <c r="D76" s="26"/>
      <c r="E76" s="25"/>
      <c r="F76" s="25"/>
      <c r="G76" s="27"/>
      <c r="H76" s="28" t="str">
        <f aca="true">IF(G76="","",DATEDIF(G76,TODAY(),"Y"))</f>
        <v/>
      </c>
      <c r="I76" s="28" t="n">
        <f aca="false">IF($A76="","",COUNTIFS('🤸 Ingresos Pole'!$W$2:$W$1000,$A76,'🤸 Ingresos Pole'!$L$2:$L$1000,"Paquete"))</f>
        <v>0</v>
      </c>
      <c r="J76" s="28" t="n">
        <f aca="false">IF($A76="","",COUNTIF('🤸 Ingresos Pole'!$W$2:$W$1000,$A76))</f>
        <v>0</v>
      </c>
      <c r="K76" s="29" t="n">
        <f aca="false">IF($A76="","",SUMIF('🤸 Ingresos Pole'!$W$2:$W$1000,$A76,'🤸 Ingresos Pole'!$P$2:$P$1000))</f>
        <v>0</v>
      </c>
      <c r="L76" s="30" t="str">
        <f aca="false">IF(OR($A76="",J76=0),"",_xlfn.MINIFS('🤸 Ingresos Pole'!$B$2:$B$1000,'🤸 Ingresos Pole'!$W$2:$W$1000,$A76))</f>
        <v/>
      </c>
      <c r="M76" s="30" t="str">
        <f aca="false">IF(OR($A76="",J76=0),"",_xlfn.MAXIFS('🤸 Ingresos Pole'!$B$2:$B$1000,'🤸 Ingresos Pole'!$W$2:$W$1000,$A76))</f>
        <v/>
      </c>
      <c r="N76" s="28" t="str">
        <f aca="false">IF(OR($A76="",J76=0),"",IF(I76=0,"Sin paquete",IF(I76=1,"Nueva","Recurrente")))</f>
        <v/>
      </c>
      <c r="O76" s="25" t="str">
        <f aca="false">IF(AND(TRIM(B76)="",TRIM(C76)=""),"",TRIM(B76)&amp;"|"&amp;TRIM(C76))</f>
        <v/>
      </c>
      <c r="P76" s="25" t="str">
        <f aca="false">IF(O76="","",IF(TRIM(C76)="",TRIM(B76),IF(TRIM(B76)="",TRIM(C76),TRIM(B76)&amp;", "&amp;TRIM(C76))))</f>
        <v/>
      </c>
      <c r="Q76" s="25" t="str">
        <f aca="false">IF(O76="","",TRIM(TRIM(C76)&amp;" "&amp;TRIM(B76)))</f>
        <v/>
      </c>
      <c r="R76" s="25" t="str">
        <f aca="false">IF(P76="","",COUNTIFS($P$2:$P$1000,"&lt;"&amp;P76,$P$2:$P$1000,"?*")+COUNTIF($P$2:P76,P76))</f>
        <v/>
      </c>
    </row>
    <row r="77" customFormat="false" ht="14.25" hidden="false" customHeight="true" outlineLevel="0" collapsed="false">
      <c r="A77" s="25" t="s">
        <v>275</v>
      </c>
      <c r="B77" s="25"/>
      <c r="C77" s="25"/>
      <c r="D77" s="26"/>
      <c r="E77" s="25"/>
      <c r="F77" s="25"/>
      <c r="G77" s="27"/>
      <c r="H77" s="28" t="str">
        <f aca="true">IF(G77="","",DATEDIF(G77,TODAY(),"Y"))</f>
        <v/>
      </c>
      <c r="I77" s="28" t="n">
        <f aca="false">IF($A77="","",COUNTIFS('🤸 Ingresos Pole'!$W$2:$W$1000,$A77,'🤸 Ingresos Pole'!$L$2:$L$1000,"Paquete"))</f>
        <v>0</v>
      </c>
      <c r="J77" s="28" t="n">
        <f aca="false">IF($A77="","",COUNTIF('🤸 Ingresos Pole'!$W$2:$W$1000,$A77))</f>
        <v>0</v>
      </c>
      <c r="K77" s="29" t="n">
        <f aca="false">IF($A77="","",SUMIF('🤸 Ingresos Pole'!$W$2:$W$1000,$A77,'🤸 Ingresos Pole'!$P$2:$P$1000))</f>
        <v>0</v>
      </c>
      <c r="L77" s="30" t="str">
        <f aca="false">IF(OR($A77="",J77=0),"",_xlfn.MINIFS('🤸 Ingresos Pole'!$B$2:$B$1000,'🤸 Ingresos Pole'!$W$2:$W$1000,$A77))</f>
        <v/>
      </c>
      <c r="M77" s="30" t="str">
        <f aca="false">IF(OR($A77="",J77=0),"",_xlfn.MAXIFS('🤸 Ingresos Pole'!$B$2:$B$1000,'🤸 Ingresos Pole'!$W$2:$W$1000,$A77))</f>
        <v/>
      </c>
      <c r="N77" s="28" t="str">
        <f aca="false">IF(OR($A77="",J77=0),"",IF(I77=0,"Sin paquete",IF(I77=1,"Nueva","Recurrente")))</f>
        <v/>
      </c>
      <c r="O77" s="25" t="str">
        <f aca="false">IF(AND(TRIM(B77)="",TRIM(C77)=""),"",TRIM(B77)&amp;"|"&amp;TRIM(C77))</f>
        <v/>
      </c>
      <c r="P77" s="25" t="str">
        <f aca="false">IF(O77="","",IF(TRIM(C77)="",TRIM(B77),IF(TRIM(B77)="",TRIM(C77),TRIM(B77)&amp;", "&amp;TRIM(C77))))</f>
        <v/>
      </c>
      <c r="Q77" s="25" t="str">
        <f aca="false">IF(O77="","",TRIM(TRIM(C77)&amp;" "&amp;TRIM(B77)))</f>
        <v/>
      </c>
      <c r="R77" s="25" t="str">
        <f aca="false">IF(P77="","",COUNTIFS($P$2:$P$1000,"&lt;"&amp;P77,$P$2:$P$1000,"?*")+COUNTIF($P$2:P77,P77))</f>
        <v/>
      </c>
    </row>
    <row r="78" customFormat="false" ht="14.25" hidden="false" customHeight="true" outlineLevel="0" collapsed="false">
      <c r="A78" s="25" t="s">
        <v>276</v>
      </c>
      <c r="B78" s="25"/>
      <c r="C78" s="25"/>
      <c r="D78" s="26"/>
      <c r="E78" s="25"/>
      <c r="F78" s="25"/>
      <c r="G78" s="27"/>
      <c r="H78" s="28" t="str">
        <f aca="true">IF(G78="","",DATEDIF(G78,TODAY(),"Y"))</f>
        <v/>
      </c>
      <c r="I78" s="28" t="n">
        <f aca="false">IF($A78="","",COUNTIFS('🤸 Ingresos Pole'!$W$2:$W$1000,$A78,'🤸 Ingresos Pole'!$L$2:$L$1000,"Paquete"))</f>
        <v>0</v>
      </c>
      <c r="J78" s="28" t="n">
        <f aca="false">IF($A78="","",COUNTIF('🤸 Ingresos Pole'!$W$2:$W$1000,$A78))</f>
        <v>0</v>
      </c>
      <c r="K78" s="29" t="n">
        <f aca="false">IF($A78="","",SUMIF('🤸 Ingresos Pole'!$W$2:$W$1000,$A78,'🤸 Ingresos Pole'!$P$2:$P$1000))</f>
        <v>0</v>
      </c>
      <c r="L78" s="30" t="str">
        <f aca="false">IF(OR($A78="",J78=0),"",_xlfn.MINIFS('🤸 Ingresos Pole'!$B$2:$B$1000,'🤸 Ingresos Pole'!$W$2:$W$1000,$A78))</f>
        <v/>
      </c>
      <c r="M78" s="30" t="str">
        <f aca="false">IF(OR($A78="",J78=0),"",_xlfn.MAXIFS('🤸 Ingresos Pole'!$B$2:$B$1000,'🤸 Ingresos Pole'!$W$2:$W$1000,$A78))</f>
        <v/>
      </c>
      <c r="N78" s="28" t="str">
        <f aca="false">IF(OR($A78="",J78=0),"",IF(I78=0,"Sin paquete",IF(I78=1,"Nueva","Recurrente")))</f>
        <v/>
      </c>
      <c r="O78" s="25" t="str">
        <f aca="false">IF(AND(TRIM(B78)="",TRIM(C78)=""),"",TRIM(B78)&amp;"|"&amp;TRIM(C78))</f>
        <v/>
      </c>
      <c r="P78" s="25" t="str">
        <f aca="false">IF(O78="","",IF(TRIM(C78)="",TRIM(B78),IF(TRIM(B78)="",TRIM(C78),TRIM(B78)&amp;", "&amp;TRIM(C78))))</f>
        <v/>
      </c>
      <c r="Q78" s="25" t="str">
        <f aca="false">IF(O78="","",TRIM(TRIM(C78)&amp;" "&amp;TRIM(B78)))</f>
        <v/>
      </c>
      <c r="R78" s="25" t="str">
        <f aca="false">IF(P78="","",COUNTIFS($P$2:$P$1000,"&lt;"&amp;P78,$P$2:$P$1000,"?*")+COUNTIF($P$2:P78,P78))</f>
        <v/>
      </c>
    </row>
    <row r="79" customFormat="false" ht="14.25" hidden="false" customHeight="true" outlineLevel="0" collapsed="false">
      <c r="A79" s="25" t="s">
        <v>277</v>
      </c>
      <c r="B79" s="25"/>
      <c r="C79" s="25"/>
      <c r="D79" s="26"/>
      <c r="E79" s="25"/>
      <c r="F79" s="25"/>
      <c r="G79" s="27"/>
      <c r="H79" s="28" t="str">
        <f aca="true">IF(G79="","",DATEDIF(G79,TODAY(),"Y"))</f>
        <v/>
      </c>
      <c r="I79" s="28" t="n">
        <f aca="false">IF($A79="","",COUNTIFS('🤸 Ingresos Pole'!$W$2:$W$1000,$A79,'🤸 Ingresos Pole'!$L$2:$L$1000,"Paquete"))</f>
        <v>0</v>
      </c>
      <c r="J79" s="28" t="n">
        <f aca="false">IF($A79="","",COUNTIF('🤸 Ingresos Pole'!$W$2:$W$1000,$A79))</f>
        <v>0</v>
      </c>
      <c r="K79" s="29" t="n">
        <f aca="false">IF($A79="","",SUMIF('🤸 Ingresos Pole'!$W$2:$W$1000,$A79,'🤸 Ingresos Pole'!$P$2:$P$1000))</f>
        <v>0</v>
      </c>
      <c r="L79" s="30" t="str">
        <f aca="false">IF(OR($A79="",J79=0),"",_xlfn.MINIFS('🤸 Ingresos Pole'!$B$2:$B$1000,'🤸 Ingresos Pole'!$W$2:$W$1000,$A79))</f>
        <v/>
      </c>
      <c r="M79" s="30" t="str">
        <f aca="false">IF(OR($A79="",J79=0),"",_xlfn.MAXIFS('🤸 Ingresos Pole'!$B$2:$B$1000,'🤸 Ingresos Pole'!$W$2:$W$1000,$A79))</f>
        <v/>
      </c>
      <c r="N79" s="28" t="str">
        <f aca="false">IF(OR($A79="",J79=0),"",IF(I79=0,"Sin paquete",IF(I79=1,"Nueva","Recurrente")))</f>
        <v/>
      </c>
      <c r="O79" s="25" t="str">
        <f aca="false">IF(AND(TRIM(B79)="",TRIM(C79)=""),"",TRIM(B79)&amp;"|"&amp;TRIM(C79))</f>
        <v/>
      </c>
      <c r="P79" s="25" t="str">
        <f aca="false">IF(O79="","",IF(TRIM(C79)="",TRIM(B79),IF(TRIM(B79)="",TRIM(C79),TRIM(B79)&amp;", "&amp;TRIM(C79))))</f>
        <v/>
      </c>
      <c r="Q79" s="25" t="str">
        <f aca="false">IF(O79="","",TRIM(TRIM(C79)&amp;" "&amp;TRIM(B79)))</f>
        <v/>
      </c>
      <c r="R79" s="25" t="str">
        <f aca="false">IF(P79="","",COUNTIFS($P$2:$P$1000,"&lt;"&amp;P79,$P$2:$P$1000,"?*")+COUNTIF($P$2:P79,P79))</f>
        <v/>
      </c>
    </row>
    <row r="80" customFormat="false" ht="14.25" hidden="false" customHeight="true" outlineLevel="0" collapsed="false">
      <c r="A80" s="25" t="s">
        <v>278</v>
      </c>
      <c r="B80" s="25"/>
      <c r="C80" s="25"/>
      <c r="D80" s="26"/>
      <c r="E80" s="25"/>
      <c r="F80" s="25"/>
      <c r="G80" s="27"/>
      <c r="H80" s="28" t="str">
        <f aca="true">IF(G80="","",DATEDIF(G80,TODAY(),"Y"))</f>
        <v/>
      </c>
      <c r="I80" s="28" t="n">
        <f aca="false">IF($A80="","",COUNTIFS('🤸 Ingresos Pole'!$W$2:$W$1000,$A80,'🤸 Ingresos Pole'!$L$2:$L$1000,"Paquete"))</f>
        <v>0</v>
      </c>
      <c r="J80" s="28" t="n">
        <f aca="false">IF($A80="","",COUNTIF('🤸 Ingresos Pole'!$W$2:$W$1000,$A80))</f>
        <v>0</v>
      </c>
      <c r="K80" s="29" t="n">
        <f aca="false">IF($A80="","",SUMIF('🤸 Ingresos Pole'!$W$2:$W$1000,$A80,'🤸 Ingresos Pole'!$P$2:$P$1000))</f>
        <v>0</v>
      </c>
      <c r="L80" s="30" t="str">
        <f aca="false">IF(OR($A80="",J80=0),"",_xlfn.MINIFS('🤸 Ingresos Pole'!$B$2:$B$1000,'🤸 Ingresos Pole'!$W$2:$W$1000,$A80))</f>
        <v/>
      </c>
      <c r="M80" s="30" t="str">
        <f aca="false">IF(OR($A80="",J80=0),"",_xlfn.MAXIFS('🤸 Ingresos Pole'!$B$2:$B$1000,'🤸 Ingresos Pole'!$W$2:$W$1000,$A80))</f>
        <v/>
      </c>
      <c r="N80" s="28" t="str">
        <f aca="false">IF(OR($A80="",J80=0),"",IF(I80=0,"Sin paquete",IF(I80=1,"Nueva","Recurrente")))</f>
        <v/>
      </c>
      <c r="O80" s="25" t="str">
        <f aca="false">IF(AND(TRIM(B80)="",TRIM(C80)=""),"",TRIM(B80)&amp;"|"&amp;TRIM(C80))</f>
        <v/>
      </c>
      <c r="P80" s="25" t="str">
        <f aca="false">IF(O80="","",IF(TRIM(C80)="",TRIM(B80),IF(TRIM(B80)="",TRIM(C80),TRIM(B80)&amp;", "&amp;TRIM(C80))))</f>
        <v/>
      </c>
      <c r="Q80" s="25" t="str">
        <f aca="false">IF(O80="","",TRIM(TRIM(C80)&amp;" "&amp;TRIM(B80)))</f>
        <v/>
      </c>
      <c r="R80" s="25" t="str">
        <f aca="false">IF(P80="","",COUNTIFS($P$2:$P$1000,"&lt;"&amp;P80,$P$2:$P$1000,"?*")+COUNTIF($P$2:P80,P80))</f>
        <v/>
      </c>
    </row>
    <row r="81" customFormat="false" ht="14.25" hidden="false" customHeight="true" outlineLevel="0" collapsed="false">
      <c r="A81" s="25" t="s">
        <v>279</v>
      </c>
      <c r="B81" s="25"/>
      <c r="C81" s="25"/>
      <c r="D81" s="26"/>
      <c r="E81" s="25"/>
      <c r="F81" s="25"/>
      <c r="G81" s="27"/>
      <c r="H81" s="28" t="str">
        <f aca="true">IF(G81="","",DATEDIF(G81,TODAY(),"Y"))</f>
        <v/>
      </c>
      <c r="I81" s="28" t="n">
        <f aca="false">IF($A81="","",COUNTIFS('🤸 Ingresos Pole'!$W$2:$W$1000,$A81,'🤸 Ingresos Pole'!$L$2:$L$1000,"Paquete"))</f>
        <v>0</v>
      </c>
      <c r="J81" s="28" t="n">
        <f aca="false">IF($A81="","",COUNTIF('🤸 Ingresos Pole'!$W$2:$W$1000,$A81))</f>
        <v>0</v>
      </c>
      <c r="K81" s="29" t="n">
        <f aca="false">IF($A81="","",SUMIF('🤸 Ingresos Pole'!$W$2:$W$1000,$A81,'🤸 Ingresos Pole'!$P$2:$P$1000))</f>
        <v>0</v>
      </c>
      <c r="L81" s="30" t="str">
        <f aca="false">IF(OR($A81="",J81=0),"",_xlfn.MINIFS('🤸 Ingresos Pole'!$B$2:$B$1000,'🤸 Ingresos Pole'!$W$2:$W$1000,$A81))</f>
        <v/>
      </c>
      <c r="M81" s="30" t="str">
        <f aca="false">IF(OR($A81="",J81=0),"",_xlfn.MAXIFS('🤸 Ingresos Pole'!$B$2:$B$1000,'🤸 Ingresos Pole'!$W$2:$W$1000,$A81))</f>
        <v/>
      </c>
      <c r="N81" s="28" t="str">
        <f aca="false">IF(OR($A81="",J81=0),"",IF(I81=0,"Sin paquete",IF(I81=1,"Nueva","Recurrente")))</f>
        <v/>
      </c>
      <c r="O81" s="25" t="str">
        <f aca="false">IF(AND(TRIM(B81)="",TRIM(C81)=""),"",TRIM(B81)&amp;"|"&amp;TRIM(C81))</f>
        <v/>
      </c>
      <c r="P81" s="25" t="str">
        <f aca="false">IF(O81="","",IF(TRIM(C81)="",TRIM(B81),IF(TRIM(B81)="",TRIM(C81),TRIM(B81)&amp;", "&amp;TRIM(C81))))</f>
        <v/>
      </c>
      <c r="Q81" s="25" t="str">
        <f aca="false">IF(O81="","",TRIM(TRIM(C81)&amp;" "&amp;TRIM(B81)))</f>
        <v/>
      </c>
      <c r="R81" s="25" t="str">
        <f aca="false">IF(P81="","",COUNTIFS($P$2:$P$1000,"&lt;"&amp;P81,$P$2:$P$1000,"?*")+COUNTIF($P$2:P81,P81))</f>
        <v/>
      </c>
    </row>
    <row r="82" customFormat="false" ht="14.25" hidden="false" customHeight="true" outlineLevel="0" collapsed="false">
      <c r="A82" s="25" t="s">
        <v>280</v>
      </c>
      <c r="B82" s="25"/>
      <c r="C82" s="25"/>
      <c r="D82" s="26"/>
      <c r="E82" s="25"/>
      <c r="F82" s="25"/>
      <c r="G82" s="27"/>
      <c r="H82" s="28" t="str">
        <f aca="true">IF(G82="","",DATEDIF(G82,TODAY(),"Y"))</f>
        <v/>
      </c>
      <c r="I82" s="28" t="n">
        <f aca="false">IF($A82="","",COUNTIFS('🤸 Ingresos Pole'!$W$2:$W$1000,$A82,'🤸 Ingresos Pole'!$L$2:$L$1000,"Paquete"))</f>
        <v>0</v>
      </c>
      <c r="J82" s="28" t="n">
        <f aca="false">IF($A82="","",COUNTIF('🤸 Ingresos Pole'!$W$2:$W$1000,$A82))</f>
        <v>0</v>
      </c>
      <c r="K82" s="29" t="n">
        <f aca="false">IF($A82="","",SUMIF('🤸 Ingresos Pole'!$W$2:$W$1000,$A82,'🤸 Ingresos Pole'!$P$2:$P$1000))</f>
        <v>0</v>
      </c>
      <c r="L82" s="30" t="str">
        <f aca="false">IF(OR($A82="",J82=0),"",_xlfn.MINIFS('🤸 Ingresos Pole'!$B$2:$B$1000,'🤸 Ingresos Pole'!$W$2:$W$1000,$A82))</f>
        <v/>
      </c>
      <c r="M82" s="30" t="str">
        <f aca="false">IF(OR($A82="",J82=0),"",_xlfn.MAXIFS('🤸 Ingresos Pole'!$B$2:$B$1000,'🤸 Ingresos Pole'!$W$2:$W$1000,$A82))</f>
        <v/>
      </c>
      <c r="N82" s="28" t="str">
        <f aca="false">IF(OR($A82="",J82=0),"",IF(I82=0,"Sin paquete",IF(I82=1,"Nueva","Recurrente")))</f>
        <v/>
      </c>
      <c r="O82" s="25" t="str">
        <f aca="false">IF(AND(TRIM(B82)="",TRIM(C82)=""),"",TRIM(B82)&amp;"|"&amp;TRIM(C82))</f>
        <v/>
      </c>
      <c r="P82" s="25" t="str">
        <f aca="false">IF(O82="","",IF(TRIM(C82)="",TRIM(B82),IF(TRIM(B82)="",TRIM(C82),TRIM(B82)&amp;", "&amp;TRIM(C82))))</f>
        <v/>
      </c>
      <c r="Q82" s="25" t="str">
        <f aca="false">IF(O82="","",TRIM(TRIM(C82)&amp;" "&amp;TRIM(B82)))</f>
        <v/>
      </c>
      <c r="R82" s="25" t="str">
        <f aca="false">IF(P82="","",COUNTIFS($P$2:$P$1000,"&lt;"&amp;P82,$P$2:$P$1000,"?*")+COUNTIF($P$2:P82,P82))</f>
        <v/>
      </c>
    </row>
    <row r="83" customFormat="false" ht="14.25" hidden="false" customHeight="true" outlineLevel="0" collapsed="false">
      <c r="A83" s="25" t="s">
        <v>281</v>
      </c>
      <c r="B83" s="25"/>
      <c r="C83" s="25"/>
      <c r="D83" s="26"/>
      <c r="E83" s="25"/>
      <c r="F83" s="25"/>
      <c r="G83" s="27"/>
      <c r="H83" s="28" t="str">
        <f aca="true">IF(G83="","",DATEDIF(G83,TODAY(),"Y"))</f>
        <v/>
      </c>
      <c r="I83" s="28" t="n">
        <f aca="false">IF($A83="","",COUNTIFS('🤸 Ingresos Pole'!$W$2:$W$1000,$A83,'🤸 Ingresos Pole'!$L$2:$L$1000,"Paquete"))</f>
        <v>0</v>
      </c>
      <c r="J83" s="28" t="n">
        <f aca="false">IF($A83="","",COUNTIF('🤸 Ingresos Pole'!$W$2:$W$1000,$A83))</f>
        <v>0</v>
      </c>
      <c r="K83" s="29" t="n">
        <f aca="false">IF($A83="","",SUMIF('🤸 Ingresos Pole'!$W$2:$W$1000,$A83,'🤸 Ingresos Pole'!$P$2:$P$1000))</f>
        <v>0</v>
      </c>
      <c r="L83" s="30" t="str">
        <f aca="false">IF(OR($A83="",J83=0),"",_xlfn.MINIFS('🤸 Ingresos Pole'!$B$2:$B$1000,'🤸 Ingresos Pole'!$W$2:$W$1000,$A83))</f>
        <v/>
      </c>
      <c r="M83" s="30" t="str">
        <f aca="false">IF(OR($A83="",J83=0),"",_xlfn.MAXIFS('🤸 Ingresos Pole'!$B$2:$B$1000,'🤸 Ingresos Pole'!$W$2:$W$1000,$A83))</f>
        <v/>
      </c>
      <c r="N83" s="28" t="str">
        <f aca="false">IF(OR($A83="",J83=0),"",IF(I83=0,"Sin paquete",IF(I83=1,"Nueva","Recurrente")))</f>
        <v/>
      </c>
      <c r="O83" s="25" t="str">
        <f aca="false">IF(AND(TRIM(B83)="",TRIM(C83)=""),"",TRIM(B83)&amp;"|"&amp;TRIM(C83))</f>
        <v/>
      </c>
      <c r="P83" s="25" t="str">
        <f aca="false">IF(O83="","",IF(TRIM(C83)="",TRIM(B83),IF(TRIM(B83)="",TRIM(C83),TRIM(B83)&amp;", "&amp;TRIM(C83))))</f>
        <v/>
      </c>
      <c r="Q83" s="25" t="str">
        <f aca="false">IF(O83="","",TRIM(TRIM(C83)&amp;" "&amp;TRIM(B83)))</f>
        <v/>
      </c>
      <c r="R83" s="25" t="str">
        <f aca="false">IF(P83="","",COUNTIFS($P$2:$P$1000,"&lt;"&amp;P83,$P$2:$P$1000,"?*")+COUNTIF($P$2:P83,P83))</f>
        <v/>
      </c>
    </row>
    <row r="84" customFormat="false" ht="14.25" hidden="false" customHeight="true" outlineLevel="0" collapsed="false">
      <c r="A84" s="25" t="s">
        <v>282</v>
      </c>
      <c r="B84" s="25"/>
      <c r="C84" s="25"/>
      <c r="D84" s="26"/>
      <c r="E84" s="25"/>
      <c r="F84" s="25"/>
      <c r="G84" s="27"/>
      <c r="H84" s="28" t="str">
        <f aca="true">IF(G84="","",DATEDIF(G84,TODAY(),"Y"))</f>
        <v/>
      </c>
      <c r="I84" s="28" t="n">
        <f aca="false">IF($A84="","",COUNTIFS('🤸 Ingresos Pole'!$W$2:$W$1000,$A84,'🤸 Ingresos Pole'!$L$2:$L$1000,"Paquete"))</f>
        <v>0</v>
      </c>
      <c r="J84" s="28" t="n">
        <f aca="false">IF($A84="","",COUNTIF('🤸 Ingresos Pole'!$W$2:$W$1000,$A84))</f>
        <v>0</v>
      </c>
      <c r="K84" s="29" t="n">
        <f aca="false">IF($A84="","",SUMIF('🤸 Ingresos Pole'!$W$2:$W$1000,$A84,'🤸 Ingresos Pole'!$P$2:$P$1000))</f>
        <v>0</v>
      </c>
      <c r="L84" s="30" t="str">
        <f aca="false">IF(OR($A84="",J84=0),"",_xlfn.MINIFS('🤸 Ingresos Pole'!$B$2:$B$1000,'🤸 Ingresos Pole'!$W$2:$W$1000,$A84))</f>
        <v/>
      </c>
      <c r="M84" s="30" t="str">
        <f aca="false">IF(OR($A84="",J84=0),"",_xlfn.MAXIFS('🤸 Ingresos Pole'!$B$2:$B$1000,'🤸 Ingresos Pole'!$W$2:$W$1000,$A84))</f>
        <v/>
      </c>
      <c r="N84" s="28" t="str">
        <f aca="false">IF(OR($A84="",J84=0),"",IF(I84=0,"Sin paquete",IF(I84=1,"Nueva","Recurrente")))</f>
        <v/>
      </c>
      <c r="O84" s="25" t="str">
        <f aca="false">IF(AND(TRIM(B84)="",TRIM(C84)=""),"",TRIM(B84)&amp;"|"&amp;TRIM(C84))</f>
        <v/>
      </c>
      <c r="P84" s="25" t="str">
        <f aca="false">IF(O84="","",IF(TRIM(C84)="",TRIM(B84),IF(TRIM(B84)="",TRIM(C84),TRIM(B84)&amp;", "&amp;TRIM(C84))))</f>
        <v/>
      </c>
      <c r="Q84" s="25" t="str">
        <f aca="false">IF(O84="","",TRIM(TRIM(C84)&amp;" "&amp;TRIM(B84)))</f>
        <v/>
      </c>
      <c r="R84" s="25" t="str">
        <f aca="false">IF(P84="","",COUNTIFS($P$2:$P$1000,"&lt;"&amp;P84,$P$2:$P$1000,"?*")+COUNTIF($P$2:P84,P84))</f>
        <v/>
      </c>
    </row>
    <row r="85" customFormat="false" ht="14.25" hidden="false" customHeight="true" outlineLevel="0" collapsed="false">
      <c r="A85" s="25" t="s">
        <v>283</v>
      </c>
      <c r="B85" s="25"/>
      <c r="C85" s="25"/>
      <c r="D85" s="26"/>
      <c r="E85" s="25"/>
      <c r="F85" s="25"/>
      <c r="G85" s="27"/>
      <c r="H85" s="28" t="str">
        <f aca="true">IF(G85="","",DATEDIF(G85,TODAY(),"Y"))</f>
        <v/>
      </c>
      <c r="I85" s="28" t="n">
        <f aca="false">IF($A85="","",COUNTIFS('🤸 Ingresos Pole'!$W$2:$W$1000,$A85,'🤸 Ingresos Pole'!$L$2:$L$1000,"Paquete"))</f>
        <v>0</v>
      </c>
      <c r="J85" s="28" t="n">
        <f aca="false">IF($A85="","",COUNTIF('🤸 Ingresos Pole'!$W$2:$W$1000,$A85))</f>
        <v>0</v>
      </c>
      <c r="K85" s="29" t="n">
        <f aca="false">IF($A85="","",SUMIF('🤸 Ingresos Pole'!$W$2:$W$1000,$A85,'🤸 Ingresos Pole'!$P$2:$P$1000))</f>
        <v>0</v>
      </c>
      <c r="L85" s="30" t="str">
        <f aca="false">IF(OR($A85="",J85=0),"",_xlfn.MINIFS('🤸 Ingresos Pole'!$B$2:$B$1000,'🤸 Ingresos Pole'!$W$2:$W$1000,$A85))</f>
        <v/>
      </c>
      <c r="M85" s="30" t="str">
        <f aca="false">IF(OR($A85="",J85=0),"",_xlfn.MAXIFS('🤸 Ingresos Pole'!$B$2:$B$1000,'🤸 Ingresos Pole'!$W$2:$W$1000,$A85))</f>
        <v/>
      </c>
      <c r="N85" s="28" t="str">
        <f aca="false">IF(OR($A85="",J85=0),"",IF(I85=0,"Sin paquete",IF(I85=1,"Nueva","Recurrente")))</f>
        <v/>
      </c>
      <c r="O85" s="25" t="str">
        <f aca="false">IF(AND(TRIM(B85)="",TRIM(C85)=""),"",TRIM(B85)&amp;"|"&amp;TRIM(C85))</f>
        <v/>
      </c>
      <c r="P85" s="25" t="str">
        <f aca="false">IF(O85="","",IF(TRIM(C85)="",TRIM(B85),IF(TRIM(B85)="",TRIM(C85),TRIM(B85)&amp;", "&amp;TRIM(C85))))</f>
        <v/>
      </c>
      <c r="Q85" s="25" t="str">
        <f aca="false">IF(O85="","",TRIM(TRIM(C85)&amp;" "&amp;TRIM(B85)))</f>
        <v/>
      </c>
      <c r="R85" s="25" t="str">
        <f aca="false">IF(P85="","",COUNTIFS($P$2:$P$1000,"&lt;"&amp;P85,$P$2:$P$1000,"?*")+COUNTIF($P$2:P85,P85))</f>
        <v/>
      </c>
    </row>
    <row r="86" customFormat="false" ht="14.25" hidden="false" customHeight="true" outlineLevel="0" collapsed="false">
      <c r="A86" s="25" t="s">
        <v>284</v>
      </c>
      <c r="B86" s="25"/>
      <c r="C86" s="25"/>
      <c r="D86" s="26"/>
      <c r="E86" s="25"/>
      <c r="F86" s="25"/>
      <c r="G86" s="27"/>
      <c r="H86" s="28" t="str">
        <f aca="true">IF(G86="","",DATEDIF(G86,TODAY(),"Y"))</f>
        <v/>
      </c>
      <c r="I86" s="28" t="n">
        <f aca="false">IF($A86="","",COUNTIFS('🤸 Ingresos Pole'!$W$2:$W$1000,$A86,'🤸 Ingresos Pole'!$L$2:$L$1000,"Paquete"))</f>
        <v>0</v>
      </c>
      <c r="J86" s="28" t="n">
        <f aca="false">IF($A86="","",COUNTIF('🤸 Ingresos Pole'!$W$2:$W$1000,$A86))</f>
        <v>0</v>
      </c>
      <c r="K86" s="29" t="n">
        <f aca="false">IF($A86="","",SUMIF('🤸 Ingresos Pole'!$W$2:$W$1000,$A86,'🤸 Ingresos Pole'!$P$2:$P$1000))</f>
        <v>0</v>
      </c>
      <c r="L86" s="30" t="str">
        <f aca="false">IF(OR($A86="",J86=0),"",_xlfn.MINIFS('🤸 Ingresos Pole'!$B$2:$B$1000,'🤸 Ingresos Pole'!$W$2:$W$1000,$A86))</f>
        <v/>
      </c>
      <c r="M86" s="30" t="str">
        <f aca="false">IF(OR($A86="",J86=0),"",_xlfn.MAXIFS('🤸 Ingresos Pole'!$B$2:$B$1000,'🤸 Ingresos Pole'!$W$2:$W$1000,$A86))</f>
        <v/>
      </c>
      <c r="N86" s="28" t="str">
        <f aca="false">IF(OR($A86="",J86=0),"",IF(I86=0,"Sin paquete",IF(I86=1,"Nueva","Recurrente")))</f>
        <v/>
      </c>
      <c r="O86" s="25" t="str">
        <f aca="false">IF(AND(TRIM(B86)="",TRIM(C86)=""),"",TRIM(B86)&amp;"|"&amp;TRIM(C86))</f>
        <v/>
      </c>
      <c r="P86" s="25" t="str">
        <f aca="false">IF(O86="","",IF(TRIM(C86)="",TRIM(B86),IF(TRIM(B86)="",TRIM(C86),TRIM(B86)&amp;", "&amp;TRIM(C86))))</f>
        <v/>
      </c>
      <c r="Q86" s="25" t="str">
        <f aca="false">IF(O86="","",TRIM(TRIM(C86)&amp;" "&amp;TRIM(B86)))</f>
        <v/>
      </c>
      <c r="R86" s="25" t="str">
        <f aca="false">IF(P86="","",COUNTIFS($P$2:$P$1000,"&lt;"&amp;P86,$P$2:$P$1000,"?*")+COUNTIF($P$2:P86,P86))</f>
        <v/>
      </c>
    </row>
    <row r="87" customFormat="false" ht="14.25" hidden="false" customHeight="true" outlineLevel="0" collapsed="false">
      <c r="A87" s="25" t="s">
        <v>285</v>
      </c>
      <c r="B87" s="25"/>
      <c r="C87" s="25"/>
      <c r="D87" s="26"/>
      <c r="E87" s="25"/>
      <c r="F87" s="25"/>
      <c r="G87" s="27"/>
      <c r="H87" s="28" t="str">
        <f aca="true">IF(G87="","",DATEDIF(G87,TODAY(),"Y"))</f>
        <v/>
      </c>
      <c r="I87" s="28" t="n">
        <f aca="false">IF($A87="","",COUNTIFS('🤸 Ingresos Pole'!$W$2:$W$1000,$A87,'🤸 Ingresos Pole'!$L$2:$L$1000,"Paquete"))</f>
        <v>0</v>
      </c>
      <c r="J87" s="28" t="n">
        <f aca="false">IF($A87="","",COUNTIF('🤸 Ingresos Pole'!$W$2:$W$1000,$A87))</f>
        <v>0</v>
      </c>
      <c r="K87" s="29" t="n">
        <f aca="false">IF($A87="","",SUMIF('🤸 Ingresos Pole'!$W$2:$W$1000,$A87,'🤸 Ingresos Pole'!$P$2:$P$1000))</f>
        <v>0</v>
      </c>
      <c r="L87" s="30" t="str">
        <f aca="false">IF(OR($A87="",J87=0),"",_xlfn.MINIFS('🤸 Ingresos Pole'!$B$2:$B$1000,'🤸 Ingresos Pole'!$W$2:$W$1000,$A87))</f>
        <v/>
      </c>
      <c r="M87" s="30" t="str">
        <f aca="false">IF(OR($A87="",J87=0),"",_xlfn.MAXIFS('🤸 Ingresos Pole'!$B$2:$B$1000,'🤸 Ingresos Pole'!$W$2:$W$1000,$A87))</f>
        <v/>
      </c>
      <c r="N87" s="28" t="str">
        <f aca="false">IF(OR($A87="",J87=0),"",IF(I87=0,"Sin paquete",IF(I87=1,"Nueva","Recurrente")))</f>
        <v/>
      </c>
      <c r="O87" s="25" t="str">
        <f aca="false">IF(AND(TRIM(B87)="",TRIM(C87)=""),"",TRIM(B87)&amp;"|"&amp;TRIM(C87))</f>
        <v/>
      </c>
      <c r="P87" s="25" t="str">
        <f aca="false">IF(O87="","",IF(TRIM(C87)="",TRIM(B87),IF(TRIM(B87)="",TRIM(C87),TRIM(B87)&amp;", "&amp;TRIM(C87))))</f>
        <v/>
      </c>
      <c r="Q87" s="25" t="str">
        <f aca="false">IF(O87="","",TRIM(TRIM(C87)&amp;" "&amp;TRIM(B87)))</f>
        <v/>
      </c>
      <c r="R87" s="25" t="str">
        <f aca="false">IF(P87="","",COUNTIFS($P$2:$P$1000,"&lt;"&amp;P87,$P$2:$P$1000,"?*")+COUNTIF($P$2:P87,P87))</f>
        <v/>
      </c>
    </row>
    <row r="88" customFormat="false" ht="14.25" hidden="false" customHeight="true" outlineLevel="0" collapsed="false">
      <c r="A88" s="25" t="s">
        <v>286</v>
      </c>
      <c r="B88" s="25"/>
      <c r="C88" s="25"/>
      <c r="D88" s="26"/>
      <c r="E88" s="25"/>
      <c r="F88" s="25"/>
      <c r="G88" s="27"/>
      <c r="H88" s="28" t="str">
        <f aca="true">IF(G88="","",DATEDIF(G88,TODAY(),"Y"))</f>
        <v/>
      </c>
      <c r="I88" s="28" t="n">
        <f aca="false">IF($A88="","",COUNTIFS('🤸 Ingresos Pole'!$W$2:$W$1000,$A88,'🤸 Ingresos Pole'!$L$2:$L$1000,"Paquete"))</f>
        <v>0</v>
      </c>
      <c r="J88" s="28" t="n">
        <f aca="false">IF($A88="","",COUNTIF('🤸 Ingresos Pole'!$W$2:$W$1000,$A88))</f>
        <v>0</v>
      </c>
      <c r="K88" s="29" t="n">
        <f aca="false">IF($A88="","",SUMIF('🤸 Ingresos Pole'!$W$2:$W$1000,$A88,'🤸 Ingresos Pole'!$P$2:$P$1000))</f>
        <v>0</v>
      </c>
      <c r="L88" s="30" t="str">
        <f aca="false">IF(OR($A88="",J88=0),"",_xlfn.MINIFS('🤸 Ingresos Pole'!$B$2:$B$1000,'🤸 Ingresos Pole'!$W$2:$W$1000,$A88))</f>
        <v/>
      </c>
      <c r="M88" s="30" t="str">
        <f aca="false">IF(OR($A88="",J88=0),"",_xlfn.MAXIFS('🤸 Ingresos Pole'!$B$2:$B$1000,'🤸 Ingresos Pole'!$W$2:$W$1000,$A88))</f>
        <v/>
      </c>
      <c r="N88" s="28" t="str">
        <f aca="false">IF(OR($A88="",J88=0),"",IF(I88=0,"Sin paquete",IF(I88=1,"Nueva","Recurrente")))</f>
        <v/>
      </c>
      <c r="O88" s="25" t="str">
        <f aca="false">IF(AND(TRIM(B88)="",TRIM(C88)=""),"",TRIM(B88)&amp;"|"&amp;TRIM(C88))</f>
        <v/>
      </c>
      <c r="P88" s="25" t="str">
        <f aca="false">IF(O88="","",IF(TRIM(C88)="",TRIM(B88),IF(TRIM(B88)="",TRIM(C88),TRIM(B88)&amp;", "&amp;TRIM(C88))))</f>
        <v/>
      </c>
      <c r="Q88" s="25" t="str">
        <f aca="false">IF(O88="","",TRIM(TRIM(C88)&amp;" "&amp;TRIM(B88)))</f>
        <v/>
      </c>
      <c r="R88" s="25" t="str">
        <f aca="false">IF(P88="","",COUNTIFS($P$2:$P$1000,"&lt;"&amp;P88,$P$2:$P$1000,"?*")+COUNTIF($P$2:P88,P88))</f>
        <v/>
      </c>
    </row>
    <row r="89" customFormat="false" ht="14.25" hidden="false" customHeight="true" outlineLevel="0" collapsed="false">
      <c r="A89" s="25" t="s">
        <v>287</v>
      </c>
      <c r="B89" s="25"/>
      <c r="C89" s="25"/>
      <c r="D89" s="26"/>
      <c r="E89" s="25"/>
      <c r="F89" s="25"/>
      <c r="G89" s="27"/>
      <c r="H89" s="28" t="str">
        <f aca="true">IF(G89="","",DATEDIF(G89,TODAY(),"Y"))</f>
        <v/>
      </c>
      <c r="I89" s="28" t="n">
        <f aca="false">IF($A89="","",COUNTIFS('🤸 Ingresos Pole'!$W$2:$W$1000,$A89,'🤸 Ingresos Pole'!$L$2:$L$1000,"Paquete"))</f>
        <v>0</v>
      </c>
      <c r="J89" s="28" t="n">
        <f aca="false">IF($A89="","",COUNTIF('🤸 Ingresos Pole'!$W$2:$W$1000,$A89))</f>
        <v>0</v>
      </c>
      <c r="K89" s="29" t="n">
        <f aca="false">IF($A89="","",SUMIF('🤸 Ingresos Pole'!$W$2:$W$1000,$A89,'🤸 Ingresos Pole'!$P$2:$P$1000))</f>
        <v>0</v>
      </c>
      <c r="L89" s="30" t="str">
        <f aca="false">IF(OR($A89="",J89=0),"",_xlfn.MINIFS('🤸 Ingresos Pole'!$B$2:$B$1000,'🤸 Ingresos Pole'!$W$2:$W$1000,$A89))</f>
        <v/>
      </c>
      <c r="M89" s="30" t="str">
        <f aca="false">IF(OR($A89="",J89=0),"",_xlfn.MAXIFS('🤸 Ingresos Pole'!$B$2:$B$1000,'🤸 Ingresos Pole'!$W$2:$W$1000,$A89))</f>
        <v/>
      </c>
      <c r="N89" s="28" t="str">
        <f aca="false">IF(OR($A89="",J89=0),"",IF(I89=0,"Sin paquete",IF(I89=1,"Nueva","Recurrente")))</f>
        <v/>
      </c>
      <c r="O89" s="25" t="str">
        <f aca="false">IF(AND(TRIM(B89)="",TRIM(C89)=""),"",TRIM(B89)&amp;"|"&amp;TRIM(C89))</f>
        <v/>
      </c>
      <c r="P89" s="25" t="str">
        <f aca="false">IF(O89="","",IF(TRIM(C89)="",TRIM(B89),IF(TRIM(B89)="",TRIM(C89),TRIM(B89)&amp;", "&amp;TRIM(C89))))</f>
        <v/>
      </c>
      <c r="Q89" s="25" t="str">
        <f aca="false">IF(O89="","",TRIM(TRIM(C89)&amp;" "&amp;TRIM(B89)))</f>
        <v/>
      </c>
      <c r="R89" s="25" t="str">
        <f aca="false">IF(P89="","",COUNTIFS($P$2:$P$1000,"&lt;"&amp;P89,$P$2:$P$1000,"?*")+COUNTIF($P$2:P89,P89))</f>
        <v/>
      </c>
    </row>
    <row r="90" customFormat="false" ht="14.25" hidden="false" customHeight="true" outlineLevel="0" collapsed="false">
      <c r="A90" s="25" t="s">
        <v>288</v>
      </c>
      <c r="B90" s="25"/>
      <c r="C90" s="25"/>
      <c r="D90" s="26"/>
      <c r="E90" s="25"/>
      <c r="F90" s="25"/>
      <c r="G90" s="27"/>
      <c r="H90" s="28" t="str">
        <f aca="true">IF(G90="","",DATEDIF(G90,TODAY(),"Y"))</f>
        <v/>
      </c>
      <c r="I90" s="28" t="n">
        <f aca="false">IF($A90="","",COUNTIFS('🤸 Ingresos Pole'!$W$2:$W$1000,$A90,'🤸 Ingresos Pole'!$L$2:$L$1000,"Paquete"))</f>
        <v>0</v>
      </c>
      <c r="J90" s="28" t="n">
        <f aca="false">IF($A90="","",COUNTIF('🤸 Ingresos Pole'!$W$2:$W$1000,$A90))</f>
        <v>0</v>
      </c>
      <c r="K90" s="29" t="n">
        <f aca="false">IF($A90="","",SUMIF('🤸 Ingresos Pole'!$W$2:$W$1000,$A90,'🤸 Ingresos Pole'!$P$2:$P$1000))</f>
        <v>0</v>
      </c>
      <c r="L90" s="30" t="str">
        <f aca="false">IF(OR($A90="",J90=0),"",_xlfn.MINIFS('🤸 Ingresos Pole'!$B$2:$B$1000,'🤸 Ingresos Pole'!$W$2:$W$1000,$A90))</f>
        <v/>
      </c>
      <c r="M90" s="30" t="str">
        <f aca="false">IF(OR($A90="",J90=0),"",_xlfn.MAXIFS('🤸 Ingresos Pole'!$B$2:$B$1000,'🤸 Ingresos Pole'!$W$2:$W$1000,$A90))</f>
        <v/>
      </c>
      <c r="N90" s="28" t="str">
        <f aca="false">IF(OR($A90="",J90=0),"",IF(I90=0,"Sin paquete",IF(I90=1,"Nueva","Recurrente")))</f>
        <v/>
      </c>
      <c r="O90" s="25" t="str">
        <f aca="false">IF(AND(TRIM(B90)="",TRIM(C90)=""),"",TRIM(B90)&amp;"|"&amp;TRIM(C90))</f>
        <v/>
      </c>
      <c r="P90" s="25" t="str">
        <f aca="false">IF(O90="","",IF(TRIM(C90)="",TRIM(B90),IF(TRIM(B90)="",TRIM(C90),TRIM(B90)&amp;", "&amp;TRIM(C90))))</f>
        <v/>
      </c>
      <c r="Q90" s="25" t="str">
        <f aca="false">IF(O90="","",TRIM(TRIM(C90)&amp;" "&amp;TRIM(B90)))</f>
        <v/>
      </c>
      <c r="R90" s="25" t="str">
        <f aca="false">IF(P90="","",COUNTIFS($P$2:$P$1000,"&lt;"&amp;P90,$P$2:$P$1000,"?*")+COUNTIF($P$2:P90,P90))</f>
        <v/>
      </c>
    </row>
    <row r="91" customFormat="false" ht="14.25" hidden="false" customHeight="true" outlineLevel="0" collapsed="false">
      <c r="A91" s="25" t="s">
        <v>289</v>
      </c>
      <c r="B91" s="25"/>
      <c r="C91" s="25"/>
      <c r="D91" s="26"/>
      <c r="E91" s="25"/>
      <c r="F91" s="25"/>
      <c r="G91" s="27"/>
      <c r="H91" s="28" t="str">
        <f aca="true">IF(G91="","",DATEDIF(G91,TODAY(),"Y"))</f>
        <v/>
      </c>
      <c r="I91" s="28" t="n">
        <f aca="false">IF($A91="","",COUNTIFS('🤸 Ingresos Pole'!$W$2:$W$1000,$A91,'🤸 Ingresos Pole'!$L$2:$L$1000,"Paquete"))</f>
        <v>0</v>
      </c>
      <c r="J91" s="28" t="n">
        <f aca="false">IF($A91="","",COUNTIF('🤸 Ingresos Pole'!$W$2:$W$1000,$A91))</f>
        <v>0</v>
      </c>
      <c r="K91" s="29" t="n">
        <f aca="false">IF($A91="","",SUMIF('🤸 Ingresos Pole'!$W$2:$W$1000,$A91,'🤸 Ingresos Pole'!$P$2:$P$1000))</f>
        <v>0</v>
      </c>
      <c r="L91" s="30" t="str">
        <f aca="false">IF(OR($A91="",J91=0),"",_xlfn.MINIFS('🤸 Ingresos Pole'!$B$2:$B$1000,'🤸 Ingresos Pole'!$W$2:$W$1000,$A91))</f>
        <v/>
      </c>
      <c r="M91" s="30" t="str">
        <f aca="false">IF(OR($A91="",J91=0),"",_xlfn.MAXIFS('🤸 Ingresos Pole'!$B$2:$B$1000,'🤸 Ingresos Pole'!$W$2:$W$1000,$A91))</f>
        <v/>
      </c>
      <c r="N91" s="28" t="str">
        <f aca="false">IF(OR($A91="",J91=0),"",IF(I91=0,"Sin paquete",IF(I91=1,"Nueva","Recurrente")))</f>
        <v/>
      </c>
      <c r="O91" s="25" t="str">
        <f aca="false">IF(AND(TRIM(B91)="",TRIM(C91)=""),"",TRIM(B91)&amp;"|"&amp;TRIM(C91))</f>
        <v/>
      </c>
      <c r="P91" s="25" t="str">
        <f aca="false">IF(O91="","",IF(TRIM(C91)="",TRIM(B91),IF(TRIM(B91)="",TRIM(C91),TRIM(B91)&amp;", "&amp;TRIM(C91))))</f>
        <v/>
      </c>
      <c r="Q91" s="25" t="str">
        <f aca="false">IF(O91="","",TRIM(TRIM(C91)&amp;" "&amp;TRIM(B91)))</f>
        <v/>
      </c>
      <c r="R91" s="25" t="str">
        <f aca="false">IF(P91="","",COUNTIFS($P$2:$P$1000,"&lt;"&amp;P91,$P$2:$P$1000,"?*")+COUNTIF($P$2:P91,P91))</f>
        <v/>
      </c>
    </row>
    <row r="92" customFormat="false" ht="14.25" hidden="false" customHeight="true" outlineLevel="0" collapsed="false">
      <c r="A92" s="25" t="s">
        <v>290</v>
      </c>
      <c r="B92" s="25"/>
      <c r="C92" s="25"/>
      <c r="D92" s="26"/>
      <c r="E92" s="25"/>
      <c r="F92" s="25"/>
      <c r="G92" s="27"/>
      <c r="H92" s="28" t="str">
        <f aca="true">IF(G92="","",DATEDIF(G92,TODAY(),"Y"))</f>
        <v/>
      </c>
      <c r="I92" s="28" t="n">
        <f aca="false">IF($A92="","",COUNTIFS('🤸 Ingresos Pole'!$W$2:$W$1000,$A92,'🤸 Ingresos Pole'!$L$2:$L$1000,"Paquete"))</f>
        <v>0</v>
      </c>
      <c r="J92" s="28" t="n">
        <f aca="false">IF($A92="","",COUNTIF('🤸 Ingresos Pole'!$W$2:$W$1000,$A92))</f>
        <v>0</v>
      </c>
      <c r="K92" s="29" t="n">
        <f aca="false">IF($A92="","",SUMIF('🤸 Ingresos Pole'!$W$2:$W$1000,$A92,'🤸 Ingresos Pole'!$P$2:$P$1000))</f>
        <v>0</v>
      </c>
      <c r="L92" s="30" t="str">
        <f aca="false">IF(OR($A92="",J92=0),"",_xlfn.MINIFS('🤸 Ingresos Pole'!$B$2:$B$1000,'🤸 Ingresos Pole'!$W$2:$W$1000,$A92))</f>
        <v/>
      </c>
      <c r="M92" s="30" t="str">
        <f aca="false">IF(OR($A92="",J92=0),"",_xlfn.MAXIFS('🤸 Ingresos Pole'!$B$2:$B$1000,'🤸 Ingresos Pole'!$W$2:$W$1000,$A92))</f>
        <v/>
      </c>
      <c r="N92" s="28" t="str">
        <f aca="false">IF(OR($A92="",J92=0),"",IF(I92=0,"Sin paquete",IF(I92=1,"Nueva","Recurrente")))</f>
        <v/>
      </c>
      <c r="O92" s="25" t="str">
        <f aca="false">IF(AND(TRIM(B92)="",TRIM(C92)=""),"",TRIM(B92)&amp;"|"&amp;TRIM(C92))</f>
        <v/>
      </c>
      <c r="P92" s="25" t="str">
        <f aca="false">IF(O92="","",IF(TRIM(C92)="",TRIM(B92),IF(TRIM(B92)="",TRIM(C92),TRIM(B92)&amp;", "&amp;TRIM(C92))))</f>
        <v/>
      </c>
      <c r="Q92" s="25" t="str">
        <f aca="false">IF(O92="","",TRIM(TRIM(C92)&amp;" "&amp;TRIM(B92)))</f>
        <v/>
      </c>
      <c r="R92" s="25" t="str">
        <f aca="false">IF(P92="","",COUNTIFS($P$2:$P$1000,"&lt;"&amp;P92,$P$2:$P$1000,"?*")+COUNTIF($P$2:P92,P92))</f>
        <v/>
      </c>
    </row>
    <row r="93" customFormat="false" ht="14.25" hidden="false" customHeight="true" outlineLevel="0" collapsed="false">
      <c r="A93" s="25" t="s">
        <v>291</v>
      </c>
      <c r="B93" s="25"/>
      <c r="C93" s="25"/>
      <c r="D93" s="26"/>
      <c r="E93" s="25"/>
      <c r="F93" s="25"/>
      <c r="G93" s="27"/>
      <c r="H93" s="28" t="str">
        <f aca="true">IF(G93="","",DATEDIF(G93,TODAY(),"Y"))</f>
        <v/>
      </c>
      <c r="I93" s="28" t="n">
        <f aca="false">IF($A93="","",COUNTIFS('🤸 Ingresos Pole'!$W$2:$W$1000,$A93,'🤸 Ingresos Pole'!$L$2:$L$1000,"Paquete"))</f>
        <v>0</v>
      </c>
      <c r="J93" s="28" t="n">
        <f aca="false">IF($A93="","",COUNTIF('🤸 Ingresos Pole'!$W$2:$W$1000,$A93))</f>
        <v>0</v>
      </c>
      <c r="K93" s="29" t="n">
        <f aca="false">IF($A93="","",SUMIF('🤸 Ingresos Pole'!$W$2:$W$1000,$A93,'🤸 Ingresos Pole'!$P$2:$P$1000))</f>
        <v>0</v>
      </c>
      <c r="L93" s="30" t="str">
        <f aca="false">IF(OR($A93="",J93=0),"",_xlfn.MINIFS('🤸 Ingresos Pole'!$B$2:$B$1000,'🤸 Ingresos Pole'!$W$2:$W$1000,$A93))</f>
        <v/>
      </c>
      <c r="M93" s="30" t="str">
        <f aca="false">IF(OR($A93="",J93=0),"",_xlfn.MAXIFS('🤸 Ingresos Pole'!$B$2:$B$1000,'🤸 Ingresos Pole'!$W$2:$W$1000,$A93))</f>
        <v/>
      </c>
      <c r="N93" s="28" t="str">
        <f aca="false">IF(OR($A93="",J93=0),"",IF(I93=0,"Sin paquete",IF(I93=1,"Nueva","Recurrente")))</f>
        <v/>
      </c>
      <c r="O93" s="25" t="str">
        <f aca="false">IF(AND(TRIM(B93)="",TRIM(C93)=""),"",TRIM(B93)&amp;"|"&amp;TRIM(C93))</f>
        <v/>
      </c>
      <c r="P93" s="25" t="str">
        <f aca="false">IF(O93="","",IF(TRIM(C93)="",TRIM(B93),IF(TRIM(B93)="",TRIM(C93),TRIM(B93)&amp;", "&amp;TRIM(C93))))</f>
        <v/>
      </c>
      <c r="Q93" s="25" t="str">
        <f aca="false">IF(O93="","",TRIM(TRIM(C93)&amp;" "&amp;TRIM(B93)))</f>
        <v/>
      </c>
      <c r="R93" s="25" t="str">
        <f aca="false">IF(P93="","",COUNTIFS($P$2:$P$1000,"&lt;"&amp;P93,$P$2:$P$1000,"?*")+COUNTIF($P$2:P93,P93))</f>
        <v/>
      </c>
    </row>
    <row r="94" customFormat="false" ht="14.25" hidden="false" customHeight="true" outlineLevel="0" collapsed="false">
      <c r="A94" s="25" t="s">
        <v>292</v>
      </c>
      <c r="B94" s="25"/>
      <c r="C94" s="25"/>
      <c r="D94" s="26"/>
      <c r="E94" s="25"/>
      <c r="F94" s="25"/>
      <c r="G94" s="27"/>
      <c r="H94" s="28" t="str">
        <f aca="true">IF(G94="","",DATEDIF(G94,TODAY(),"Y"))</f>
        <v/>
      </c>
      <c r="I94" s="28" t="n">
        <f aca="false">IF($A94="","",COUNTIFS('🤸 Ingresos Pole'!$W$2:$W$1000,$A94,'🤸 Ingresos Pole'!$L$2:$L$1000,"Paquete"))</f>
        <v>0</v>
      </c>
      <c r="J94" s="28" t="n">
        <f aca="false">IF($A94="","",COUNTIF('🤸 Ingresos Pole'!$W$2:$W$1000,$A94))</f>
        <v>0</v>
      </c>
      <c r="K94" s="29" t="n">
        <f aca="false">IF($A94="","",SUMIF('🤸 Ingresos Pole'!$W$2:$W$1000,$A94,'🤸 Ingresos Pole'!$P$2:$P$1000))</f>
        <v>0</v>
      </c>
      <c r="L94" s="30" t="str">
        <f aca="false">IF(OR($A94="",J94=0),"",_xlfn.MINIFS('🤸 Ingresos Pole'!$B$2:$B$1000,'🤸 Ingresos Pole'!$W$2:$W$1000,$A94))</f>
        <v/>
      </c>
      <c r="M94" s="30" t="str">
        <f aca="false">IF(OR($A94="",J94=0),"",_xlfn.MAXIFS('🤸 Ingresos Pole'!$B$2:$B$1000,'🤸 Ingresos Pole'!$W$2:$W$1000,$A94))</f>
        <v/>
      </c>
      <c r="N94" s="28" t="str">
        <f aca="false">IF(OR($A94="",J94=0),"",IF(I94=0,"Sin paquete",IF(I94=1,"Nueva","Recurrente")))</f>
        <v/>
      </c>
      <c r="O94" s="25" t="str">
        <f aca="false">IF(AND(TRIM(B94)="",TRIM(C94)=""),"",TRIM(B94)&amp;"|"&amp;TRIM(C94))</f>
        <v/>
      </c>
      <c r="P94" s="25" t="str">
        <f aca="false">IF(O94="","",IF(TRIM(C94)="",TRIM(B94),IF(TRIM(B94)="",TRIM(C94),TRIM(B94)&amp;", "&amp;TRIM(C94))))</f>
        <v/>
      </c>
      <c r="Q94" s="25" t="str">
        <f aca="false">IF(O94="","",TRIM(TRIM(C94)&amp;" "&amp;TRIM(B94)))</f>
        <v/>
      </c>
      <c r="R94" s="25" t="str">
        <f aca="false">IF(P94="","",COUNTIFS($P$2:$P$1000,"&lt;"&amp;P94,$P$2:$P$1000,"?*")+COUNTIF($P$2:P94,P94))</f>
        <v/>
      </c>
    </row>
    <row r="95" customFormat="false" ht="14.25" hidden="false" customHeight="true" outlineLevel="0" collapsed="false">
      <c r="A95" s="25" t="s">
        <v>293</v>
      </c>
      <c r="B95" s="25"/>
      <c r="C95" s="25"/>
      <c r="D95" s="26"/>
      <c r="E95" s="25"/>
      <c r="F95" s="25"/>
      <c r="G95" s="27"/>
      <c r="H95" s="28" t="str">
        <f aca="true">IF(G95="","",DATEDIF(G95,TODAY(),"Y"))</f>
        <v/>
      </c>
      <c r="I95" s="28" t="n">
        <f aca="false">IF($A95="","",COUNTIFS('🤸 Ingresos Pole'!$W$2:$W$1000,$A95,'🤸 Ingresos Pole'!$L$2:$L$1000,"Paquete"))</f>
        <v>0</v>
      </c>
      <c r="J95" s="28" t="n">
        <f aca="false">IF($A95="","",COUNTIF('🤸 Ingresos Pole'!$W$2:$W$1000,$A95))</f>
        <v>0</v>
      </c>
      <c r="K95" s="29" t="n">
        <f aca="false">IF($A95="","",SUMIF('🤸 Ingresos Pole'!$W$2:$W$1000,$A95,'🤸 Ingresos Pole'!$P$2:$P$1000))</f>
        <v>0</v>
      </c>
      <c r="L95" s="30" t="str">
        <f aca="false">IF(OR($A95="",J95=0),"",_xlfn.MINIFS('🤸 Ingresos Pole'!$B$2:$B$1000,'🤸 Ingresos Pole'!$W$2:$W$1000,$A95))</f>
        <v/>
      </c>
      <c r="M95" s="30" t="str">
        <f aca="false">IF(OR($A95="",J95=0),"",_xlfn.MAXIFS('🤸 Ingresos Pole'!$B$2:$B$1000,'🤸 Ingresos Pole'!$W$2:$W$1000,$A95))</f>
        <v/>
      </c>
      <c r="N95" s="28" t="str">
        <f aca="false">IF(OR($A95="",J95=0),"",IF(I95=0,"Sin paquete",IF(I95=1,"Nueva","Recurrente")))</f>
        <v/>
      </c>
      <c r="O95" s="25" t="str">
        <f aca="false">IF(AND(TRIM(B95)="",TRIM(C95)=""),"",TRIM(B95)&amp;"|"&amp;TRIM(C95))</f>
        <v/>
      </c>
      <c r="P95" s="25" t="str">
        <f aca="false">IF(O95="","",IF(TRIM(C95)="",TRIM(B95),IF(TRIM(B95)="",TRIM(C95),TRIM(B95)&amp;", "&amp;TRIM(C95))))</f>
        <v/>
      </c>
      <c r="Q95" s="25" t="str">
        <f aca="false">IF(O95="","",TRIM(TRIM(C95)&amp;" "&amp;TRIM(B95)))</f>
        <v/>
      </c>
      <c r="R95" s="25" t="str">
        <f aca="false">IF(P95="","",COUNTIFS($P$2:$P$1000,"&lt;"&amp;P95,$P$2:$P$1000,"?*")+COUNTIF($P$2:P95,P95))</f>
        <v/>
      </c>
    </row>
    <row r="96" customFormat="false" ht="14.25" hidden="false" customHeight="true" outlineLevel="0" collapsed="false">
      <c r="A96" s="25" t="s">
        <v>294</v>
      </c>
      <c r="B96" s="25"/>
      <c r="C96" s="25"/>
      <c r="D96" s="26"/>
      <c r="E96" s="25"/>
      <c r="F96" s="25"/>
      <c r="G96" s="27"/>
      <c r="H96" s="28" t="str">
        <f aca="true">IF(G96="","",DATEDIF(G96,TODAY(),"Y"))</f>
        <v/>
      </c>
      <c r="I96" s="28" t="n">
        <f aca="false">IF($A96="","",COUNTIFS('🤸 Ingresos Pole'!$W$2:$W$1000,$A96,'🤸 Ingresos Pole'!$L$2:$L$1000,"Paquete"))</f>
        <v>0</v>
      </c>
      <c r="J96" s="28" t="n">
        <f aca="false">IF($A96="","",COUNTIF('🤸 Ingresos Pole'!$W$2:$W$1000,$A96))</f>
        <v>0</v>
      </c>
      <c r="K96" s="29" t="n">
        <f aca="false">IF($A96="","",SUMIF('🤸 Ingresos Pole'!$W$2:$W$1000,$A96,'🤸 Ingresos Pole'!$P$2:$P$1000))</f>
        <v>0</v>
      </c>
      <c r="L96" s="30" t="str">
        <f aca="false">IF(OR($A96="",J96=0),"",_xlfn.MINIFS('🤸 Ingresos Pole'!$B$2:$B$1000,'🤸 Ingresos Pole'!$W$2:$W$1000,$A96))</f>
        <v/>
      </c>
      <c r="M96" s="30" t="str">
        <f aca="false">IF(OR($A96="",J96=0),"",_xlfn.MAXIFS('🤸 Ingresos Pole'!$B$2:$B$1000,'🤸 Ingresos Pole'!$W$2:$W$1000,$A96))</f>
        <v/>
      </c>
      <c r="N96" s="28" t="str">
        <f aca="false">IF(OR($A96="",J96=0),"",IF(I96=0,"Sin paquete",IF(I96=1,"Nueva","Recurrente")))</f>
        <v/>
      </c>
      <c r="O96" s="25" t="str">
        <f aca="false">IF(AND(TRIM(B96)="",TRIM(C96)=""),"",TRIM(B96)&amp;"|"&amp;TRIM(C96))</f>
        <v/>
      </c>
      <c r="P96" s="25" t="str">
        <f aca="false">IF(O96="","",IF(TRIM(C96)="",TRIM(B96),IF(TRIM(B96)="",TRIM(C96),TRIM(B96)&amp;", "&amp;TRIM(C96))))</f>
        <v/>
      </c>
      <c r="Q96" s="25" t="str">
        <f aca="false">IF(O96="","",TRIM(TRIM(C96)&amp;" "&amp;TRIM(B96)))</f>
        <v/>
      </c>
      <c r="R96" s="25" t="str">
        <f aca="false">IF(P96="","",COUNTIFS($P$2:$P$1000,"&lt;"&amp;P96,$P$2:$P$1000,"?*")+COUNTIF($P$2:P96,P96))</f>
        <v/>
      </c>
    </row>
    <row r="97" customFormat="false" ht="14.25" hidden="false" customHeight="true" outlineLevel="0" collapsed="false">
      <c r="A97" s="25" t="s">
        <v>295</v>
      </c>
      <c r="B97" s="25"/>
      <c r="C97" s="25"/>
      <c r="D97" s="26"/>
      <c r="E97" s="25"/>
      <c r="F97" s="25"/>
      <c r="G97" s="27"/>
      <c r="H97" s="28" t="str">
        <f aca="true">IF(G97="","",DATEDIF(G97,TODAY(),"Y"))</f>
        <v/>
      </c>
      <c r="I97" s="28" t="n">
        <f aca="false">IF($A97="","",COUNTIFS('🤸 Ingresos Pole'!$W$2:$W$1000,$A97,'🤸 Ingresos Pole'!$L$2:$L$1000,"Paquete"))</f>
        <v>0</v>
      </c>
      <c r="J97" s="28" t="n">
        <f aca="false">IF($A97="","",COUNTIF('🤸 Ingresos Pole'!$W$2:$W$1000,$A97))</f>
        <v>0</v>
      </c>
      <c r="K97" s="29" t="n">
        <f aca="false">IF($A97="","",SUMIF('🤸 Ingresos Pole'!$W$2:$W$1000,$A97,'🤸 Ingresos Pole'!$P$2:$P$1000))</f>
        <v>0</v>
      </c>
      <c r="L97" s="30" t="str">
        <f aca="false">IF(OR($A97="",J97=0),"",_xlfn.MINIFS('🤸 Ingresos Pole'!$B$2:$B$1000,'🤸 Ingresos Pole'!$W$2:$W$1000,$A97))</f>
        <v/>
      </c>
      <c r="M97" s="30" t="str">
        <f aca="false">IF(OR($A97="",J97=0),"",_xlfn.MAXIFS('🤸 Ingresos Pole'!$B$2:$B$1000,'🤸 Ingresos Pole'!$W$2:$W$1000,$A97))</f>
        <v/>
      </c>
      <c r="N97" s="28" t="str">
        <f aca="false">IF(OR($A97="",J97=0),"",IF(I97=0,"Sin paquete",IF(I97=1,"Nueva","Recurrente")))</f>
        <v/>
      </c>
      <c r="O97" s="25" t="str">
        <f aca="false">IF(AND(TRIM(B97)="",TRIM(C97)=""),"",TRIM(B97)&amp;"|"&amp;TRIM(C97))</f>
        <v/>
      </c>
      <c r="P97" s="25" t="str">
        <f aca="false">IF(O97="","",IF(TRIM(C97)="",TRIM(B97),IF(TRIM(B97)="",TRIM(C97),TRIM(B97)&amp;", "&amp;TRIM(C97))))</f>
        <v/>
      </c>
      <c r="Q97" s="25" t="str">
        <f aca="false">IF(O97="","",TRIM(TRIM(C97)&amp;" "&amp;TRIM(B97)))</f>
        <v/>
      </c>
      <c r="R97" s="25" t="str">
        <f aca="false">IF(P97="","",COUNTIFS($P$2:$P$1000,"&lt;"&amp;P97,$P$2:$P$1000,"?*")+COUNTIF($P$2:P97,P97))</f>
        <v/>
      </c>
    </row>
    <row r="98" customFormat="false" ht="14.25" hidden="false" customHeight="true" outlineLevel="0" collapsed="false">
      <c r="A98" s="25" t="s">
        <v>296</v>
      </c>
      <c r="B98" s="25"/>
      <c r="C98" s="25"/>
      <c r="D98" s="26"/>
      <c r="E98" s="25"/>
      <c r="F98" s="25"/>
      <c r="G98" s="27"/>
      <c r="H98" s="28" t="str">
        <f aca="true">IF(G98="","",DATEDIF(G98,TODAY(),"Y"))</f>
        <v/>
      </c>
      <c r="I98" s="28" t="n">
        <f aca="false">IF($A98="","",COUNTIFS('🤸 Ingresos Pole'!$W$2:$W$1000,$A98,'🤸 Ingresos Pole'!$L$2:$L$1000,"Paquete"))</f>
        <v>0</v>
      </c>
      <c r="J98" s="28" t="n">
        <f aca="false">IF($A98="","",COUNTIF('🤸 Ingresos Pole'!$W$2:$W$1000,$A98))</f>
        <v>0</v>
      </c>
      <c r="K98" s="29" t="n">
        <f aca="false">IF($A98="","",SUMIF('🤸 Ingresos Pole'!$W$2:$W$1000,$A98,'🤸 Ingresos Pole'!$P$2:$P$1000))</f>
        <v>0</v>
      </c>
      <c r="L98" s="30" t="str">
        <f aca="false">IF(OR($A98="",J98=0),"",_xlfn.MINIFS('🤸 Ingresos Pole'!$B$2:$B$1000,'🤸 Ingresos Pole'!$W$2:$W$1000,$A98))</f>
        <v/>
      </c>
      <c r="M98" s="30" t="str">
        <f aca="false">IF(OR($A98="",J98=0),"",_xlfn.MAXIFS('🤸 Ingresos Pole'!$B$2:$B$1000,'🤸 Ingresos Pole'!$W$2:$W$1000,$A98))</f>
        <v/>
      </c>
      <c r="N98" s="28" t="str">
        <f aca="false">IF(OR($A98="",J98=0),"",IF(I98=0,"Sin paquete",IF(I98=1,"Nueva","Recurrente")))</f>
        <v/>
      </c>
      <c r="O98" s="25" t="str">
        <f aca="false">IF(AND(TRIM(B98)="",TRIM(C98)=""),"",TRIM(B98)&amp;"|"&amp;TRIM(C98))</f>
        <v/>
      </c>
      <c r="P98" s="25" t="str">
        <f aca="false">IF(O98="","",IF(TRIM(C98)="",TRIM(B98),IF(TRIM(B98)="",TRIM(C98),TRIM(B98)&amp;", "&amp;TRIM(C98))))</f>
        <v/>
      </c>
      <c r="Q98" s="25" t="str">
        <f aca="false">IF(O98="","",TRIM(TRIM(C98)&amp;" "&amp;TRIM(B98)))</f>
        <v/>
      </c>
      <c r="R98" s="25" t="str">
        <f aca="false">IF(P98="","",COUNTIFS($P$2:$P$1000,"&lt;"&amp;P98,$P$2:$P$1000,"?*")+COUNTIF($P$2:P98,P98))</f>
        <v/>
      </c>
    </row>
    <row r="99" customFormat="false" ht="14.25" hidden="false" customHeight="true" outlineLevel="0" collapsed="false">
      <c r="A99" s="25" t="s">
        <v>297</v>
      </c>
      <c r="B99" s="25"/>
      <c r="C99" s="25"/>
      <c r="D99" s="26"/>
      <c r="E99" s="25"/>
      <c r="F99" s="25"/>
      <c r="G99" s="27"/>
      <c r="H99" s="28" t="str">
        <f aca="true">IF(G99="","",DATEDIF(G99,TODAY(),"Y"))</f>
        <v/>
      </c>
      <c r="I99" s="28" t="n">
        <f aca="false">IF($A99="","",COUNTIFS('🤸 Ingresos Pole'!$W$2:$W$1000,$A99,'🤸 Ingresos Pole'!$L$2:$L$1000,"Paquete"))</f>
        <v>0</v>
      </c>
      <c r="J99" s="28" t="n">
        <f aca="false">IF($A99="","",COUNTIF('🤸 Ingresos Pole'!$W$2:$W$1000,$A99))</f>
        <v>0</v>
      </c>
      <c r="K99" s="29" t="n">
        <f aca="false">IF($A99="","",SUMIF('🤸 Ingresos Pole'!$W$2:$W$1000,$A99,'🤸 Ingresos Pole'!$P$2:$P$1000))</f>
        <v>0</v>
      </c>
      <c r="L99" s="30" t="str">
        <f aca="false">IF(OR($A99="",J99=0),"",_xlfn.MINIFS('🤸 Ingresos Pole'!$B$2:$B$1000,'🤸 Ingresos Pole'!$W$2:$W$1000,$A99))</f>
        <v/>
      </c>
      <c r="M99" s="30" t="str">
        <f aca="false">IF(OR($A99="",J99=0),"",_xlfn.MAXIFS('🤸 Ingresos Pole'!$B$2:$B$1000,'🤸 Ingresos Pole'!$W$2:$W$1000,$A99))</f>
        <v/>
      </c>
      <c r="N99" s="28" t="str">
        <f aca="false">IF(OR($A99="",J99=0),"",IF(I99=0,"Sin paquete",IF(I99=1,"Nueva","Recurrente")))</f>
        <v/>
      </c>
      <c r="O99" s="25" t="str">
        <f aca="false">IF(AND(TRIM(B99)="",TRIM(C99)=""),"",TRIM(B99)&amp;"|"&amp;TRIM(C99))</f>
        <v/>
      </c>
      <c r="P99" s="25" t="str">
        <f aca="false">IF(O99="","",IF(TRIM(C99)="",TRIM(B99),IF(TRIM(B99)="",TRIM(C99),TRIM(B99)&amp;", "&amp;TRIM(C99))))</f>
        <v/>
      </c>
      <c r="Q99" s="25" t="str">
        <f aca="false">IF(O99="","",TRIM(TRIM(C99)&amp;" "&amp;TRIM(B99)))</f>
        <v/>
      </c>
      <c r="R99" s="25" t="str">
        <f aca="false">IF(P99="","",COUNTIFS($P$2:$P$1000,"&lt;"&amp;P99,$P$2:$P$1000,"?*")+COUNTIF($P$2:P99,P99))</f>
        <v/>
      </c>
    </row>
    <row r="100" customFormat="false" ht="14.25" hidden="false" customHeight="true" outlineLevel="0" collapsed="false">
      <c r="A100" s="25" t="s">
        <v>298</v>
      </c>
      <c r="B100" s="25"/>
      <c r="C100" s="25"/>
      <c r="D100" s="26"/>
      <c r="E100" s="25"/>
      <c r="F100" s="25"/>
      <c r="G100" s="27"/>
      <c r="H100" s="28" t="str">
        <f aca="true">IF(G100="","",DATEDIF(G100,TODAY(),"Y"))</f>
        <v/>
      </c>
      <c r="I100" s="28" t="n">
        <f aca="false">IF($A100="","",COUNTIFS('🤸 Ingresos Pole'!$W$2:$W$1000,$A100,'🤸 Ingresos Pole'!$L$2:$L$1000,"Paquete"))</f>
        <v>0</v>
      </c>
      <c r="J100" s="28" t="n">
        <f aca="false">IF($A100="","",COUNTIF('🤸 Ingresos Pole'!$W$2:$W$1000,$A100))</f>
        <v>0</v>
      </c>
      <c r="K100" s="29" t="n">
        <f aca="false">IF($A100="","",SUMIF('🤸 Ingresos Pole'!$W$2:$W$1000,$A100,'🤸 Ingresos Pole'!$P$2:$P$1000))</f>
        <v>0</v>
      </c>
      <c r="L100" s="30" t="str">
        <f aca="false">IF(OR($A100="",J100=0),"",_xlfn.MINIFS('🤸 Ingresos Pole'!$B$2:$B$1000,'🤸 Ingresos Pole'!$W$2:$W$1000,$A100))</f>
        <v/>
      </c>
      <c r="M100" s="30" t="str">
        <f aca="false">IF(OR($A100="",J100=0),"",_xlfn.MAXIFS('🤸 Ingresos Pole'!$B$2:$B$1000,'🤸 Ingresos Pole'!$W$2:$W$1000,$A100))</f>
        <v/>
      </c>
      <c r="N100" s="28" t="str">
        <f aca="false">IF(OR($A100="",J100=0),"",IF(I100=0,"Sin paquete",IF(I100=1,"Nueva","Recurrente")))</f>
        <v/>
      </c>
      <c r="O100" s="25" t="str">
        <f aca="false">IF(AND(TRIM(B100)="",TRIM(C100)=""),"",TRIM(B100)&amp;"|"&amp;TRIM(C100))</f>
        <v/>
      </c>
      <c r="P100" s="25" t="str">
        <f aca="false">IF(O100="","",IF(TRIM(C100)="",TRIM(B100),IF(TRIM(B100)="",TRIM(C100),TRIM(B100)&amp;", "&amp;TRIM(C100))))</f>
        <v/>
      </c>
      <c r="Q100" s="25" t="str">
        <f aca="false">IF(O100="","",TRIM(TRIM(C100)&amp;" "&amp;TRIM(B100)))</f>
        <v/>
      </c>
      <c r="R100" s="25" t="str">
        <f aca="false">IF(P100="","",COUNTIFS($P$2:$P$1000,"&lt;"&amp;P100,$P$2:$P$1000,"?*")+COUNTIF($P$2:P100,P100))</f>
        <v/>
      </c>
    </row>
    <row r="101" customFormat="false" ht="14.25" hidden="false" customHeight="true" outlineLevel="0" collapsed="false">
      <c r="A101" s="25" t="s">
        <v>299</v>
      </c>
      <c r="B101" s="25"/>
      <c r="C101" s="25"/>
      <c r="D101" s="26"/>
      <c r="E101" s="25"/>
      <c r="F101" s="25"/>
      <c r="G101" s="27"/>
      <c r="H101" s="28" t="str">
        <f aca="true">IF(G101="","",DATEDIF(G101,TODAY(),"Y"))</f>
        <v/>
      </c>
      <c r="I101" s="28" t="n">
        <f aca="false">IF($A101="","",COUNTIFS('🤸 Ingresos Pole'!$W$2:$W$1000,$A101,'🤸 Ingresos Pole'!$L$2:$L$1000,"Paquete"))</f>
        <v>0</v>
      </c>
      <c r="J101" s="28" t="n">
        <f aca="false">IF($A101="","",COUNTIF('🤸 Ingresos Pole'!$W$2:$W$1000,$A101))</f>
        <v>0</v>
      </c>
      <c r="K101" s="29" t="n">
        <f aca="false">IF($A101="","",SUMIF('🤸 Ingresos Pole'!$W$2:$W$1000,$A101,'🤸 Ingresos Pole'!$P$2:$P$1000))</f>
        <v>0</v>
      </c>
      <c r="L101" s="30" t="str">
        <f aca="false">IF(OR($A101="",J101=0),"",_xlfn.MINIFS('🤸 Ingresos Pole'!$B$2:$B$1000,'🤸 Ingresos Pole'!$W$2:$W$1000,$A101))</f>
        <v/>
      </c>
      <c r="M101" s="30" t="str">
        <f aca="false">IF(OR($A101="",J101=0),"",_xlfn.MAXIFS('🤸 Ingresos Pole'!$B$2:$B$1000,'🤸 Ingresos Pole'!$W$2:$W$1000,$A101))</f>
        <v/>
      </c>
      <c r="N101" s="28" t="str">
        <f aca="false">IF(OR($A101="",J101=0),"",IF(I101=0,"Sin paquete",IF(I101=1,"Nueva","Recurrente")))</f>
        <v/>
      </c>
      <c r="O101" s="25" t="str">
        <f aca="false">IF(AND(TRIM(B101)="",TRIM(C101)=""),"",TRIM(B101)&amp;"|"&amp;TRIM(C101))</f>
        <v/>
      </c>
      <c r="P101" s="25" t="str">
        <f aca="false">IF(O101="","",IF(TRIM(C101)="",TRIM(B101),IF(TRIM(B101)="",TRIM(C101),TRIM(B101)&amp;", "&amp;TRIM(C101))))</f>
        <v/>
      </c>
      <c r="Q101" s="25" t="str">
        <f aca="false">IF(O101="","",TRIM(TRIM(C101)&amp;" "&amp;TRIM(B101)))</f>
        <v/>
      </c>
      <c r="R101" s="25" t="str">
        <f aca="false">IF(P101="","",COUNTIFS($P$2:$P$1000,"&lt;"&amp;P101,$P$2:$P$1000,"?*")+COUNTIF($P$2:P101,P101))</f>
        <v/>
      </c>
    </row>
    <row r="102" customFormat="false" ht="14.25" hidden="false" customHeight="true" outlineLevel="0" collapsed="false">
      <c r="A102" s="25" t="s">
        <v>300</v>
      </c>
      <c r="B102" s="25"/>
      <c r="C102" s="25"/>
      <c r="D102" s="26"/>
      <c r="E102" s="25"/>
      <c r="F102" s="25"/>
      <c r="G102" s="27"/>
      <c r="H102" s="28" t="str">
        <f aca="true">IF(G102="","",DATEDIF(G102,TODAY(),"Y"))</f>
        <v/>
      </c>
      <c r="I102" s="28" t="n">
        <f aca="false">IF($A102="","",COUNTIFS('🤸 Ingresos Pole'!$W$2:$W$1000,$A102,'🤸 Ingresos Pole'!$L$2:$L$1000,"Paquete"))</f>
        <v>0</v>
      </c>
      <c r="J102" s="28" t="n">
        <f aca="false">IF($A102="","",COUNTIF('🤸 Ingresos Pole'!$W$2:$W$1000,$A102))</f>
        <v>0</v>
      </c>
      <c r="K102" s="29" t="n">
        <f aca="false">IF($A102="","",SUMIF('🤸 Ingresos Pole'!$W$2:$W$1000,$A102,'🤸 Ingresos Pole'!$P$2:$P$1000))</f>
        <v>0</v>
      </c>
      <c r="L102" s="30" t="str">
        <f aca="false">IF(OR($A102="",J102=0),"",_xlfn.MINIFS('🤸 Ingresos Pole'!$B$2:$B$1000,'🤸 Ingresos Pole'!$W$2:$W$1000,$A102))</f>
        <v/>
      </c>
      <c r="M102" s="30" t="str">
        <f aca="false">IF(OR($A102="",J102=0),"",_xlfn.MAXIFS('🤸 Ingresos Pole'!$B$2:$B$1000,'🤸 Ingresos Pole'!$W$2:$W$1000,$A102))</f>
        <v/>
      </c>
      <c r="N102" s="28" t="str">
        <f aca="false">IF(OR($A102="",J102=0),"",IF(I102=0,"Sin paquete",IF(I102=1,"Nueva","Recurrente")))</f>
        <v/>
      </c>
      <c r="O102" s="25" t="str">
        <f aca="false">IF(AND(TRIM(B102)="",TRIM(C102)=""),"",TRIM(B102)&amp;"|"&amp;TRIM(C102))</f>
        <v/>
      </c>
      <c r="P102" s="25" t="str">
        <f aca="false">IF(O102="","",IF(TRIM(C102)="",TRIM(B102),IF(TRIM(B102)="",TRIM(C102),TRIM(B102)&amp;", "&amp;TRIM(C102))))</f>
        <v/>
      </c>
      <c r="Q102" s="25" t="str">
        <f aca="false">IF(O102="","",TRIM(TRIM(C102)&amp;" "&amp;TRIM(B102)))</f>
        <v/>
      </c>
      <c r="R102" s="25" t="str">
        <f aca="false">IF(P102="","",COUNTIFS($P$2:$P$1000,"&lt;"&amp;P102,$P$2:$P$1000,"?*")+COUNTIF($P$2:P102,P102))</f>
        <v/>
      </c>
    </row>
    <row r="103" customFormat="false" ht="14.25" hidden="false" customHeight="true" outlineLevel="0" collapsed="false">
      <c r="A103" s="25" t="s">
        <v>301</v>
      </c>
      <c r="B103" s="25"/>
      <c r="C103" s="25"/>
      <c r="D103" s="26"/>
      <c r="E103" s="25"/>
      <c r="F103" s="25"/>
      <c r="G103" s="27"/>
      <c r="H103" s="28" t="str">
        <f aca="true">IF(G103="","",DATEDIF(G103,TODAY(),"Y"))</f>
        <v/>
      </c>
      <c r="I103" s="28" t="n">
        <f aca="false">IF($A103="","",COUNTIFS('🤸 Ingresos Pole'!$W$2:$W$1000,$A103,'🤸 Ingresos Pole'!$L$2:$L$1000,"Paquete"))</f>
        <v>0</v>
      </c>
      <c r="J103" s="28" t="n">
        <f aca="false">IF($A103="","",COUNTIF('🤸 Ingresos Pole'!$W$2:$W$1000,$A103))</f>
        <v>0</v>
      </c>
      <c r="K103" s="29" t="n">
        <f aca="false">IF($A103="","",SUMIF('🤸 Ingresos Pole'!$W$2:$W$1000,$A103,'🤸 Ingresos Pole'!$P$2:$P$1000))</f>
        <v>0</v>
      </c>
      <c r="L103" s="30" t="str">
        <f aca="false">IF(OR($A103="",J103=0),"",_xlfn.MINIFS('🤸 Ingresos Pole'!$B$2:$B$1000,'🤸 Ingresos Pole'!$W$2:$W$1000,$A103))</f>
        <v/>
      </c>
      <c r="M103" s="30" t="str">
        <f aca="false">IF(OR($A103="",J103=0),"",_xlfn.MAXIFS('🤸 Ingresos Pole'!$B$2:$B$1000,'🤸 Ingresos Pole'!$W$2:$W$1000,$A103))</f>
        <v/>
      </c>
      <c r="N103" s="28" t="str">
        <f aca="false">IF(OR($A103="",J103=0),"",IF(I103=0,"Sin paquete",IF(I103=1,"Nueva","Recurrente")))</f>
        <v/>
      </c>
      <c r="O103" s="25" t="str">
        <f aca="false">IF(AND(TRIM(B103)="",TRIM(C103)=""),"",TRIM(B103)&amp;"|"&amp;TRIM(C103))</f>
        <v/>
      </c>
      <c r="P103" s="25" t="str">
        <f aca="false">IF(O103="","",IF(TRIM(C103)="",TRIM(B103),IF(TRIM(B103)="",TRIM(C103),TRIM(B103)&amp;", "&amp;TRIM(C103))))</f>
        <v/>
      </c>
      <c r="Q103" s="25" t="str">
        <f aca="false">IF(O103="","",TRIM(TRIM(C103)&amp;" "&amp;TRIM(B103)))</f>
        <v/>
      </c>
      <c r="R103" s="25" t="str">
        <f aca="false">IF(P103="","",COUNTIFS($P$2:$P$1000,"&lt;"&amp;P103,$P$2:$P$1000,"?*")+COUNTIF($P$2:P103,P103))</f>
        <v/>
      </c>
    </row>
    <row r="104" customFormat="false" ht="14.25" hidden="false" customHeight="true" outlineLevel="0" collapsed="false">
      <c r="A104" s="25" t="s">
        <v>302</v>
      </c>
      <c r="B104" s="25"/>
      <c r="C104" s="25"/>
      <c r="D104" s="26"/>
      <c r="E104" s="25"/>
      <c r="F104" s="25"/>
      <c r="G104" s="27"/>
      <c r="H104" s="28" t="str">
        <f aca="true">IF(G104="","",DATEDIF(G104,TODAY(),"Y"))</f>
        <v/>
      </c>
      <c r="I104" s="28" t="n">
        <f aca="false">IF($A104="","",COUNTIFS('🤸 Ingresos Pole'!$W$2:$W$1000,$A104,'🤸 Ingresos Pole'!$L$2:$L$1000,"Paquete"))</f>
        <v>0</v>
      </c>
      <c r="J104" s="28" t="n">
        <f aca="false">IF($A104="","",COUNTIF('🤸 Ingresos Pole'!$W$2:$W$1000,$A104))</f>
        <v>0</v>
      </c>
      <c r="K104" s="29" t="n">
        <f aca="false">IF($A104="","",SUMIF('🤸 Ingresos Pole'!$W$2:$W$1000,$A104,'🤸 Ingresos Pole'!$P$2:$P$1000))</f>
        <v>0</v>
      </c>
      <c r="L104" s="30" t="str">
        <f aca="false">IF(OR($A104="",J104=0),"",_xlfn.MINIFS('🤸 Ingresos Pole'!$B$2:$B$1000,'🤸 Ingresos Pole'!$W$2:$W$1000,$A104))</f>
        <v/>
      </c>
      <c r="M104" s="30" t="str">
        <f aca="false">IF(OR($A104="",J104=0),"",_xlfn.MAXIFS('🤸 Ingresos Pole'!$B$2:$B$1000,'🤸 Ingresos Pole'!$W$2:$W$1000,$A104))</f>
        <v/>
      </c>
      <c r="N104" s="28" t="str">
        <f aca="false">IF(OR($A104="",J104=0),"",IF(I104=0,"Sin paquete",IF(I104=1,"Nueva","Recurrente")))</f>
        <v/>
      </c>
      <c r="O104" s="25" t="str">
        <f aca="false">IF(AND(TRIM(B104)="",TRIM(C104)=""),"",TRIM(B104)&amp;"|"&amp;TRIM(C104))</f>
        <v/>
      </c>
      <c r="P104" s="25" t="str">
        <f aca="false">IF(O104="","",IF(TRIM(C104)="",TRIM(B104),IF(TRIM(B104)="",TRIM(C104),TRIM(B104)&amp;", "&amp;TRIM(C104))))</f>
        <v/>
      </c>
      <c r="Q104" s="25" t="str">
        <f aca="false">IF(O104="","",TRIM(TRIM(C104)&amp;" "&amp;TRIM(B104)))</f>
        <v/>
      </c>
      <c r="R104" s="25" t="str">
        <f aca="false">IF(P104="","",COUNTIFS($P$2:$P$1000,"&lt;"&amp;P104,$P$2:$P$1000,"?*")+COUNTIF($P$2:P104,P104))</f>
        <v/>
      </c>
    </row>
    <row r="105" customFormat="false" ht="14.25" hidden="false" customHeight="true" outlineLevel="0" collapsed="false">
      <c r="A105" s="25" t="s">
        <v>303</v>
      </c>
      <c r="B105" s="25"/>
      <c r="C105" s="25"/>
      <c r="D105" s="26"/>
      <c r="E105" s="25"/>
      <c r="F105" s="25"/>
      <c r="G105" s="27"/>
      <c r="H105" s="28" t="str">
        <f aca="true">IF(G105="","",DATEDIF(G105,TODAY(),"Y"))</f>
        <v/>
      </c>
      <c r="I105" s="28" t="n">
        <f aca="false">IF($A105="","",COUNTIFS('🤸 Ingresos Pole'!$W$2:$W$1000,$A105,'🤸 Ingresos Pole'!$L$2:$L$1000,"Paquete"))</f>
        <v>0</v>
      </c>
      <c r="J105" s="28" t="n">
        <f aca="false">IF($A105="","",COUNTIF('🤸 Ingresos Pole'!$W$2:$W$1000,$A105))</f>
        <v>0</v>
      </c>
      <c r="K105" s="29" t="n">
        <f aca="false">IF($A105="","",SUMIF('🤸 Ingresos Pole'!$W$2:$W$1000,$A105,'🤸 Ingresos Pole'!$P$2:$P$1000))</f>
        <v>0</v>
      </c>
      <c r="L105" s="30" t="str">
        <f aca="false">IF(OR($A105="",J105=0),"",_xlfn.MINIFS('🤸 Ingresos Pole'!$B$2:$B$1000,'🤸 Ingresos Pole'!$W$2:$W$1000,$A105))</f>
        <v/>
      </c>
      <c r="M105" s="30" t="str">
        <f aca="false">IF(OR($A105="",J105=0),"",_xlfn.MAXIFS('🤸 Ingresos Pole'!$B$2:$B$1000,'🤸 Ingresos Pole'!$W$2:$W$1000,$A105))</f>
        <v/>
      </c>
      <c r="N105" s="28" t="str">
        <f aca="false">IF(OR($A105="",J105=0),"",IF(I105=0,"Sin paquete",IF(I105=1,"Nueva","Recurrente")))</f>
        <v/>
      </c>
      <c r="O105" s="25" t="str">
        <f aca="false">IF(AND(TRIM(B105)="",TRIM(C105)=""),"",TRIM(B105)&amp;"|"&amp;TRIM(C105))</f>
        <v/>
      </c>
      <c r="P105" s="25" t="str">
        <f aca="false">IF(O105="","",IF(TRIM(C105)="",TRIM(B105),IF(TRIM(B105)="",TRIM(C105),TRIM(B105)&amp;", "&amp;TRIM(C105))))</f>
        <v/>
      </c>
      <c r="Q105" s="25" t="str">
        <f aca="false">IF(O105="","",TRIM(TRIM(C105)&amp;" "&amp;TRIM(B105)))</f>
        <v/>
      </c>
      <c r="R105" s="25" t="str">
        <f aca="false">IF(P105="","",COUNTIFS($P$2:$P$1000,"&lt;"&amp;P105,$P$2:$P$1000,"?*")+COUNTIF($P$2:P105,P105))</f>
        <v/>
      </c>
    </row>
    <row r="106" customFormat="false" ht="14.25" hidden="false" customHeight="true" outlineLevel="0" collapsed="false">
      <c r="A106" s="25" t="s">
        <v>304</v>
      </c>
      <c r="B106" s="25"/>
      <c r="C106" s="25"/>
      <c r="D106" s="26"/>
      <c r="E106" s="25"/>
      <c r="F106" s="25"/>
      <c r="G106" s="27"/>
      <c r="H106" s="28" t="str">
        <f aca="true">IF(G106="","",DATEDIF(G106,TODAY(),"Y"))</f>
        <v/>
      </c>
      <c r="I106" s="28" t="n">
        <f aca="false">IF($A106="","",COUNTIFS('🤸 Ingresos Pole'!$W$2:$W$1000,$A106,'🤸 Ingresos Pole'!$L$2:$L$1000,"Paquete"))</f>
        <v>0</v>
      </c>
      <c r="J106" s="28" t="n">
        <f aca="false">IF($A106="","",COUNTIF('🤸 Ingresos Pole'!$W$2:$W$1000,$A106))</f>
        <v>0</v>
      </c>
      <c r="K106" s="29" t="n">
        <f aca="false">IF($A106="","",SUMIF('🤸 Ingresos Pole'!$W$2:$W$1000,$A106,'🤸 Ingresos Pole'!$P$2:$P$1000))</f>
        <v>0</v>
      </c>
      <c r="L106" s="30" t="str">
        <f aca="false">IF(OR($A106="",J106=0),"",_xlfn.MINIFS('🤸 Ingresos Pole'!$B$2:$B$1000,'🤸 Ingresos Pole'!$W$2:$W$1000,$A106))</f>
        <v/>
      </c>
      <c r="M106" s="30" t="str">
        <f aca="false">IF(OR($A106="",J106=0),"",_xlfn.MAXIFS('🤸 Ingresos Pole'!$B$2:$B$1000,'🤸 Ingresos Pole'!$W$2:$W$1000,$A106))</f>
        <v/>
      </c>
      <c r="N106" s="28" t="str">
        <f aca="false">IF(OR($A106="",J106=0),"",IF(I106=0,"Sin paquete",IF(I106=1,"Nueva","Recurrente")))</f>
        <v/>
      </c>
      <c r="O106" s="25" t="str">
        <f aca="false">IF(AND(TRIM(B106)="",TRIM(C106)=""),"",TRIM(B106)&amp;"|"&amp;TRIM(C106))</f>
        <v/>
      </c>
      <c r="P106" s="25" t="str">
        <f aca="false">IF(O106="","",IF(TRIM(C106)="",TRIM(B106),IF(TRIM(B106)="",TRIM(C106),TRIM(B106)&amp;", "&amp;TRIM(C106))))</f>
        <v/>
      </c>
      <c r="Q106" s="25" t="str">
        <f aca="false">IF(O106="","",TRIM(TRIM(C106)&amp;" "&amp;TRIM(B106)))</f>
        <v/>
      </c>
      <c r="R106" s="25" t="str">
        <f aca="false">IF(P106="","",COUNTIFS($P$2:$P$1000,"&lt;"&amp;P106,$P$2:$P$1000,"?*")+COUNTIF($P$2:P106,P106))</f>
        <v/>
      </c>
    </row>
    <row r="107" customFormat="false" ht="14.25" hidden="false" customHeight="true" outlineLevel="0" collapsed="false">
      <c r="A107" s="25" t="s">
        <v>305</v>
      </c>
      <c r="B107" s="25"/>
      <c r="C107" s="25"/>
      <c r="D107" s="26"/>
      <c r="E107" s="25"/>
      <c r="F107" s="25"/>
      <c r="G107" s="27"/>
      <c r="H107" s="28" t="str">
        <f aca="true">IF(G107="","",DATEDIF(G107,TODAY(),"Y"))</f>
        <v/>
      </c>
      <c r="I107" s="28" t="n">
        <f aca="false">IF($A107="","",COUNTIFS('🤸 Ingresos Pole'!$W$2:$W$1000,$A107,'🤸 Ingresos Pole'!$L$2:$L$1000,"Paquete"))</f>
        <v>0</v>
      </c>
      <c r="J107" s="28" t="n">
        <f aca="false">IF($A107="","",COUNTIF('🤸 Ingresos Pole'!$W$2:$W$1000,$A107))</f>
        <v>0</v>
      </c>
      <c r="K107" s="29" t="n">
        <f aca="false">IF($A107="","",SUMIF('🤸 Ingresos Pole'!$W$2:$W$1000,$A107,'🤸 Ingresos Pole'!$P$2:$P$1000))</f>
        <v>0</v>
      </c>
      <c r="L107" s="30" t="str">
        <f aca="false">IF(OR($A107="",J107=0),"",_xlfn.MINIFS('🤸 Ingresos Pole'!$B$2:$B$1000,'🤸 Ingresos Pole'!$W$2:$W$1000,$A107))</f>
        <v/>
      </c>
      <c r="M107" s="30" t="str">
        <f aca="false">IF(OR($A107="",J107=0),"",_xlfn.MAXIFS('🤸 Ingresos Pole'!$B$2:$B$1000,'🤸 Ingresos Pole'!$W$2:$W$1000,$A107))</f>
        <v/>
      </c>
      <c r="N107" s="28" t="str">
        <f aca="false">IF(OR($A107="",J107=0),"",IF(I107=0,"Sin paquete",IF(I107=1,"Nueva","Recurrente")))</f>
        <v/>
      </c>
      <c r="O107" s="25" t="str">
        <f aca="false">IF(AND(TRIM(B107)="",TRIM(C107)=""),"",TRIM(B107)&amp;"|"&amp;TRIM(C107))</f>
        <v/>
      </c>
      <c r="P107" s="25" t="str">
        <f aca="false">IF(O107="","",IF(TRIM(C107)="",TRIM(B107),IF(TRIM(B107)="",TRIM(C107),TRIM(B107)&amp;", "&amp;TRIM(C107))))</f>
        <v/>
      </c>
      <c r="Q107" s="25" t="str">
        <f aca="false">IF(O107="","",TRIM(TRIM(C107)&amp;" "&amp;TRIM(B107)))</f>
        <v/>
      </c>
      <c r="R107" s="25" t="str">
        <f aca="false">IF(P107="","",COUNTIFS($P$2:$P$1000,"&lt;"&amp;P107,$P$2:$P$1000,"?*")+COUNTIF($P$2:P107,P107))</f>
        <v/>
      </c>
    </row>
    <row r="108" customFormat="false" ht="14.25" hidden="false" customHeight="true" outlineLevel="0" collapsed="false">
      <c r="A108" s="25" t="s">
        <v>306</v>
      </c>
      <c r="B108" s="25"/>
      <c r="C108" s="25"/>
      <c r="D108" s="26"/>
      <c r="E108" s="25"/>
      <c r="F108" s="25"/>
      <c r="G108" s="27"/>
      <c r="H108" s="28" t="str">
        <f aca="true">IF(G108="","",DATEDIF(G108,TODAY(),"Y"))</f>
        <v/>
      </c>
      <c r="I108" s="28" t="n">
        <f aca="false">IF($A108="","",COUNTIFS('🤸 Ingresos Pole'!$W$2:$W$1000,$A108,'🤸 Ingresos Pole'!$L$2:$L$1000,"Paquete"))</f>
        <v>0</v>
      </c>
      <c r="J108" s="28" t="n">
        <f aca="false">IF($A108="","",COUNTIF('🤸 Ingresos Pole'!$W$2:$W$1000,$A108))</f>
        <v>0</v>
      </c>
      <c r="K108" s="29" t="n">
        <f aca="false">IF($A108="","",SUMIF('🤸 Ingresos Pole'!$W$2:$W$1000,$A108,'🤸 Ingresos Pole'!$P$2:$P$1000))</f>
        <v>0</v>
      </c>
      <c r="L108" s="30" t="str">
        <f aca="false">IF(OR($A108="",J108=0),"",_xlfn.MINIFS('🤸 Ingresos Pole'!$B$2:$B$1000,'🤸 Ingresos Pole'!$W$2:$W$1000,$A108))</f>
        <v/>
      </c>
      <c r="M108" s="30" t="str">
        <f aca="false">IF(OR($A108="",J108=0),"",_xlfn.MAXIFS('🤸 Ingresos Pole'!$B$2:$B$1000,'🤸 Ingresos Pole'!$W$2:$W$1000,$A108))</f>
        <v/>
      </c>
      <c r="N108" s="28" t="str">
        <f aca="false">IF(OR($A108="",J108=0),"",IF(I108=0,"Sin paquete",IF(I108=1,"Nueva","Recurrente")))</f>
        <v/>
      </c>
      <c r="O108" s="25" t="str">
        <f aca="false">IF(AND(TRIM(B108)="",TRIM(C108)=""),"",TRIM(B108)&amp;"|"&amp;TRIM(C108))</f>
        <v/>
      </c>
      <c r="P108" s="25" t="str">
        <f aca="false">IF(O108="","",IF(TRIM(C108)="",TRIM(B108),IF(TRIM(B108)="",TRIM(C108),TRIM(B108)&amp;", "&amp;TRIM(C108))))</f>
        <v/>
      </c>
      <c r="Q108" s="25" t="str">
        <f aca="false">IF(O108="","",TRIM(TRIM(C108)&amp;" "&amp;TRIM(B108)))</f>
        <v/>
      </c>
      <c r="R108" s="25" t="str">
        <f aca="false">IF(P108="","",COUNTIFS($P$2:$P$1000,"&lt;"&amp;P108,$P$2:$P$1000,"?*")+COUNTIF($P$2:P108,P108))</f>
        <v/>
      </c>
    </row>
    <row r="109" customFormat="false" ht="14.25" hidden="false" customHeight="true" outlineLevel="0" collapsed="false">
      <c r="A109" s="25" t="s">
        <v>307</v>
      </c>
      <c r="B109" s="25"/>
      <c r="C109" s="25"/>
      <c r="D109" s="26"/>
      <c r="E109" s="25"/>
      <c r="F109" s="25"/>
      <c r="G109" s="27"/>
      <c r="H109" s="28" t="str">
        <f aca="true">IF(G109="","",DATEDIF(G109,TODAY(),"Y"))</f>
        <v/>
      </c>
      <c r="I109" s="28" t="n">
        <f aca="false">IF($A109="","",COUNTIFS('🤸 Ingresos Pole'!$W$2:$W$1000,$A109,'🤸 Ingresos Pole'!$L$2:$L$1000,"Paquete"))</f>
        <v>0</v>
      </c>
      <c r="J109" s="28" t="n">
        <f aca="false">IF($A109="","",COUNTIF('🤸 Ingresos Pole'!$W$2:$W$1000,$A109))</f>
        <v>0</v>
      </c>
      <c r="K109" s="29" t="n">
        <f aca="false">IF($A109="","",SUMIF('🤸 Ingresos Pole'!$W$2:$W$1000,$A109,'🤸 Ingresos Pole'!$P$2:$P$1000))</f>
        <v>0</v>
      </c>
      <c r="L109" s="30" t="str">
        <f aca="false">IF(OR($A109="",J109=0),"",_xlfn.MINIFS('🤸 Ingresos Pole'!$B$2:$B$1000,'🤸 Ingresos Pole'!$W$2:$W$1000,$A109))</f>
        <v/>
      </c>
      <c r="M109" s="30" t="str">
        <f aca="false">IF(OR($A109="",J109=0),"",_xlfn.MAXIFS('🤸 Ingresos Pole'!$B$2:$B$1000,'🤸 Ingresos Pole'!$W$2:$W$1000,$A109))</f>
        <v/>
      </c>
      <c r="N109" s="28" t="str">
        <f aca="false">IF(OR($A109="",J109=0),"",IF(I109=0,"Sin paquete",IF(I109=1,"Nueva","Recurrente")))</f>
        <v/>
      </c>
      <c r="O109" s="25" t="str">
        <f aca="false">IF(AND(TRIM(B109)="",TRIM(C109)=""),"",TRIM(B109)&amp;"|"&amp;TRIM(C109))</f>
        <v/>
      </c>
      <c r="P109" s="25" t="str">
        <f aca="false">IF(O109="","",IF(TRIM(C109)="",TRIM(B109),IF(TRIM(B109)="",TRIM(C109),TRIM(B109)&amp;", "&amp;TRIM(C109))))</f>
        <v/>
      </c>
      <c r="Q109" s="25" t="str">
        <f aca="false">IF(O109="","",TRIM(TRIM(C109)&amp;" "&amp;TRIM(B109)))</f>
        <v/>
      </c>
      <c r="R109" s="25" t="str">
        <f aca="false">IF(P109="","",COUNTIFS($P$2:$P$1000,"&lt;"&amp;P109,$P$2:$P$1000,"?*")+COUNTIF($P$2:P109,P109))</f>
        <v/>
      </c>
    </row>
    <row r="110" customFormat="false" ht="14.25" hidden="false" customHeight="true" outlineLevel="0" collapsed="false">
      <c r="A110" s="25" t="s">
        <v>308</v>
      </c>
      <c r="B110" s="25"/>
      <c r="C110" s="25"/>
      <c r="D110" s="26"/>
      <c r="E110" s="25"/>
      <c r="F110" s="25"/>
      <c r="G110" s="27"/>
      <c r="H110" s="28" t="str">
        <f aca="true">IF(G110="","",DATEDIF(G110,TODAY(),"Y"))</f>
        <v/>
      </c>
      <c r="I110" s="28" t="n">
        <f aca="false">IF($A110="","",COUNTIFS('🤸 Ingresos Pole'!$W$2:$W$1000,$A110,'🤸 Ingresos Pole'!$L$2:$L$1000,"Paquete"))</f>
        <v>0</v>
      </c>
      <c r="J110" s="28" t="n">
        <f aca="false">IF($A110="","",COUNTIF('🤸 Ingresos Pole'!$W$2:$W$1000,$A110))</f>
        <v>0</v>
      </c>
      <c r="K110" s="29" t="n">
        <f aca="false">IF($A110="","",SUMIF('🤸 Ingresos Pole'!$W$2:$W$1000,$A110,'🤸 Ingresos Pole'!$P$2:$P$1000))</f>
        <v>0</v>
      </c>
      <c r="L110" s="30" t="str">
        <f aca="false">IF(OR($A110="",J110=0),"",_xlfn.MINIFS('🤸 Ingresos Pole'!$B$2:$B$1000,'🤸 Ingresos Pole'!$W$2:$W$1000,$A110))</f>
        <v/>
      </c>
      <c r="M110" s="30" t="str">
        <f aca="false">IF(OR($A110="",J110=0),"",_xlfn.MAXIFS('🤸 Ingresos Pole'!$B$2:$B$1000,'🤸 Ingresos Pole'!$W$2:$W$1000,$A110))</f>
        <v/>
      </c>
      <c r="N110" s="28" t="str">
        <f aca="false">IF(OR($A110="",J110=0),"",IF(I110=0,"Sin paquete",IF(I110=1,"Nueva","Recurrente")))</f>
        <v/>
      </c>
      <c r="O110" s="25" t="str">
        <f aca="false">IF(AND(TRIM(B110)="",TRIM(C110)=""),"",TRIM(B110)&amp;"|"&amp;TRIM(C110))</f>
        <v/>
      </c>
      <c r="P110" s="25" t="str">
        <f aca="false">IF(O110="","",IF(TRIM(C110)="",TRIM(B110),IF(TRIM(B110)="",TRIM(C110),TRIM(B110)&amp;", "&amp;TRIM(C110))))</f>
        <v/>
      </c>
      <c r="Q110" s="25" t="str">
        <f aca="false">IF(O110="","",TRIM(TRIM(C110)&amp;" "&amp;TRIM(B110)))</f>
        <v/>
      </c>
      <c r="R110" s="25" t="str">
        <f aca="false">IF(P110="","",COUNTIFS($P$2:$P$1000,"&lt;"&amp;P110,$P$2:$P$1000,"?*")+COUNTIF($P$2:P110,P110))</f>
        <v/>
      </c>
    </row>
    <row r="111" customFormat="false" ht="14.25" hidden="false" customHeight="true" outlineLevel="0" collapsed="false">
      <c r="A111" s="25" t="s">
        <v>309</v>
      </c>
      <c r="B111" s="25"/>
      <c r="C111" s="25"/>
      <c r="D111" s="26"/>
      <c r="E111" s="25"/>
      <c r="F111" s="25"/>
      <c r="G111" s="27"/>
      <c r="H111" s="28" t="str">
        <f aca="true">IF(G111="","",DATEDIF(G111,TODAY(),"Y"))</f>
        <v/>
      </c>
      <c r="I111" s="28" t="n">
        <f aca="false">IF($A111="","",COUNTIFS('🤸 Ingresos Pole'!$W$2:$W$1000,$A111,'🤸 Ingresos Pole'!$L$2:$L$1000,"Paquete"))</f>
        <v>0</v>
      </c>
      <c r="J111" s="28" t="n">
        <f aca="false">IF($A111="","",COUNTIF('🤸 Ingresos Pole'!$W$2:$W$1000,$A111))</f>
        <v>0</v>
      </c>
      <c r="K111" s="29" t="n">
        <f aca="false">IF($A111="","",SUMIF('🤸 Ingresos Pole'!$W$2:$W$1000,$A111,'🤸 Ingresos Pole'!$P$2:$P$1000))</f>
        <v>0</v>
      </c>
      <c r="L111" s="30" t="str">
        <f aca="false">IF(OR($A111="",J111=0),"",_xlfn.MINIFS('🤸 Ingresos Pole'!$B$2:$B$1000,'🤸 Ingresos Pole'!$W$2:$W$1000,$A111))</f>
        <v/>
      </c>
      <c r="M111" s="30" t="str">
        <f aca="false">IF(OR($A111="",J111=0),"",_xlfn.MAXIFS('🤸 Ingresos Pole'!$B$2:$B$1000,'🤸 Ingresos Pole'!$W$2:$W$1000,$A111))</f>
        <v/>
      </c>
      <c r="N111" s="28" t="str">
        <f aca="false">IF(OR($A111="",J111=0),"",IF(I111=0,"Sin paquete",IF(I111=1,"Nueva","Recurrente")))</f>
        <v/>
      </c>
      <c r="O111" s="25" t="str">
        <f aca="false">IF(AND(TRIM(B111)="",TRIM(C111)=""),"",TRIM(B111)&amp;"|"&amp;TRIM(C111))</f>
        <v/>
      </c>
      <c r="P111" s="25" t="str">
        <f aca="false">IF(O111="","",IF(TRIM(C111)="",TRIM(B111),IF(TRIM(B111)="",TRIM(C111),TRIM(B111)&amp;", "&amp;TRIM(C111))))</f>
        <v/>
      </c>
      <c r="Q111" s="25" t="str">
        <f aca="false">IF(O111="","",TRIM(TRIM(C111)&amp;" "&amp;TRIM(B111)))</f>
        <v/>
      </c>
      <c r="R111" s="25" t="str">
        <f aca="false">IF(P111="","",COUNTIFS($P$2:$P$1000,"&lt;"&amp;P111,$P$2:$P$1000,"?*")+COUNTIF($P$2:P111,P111))</f>
        <v/>
      </c>
    </row>
    <row r="112" customFormat="false" ht="14.25" hidden="false" customHeight="true" outlineLevel="0" collapsed="false">
      <c r="A112" s="25" t="s">
        <v>310</v>
      </c>
      <c r="B112" s="25"/>
      <c r="C112" s="25"/>
      <c r="D112" s="26"/>
      <c r="E112" s="25"/>
      <c r="F112" s="25"/>
      <c r="G112" s="27"/>
      <c r="H112" s="28" t="str">
        <f aca="true">IF(G112="","",DATEDIF(G112,TODAY(),"Y"))</f>
        <v/>
      </c>
      <c r="I112" s="28" t="n">
        <f aca="false">IF($A112="","",COUNTIFS('🤸 Ingresos Pole'!$W$2:$W$1000,$A112,'🤸 Ingresos Pole'!$L$2:$L$1000,"Paquete"))</f>
        <v>0</v>
      </c>
      <c r="J112" s="28" t="n">
        <f aca="false">IF($A112="","",COUNTIF('🤸 Ingresos Pole'!$W$2:$W$1000,$A112))</f>
        <v>0</v>
      </c>
      <c r="K112" s="29" t="n">
        <f aca="false">IF($A112="","",SUMIF('🤸 Ingresos Pole'!$W$2:$W$1000,$A112,'🤸 Ingresos Pole'!$P$2:$P$1000))</f>
        <v>0</v>
      </c>
      <c r="L112" s="30" t="str">
        <f aca="false">IF(OR($A112="",J112=0),"",_xlfn.MINIFS('🤸 Ingresos Pole'!$B$2:$B$1000,'🤸 Ingresos Pole'!$W$2:$W$1000,$A112))</f>
        <v/>
      </c>
      <c r="M112" s="30" t="str">
        <f aca="false">IF(OR($A112="",J112=0),"",_xlfn.MAXIFS('🤸 Ingresos Pole'!$B$2:$B$1000,'🤸 Ingresos Pole'!$W$2:$W$1000,$A112))</f>
        <v/>
      </c>
      <c r="N112" s="28" t="str">
        <f aca="false">IF(OR($A112="",J112=0),"",IF(I112=0,"Sin paquete",IF(I112=1,"Nueva","Recurrente")))</f>
        <v/>
      </c>
      <c r="O112" s="25" t="str">
        <f aca="false">IF(AND(TRIM(B112)="",TRIM(C112)=""),"",TRIM(B112)&amp;"|"&amp;TRIM(C112))</f>
        <v/>
      </c>
      <c r="P112" s="25" t="str">
        <f aca="false">IF(O112="","",IF(TRIM(C112)="",TRIM(B112),IF(TRIM(B112)="",TRIM(C112),TRIM(B112)&amp;", "&amp;TRIM(C112))))</f>
        <v/>
      </c>
      <c r="Q112" s="25" t="str">
        <f aca="false">IF(O112="","",TRIM(TRIM(C112)&amp;" "&amp;TRIM(B112)))</f>
        <v/>
      </c>
      <c r="R112" s="25" t="str">
        <f aca="false">IF(P112="","",COUNTIFS($P$2:$P$1000,"&lt;"&amp;P112,$P$2:$P$1000,"?*")+COUNTIF($P$2:P112,P112))</f>
        <v/>
      </c>
    </row>
    <row r="113" customFormat="false" ht="14.25" hidden="false" customHeight="true" outlineLevel="0" collapsed="false">
      <c r="A113" s="25" t="s">
        <v>311</v>
      </c>
      <c r="B113" s="25"/>
      <c r="C113" s="25"/>
      <c r="D113" s="26"/>
      <c r="E113" s="25"/>
      <c r="F113" s="25"/>
      <c r="G113" s="27"/>
      <c r="H113" s="28" t="str">
        <f aca="true">IF(G113="","",DATEDIF(G113,TODAY(),"Y"))</f>
        <v/>
      </c>
      <c r="I113" s="28" t="n">
        <f aca="false">IF($A113="","",COUNTIFS('🤸 Ingresos Pole'!$W$2:$W$1000,$A113,'🤸 Ingresos Pole'!$L$2:$L$1000,"Paquete"))</f>
        <v>0</v>
      </c>
      <c r="J113" s="28" t="n">
        <f aca="false">IF($A113="","",COUNTIF('🤸 Ingresos Pole'!$W$2:$W$1000,$A113))</f>
        <v>0</v>
      </c>
      <c r="K113" s="29" t="n">
        <f aca="false">IF($A113="","",SUMIF('🤸 Ingresos Pole'!$W$2:$W$1000,$A113,'🤸 Ingresos Pole'!$P$2:$P$1000))</f>
        <v>0</v>
      </c>
      <c r="L113" s="30" t="str">
        <f aca="false">IF(OR($A113="",J113=0),"",_xlfn.MINIFS('🤸 Ingresos Pole'!$B$2:$B$1000,'🤸 Ingresos Pole'!$W$2:$W$1000,$A113))</f>
        <v/>
      </c>
      <c r="M113" s="30" t="str">
        <f aca="false">IF(OR($A113="",J113=0),"",_xlfn.MAXIFS('🤸 Ingresos Pole'!$B$2:$B$1000,'🤸 Ingresos Pole'!$W$2:$W$1000,$A113))</f>
        <v/>
      </c>
      <c r="N113" s="28" t="str">
        <f aca="false">IF(OR($A113="",J113=0),"",IF(I113=0,"Sin paquete",IF(I113=1,"Nueva","Recurrente")))</f>
        <v/>
      </c>
      <c r="O113" s="25" t="str">
        <f aca="false">IF(AND(TRIM(B113)="",TRIM(C113)=""),"",TRIM(B113)&amp;"|"&amp;TRIM(C113))</f>
        <v/>
      </c>
      <c r="P113" s="25" t="str">
        <f aca="false">IF(O113="","",IF(TRIM(C113)="",TRIM(B113),IF(TRIM(B113)="",TRIM(C113),TRIM(B113)&amp;", "&amp;TRIM(C113))))</f>
        <v/>
      </c>
      <c r="Q113" s="25" t="str">
        <f aca="false">IF(O113="","",TRIM(TRIM(C113)&amp;" "&amp;TRIM(B113)))</f>
        <v/>
      </c>
      <c r="R113" s="25" t="str">
        <f aca="false">IF(P113="","",COUNTIFS($P$2:$P$1000,"&lt;"&amp;P113,$P$2:$P$1000,"?*")+COUNTIF($P$2:P113,P113))</f>
        <v/>
      </c>
    </row>
    <row r="114" customFormat="false" ht="14.25" hidden="false" customHeight="true" outlineLevel="0" collapsed="false">
      <c r="A114" s="25" t="s">
        <v>312</v>
      </c>
      <c r="B114" s="25"/>
      <c r="C114" s="25"/>
      <c r="D114" s="26"/>
      <c r="E114" s="25"/>
      <c r="F114" s="25"/>
      <c r="G114" s="27"/>
      <c r="H114" s="28" t="str">
        <f aca="true">IF(G114="","",DATEDIF(G114,TODAY(),"Y"))</f>
        <v/>
      </c>
      <c r="I114" s="28" t="n">
        <f aca="false">IF($A114="","",COUNTIFS('🤸 Ingresos Pole'!$W$2:$W$1000,$A114,'🤸 Ingresos Pole'!$L$2:$L$1000,"Paquete"))</f>
        <v>0</v>
      </c>
      <c r="J114" s="28" t="n">
        <f aca="false">IF($A114="","",COUNTIF('🤸 Ingresos Pole'!$W$2:$W$1000,$A114))</f>
        <v>0</v>
      </c>
      <c r="K114" s="29" t="n">
        <f aca="false">IF($A114="","",SUMIF('🤸 Ingresos Pole'!$W$2:$W$1000,$A114,'🤸 Ingresos Pole'!$P$2:$P$1000))</f>
        <v>0</v>
      </c>
      <c r="L114" s="30" t="str">
        <f aca="false">IF(OR($A114="",J114=0),"",_xlfn.MINIFS('🤸 Ingresos Pole'!$B$2:$B$1000,'🤸 Ingresos Pole'!$W$2:$W$1000,$A114))</f>
        <v/>
      </c>
      <c r="M114" s="30" t="str">
        <f aca="false">IF(OR($A114="",J114=0),"",_xlfn.MAXIFS('🤸 Ingresos Pole'!$B$2:$B$1000,'🤸 Ingresos Pole'!$W$2:$W$1000,$A114))</f>
        <v/>
      </c>
      <c r="N114" s="28" t="str">
        <f aca="false">IF(OR($A114="",J114=0),"",IF(I114=0,"Sin paquete",IF(I114=1,"Nueva","Recurrente")))</f>
        <v/>
      </c>
      <c r="O114" s="25" t="str">
        <f aca="false">IF(AND(TRIM(B114)="",TRIM(C114)=""),"",TRIM(B114)&amp;"|"&amp;TRIM(C114))</f>
        <v/>
      </c>
      <c r="P114" s="25" t="str">
        <f aca="false">IF(O114="","",IF(TRIM(C114)="",TRIM(B114),IF(TRIM(B114)="",TRIM(C114),TRIM(B114)&amp;", "&amp;TRIM(C114))))</f>
        <v/>
      </c>
      <c r="Q114" s="25" t="str">
        <f aca="false">IF(O114="","",TRIM(TRIM(C114)&amp;" "&amp;TRIM(B114)))</f>
        <v/>
      </c>
      <c r="R114" s="25" t="str">
        <f aca="false">IF(P114="","",COUNTIFS($P$2:$P$1000,"&lt;"&amp;P114,$P$2:$P$1000,"?*")+COUNTIF($P$2:P114,P114))</f>
        <v/>
      </c>
    </row>
    <row r="115" customFormat="false" ht="14.25" hidden="false" customHeight="true" outlineLevel="0" collapsed="false">
      <c r="A115" s="25" t="s">
        <v>313</v>
      </c>
      <c r="B115" s="25"/>
      <c r="C115" s="25"/>
      <c r="D115" s="26"/>
      <c r="E115" s="25"/>
      <c r="F115" s="25"/>
      <c r="G115" s="27"/>
      <c r="H115" s="28" t="str">
        <f aca="true">IF(G115="","",DATEDIF(G115,TODAY(),"Y"))</f>
        <v/>
      </c>
      <c r="I115" s="28" t="n">
        <f aca="false">IF($A115="","",COUNTIFS('🤸 Ingresos Pole'!$W$2:$W$1000,$A115,'🤸 Ingresos Pole'!$L$2:$L$1000,"Paquete"))</f>
        <v>0</v>
      </c>
      <c r="J115" s="28" t="n">
        <f aca="false">IF($A115="","",COUNTIF('🤸 Ingresos Pole'!$W$2:$W$1000,$A115))</f>
        <v>0</v>
      </c>
      <c r="K115" s="29" t="n">
        <f aca="false">IF($A115="","",SUMIF('🤸 Ingresos Pole'!$W$2:$W$1000,$A115,'🤸 Ingresos Pole'!$P$2:$P$1000))</f>
        <v>0</v>
      </c>
      <c r="L115" s="30" t="str">
        <f aca="false">IF(OR($A115="",J115=0),"",_xlfn.MINIFS('🤸 Ingresos Pole'!$B$2:$B$1000,'🤸 Ingresos Pole'!$W$2:$W$1000,$A115))</f>
        <v/>
      </c>
      <c r="M115" s="30" t="str">
        <f aca="false">IF(OR($A115="",J115=0),"",_xlfn.MAXIFS('🤸 Ingresos Pole'!$B$2:$B$1000,'🤸 Ingresos Pole'!$W$2:$W$1000,$A115))</f>
        <v/>
      </c>
      <c r="N115" s="28" t="str">
        <f aca="false">IF(OR($A115="",J115=0),"",IF(I115=0,"Sin paquete",IF(I115=1,"Nueva","Recurrente")))</f>
        <v/>
      </c>
      <c r="O115" s="25" t="str">
        <f aca="false">IF(AND(TRIM(B115)="",TRIM(C115)=""),"",TRIM(B115)&amp;"|"&amp;TRIM(C115))</f>
        <v/>
      </c>
      <c r="P115" s="25" t="str">
        <f aca="false">IF(O115="","",IF(TRIM(C115)="",TRIM(B115),IF(TRIM(B115)="",TRIM(C115),TRIM(B115)&amp;", "&amp;TRIM(C115))))</f>
        <v/>
      </c>
      <c r="Q115" s="25" t="str">
        <f aca="false">IF(O115="","",TRIM(TRIM(C115)&amp;" "&amp;TRIM(B115)))</f>
        <v/>
      </c>
      <c r="R115" s="25" t="str">
        <f aca="false">IF(P115="","",COUNTIFS($P$2:$P$1000,"&lt;"&amp;P115,$P$2:$P$1000,"?*")+COUNTIF($P$2:P115,P115))</f>
        <v/>
      </c>
    </row>
    <row r="116" customFormat="false" ht="14.25" hidden="false" customHeight="true" outlineLevel="0" collapsed="false">
      <c r="A116" s="25" t="s">
        <v>314</v>
      </c>
      <c r="B116" s="25"/>
      <c r="C116" s="25"/>
      <c r="D116" s="26"/>
      <c r="E116" s="25"/>
      <c r="F116" s="25"/>
      <c r="G116" s="27"/>
      <c r="H116" s="28" t="str">
        <f aca="true">IF(G116="","",DATEDIF(G116,TODAY(),"Y"))</f>
        <v/>
      </c>
      <c r="I116" s="28" t="n">
        <f aca="false">IF($A116="","",COUNTIFS('🤸 Ingresos Pole'!$W$2:$W$1000,$A116,'🤸 Ingresos Pole'!$L$2:$L$1000,"Paquete"))</f>
        <v>0</v>
      </c>
      <c r="J116" s="28" t="n">
        <f aca="false">IF($A116="","",COUNTIF('🤸 Ingresos Pole'!$W$2:$W$1000,$A116))</f>
        <v>0</v>
      </c>
      <c r="K116" s="29" t="n">
        <f aca="false">IF($A116="","",SUMIF('🤸 Ingresos Pole'!$W$2:$W$1000,$A116,'🤸 Ingresos Pole'!$P$2:$P$1000))</f>
        <v>0</v>
      </c>
      <c r="L116" s="30" t="str">
        <f aca="false">IF(OR($A116="",J116=0),"",_xlfn.MINIFS('🤸 Ingresos Pole'!$B$2:$B$1000,'🤸 Ingresos Pole'!$W$2:$W$1000,$A116))</f>
        <v/>
      </c>
      <c r="M116" s="30" t="str">
        <f aca="false">IF(OR($A116="",J116=0),"",_xlfn.MAXIFS('🤸 Ingresos Pole'!$B$2:$B$1000,'🤸 Ingresos Pole'!$W$2:$W$1000,$A116))</f>
        <v/>
      </c>
      <c r="N116" s="28" t="str">
        <f aca="false">IF(OR($A116="",J116=0),"",IF(I116=0,"Sin paquete",IF(I116=1,"Nueva","Recurrente")))</f>
        <v/>
      </c>
      <c r="O116" s="25" t="str">
        <f aca="false">IF(AND(TRIM(B116)="",TRIM(C116)=""),"",TRIM(B116)&amp;"|"&amp;TRIM(C116))</f>
        <v/>
      </c>
      <c r="P116" s="25" t="str">
        <f aca="false">IF(O116="","",IF(TRIM(C116)="",TRIM(B116),IF(TRIM(B116)="",TRIM(C116),TRIM(B116)&amp;", "&amp;TRIM(C116))))</f>
        <v/>
      </c>
      <c r="Q116" s="25" t="str">
        <f aca="false">IF(O116="","",TRIM(TRIM(C116)&amp;" "&amp;TRIM(B116)))</f>
        <v/>
      </c>
      <c r="R116" s="25" t="str">
        <f aca="false">IF(P116="","",COUNTIFS($P$2:$P$1000,"&lt;"&amp;P116,$P$2:$P$1000,"?*")+COUNTIF($P$2:P116,P116))</f>
        <v/>
      </c>
    </row>
    <row r="117" customFormat="false" ht="14.25" hidden="false" customHeight="true" outlineLevel="0" collapsed="false">
      <c r="A117" s="25" t="s">
        <v>315</v>
      </c>
      <c r="B117" s="25"/>
      <c r="C117" s="25"/>
      <c r="D117" s="26"/>
      <c r="E117" s="25"/>
      <c r="F117" s="25"/>
      <c r="G117" s="27"/>
      <c r="H117" s="28" t="str">
        <f aca="true">IF(G117="","",DATEDIF(G117,TODAY(),"Y"))</f>
        <v/>
      </c>
      <c r="I117" s="28" t="n">
        <f aca="false">IF($A117="","",COUNTIFS('🤸 Ingresos Pole'!$W$2:$W$1000,$A117,'🤸 Ingresos Pole'!$L$2:$L$1000,"Paquete"))</f>
        <v>0</v>
      </c>
      <c r="J117" s="28" t="n">
        <f aca="false">IF($A117="","",COUNTIF('🤸 Ingresos Pole'!$W$2:$W$1000,$A117))</f>
        <v>0</v>
      </c>
      <c r="K117" s="29" t="n">
        <f aca="false">IF($A117="","",SUMIF('🤸 Ingresos Pole'!$W$2:$W$1000,$A117,'🤸 Ingresos Pole'!$P$2:$P$1000))</f>
        <v>0</v>
      </c>
      <c r="L117" s="30" t="str">
        <f aca="false">IF(OR($A117="",J117=0),"",_xlfn.MINIFS('🤸 Ingresos Pole'!$B$2:$B$1000,'🤸 Ingresos Pole'!$W$2:$W$1000,$A117))</f>
        <v/>
      </c>
      <c r="M117" s="30" t="str">
        <f aca="false">IF(OR($A117="",J117=0),"",_xlfn.MAXIFS('🤸 Ingresos Pole'!$B$2:$B$1000,'🤸 Ingresos Pole'!$W$2:$W$1000,$A117))</f>
        <v/>
      </c>
      <c r="N117" s="28" t="str">
        <f aca="false">IF(OR($A117="",J117=0),"",IF(I117=0,"Sin paquete",IF(I117=1,"Nueva","Recurrente")))</f>
        <v/>
      </c>
      <c r="O117" s="25" t="str">
        <f aca="false">IF(AND(TRIM(B117)="",TRIM(C117)=""),"",TRIM(B117)&amp;"|"&amp;TRIM(C117))</f>
        <v/>
      </c>
      <c r="P117" s="25" t="str">
        <f aca="false">IF(O117="","",IF(TRIM(C117)="",TRIM(B117),IF(TRIM(B117)="",TRIM(C117),TRIM(B117)&amp;", "&amp;TRIM(C117))))</f>
        <v/>
      </c>
      <c r="Q117" s="25" t="str">
        <f aca="false">IF(O117="","",TRIM(TRIM(C117)&amp;" "&amp;TRIM(B117)))</f>
        <v/>
      </c>
      <c r="R117" s="25" t="str">
        <f aca="false">IF(P117="","",COUNTIFS($P$2:$P$1000,"&lt;"&amp;P117,$P$2:$P$1000,"?*")+COUNTIF($P$2:P117,P117))</f>
        <v/>
      </c>
    </row>
    <row r="118" customFormat="false" ht="14.25" hidden="false" customHeight="true" outlineLevel="0" collapsed="false">
      <c r="A118" s="25" t="s">
        <v>316</v>
      </c>
      <c r="B118" s="25"/>
      <c r="C118" s="25"/>
      <c r="D118" s="26"/>
      <c r="E118" s="25"/>
      <c r="F118" s="25"/>
      <c r="G118" s="27"/>
      <c r="H118" s="28" t="str">
        <f aca="true">IF(G118="","",DATEDIF(G118,TODAY(),"Y"))</f>
        <v/>
      </c>
      <c r="I118" s="28" t="n">
        <f aca="false">IF($A118="","",COUNTIFS('🤸 Ingresos Pole'!$W$2:$W$1000,$A118,'🤸 Ingresos Pole'!$L$2:$L$1000,"Paquete"))</f>
        <v>0</v>
      </c>
      <c r="J118" s="28" t="n">
        <f aca="false">IF($A118="","",COUNTIF('🤸 Ingresos Pole'!$W$2:$W$1000,$A118))</f>
        <v>0</v>
      </c>
      <c r="K118" s="29" t="n">
        <f aca="false">IF($A118="","",SUMIF('🤸 Ingresos Pole'!$W$2:$W$1000,$A118,'🤸 Ingresos Pole'!$P$2:$P$1000))</f>
        <v>0</v>
      </c>
      <c r="L118" s="30" t="str">
        <f aca="false">IF(OR($A118="",J118=0),"",_xlfn.MINIFS('🤸 Ingresos Pole'!$B$2:$B$1000,'🤸 Ingresos Pole'!$W$2:$W$1000,$A118))</f>
        <v/>
      </c>
      <c r="M118" s="30" t="str">
        <f aca="false">IF(OR($A118="",J118=0),"",_xlfn.MAXIFS('🤸 Ingresos Pole'!$B$2:$B$1000,'🤸 Ingresos Pole'!$W$2:$W$1000,$A118))</f>
        <v/>
      </c>
      <c r="N118" s="28" t="str">
        <f aca="false">IF(OR($A118="",J118=0),"",IF(I118=0,"Sin paquete",IF(I118=1,"Nueva","Recurrente")))</f>
        <v/>
      </c>
      <c r="O118" s="25" t="str">
        <f aca="false">IF(AND(TRIM(B118)="",TRIM(C118)=""),"",TRIM(B118)&amp;"|"&amp;TRIM(C118))</f>
        <v/>
      </c>
      <c r="P118" s="25" t="str">
        <f aca="false">IF(O118="","",IF(TRIM(C118)="",TRIM(B118),IF(TRIM(B118)="",TRIM(C118),TRIM(B118)&amp;", "&amp;TRIM(C118))))</f>
        <v/>
      </c>
      <c r="Q118" s="25" t="str">
        <f aca="false">IF(O118="","",TRIM(TRIM(C118)&amp;" "&amp;TRIM(B118)))</f>
        <v/>
      </c>
      <c r="R118" s="25" t="str">
        <f aca="false">IF(P118="","",COUNTIFS($P$2:$P$1000,"&lt;"&amp;P118,$P$2:$P$1000,"?*")+COUNTIF($P$2:P118,P118))</f>
        <v/>
      </c>
    </row>
    <row r="119" customFormat="false" ht="14.25" hidden="false" customHeight="true" outlineLevel="0" collapsed="false">
      <c r="A119" s="25" t="s">
        <v>317</v>
      </c>
      <c r="B119" s="25"/>
      <c r="C119" s="25"/>
      <c r="D119" s="26"/>
      <c r="E119" s="25"/>
      <c r="F119" s="25"/>
      <c r="G119" s="27"/>
      <c r="H119" s="28" t="str">
        <f aca="true">IF(G119="","",DATEDIF(G119,TODAY(),"Y"))</f>
        <v/>
      </c>
      <c r="I119" s="28" t="n">
        <f aca="false">IF($A119="","",COUNTIFS('🤸 Ingresos Pole'!$W$2:$W$1000,$A119,'🤸 Ingresos Pole'!$L$2:$L$1000,"Paquete"))</f>
        <v>0</v>
      </c>
      <c r="J119" s="28" t="n">
        <f aca="false">IF($A119="","",COUNTIF('🤸 Ingresos Pole'!$W$2:$W$1000,$A119))</f>
        <v>0</v>
      </c>
      <c r="K119" s="29" t="n">
        <f aca="false">IF($A119="","",SUMIF('🤸 Ingresos Pole'!$W$2:$W$1000,$A119,'🤸 Ingresos Pole'!$P$2:$P$1000))</f>
        <v>0</v>
      </c>
      <c r="L119" s="30" t="str">
        <f aca="false">IF(OR($A119="",J119=0),"",_xlfn.MINIFS('🤸 Ingresos Pole'!$B$2:$B$1000,'🤸 Ingresos Pole'!$W$2:$W$1000,$A119))</f>
        <v/>
      </c>
      <c r="M119" s="30" t="str">
        <f aca="false">IF(OR($A119="",J119=0),"",_xlfn.MAXIFS('🤸 Ingresos Pole'!$B$2:$B$1000,'🤸 Ingresos Pole'!$W$2:$W$1000,$A119))</f>
        <v/>
      </c>
      <c r="N119" s="28" t="str">
        <f aca="false">IF(OR($A119="",J119=0),"",IF(I119=0,"Sin paquete",IF(I119=1,"Nueva","Recurrente")))</f>
        <v/>
      </c>
      <c r="O119" s="25" t="str">
        <f aca="false">IF(AND(TRIM(B119)="",TRIM(C119)=""),"",TRIM(B119)&amp;"|"&amp;TRIM(C119))</f>
        <v/>
      </c>
      <c r="P119" s="25" t="str">
        <f aca="false">IF(O119="","",IF(TRIM(C119)="",TRIM(B119),IF(TRIM(B119)="",TRIM(C119),TRIM(B119)&amp;", "&amp;TRIM(C119))))</f>
        <v/>
      </c>
      <c r="Q119" s="25" t="str">
        <f aca="false">IF(O119="","",TRIM(TRIM(C119)&amp;" "&amp;TRIM(B119)))</f>
        <v/>
      </c>
      <c r="R119" s="25" t="str">
        <f aca="false">IF(P119="","",COUNTIFS($P$2:$P$1000,"&lt;"&amp;P119,$P$2:$P$1000,"?*")+COUNTIF($P$2:P119,P119))</f>
        <v/>
      </c>
    </row>
    <row r="120" customFormat="false" ht="14.25" hidden="false" customHeight="true" outlineLevel="0" collapsed="false">
      <c r="A120" s="25" t="s">
        <v>318</v>
      </c>
      <c r="B120" s="25"/>
      <c r="C120" s="25"/>
      <c r="D120" s="26"/>
      <c r="E120" s="25"/>
      <c r="F120" s="25"/>
      <c r="G120" s="27"/>
      <c r="H120" s="28" t="str">
        <f aca="true">IF(G120="","",DATEDIF(G120,TODAY(),"Y"))</f>
        <v/>
      </c>
      <c r="I120" s="28" t="n">
        <f aca="false">IF($A120="","",COUNTIFS('🤸 Ingresos Pole'!$W$2:$W$1000,$A120,'🤸 Ingresos Pole'!$L$2:$L$1000,"Paquete"))</f>
        <v>0</v>
      </c>
      <c r="J120" s="28" t="n">
        <f aca="false">IF($A120="","",COUNTIF('🤸 Ingresos Pole'!$W$2:$W$1000,$A120))</f>
        <v>0</v>
      </c>
      <c r="K120" s="29" t="n">
        <f aca="false">IF($A120="","",SUMIF('🤸 Ingresos Pole'!$W$2:$W$1000,$A120,'🤸 Ingresos Pole'!$P$2:$P$1000))</f>
        <v>0</v>
      </c>
      <c r="L120" s="30" t="str">
        <f aca="false">IF(OR($A120="",J120=0),"",_xlfn.MINIFS('🤸 Ingresos Pole'!$B$2:$B$1000,'🤸 Ingresos Pole'!$W$2:$W$1000,$A120))</f>
        <v/>
      </c>
      <c r="M120" s="30" t="str">
        <f aca="false">IF(OR($A120="",J120=0),"",_xlfn.MAXIFS('🤸 Ingresos Pole'!$B$2:$B$1000,'🤸 Ingresos Pole'!$W$2:$W$1000,$A120))</f>
        <v/>
      </c>
      <c r="N120" s="28" t="str">
        <f aca="false">IF(OR($A120="",J120=0),"",IF(I120=0,"Sin paquete",IF(I120=1,"Nueva","Recurrente")))</f>
        <v/>
      </c>
      <c r="O120" s="25" t="str">
        <f aca="false">IF(AND(TRIM(B120)="",TRIM(C120)=""),"",TRIM(B120)&amp;"|"&amp;TRIM(C120))</f>
        <v/>
      </c>
      <c r="P120" s="25" t="str">
        <f aca="false">IF(O120="","",IF(TRIM(C120)="",TRIM(B120),IF(TRIM(B120)="",TRIM(C120),TRIM(B120)&amp;", "&amp;TRIM(C120))))</f>
        <v/>
      </c>
      <c r="Q120" s="25" t="str">
        <f aca="false">IF(O120="","",TRIM(TRIM(C120)&amp;" "&amp;TRIM(B120)))</f>
        <v/>
      </c>
      <c r="R120" s="25" t="str">
        <f aca="false">IF(P120="","",COUNTIFS($P$2:$P$1000,"&lt;"&amp;P120,$P$2:$P$1000,"?*")+COUNTIF($P$2:P120,P120))</f>
        <v/>
      </c>
    </row>
    <row r="121" customFormat="false" ht="14.25" hidden="false" customHeight="true" outlineLevel="0" collapsed="false">
      <c r="A121" s="25" t="s">
        <v>319</v>
      </c>
      <c r="B121" s="25"/>
      <c r="C121" s="25"/>
      <c r="D121" s="26"/>
      <c r="E121" s="25"/>
      <c r="F121" s="25"/>
      <c r="G121" s="27"/>
      <c r="H121" s="28" t="str">
        <f aca="true">IF(G121="","",DATEDIF(G121,TODAY(),"Y"))</f>
        <v/>
      </c>
      <c r="I121" s="28" t="n">
        <f aca="false">IF($A121="","",COUNTIFS('🤸 Ingresos Pole'!$W$2:$W$1000,$A121,'🤸 Ingresos Pole'!$L$2:$L$1000,"Paquete"))</f>
        <v>0</v>
      </c>
      <c r="J121" s="28" t="n">
        <f aca="false">IF($A121="","",COUNTIF('🤸 Ingresos Pole'!$W$2:$W$1000,$A121))</f>
        <v>0</v>
      </c>
      <c r="K121" s="29" t="n">
        <f aca="false">IF($A121="","",SUMIF('🤸 Ingresos Pole'!$W$2:$W$1000,$A121,'🤸 Ingresos Pole'!$P$2:$P$1000))</f>
        <v>0</v>
      </c>
      <c r="L121" s="30" t="str">
        <f aca="false">IF(OR($A121="",J121=0),"",_xlfn.MINIFS('🤸 Ingresos Pole'!$B$2:$B$1000,'🤸 Ingresos Pole'!$W$2:$W$1000,$A121))</f>
        <v/>
      </c>
      <c r="M121" s="30" t="str">
        <f aca="false">IF(OR($A121="",J121=0),"",_xlfn.MAXIFS('🤸 Ingresos Pole'!$B$2:$B$1000,'🤸 Ingresos Pole'!$W$2:$W$1000,$A121))</f>
        <v/>
      </c>
      <c r="N121" s="28" t="str">
        <f aca="false">IF(OR($A121="",J121=0),"",IF(I121=0,"Sin paquete",IF(I121=1,"Nueva","Recurrente")))</f>
        <v/>
      </c>
      <c r="O121" s="25" t="str">
        <f aca="false">IF(AND(TRIM(B121)="",TRIM(C121)=""),"",TRIM(B121)&amp;"|"&amp;TRIM(C121))</f>
        <v/>
      </c>
      <c r="P121" s="25" t="str">
        <f aca="false">IF(O121="","",IF(TRIM(C121)="",TRIM(B121),IF(TRIM(B121)="",TRIM(C121),TRIM(B121)&amp;", "&amp;TRIM(C121))))</f>
        <v/>
      </c>
      <c r="Q121" s="25" t="str">
        <f aca="false">IF(O121="","",TRIM(TRIM(C121)&amp;" "&amp;TRIM(B121)))</f>
        <v/>
      </c>
      <c r="R121" s="25" t="str">
        <f aca="false">IF(P121="","",COUNTIFS($P$2:$P$1000,"&lt;"&amp;P121,$P$2:$P$1000,"?*")+COUNTIF($P$2:P121,P121))</f>
        <v/>
      </c>
    </row>
    <row r="122" customFormat="false" ht="14.25" hidden="false" customHeight="true" outlineLevel="0" collapsed="false">
      <c r="A122" s="25" t="s">
        <v>320</v>
      </c>
      <c r="B122" s="25"/>
      <c r="C122" s="25"/>
      <c r="D122" s="26"/>
      <c r="E122" s="25"/>
      <c r="F122" s="25"/>
      <c r="G122" s="27"/>
      <c r="H122" s="28" t="str">
        <f aca="true">IF(G122="","",DATEDIF(G122,TODAY(),"Y"))</f>
        <v/>
      </c>
      <c r="I122" s="28" t="n">
        <f aca="false">IF($A122="","",COUNTIFS('🤸 Ingresos Pole'!$W$2:$W$1000,$A122,'🤸 Ingresos Pole'!$L$2:$L$1000,"Paquete"))</f>
        <v>0</v>
      </c>
      <c r="J122" s="28" t="n">
        <f aca="false">IF($A122="","",COUNTIF('🤸 Ingresos Pole'!$W$2:$W$1000,$A122))</f>
        <v>0</v>
      </c>
      <c r="K122" s="29" t="n">
        <f aca="false">IF($A122="","",SUMIF('🤸 Ingresos Pole'!$W$2:$W$1000,$A122,'🤸 Ingresos Pole'!$P$2:$P$1000))</f>
        <v>0</v>
      </c>
      <c r="L122" s="30" t="str">
        <f aca="false">IF(OR($A122="",J122=0),"",_xlfn.MINIFS('🤸 Ingresos Pole'!$B$2:$B$1000,'🤸 Ingresos Pole'!$W$2:$W$1000,$A122))</f>
        <v/>
      </c>
      <c r="M122" s="30" t="str">
        <f aca="false">IF(OR($A122="",J122=0),"",_xlfn.MAXIFS('🤸 Ingresos Pole'!$B$2:$B$1000,'🤸 Ingresos Pole'!$W$2:$W$1000,$A122))</f>
        <v/>
      </c>
      <c r="N122" s="28" t="str">
        <f aca="false">IF(OR($A122="",J122=0),"",IF(I122=0,"Sin paquete",IF(I122=1,"Nueva","Recurrente")))</f>
        <v/>
      </c>
      <c r="O122" s="25" t="str">
        <f aca="false">IF(AND(TRIM(B122)="",TRIM(C122)=""),"",TRIM(B122)&amp;"|"&amp;TRIM(C122))</f>
        <v/>
      </c>
      <c r="P122" s="25" t="str">
        <f aca="false">IF(O122="","",IF(TRIM(C122)="",TRIM(B122),IF(TRIM(B122)="",TRIM(C122),TRIM(B122)&amp;", "&amp;TRIM(C122))))</f>
        <v/>
      </c>
      <c r="Q122" s="25" t="str">
        <f aca="false">IF(O122="","",TRIM(TRIM(C122)&amp;" "&amp;TRIM(B122)))</f>
        <v/>
      </c>
      <c r="R122" s="25" t="str">
        <f aca="false">IF(P122="","",COUNTIFS($P$2:$P$1000,"&lt;"&amp;P122,$P$2:$P$1000,"?*")+COUNTIF($P$2:P122,P122))</f>
        <v/>
      </c>
    </row>
    <row r="123" customFormat="false" ht="14.25" hidden="false" customHeight="true" outlineLevel="0" collapsed="false">
      <c r="A123" s="25" t="s">
        <v>321</v>
      </c>
      <c r="B123" s="25"/>
      <c r="C123" s="25"/>
      <c r="D123" s="26"/>
      <c r="E123" s="25"/>
      <c r="F123" s="25"/>
      <c r="G123" s="27"/>
      <c r="H123" s="28" t="str">
        <f aca="true">IF(G123="","",DATEDIF(G123,TODAY(),"Y"))</f>
        <v/>
      </c>
      <c r="I123" s="28" t="n">
        <f aca="false">IF($A123="","",COUNTIFS('🤸 Ingresos Pole'!$W$2:$W$1000,$A123,'🤸 Ingresos Pole'!$L$2:$L$1000,"Paquete"))</f>
        <v>0</v>
      </c>
      <c r="J123" s="28" t="n">
        <f aca="false">IF($A123="","",COUNTIF('🤸 Ingresos Pole'!$W$2:$W$1000,$A123))</f>
        <v>0</v>
      </c>
      <c r="K123" s="29" t="n">
        <f aca="false">IF($A123="","",SUMIF('🤸 Ingresos Pole'!$W$2:$W$1000,$A123,'🤸 Ingresos Pole'!$P$2:$P$1000))</f>
        <v>0</v>
      </c>
      <c r="L123" s="30" t="str">
        <f aca="false">IF(OR($A123="",J123=0),"",_xlfn.MINIFS('🤸 Ingresos Pole'!$B$2:$B$1000,'🤸 Ingresos Pole'!$W$2:$W$1000,$A123))</f>
        <v/>
      </c>
      <c r="M123" s="30" t="str">
        <f aca="false">IF(OR($A123="",J123=0),"",_xlfn.MAXIFS('🤸 Ingresos Pole'!$B$2:$B$1000,'🤸 Ingresos Pole'!$W$2:$W$1000,$A123))</f>
        <v/>
      </c>
      <c r="N123" s="28" t="str">
        <f aca="false">IF(OR($A123="",J123=0),"",IF(I123=0,"Sin paquete",IF(I123=1,"Nueva","Recurrente")))</f>
        <v/>
      </c>
      <c r="O123" s="25" t="str">
        <f aca="false">IF(AND(TRIM(B123)="",TRIM(C123)=""),"",TRIM(B123)&amp;"|"&amp;TRIM(C123))</f>
        <v/>
      </c>
      <c r="P123" s="25" t="str">
        <f aca="false">IF(O123="","",IF(TRIM(C123)="",TRIM(B123),IF(TRIM(B123)="",TRIM(C123),TRIM(B123)&amp;", "&amp;TRIM(C123))))</f>
        <v/>
      </c>
      <c r="Q123" s="25" t="str">
        <f aca="false">IF(O123="","",TRIM(TRIM(C123)&amp;" "&amp;TRIM(B123)))</f>
        <v/>
      </c>
      <c r="R123" s="25" t="str">
        <f aca="false">IF(P123="","",COUNTIFS($P$2:$P$1000,"&lt;"&amp;P123,$P$2:$P$1000,"?*")+COUNTIF($P$2:P123,P123))</f>
        <v/>
      </c>
    </row>
    <row r="124" customFormat="false" ht="14.25" hidden="false" customHeight="true" outlineLevel="0" collapsed="false">
      <c r="A124" s="25" t="s">
        <v>322</v>
      </c>
      <c r="B124" s="25"/>
      <c r="C124" s="25"/>
      <c r="D124" s="26"/>
      <c r="E124" s="25"/>
      <c r="F124" s="25"/>
      <c r="G124" s="27"/>
      <c r="H124" s="28" t="str">
        <f aca="true">IF(G124="","",DATEDIF(G124,TODAY(),"Y"))</f>
        <v/>
      </c>
      <c r="I124" s="28" t="n">
        <f aca="false">IF($A124="","",COUNTIFS('🤸 Ingresos Pole'!$W$2:$W$1000,$A124,'🤸 Ingresos Pole'!$L$2:$L$1000,"Paquete"))</f>
        <v>0</v>
      </c>
      <c r="J124" s="28" t="n">
        <f aca="false">IF($A124="","",COUNTIF('🤸 Ingresos Pole'!$W$2:$W$1000,$A124))</f>
        <v>0</v>
      </c>
      <c r="K124" s="29" t="n">
        <f aca="false">IF($A124="","",SUMIF('🤸 Ingresos Pole'!$W$2:$W$1000,$A124,'🤸 Ingresos Pole'!$P$2:$P$1000))</f>
        <v>0</v>
      </c>
      <c r="L124" s="30" t="str">
        <f aca="false">IF(OR($A124="",J124=0),"",_xlfn.MINIFS('🤸 Ingresos Pole'!$B$2:$B$1000,'🤸 Ingresos Pole'!$W$2:$W$1000,$A124))</f>
        <v/>
      </c>
      <c r="M124" s="30" t="str">
        <f aca="false">IF(OR($A124="",J124=0),"",_xlfn.MAXIFS('🤸 Ingresos Pole'!$B$2:$B$1000,'🤸 Ingresos Pole'!$W$2:$W$1000,$A124))</f>
        <v/>
      </c>
      <c r="N124" s="28" t="str">
        <f aca="false">IF(OR($A124="",J124=0),"",IF(I124=0,"Sin paquete",IF(I124=1,"Nueva","Recurrente")))</f>
        <v/>
      </c>
      <c r="O124" s="25" t="str">
        <f aca="false">IF(AND(TRIM(B124)="",TRIM(C124)=""),"",TRIM(B124)&amp;"|"&amp;TRIM(C124))</f>
        <v/>
      </c>
      <c r="P124" s="25" t="str">
        <f aca="false">IF(O124="","",IF(TRIM(C124)="",TRIM(B124),IF(TRIM(B124)="",TRIM(C124),TRIM(B124)&amp;", "&amp;TRIM(C124))))</f>
        <v/>
      </c>
      <c r="Q124" s="25" t="str">
        <f aca="false">IF(O124="","",TRIM(TRIM(C124)&amp;" "&amp;TRIM(B124)))</f>
        <v/>
      </c>
      <c r="R124" s="25" t="str">
        <f aca="false">IF(P124="","",COUNTIFS($P$2:$P$1000,"&lt;"&amp;P124,$P$2:$P$1000,"?*")+COUNTIF($P$2:P124,P124))</f>
        <v/>
      </c>
    </row>
    <row r="125" customFormat="false" ht="14.25" hidden="false" customHeight="true" outlineLevel="0" collapsed="false">
      <c r="A125" s="25" t="s">
        <v>323</v>
      </c>
      <c r="B125" s="25"/>
      <c r="C125" s="25"/>
      <c r="D125" s="26"/>
      <c r="E125" s="25"/>
      <c r="F125" s="25"/>
      <c r="G125" s="27"/>
      <c r="H125" s="28" t="str">
        <f aca="true">IF(G125="","",DATEDIF(G125,TODAY(),"Y"))</f>
        <v/>
      </c>
      <c r="I125" s="28" t="n">
        <f aca="false">IF($A125="","",COUNTIFS('🤸 Ingresos Pole'!$W$2:$W$1000,$A125,'🤸 Ingresos Pole'!$L$2:$L$1000,"Paquete"))</f>
        <v>0</v>
      </c>
      <c r="J125" s="28" t="n">
        <f aca="false">IF($A125="","",COUNTIF('🤸 Ingresos Pole'!$W$2:$W$1000,$A125))</f>
        <v>0</v>
      </c>
      <c r="K125" s="29" t="n">
        <f aca="false">IF($A125="","",SUMIF('🤸 Ingresos Pole'!$W$2:$W$1000,$A125,'🤸 Ingresos Pole'!$P$2:$P$1000))</f>
        <v>0</v>
      </c>
      <c r="L125" s="30" t="str">
        <f aca="false">IF(OR($A125="",J125=0),"",_xlfn.MINIFS('🤸 Ingresos Pole'!$B$2:$B$1000,'🤸 Ingresos Pole'!$W$2:$W$1000,$A125))</f>
        <v/>
      </c>
      <c r="M125" s="30" t="str">
        <f aca="false">IF(OR($A125="",J125=0),"",_xlfn.MAXIFS('🤸 Ingresos Pole'!$B$2:$B$1000,'🤸 Ingresos Pole'!$W$2:$W$1000,$A125))</f>
        <v/>
      </c>
      <c r="N125" s="28" t="str">
        <f aca="false">IF(OR($A125="",J125=0),"",IF(I125=0,"Sin paquete",IF(I125=1,"Nueva","Recurrente")))</f>
        <v/>
      </c>
      <c r="O125" s="25" t="str">
        <f aca="false">IF(AND(TRIM(B125)="",TRIM(C125)=""),"",TRIM(B125)&amp;"|"&amp;TRIM(C125))</f>
        <v/>
      </c>
      <c r="P125" s="25" t="str">
        <f aca="false">IF(O125="","",IF(TRIM(C125)="",TRIM(B125),IF(TRIM(B125)="",TRIM(C125),TRIM(B125)&amp;", "&amp;TRIM(C125))))</f>
        <v/>
      </c>
      <c r="Q125" s="25" t="str">
        <f aca="false">IF(O125="","",TRIM(TRIM(C125)&amp;" "&amp;TRIM(B125)))</f>
        <v/>
      </c>
      <c r="R125" s="25" t="str">
        <f aca="false">IF(P125="","",COUNTIFS($P$2:$P$1000,"&lt;"&amp;P125,$P$2:$P$1000,"?*")+COUNTIF($P$2:P125,P125))</f>
        <v/>
      </c>
    </row>
    <row r="126" customFormat="false" ht="14.25" hidden="false" customHeight="true" outlineLevel="0" collapsed="false">
      <c r="A126" s="25" t="s">
        <v>324</v>
      </c>
      <c r="B126" s="25"/>
      <c r="C126" s="25"/>
      <c r="D126" s="26"/>
      <c r="E126" s="25"/>
      <c r="F126" s="25"/>
      <c r="G126" s="27"/>
      <c r="H126" s="28" t="str">
        <f aca="true">IF(G126="","",DATEDIF(G126,TODAY(),"Y"))</f>
        <v/>
      </c>
      <c r="I126" s="28" t="n">
        <f aca="false">IF($A126="","",COUNTIFS('🤸 Ingresos Pole'!$W$2:$W$1000,$A126,'🤸 Ingresos Pole'!$L$2:$L$1000,"Paquete"))</f>
        <v>0</v>
      </c>
      <c r="J126" s="28" t="n">
        <f aca="false">IF($A126="","",COUNTIF('🤸 Ingresos Pole'!$W$2:$W$1000,$A126))</f>
        <v>0</v>
      </c>
      <c r="K126" s="29" t="n">
        <f aca="false">IF($A126="","",SUMIF('🤸 Ingresos Pole'!$W$2:$W$1000,$A126,'🤸 Ingresos Pole'!$P$2:$P$1000))</f>
        <v>0</v>
      </c>
      <c r="L126" s="30" t="str">
        <f aca="false">IF(OR($A126="",J126=0),"",_xlfn.MINIFS('🤸 Ingresos Pole'!$B$2:$B$1000,'🤸 Ingresos Pole'!$W$2:$W$1000,$A126))</f>
        <v/>
      </c>
      <c r="M126" s="30" t="str">
        <f aca="false">IF(OR($A126="",J126=0),"",_xlfn.MAXIFS('🤸 Ingresos Pole'!$B$2:$B$1000,'🤸 Ingresos Pole'!$W$2:$W$1000,$A126))</f>
        <v/>
      </c>
      <c r="N126" s="28" t="str">
        <f aca="false">IF(OR($A126="",J126=0),"",IF(I126=0,"Sin paquete",IF(I126=1,"Nueva","Recurrente")))</f>
        <v/>
      </c>
      <c r="O126" s="25" t="str">
        <f aca="false">IF(AND(TRIM(B126)="",TRIM(C126)=""),"",TRIM(B126)&amp;"|"&amp;TRIM(C126))</f>
        <v/>
      </c>
      <c r="P126" s="25" t="str">
        <f aca="false">IF(O126="","",IF(TRIM(C126)="",TRIM(B126),IF(TRIM(B126)="",TRIM(C126),TRIM(B126)&amp;", "&amp;TRIM(C126))))</f>
        <v/>
      </c>
      <c r="Q126" s="25" t="str">
        <f aca="false">IF(O126="","",TRIM(TRIM(C126)&amp;" "&amp;TRIM(B126)))</f>
        <v/>
      </c>
      <c r="R126" s="25" t="str">
        <f aca="false">IF(P126="","",COUNTIFS($P$2:$P$1000,"&lt;"&amp;P126,$P$2:$P$1000,"?*")+COUNTIF($P$2:P126,P126))</f>
        <v/>
      </c>
    </row>
    <row r="127" customFormat="false" ht="14.25" hidden="false" customHeight="true" outlineLevel="0" collapsed="false">
      <c r="A127" s="25" t="s">
        <v>325</v>
      </c>
      <c r="B127" s="25"/>
      <c r="C127" s="25"/>
      <c r="D127" s="26"/>
      <c r="E127" s="25"/>
      <c r="F127" s="25"/>
      <c r="G127" s="27"/>
      <c r="H127" s="28" t="str">
        <f aca="true">IF(G127="","",DATEDIF(G127,TODAY(),"Y"))</f>
        <v/>
      </c>
      <c r="I127" s="28" t="n">
        <f aca="false">IF($A127="","",COUNTIFS('🤸 Ingresos Pole'!$W$2:$W$1000,$A127,'🤸 Ingresos Pole'!$L$2:$L$1000,"Paquete"))</f>
        <v>0</v>
      </c>
      <c r="J127" s="28" t="n">
        <f aca="false">IF($A127="","",COUNTIF('🤸 Ingresos Pole'!$W$2:$W$1000,$A127))</f>
        <v>0</v>
      </c>
      <c r="K127" s="29" t="n">
        <f aca="false">IF($A127="","",SUMIF('🤸 Ingresos Pole'!$W$2:$W$1000,$A127,'🤸 Ingresos Pole'!$P$2:$P$1000))</f>
        <v>0</v>
      </c>
      <c r="L127" s="30" t="str">
        <f aca="false">IF(OR($A127="",J127=0),"",_xlfn.MINIFS('🤸 Ingresos Pole'!$B$2:$B$1000,'🤸 Ingresos Pole'!$W$2:$W$1000,$A127))</f>
        <v/>
      </c>
      <c r="M127" s="30" t="str">
        <f aca="false">IF(OR($A127="",J127=0),"",_xlfn.MAXIFS('🤸 Ingresos Pole'!$B$2:$B$1000,'🤸 Ingresos Pole'!$W$2:$W$1000,$A127))</f>
        <v/>
      </c>
      <c r="N127" s="28" t="str">
        <f aca="false">IF(OR($A127="",J127=0),"",IF(I127=0,"Sin paquete",IF(I127=1,"Nueva","Recurrente")))</f>
        <v/>
      </c>
      <c r="O127" s="25" t="str">
        <f aca="false">IF(AND(TRIM(B127)="",TRIM(C127)=""),"",TRIM(B127)&amp;"|"&amp;TRIM(C127))</f>
        <v/>
      </c>
      <c r="P127" s="25" t="str">
        <f aca="false">IF(O127="","",IF(TRIM(C127)="",TRIM(B127),IF(TRIM(B127)="",TRIM(C127),TRIM(B127)&amp;", "&amp;TRIM(C127))))</f>
        <v/>
      </c>
      <c r="Q127" s="25" t="str">
        <f aca="false">IF(O127="","",TRIM(TRIM(C127)&amp;" "&amp;TRIM(B127)))</f>
        <v/>
      </c>
      <c r="R127" s="25" t="str">
        <f aca="false">IF(P127="","",COUNTIFS($P$2:$P$1000,"&lt;"&amp;P127,$P$2:$P$1000,"?*")+COUNTIF($P$2:P127,P127))</f>
        <v/>
      </c>
    </row>
    <row r="128" customFormat="false" ht="14.25" hidden="false" customHeight="true" outlineLevel="0" collapsed="false">
      <c r="A128" s="25" t="s">
        <v>326</v>
      </c>
      <c r="B128" s="25"/>
      <c r="C128" s="25"/>
      <c r="D128" s="26"/>
      <c r="E128" s="25"/>
      <c r="F128" s="25"/>
      <c r="G128" s="27"/>
      <c r="H128" s="28" t="str">
        <f aca="true">IF(G128="","",DATEDIF(G128,TODAY(),"Y"))</f>
        <v/>
      </c>
      <c r="I128" s="28" t="n">
        <f aca="false">IF($A128="","",COUNTIFS('🤸 Ingresos Pole'!$W$2:$W$1000,$A128,'🤸 Ingresos Pole'!$L$2:$L$1000,"Paquete"))</f>
        <v>0</v>
      </c>
      <c r="J128" s="28" t="n">
        <f aca="false">IF($A128="","",COUNTIF('🤸 Ingresos Pole'!$W$2:$W$1000,$A128))</f>
        <v>0</v>
      </c>
      <c r="K128" s="29" t="n">
        <f aca="false">IF($A128="","",SUMIF('🤸 Ingresos Pole'!$W$2:$W$1000,$A128,'🤸 Ingresos Pole'!$P$2:$P$1000))</f>
        <v>0</v>
      </c>
      <c r="L128" s="30" t="str">
        <f aca="false">IF(OR($A128="",J128=0),"",_xlfn.MINIFS('🤸 Ingresos Pole'!$B$2:$B$1000,'🤸 Ingresos Pole'!$W$2:$W$1000,$A128))</f>
        <v/>
      </c>
      <c r="M128" s="30" t="str">
        <f aca="false">IF(OR($A128="",J128=0),"",_xlfn.MAXIFS('🤸 Ingresos Pole'!$B$2:$B$1000,'🤸 Ingresos Pole'!$W$2:$W$1000,$A128))</f>
        <v/>
      </c>
      <c r="N128" s="28" t="str">
        <f aca="false">IF(OR($A128="",J128=0),"",IF(I128=0,"Sin paquete",IF(I128=1,"Nueva","Recurrente")))</f>
        <v/>
      </c>
      <c r="O128" s="25" t="str">
        <f aca="false">IF(AND(TRIM(B128)="",TRIM(C128)=""),"",TRIM(B128)&amp;"|"&amp;TRIM(C128))</f>
        <v/>
      </c>
      <c r="P128" s="25" t="str">
        <f aca="false">IF(O128="","",IF(TRIM(C128)="",TRIM(B128),IF(TRIM(B128)="",TRIM(C128),TRIM(B128)&amp;", "&amp;TRIM(C128))))</f>
        <v/>
      </c>
      <c r="Q128" s="25" t="str">
        <f aca="false">IF(O128="","",TRIM(TRIM(C128)&amp;" "&amp;TRIM(B128)))</f>
        <v/>
      </c>
      <c r="R128" s="25" t="str">
        <f aca="false">IF(P128="","",COUNTIFS($P$2:$P$1000,"&lt;"&amp;P128,$P$2:$P$1000,"?*")+COUNTIF($P$2:P128,P128))</f>
        <v/>
      </c>
    </row>
    <row r="129" customFormat="false" ht="14.25" hidden="false" customHeight="true" outlineLevel="0" collapsed="false">
      <c r="A129" s="25" t="s">
        <v>327</v>
      </c>
      <c r="B129" s="25"/>
      <c r="C129" s="25"/>
      <c r="D129" s="26"/>
      <c r="E129" s="25"/>
      <c r="F129" s="25"/>
      <c r="G129" s="27"/>
      <c r="H129" s="28" t="str">
        <f aca="true">IF(G129="","",DATEDIF(G129,TODAY(),"Y"))</f>
        <v/>
      </c>
      <c r="I129" s="28" t="n">
        <f aca="false">IF($A129="","",COUNTIFS('🤸 Ingresos Pole'!$W$2:$W$1000,$A129,'🤸 Ingresos Pole'!$L$2:$L$1000,"Paquete"))</f>
        <v>0</v>
      </c>
      <c r="J129" s="28" t="n">
        <f aca="false">IF($A129="","",COUNTIF('🤸 Ingresos Pole'!$W$2:$W$1000,$A129))</f>
        <v>0</v>
      </c>
      <c r="K129" s="29" t="n">
        <f aca="false">IF($A129="","",SUMIF('🤸 Ingresos Pole'!$W$2:$W$1000,$A129,'🤸 Ingresos Pole'!$P$2:$P$1000))</f>
        <v>0</v>
      </c>
      <c r="L129" s="30" t="str">
        <f aca="false">IF(OR($A129="",J129=0),"",_xlfn.MINIFS('🤸 Ingresos Pole'!$B$2:$B$1000,'🤸 Ingresos Pole'!$W$2:$W$1000,$A129))</f>
        <v/>
      </c>
      <c r="M129" s="30" t="str">
        <f aca="false">IF(OR($A129="",J129=0),"",_xlfn.MAXIFS('🤸 Ingresos Pole'!$B$2:$B$1000,'🤸 Ingresos Pole'!$W$2:$W$1000,$A129))</f>
        <v/>
      </c>
      <c r="N129" s="28" t="str">
        <f aca="false">IF(OR($A129="",J129=0),"",IF(I129=0,"Sin paquete",IF(I129=1,"Nueva","Recurrente")))</f>
        <v/>
      </c>
      <c r="O129" s="25" t="str">
        <f aca="false">IF(AND(TRIM(B129)="",TRIM(C129)=""),"",TRIM(B129)&amp;"|"&amp;TRIM(C129))</f>
        <v/>
      </c>
      <c r="P129" s="25" t="str">
        <f aca="false">IF(O129="","",IF(TRIM(C129)="",TRIM(B129),IF(TRIM(B129)="",TRIM(C129),TRIM(B129)&amp;", "&amp;TRIM(C129))))</f>
        <v/>
      </c>
      <c r="Q129" s="25" t="str">
        <f aca="false">IF(O129="","",TRIM(TRIM(C129)&amp;" "&amp;TRIM(B129)))</f>
        <v/>
      </c>
      <c r="R129" s="25" t="str">
        <f aca="false">IF(P129="","",COUNTIFS($P$2:$P$1000,"&lt;"&amp;P129,$P$2:$P$1000,"?*")+COUNTIF($P$2:P129,P129))</f>
        <v/>
      </c>
    </row>
    <row r="130" customFormat="false" ht="14.25" hidden="false" customHeight="true" outlineLevel="0" collapsed="false">
      <c r="A130" s="25" t="s">
        <v>328</v>
      </c>
      <c r="B130" s="25"/>
      <c r="C130" s="25"/>
      <c r="D130" s="26"/>
      <c r="E130" s="25"/>
      <c r="F130" s="25"/>
      <c r="G130" s="27"/>
      <c r="H130" s="28" t="str">
        <f aca="true">IF(G130="","",DATEDIF(G130,TODAY(),"Y"))</f>
        <v/>
      </c>
      <c r="I130" s="28" t="n">
        <f aca="false">IF($A130="","",COUNTIFS('🤸 Ingresos Pole'!$W$2:$W$1000,$A130,'🤸 Ingresos Pole'!$L$2:$L$1000,"Paquete"))</f>
        <v>0</v>
      </c>
      <c r="J130" s="28" t="n">
        <f aca="false">IF($A130="","",COUNTIF('🤸 Ingresos Pole'!$W$2:$W$1000,$A130))</f>
        <v>0</v>
      </c>
      <c r="K130" s="29" t="n">
        <f aca="false">IF($A130="","",SUMIF('🤸 Ingresos Pole'!$W$2:$W$1000,$A130,'🤸 Ingresos Pole'!$P$2:$P$1000))</f>
        <v>0</v>
      </c>
      <c r="L130" s="30" t="str">
        <f aca="false">IF(OR($A130="",J130=0),"",_xlfn.MINIFS('🤸 Ingresos Pole'!$B$2:$B$1000,'🤸 Ingresos Pole'!$W$2:$W$1000,$A130))</f>
        <v/>
      </c>
      <c r="M130" s="30" t="str">
        <f aca="false">IF(OR($A130="",J130=0),"",_xlfn.MAXIFS('🤸 Ingresos Pole'!$B$2:$B$1000,'🤸 Ingresos Pole'!$W$2:$W$1000,$A130))</f>
        <v/>
      </c>
      <c r="N130" s="28" t="str">
        <f aca="false">IF(OR($A130="",J130=0),"",IF(I130=0,"Sin paquete",IF(I130=1,"Nueva","Recurrente")))</f>
        <v/>
      </c>
      <c r="O130" s="25" t="str">
        <f aca="false">IF(AND(TRIM(B130)="",TRIM(C130)=""),"",TRIM(B130)&amp;"|"&amp;TRIM(C130))</f>
        <v/>
      </c>
      <c r="P130" s="25" t="str">
        <f aca="false">IF(O130="","",IF(TRIM(C130)="",TRIM(B130),IF(TRIM(B130)="",TRIM(C130),TRIM(B130)&amp;", "&amp;TRIM(C130))))</f>
        <v/>
      </c>
      <c r="Q130" s="25" t="str">
        <f aca="false">IF(O130="","",TRIM(TRIM(C130)&amp;" "&amp;TRIM(B130)))</f>
        <v/>
      </c>
      <c r="R130" s="25" t="str">
        <f aca="false">IF(P130="","",COUNTIFS($P$2:$P$1000,"&lt;"&amp;P130,$P$2:$P$1000,"?*")+COUNTIF($P$2:P130,P130))</f>
        <v/>
      </c>
    </row>
    <row r="131" customFormat="false" ht="14.25" hidden="false" customHeight="true" outlineLevel="0" collapsed="false">
      <c r="A131" s="25" t="s">
        <v>329</v>
      </c>
      <c r="B131" s="25"/>
      <c r="C131" s="25"/>
      <c r="D131" s="26"/>
      <c r="E131" s="25"/>
      <c r="F131" s="25"/>
      <c r="G131" s="27"/>
      <c r="H131" s="28" t="str">
        <f aca="true">IF(G131="","",DATEDIF(G131,TODAY(),"Y"))</f>
        <v/>
      </c>
      <c r="I131" s="28" t="n">
        <f aca="false">IF($A131="","",COUNTIFS('🤸 Ingresos Pole'!$W$2:$W$1000,$A131,'🤸 Ingresos Pole'!$L$2:$L$1000,"Paquete"))</f>
        <v>0</v>
      </c>
      <c r="J131" s="28" t="n">
        <f aca="false">IF($A131="","",COUNTIF('🤸 Ingresos Pole'!$W$2:$W$1000,$A131))</f>
        <v>0</v>
      </c>
      <c r="K131" s="29" t="n">
        <f aca="false">IF($A131="","",SUMIF('🤸 Ingresos Pole'!$W$2:$W$1000,$A131,'🤸 Ingresos Pole'!$P$2:$P$1000))</f>
        <v>0</v>
      </c>
      <c r="L131" s="30" t="str">
        <f aca="false">IF(OR($A131="",J131=0),"",_xlfn.MINIFS('🤸 Ingresos Pole'!$B$2:$B$1000,'🤸 Ingresos Pole'!$W$2:$W$1000,$A131))</f>
        <v/>
      </c>
      <c r="M131" s="30" t="str">
        <f aca="false">IF(OR($A131="",J131=0),"",_xlfn.MAXIFS('🤸 Ingresos Pole'!$B$2:$B$1000,'🤸 Ingresos Pole'!$W$2:$W$1000,$A131))</f>
        <v/>
      </c>
      <c r="N131" s="28" t="str">
        <f aca="false">IF(OR($A131="",J131=0),"",IF(I131=0,"Sin paquete",IF(I131=1,"Nueva","Recurrente")))</f>
        <v/>
      </c>
      <c r="O131" s="25" t="str">
        <f aca="false">IF(AND(TRIM(B131)="",TRIM(C131)=""),"",TRIM(B131)&amp;"|"&amp;TRIM(C131))</f>
        <v/>
      </c>
      <c r="P131" s="25" t="str">
        <f aca="false">IF(O131="","",IF(TRIM(C131)="",TRIM(B131),IF(TRIM(B131)="",TRIM(C131),TRIM(B131)&amp;", "&amp;TRIM(C131))))</f>
        <v/>
      </c>
      <c r="Q131" s="25" t="str">
        <f aca="false">IF(O131="","",TRIM(TRIM(C131)&amp;" "&amp;TRIM(B131)))</f>
        <v/>
      </c>
      <c r="R131" s="25" t="str">
        <f aca="false">IF(P131="","",COUNTIFS($P$2:$P$1000,"&lt;"&amp;P131,$P$2:$P$1000,"?*")+COUNTIF($P$2:P131,P131))</f>
        <v/>
      </c>
    </row>
    <row r="132" customFormat="false" ht="14.25" hidden="false" customHeight="true" outlineLevel="0" collapsed="false">
      <c r="A132" s="25" t="s">
        <v>330</v>
      </c>
      <c r="B132" s="25"/>
      <c r="C132" s="25"/>
      <c r="D132" s="26"/>
      <c r="E132" s="25"/>
      <c r="F132" s="25"/>
      <c r="G132" s="27"/>
      <c r="H132" s="28" t="str">
        <f aca="true">IF(G132="","",DATEDIF(G132,TODAY(),"Y"))</f>
        <v/>
      </c>
      <c r="I132" s="28" t="n">
        <f aca="false">IF($A132="","",COUNTIFS('🤸 Ingresos Pole'!$W$2:$W$1000,$A132,'🤸 Ingresos Pole'!$L$2:$L$1000,"Paquete"))</f>
        <v>0</v>
      </c>
      <c r="J132" s="28" t="n">
        <f aca="false">IF($A132="","",COUNTIF('🤸 Ingresos Pole'!$W$2:$W$1000,$A132))</f>
        <v>0</v>
      </c>
      <c r="K132" s="29" t="n">
        <f aca="false">IF($A132="","",SUMIF('🤸 Ingresos Pole'!$W$2:$W$1000,$A132,'🤸 Ingresos Pole'!$P$2:$P$1000))</f>
        <v>0</v>
      </c>
      <c r="L132" s="30" t="str">
        <f aca="false">IF(OR($A132="",J132=0),"",_xlfn.MINIFS('🤸 Ingresos Pole'!$B$2:$B$1000,'🤸 Ingresos Pole'!$W$2:$W$1000,$A132))</f>
        <v/>
      </c>
      <c r="M132" s="30" t="str">
        <f aca="false">IF(OR($A132="",J132=0),"",_xlfn.MAXIFS('🤸 Ingresos Pole'!$B$2:$B$1000,'🤸 Ingresos Pole'!$W$2:$W$1000,$A132))</f>
        <v/>
      </c>
      <c r="N132" s="28" t="str">
        <f aca="false">IF(OR($A132="",J132=0),"",IF(I132=0,"Sin paquete",IF(I132=1,"Nueva","Recurrente")))</f>
        <v/>
      </c>
      <c r="O132" s="25" t="str">
        <f aca="false">IF(AND(TRIM(B132)="",TRIM(C132)=""),"",TRIM(B132)&amp;"|"&amp;TRIM(C132))</f>
        <v/>
      </c>
      <c r="P132" s="25" t="str">
        <f aca="false">IF(O132="","",IF(TRIM(C132)="",TRIM(B132),IF(TRIM(B132)="",TRIM(C132),TRIM(B132)&amp;", "&amp;TRIM(C132))))</f>
        <v/>
      </c>
      <c r="Q132" s="25" t="str">
        <f aca="false">IF(O132="","",TRIM(TRIM(C132)&amp;" "&amp;TRIM(B132)))</f>
        <v/>
      </c>
      <c r="R132" s="25" t="str">
        <f aca="false">IF(P132="","",COUNTIFS($P$2:$P$1000,"&lt;"&amp;P132,$P$2:$P$1000,"?*")+COUNTIF($P$2:P132,P132))</f>
        <v/>
      </c>
    </row>
    <row r="133" customFormat="false" ht="14.25" hidden="false" customHeight="true" outlineLevel="0" collapsed="false">
      <c r="A133" s="25" t="s">
        <v>331</v>
      </c>
      <c r="B133" s="25"/>
      <c r="C133" s="25"/>
      <c r="D133" s="26"/>
      <c r="E133" s="25"/>
      <c r="F133" s="25"/>
      <c r="G133" s="27"/>
      <c r="H133" s="28" t="str">
        <f aca="true">IF(G133="","",DATEDIF(G133,TODAY(),"Y"))</f>
        <v/>
      </c>
      <c r="I133" s="28" t="n">
        <f aca="false">IF($A133="","",COUNTIFS('🤸 Ingresos Pole'!$W$2:$W$1000,$A133,'🤸 Ingresos Pole'!$L$2:$L$1000,"Paquete"))</f>
        <v>0</v>
      </c>
      <c r="J133" s="28" t="n">
        <f aca="false">IF($A133="","",COUNTIF('🤸 Ingresos Pole'!$W$2:$W$1000,$A133))</f>
        <v>0</v>
      </c>
      <c r="K133" s="29" t="n">
        <f aca="false">IF($A133="","",SUMIF('🤸 Ingresos Pole'!$W$2:$W$1000,$A133,'🤸 Ingresos Pole'!$P$2:$P$1000))</f>
        <v>0</v>
      </c>
      <c r="L133" s="30" t="str">
        <f aca="false">IF(OR($A133="",J133=0),"",_xlfn.MINIFS('🤸 Ingresos Pole'!$B$2:$B$1000,'🤸 Ingresos Pole'!$W$2:$W$1000,$A133))</f>
        <v/>
      </c>
      <c r="M133" s="30" t="str">
        <f aca="false">IF(OR($A133="",J133=0),"",_xlfn.MAXIFS('🤸 Ingresos Pole'!$B$2:$B$1000,'🤸 Ingresos Pole'!$W$2:$W$1000,$A133))</f>
        <v/>
      </c>
      <c r="N133" s="28" t="str">
        <f aca="false">IF(OR($A133="",J133=0),"",IF(I133=0,"Sin paquete",IF(I133=1,"Nueva","Recurrente")))</f>
        <v/>
      </c>
      <c r="O133" s="25" t="str">
        <f aca="false">IF(AND(TRIM(B133)="",TRIM(C133)=""),"",TRIM(B133)&amp;"|"&amp;TRIM(C133))</f>
        <v/>
      </c>
      <c r="P133" s="25" t="str">
        <f aca="false">IF(O133="","",IF(TRIM(C133)="",TRIM(B133),IF(TRIM(B133)="",TRIM(C133),TRIM(B133)&amp;", "&amp;TRIM(C133))))</f>
        <v/>
      </c>
      <c r="Q133" s="25" t="str">
        <f aca="false">IF(O133="","",TRIM(TRIM(C133)&amp;" "&amp;TRIM(B133)))</f>
        <v/>
      </c>
      <c r="R133" s="25" t="str">
        <f aca="false">IF(P133="","",COUNTIFS($P$2:$P$1000,"&lt;"&amp;P133,$P$2:$P$1000,"?*")+COUNTIF($P$2:P133,P133))</f>
        <v/>
      </c>
    </row>
    <row r="134" customFormat="false" ht="14.25" hidden="false" customHeight="true" outlineLevel="0" collapsed="false">
      <c r="A134" s="25" t="s">
        <v>332</v>
      </c>
      <c r="B134" s="25"/>
      <c r="C134" s="25"/>
      <c r="D134" s="26"/>
      <c r="E134" s="25"/>
      <c r="F134" s="25"/>
      <c r="G134" s="27"/>
      <c r="H134" s="28" t="str">
        <f aca="true">IF(G134="","",DATEDIF(G134,TODAY(),"Y"))</f>
        <v/>
      </c>
      <c r="I134" s="28" t="n">
        <f aca="false">IF($A134="","",COUNTIFS('🤸 Ingresos Pole'!$W$2:$W$1000,$A134,'🤸 Ingresos Pole'!$L$2:$L$1000,"Paquete"))</f>
        <v>0</v>
      </c>
      <c r="J134" s="28" t="n">
        <f aca="false">IF($A134="","",COUNTIF('🤸 Ingresos Pole'!$W$2:$W$1000,$A134))</f>
        <v>0</v>
      </c>
      <c r="K134" s="29" t="n">
        <f aca="false">IF($A134="","",SUMIF('🤸 Ingresos Pole'!$W$2:$W$1000,$A134,'🤸 Ingresos Pole'!$P$2:$P$1000))</f>
        <v>0</v>
      </c>
      <c r="L134" s="30" t="str">
        <f aca="false">IF(OR($A134="",J134=0),"",_xlfn.MINIFS('🤸 Ingresos Pole'!$B$2:$B$1000,'🤸 Ingresos Pole'!$W$2:$W$1000,$A134))</f>
        <v/>
      </c>
      <c r="M134" s="30" t="str">
        <f aca="false">IF(OR($A134="",J134=0),"",_xlfn.MAXIFS('🤸 Ingresos Pole'!$B$2:$B$1000,'🤸 Ingresos Pole'!$W$2:$W$1000,$A134))</f>
        <v/>
      </c>
      <c r="N134" s="28" t="str">
        <f aca="false">IF(OR($A134="",J134=0),"",IF(I134=0,"Sin paquete",IF(I134=1,"Nueva","Recurrente")))</f>
        <v/>
      </c>
      <c r="O134" s="25" t="str">
        <f aca="false">IF(AND(TRIM(B134)="",TRIM(C134)=""),"",TRIM(B134)&amp;"|"&amp;TRIM(C134))</f>
        <v/>
      </c>
      <c r="P134" s="25" t="str">
        <f aca="false">IF(O134="","",IF(TRIM(C134)="",TRIM(B134),IF(TRIM(B134)="",TRIM(C134),TRIM(B134)&amp;", "&amp;TRIM(C134))))</f>
        <v/>
      </c>
      <c r="Q134" s="25" t="str">
        <f aca="false">IF(O134="","",TRIM(TRIM(C134)&amp;" "&amp;TRIM(B134)))</f>
        <v/>
      </c>
      <c r="R134" s="25" t="str">
        <f aca="false">IF(P134="","",COUNTIFS($P$2:$P$1000,"&lt;"&amp;P134,$P$2:$P$1000,"?*")+COUNTIF($P$2:P134,P134))</f>
        <v/>
      </c>
    </row>
    <row r="135" customFormat="false" ht="14.25" hidden="false" customHeight="true" outlineLevel="0" collapsed="false">
      <c r="A135" s="25" t="s">
        <v>333</v>
      </c>
      <c r="B135" s="25"/>
      <c r="C135" s="25"/>
      <c r="D135" s="26"/>
      <c r="E135" s="25"/>
      <c r="F135" s="25"/>
      <c r="G135" s="27"/>
      <c r="H135" s="28" t="str">
        <f aca="true">IF(G135="","",DATEDIF(G135,TODAY(),"Y"))</f>
        <v/>
      </c>
      <c r="I135" s="28" t="n">
        <f aca="false">IF($A135="","",COUNTIFS('🤸 Ingresos Pole'!$W$2:$W$1000,$A135,'🤸 Ingresos Pole'!$L$2:$L$1000,"Paquete"))</f>
        <v>0</v>
      </c>
      <c r="J135" s="28" t="n">
        <f aca="false">IF($A135="","",COUNTIF('🤸 Ingresos Pole'!$W$2:$W$1000,$A135))</f>
        <v>0</v>
      </c>
      <c r="K135" s="29" t="n">
        <f aca="false">IF($A135="","",SUMIF('🤸 Ingresos Pole'!$W$2:$W$1000,$A135,'🤸 Ingresos Pole'!$P$2:$P$1000))</f>
        <v>0</v>
      </c>
      <c r="L135" s="30" t="str">
        <f aca="false">IF(OR($A135="",J135=0),"",_xlfn.MINIFS('🤸 Ingresos Pole'!$B$2:$B$1000,'🤸 Ingresos Pole'!$W$2:$W$1000,$A135))</f>
        <v/>
      </c>
      <c r="M135" s="30" t="str">
        <f aca="false">IF(OR($A135="",J135=0),"",_xlfn.MAXIFS('🤸 Ingresos Pole'!$B$2:$B$1000,'🤸 Ingresos Pole'!$W$2:$W$1000,$A135))</f>
        <v/>
      </c>
      <c r="N135" s="28" t="str">
        <f aca="false">IF(OR($A135="",J135=0),"",IF(I135=0,"Sin paquete",IF(I135=1,"Nueva","Recurrente")))</f>
        <v/>
      </c>
      <c r="O135" s="25" t="str">
        <f aca="false">IF(AND(TRIM(B135)="",TRIM(C135)=""),"",TRIM(B135)&amp;"|"&amp;TRIM(C135))</f>
        <v/>
      </c>
      <c r="P135" s="25" t="str">
        <f aca="false">IF(O135="","",IF(TRIM(C135)="",TRIM(B135),IF(TRIM(B135)="",TRIM(C135),TRIM(B135)&amp;", "&amp;TRIM(C135))))</f>
        <v/>
      </c>
      <c r="Q135" s="25" t="str">
        <f aca="false">IF(O135="","",TRIM(TRIM(C135)&amp;" "&amp;TRIM(B135)))</f>
        <v/>
      </c>
      <c r="R135" s="25" t="str">
        <f aca="false">IF(P135="","",COUNTIFS($P$2:$P$1000,"&lt;"&amp;P135,$P$2:$P$1000,"?*")+COUNTIF($P$2:P135,P135))</f>
        <v/>
      </c>
    </row>
    <row r="136" customFormat="false" ht="14.25" hidden="false" customHeight="true" outlineLevel="0" collapsed="false">
      <c r="A136" s="25" t="s">
        <v>334</v>
      </c>
      <c r="B136" s="25"/>
      <c r="C136" s="25"/>
      <c r="D136" s="26"/>
      <c r="E136" s="25"/>
      <c r="F136" s="25"/>
      <c r="G136" s="27"/>
      <c r="H136" s="28" t="str">
        <f aca="true">IF(G136="","",DATEDIF(G136,TODAY(),"Y"))</f>
        <v/>
      </c>
      <c r="I136" s="28" t="n">
        <f aca="false">IF($A136="","",COUNTIFS('🤸 Ingresos Pole'!$W$2:$W$1000,$A136,'🤸 Ingresos Pole'!$L$2:$L$1000,"Paquete"))</f>
        <v>0</v>
      </c>
      <c r="J136" s="28" t="n">
        <f aca="false">IF($A136="","",COUNTIF('🤸 Ingresos Pole'!$W$2:$W$1000,$A136))</f>
        <v>0</v>
      </c>
      <c r="K136" s="29" t="n">
        <f aca="false">IF($A136="","",SUMIF('🤸 Ingresos Pole'!$W$2:$W$1000,$A136,'🤸 Ingresos Pole'!$P$2:$P$1000))</f>
        <v>0</v>
      </c>
      <c r="L136" s="30" t="str">
        <f aca="false">IF(OR($A136="",J136=0),"",_xlfn.MINIFS('🤸 Ingresos Pole'!$B$2:$B$1000,'🤸 Ingresos Pole'!$W$2:$W$1000,$A136))</f>
        <v/>
      </c>
      <c r="M136" s="30" t="str">
        <f aca="false">IF(OR($A136="",J136=0),"",_xlfn.MAXIFS('🤸 Ingresos Pole'!$B$2:$B$1000,'🤸 Ingresos Pole'!$W$2:$W$1000,$A136))</f>
        <v/>
      </c>
      <c r="N136" s="28" t="str">
        <f aca="false">IF(OR($A136="",J136=0),"",IF(I136=0,"Sin paquete",IF(I136=1,"Nueva","Recurrente")))</f>
        <v/>
      </c>
      <c r="O136" s="25" t="str">
        <f aca="false">IF(AND(TRIM(B136)="",TRIM(C136)=""),"",TRIM(B136)&amp;"|"&amp;TRIM(C136))</f>
        <v/>
      </c>
      <c r="P136" s="25" t="str">
        <f aca="false">IF(O136="","",IF(TRIM(C136)="",TRIM(B136),IF(TRIM(B136)="",TRIM(C136),TRIM(B136)&amp;", "&amp;TRIM(C136))))</f>
        <v/>
      </c>
      <c r="Q136" s="25" t="str">
        <f aca="false">IF(O136="","",TRIM(TRIM(C136)&amp;" "&amp;TRIM(B136)))</f>
        <v/>
      </c>
      <c r="R136" s="25" t="str">
        <f aca="false">IF(P136="","",COUNTIFS($P$2:$P$1000,"&lt;"&amp;P136,$P$2:$P$1000,"?*")+COUNTIF($P$2:P136,P136))</f>
        <v/>
      </c>
    </row>
    <row r="137" customFormat="false" ht="14.25" hidden="false" customHeight="true" outlineLevel="0" collapsed="false">
      <c r="A137" s="25" t="s">
        <v>335</v>
      </c>
      <c r="B137" s="25"/>
      <c r="C137" s="25"/>
      <c r="D137" s="26"/>
      <c r="E137" s="25"/>
      <c r="F137" s="25"/>
      <c r="G137" s="27"/>
      <c r="H137" s="28" t="str">
        <f aca="true">IF(G137="","",DATEDIF(G137,TODAY(),"Y"))</f>
        <v/>
      </c>
      <c r="I137" s="28" t="n">
        <f aca="false">IF($A137="","",COUNTIFS('🤸 Ingresos Pole'!$W$2:$W$1000,$A137,'🤸 Ingresos Pole'!$L$2:$L$1000,"Paquete"))</f>
        <v>0</v>
      </c>
      <c r="J137" s="28" t="n">
        <f aca="false">IF($A137="","",COUNTIF('🤸 Ingresos Pole'!$W$2:$W$1000,$A137))</f>
        <v>0</v>
      </c>
      <c r="K137" s="29" t="n">
        <f aca="false">IF($A137="","",SUMIF('🤸 Ingresos Pole'!$W$2:$W$1000,$A137,'🤸 Ingresos Pole'!$P$2:$P$1000))</f>
        <v>0</v>
      </c>
      <c r="L137" s="30" t="str">
        <f aca="false">IF(OR($A137="",J137=0),"",_xlfn.MINIFS('🤸 Ingresos Pole'!$B$2:$B$1000,'🤸 Ingresos Pole'!$W$2:$W$1000,$A137))</f>
        <v/>
      </c>
      <c r="M137" s="30" t="str">
        <f aca="false">IF(OR($A137="",J137=0),"",_xlfn.MAXIFS('🤸 Ingresos Pole'!$B$2:$B$1000,'🤸 Ingresos Pole'!$W$2:$W$1000,$A137))</f>
        <v/>
      </c>
      <c r="N137" s="28" t="str">
        <f aca="false">IF(OR($A137="",J137=0),"",IF(I137=0,"Sin paquete",IF(I137=1,"Nueva","Recurrente")))</f>
        <v/>
      </c>
      <c r="O137" s="25" t="str">
        <f aca="false">IF(AND(TRIM(B137)="",TRIM(C137)=""),"",TRIM(B137)&amp;"|"&amp;TRIM(C137))</f>
        <v/>
      </c>
      <c r="P137" s="25" t="str">
        <f aca="false">IF(O137="","",IF(TRIM(C137)="",TRIM(B137),IF(TRIM(B137)="",TRIM(C137),TRIM(B137)&amp;", "&amp;TRIM(C137))))</f>
        <v/>
      </c>
      <c r="Q137" s="25" t="str">
        <f aca="false">IF(O137="","",TRIM(TRIM(C137)&amp;" "&amp;TRIM(B137)))</f>
        <v/>
      </c>
      <c r="R137" s="25" t="str">
        <f aca="false">IF(P137="","",COUNTIFS($P$2:$P$1000,"&lt;"&amp;P137,$P$2:$P$1000,"?*")+COUNTIF($P$2:P137,P137))</f>
        <v/>
      </c>
    </row>
    <row r="138" customFormat="false" ht="14.25" hidden="false" customHeight="true" outlineLevel="0" collapsed="false">
      <c r="A138" s="25" t="s">
        <v>336</v>
      </c>
      <c r="B138" s="25"/>
      <c r="C138" s="25"/>
      <c r="D138" s="26"/>
      <c r="E138" s="25"/>
      <c r="F138" s="25"/>
      <c r="G138" s="27"/>
      <c r="H138" s="28" t="str">
        <f aca="true">IF(G138="","",DATEDIF(G138,TODAY(),"Y"))</f>
        <v/>
      </c>
      <c r="I138" s="28" t="n">
        <f aca="false">IF($A138="","",COUNTIFS('🤸 Ingresos Pole'!$W$2:$W$1000,$A138,'🤸 Ingresos Pole'!$L$2:$L$1000,"Paquete"))</f>
        <v>0</v>
      </c>
      <c r="J138" s="28" t="n">
        <f aca="false">IF($A138="","",COUNTIF('🤸 Ingresos Pole'!$W$2:$W$1000,$A138))</f>
        <v>0</v>
      </c>
      <c r="K138" s="29" t="n">
        <f aca="false">IF($A138="","",SUMIF('🤸 Ingresos Pole'!$W$2:$W$1000,$A138,'🤸 Ingresos Pole'!$P$2:$P$1000))</f>
        <v>0</v>
      </c>
      <c r="L138" s="30" t="str">
        <f aca="false">IF(OR($A138="",J138=0),"",_xlfn.MINIFS('🤸 Ingresos Pole'!$B$2:$B$1000,'🤸 Ingresos Pole'!$W$2:$W$1000,$A138))</f>
        <v/>
      </c>
      <c r="M138" s="30" t="str">
        <f aca="false">IF(OR($A138="",J138=0),"",_xlfn.MAXIFS('🤸 Ingresos Pole'!$B$2:$B$1000,'🤸 Ingresos Pole'!$W$2:$W$1000,$A138))</f>
        <v/>
      </c>
      <c r="N138" s="28" t="str">
        <f aca="false">IF(OR($A138="",J138=0),"",IF(I138=0,"Sin paquete",IF(I138=1,"Nueva","Recurrente")))</f>
        <v/>
      </c>
      <c r="O138" s="25" t="str">
        <f aca="false">IF(AND(TRIM(B138)="",TRIM(C138)=""),"",TRIM(B138)&amp;"|"&amp;TRIM(C138))</f>
        <v/>
      </c>
      <c r="P138" s="25" t="str">
        <f aca="false">IF(O138="","",IF(TRIM(C138)="",TRIM(B138),IF(TRIM(B138)="",TRIM(C138),TRIM(B138)&amp;", "&amp;TRIM(C138))))</f>
        <v/>
      </c>
      <c r="Q138" s="25" t="str">
        <f aca="false">IF(O138="","",TRIM(TRIM(C138)&amp;" "&amp;TRIM(B138)))</f>
        <v/>
      </c>
      <c r="R138" s="25" t="str">
        <f aca="false">IF(P138="","",COUNTIFS($P$2:$P$1000,"&lt;"&amp;P138,$P$2:$P$1000,"?*")+COUNTIF($P$2:P138,P138))</f>
        <v/>
      </c>
    </row>
    <row r="139" customFormat="false" ht="14.25" hidden="false" customHeight="true" outlineLevel="0" collapsed="false">
      <c r="A139" s="25" t="s">
        <v>337</v>
      </c>
      <c r="B139" s="25"/>
      <c r="C139" s="25"/>
      <c r="D139" s="26"/>
      <c r="E139" s="25"/>
      <c r="F139" s="25"/>
      <c r="G139" s="27"/>
      <c r="H139" s="28" t="str">
        <f aca="true">IF(G139="","",DATEDIF(G139,TODAY(),"Y"))</f>
        <v/>
      </c>
      <c r="I139" s="28" t="n">
        <f aca="false">IF($A139="","",COUNTIFS('🤸 Ingresos Pole'!$W$2:$W$1000,$A139,'🤸 Ingresos Pole'!$L$2:$L$1000,"Paquete"))</f>
        <v>0</v>
      </c>
      <c r="J139" s="28" t="n">
        <f aca="false">IF($A139="","",COUNTIF('🤸 Ingresos Pole'!$W$2:$W$1000,$A139))</f>
        <v>0</v>
      </c>
      <c r="K139" s="29" t="n">
        <f aca="false">IF($A139="","",SUMIF('🤸 Ingresos Pole'!$W$2:$W$1000,$A139,'🤸 Ingresos Pole'!$P$2:$P$1000))</f>
        <v>0</v>
      </c>
      <c r="L139" s="30" t="str">
        <f aca="false">IF(OR($A139="",J139=0),"",_xlfn.MINIFS('🤸 Ingresos Pole'!$B$2:$B$1000,'🤸 Ingresos Pole'!$W$2:$W$1000,$A139))</f>
        <v/>
      </c>
      <c r="M139" s="30" t="str">
        <f aca="false">IF(OR($A139="",J139=0),"",_xlfn.MAXIFS('🤸 Ingresos Pole'!$B$2:$B$1000,'🤸 Ingresos Pole'!$W$2:$W$1000,$A139))</f>
        <v/>
      </c>
      <c r="N139" s="28" t="str">
        <f aca="false">IF(OR($A139="",J139=0),"",IF(I139=0,"Sin paquete",IF(I139=1,"Nueva","Recurrente")))</f>
        <v/>
      </c>
      <c r="O139" s="25" t="str">
        <f aca="false">IF(AND(TRIM(B139)="",TRIM(C139)=""),"",TRIM(B139)&amp;"|"&amp;TRIM(C139))</f>
        <v/>
      </c>
      <c r="P139" s="25" t="str">
        <f aca="false">IF(O139="","",IF(TRIM(C139)="",TRIM(B139),IF(TRIM(B139)="",TRIM(C139),TRIM(B139)&amp;", "&amp;TRIM(C139))))</f>
        <v/>
      </c>
      <c r="Q139" s="25" t="str">
        <f aca="false">IF(O139="","",TRIM(TRIM(C139)&amp;" "&amp;TRIM(B139)))</f>
        <v/>
      </c>
      <c r="R139" s="25" t="str">
        <f aca="false">IF(P139="","",COUNTIFS($P$2:$P$1000,"&lt;"&amp;P139,$P$2:$P$1000,"?*")+COUNTIF($P$2:P139,P139))</f>
        <v/>
      </c>
    </row>
    <row r="140" customFormat="false" ht="14.25" hidden="false" customHeight="true" outlineLevel="0" collapsed="false">
      <c r="A140" s="25" t="s">
        <v>338</v>
      </c>
      <c r="B140" s="25"/>
      <c r="C140" s="25"/>
      <c r="D140" s="26"/>
      <c r="E140" s="25"/>
      <c r="F140" s="25"/>
      <c r="G140" s="27"/>
      <c r="H140" s="28" t="str">
        <f aca="true">IF(G140="","",DATEDIF(G140,TODAY(),"Y"))</f>
        <v/>
      </c>
      <c r="I140" s="28" t="n">
        <f aca="false">IF($A140="","",COUNTIFS('🤸 Ingresos Pole'!$W$2:$W$1000,$A140,'🤸 Ingresos Pole'!$L$2:$L$1000,"Paquete"))</f>
        <v>0</v>
      </c>
      <c r="J140" s="28" t="n">
        <f aca="false">IF($A140="","",COUNTIF('🤸 Ingresos Pole'!$W$2:$W$1000,$A140))</f>
        <v>0</v>
      </c>
      <c r="K140" s="29" t="n">
        <f aca="false">IF($A140="","",SUMIF('🤸 Ingresos Pole'!$W$2:$W$1000,$A140,'🤸 Ingresos Pole'!$P$2:$P$1000))</f>
        <v>0</v>
      </c>
      <c r="L140" s="30" t="str">
        <f aca="false">IF(OR($A140="",J140=0),"",_xlfn.MINIFS('🤸 Ingresos Pole'!$B$2:$B$1000,'🤸 Ingresos Pole'!$W$2:$W$1000,$A140))</f>
        <v/>
      </c>
      <c r="M140" s="30" t="str">
        <f aca="false">IF(OR($A140="",J140=0),"",_xlfn.MAXIFS('🤸 Ingresos Pole'!$B$2:$B$1000,'🤸 Ingresos Pole'!$W$2:$W$1000,$A140))</f>
        <v/>
      </c>
      <c r="N140" s="28" t="str">
        <f aca="false">IF(OR($A140="",J140=0),"",IF(I140=0,"Sin paquete",IF(I140=1,"Nueva","Recurrente")))</f>
        <v/>
      </c>
      <c r="O140" s="25" t="str">
        <f aca="false">IF(AND(TRIM(B140)="",TRIM(C140)=""),"",TRIM(B140)&amp;"|"&amp;TRIM(C140))</f>
        <v/>
      </c>
      <c r="P140" s="25" t="str">
        <f aca="false">IF(O140="","",IF(TRIM(C140)="",TRIM(B140),IF(TRIM(B140)="",TRIM(C140),TRIM(B140)&amp;", "&amp;TRIM(C140))))</f>
        <v/>
      </c>
      <c r="Q140" s="25" t="str">
        <f aca="false">IF(O140="","",TRIM(TRIM(C140)&amp;" "&amp;TRIM(B140)))</f>
        <v/>
      </c>
      <c r="R140" s="25" t="str">
        <f aca="false">IF(P140="","",COUNTIFS($P$2:$P$1000,"&lt;"&amp;P140,$P$2:$P$1000,"?*")+COUNTIF($P$2:P140,P140))</f>
        <v/>
      </c>
    </row>
    <row r="141" customFormat="false" ht="14.25" hidden="false" customHeight="true" outlineLevel="0" collapsed="false">
      <c r="A141" s="25" t="s">
        <v>339</v>
      </c>
      <c r="B141" s="25"/>
      <c r="C141" s="25"/>
      <c r="D141" s="26"/>
      <c r="E141" s="25"/>
      <c r="F141" s="25"/>
      <c r="G141" s="27"/>
      <c r="H141" s="28" t="str">
        <f aca="true">IF(G141="","",DATEDIF(G141,TODAY(),"Y"))</f>
        <v/>
      </c>
      <c r="I141" s="28" t="n">
        <f aca="false">IF($A141="","",COUNTIFS('🤸 Ingresos Pole'!$W$2:$W$1000,$A141,'🤸 Ingresos Pole'!$L$2:$L$1000,"Paquete"))</f>
        <v>0</v>
      </c>
      <c r="J141" s="28" t="n">
        <f aca="false">IF($A141="","",COUNTIF('🤸 Ingresos Pole'!$W$2:$W$1000,$A141))</f>
        <v>0</v>
      </c>
      <c r="K141" s="29" t="n">
        <f aca="false">IF($A141="","",SUMIF('🤸 Ingresos Pole'!$W$2:$W$1000,$A141,'🤸 Ingresos Pole'!$P$2:$P$1000))</f>
        <v>0</v>
      </c>
      <c r="L141" s="30" t="str">
        <f aca="false">IF(OR($A141="",J141=0),"",_xlfn.MINIFS('🤸 Ingresos Pole'!$B$2:$B$1000,'🤸 Ingresos Pole'!$W$2:$W$1000,$A141))</f>
        <v/>
      </c>
      <c r="M141" s="30" t="str">
        <f aca="false">IF(OR($A141="",J141=0),"",_xlfn.MAXIFS('🤸 Ingresos Pole'!$B$2:$B$1000,'🤸 Ingresos Pole'!$W$2:$W$1000,$A141))</f>
        <v/>
      </c>
      <c r="N141" s="28" t="str">
        <f aca="false">IF(OR($A141="",J141=0),"",IF(I141=0,"Sin paquete",IF(I141=1,"Nueva","Recurrente")))</f>
        <v/>
      </c>
      <c r="O141" s="25" t="str">
        <f aca="false">IF(AND(TRIM(B141)="",TRIM(C141)=""),"",TRIM(B141)&amp;"|"&amp;TRIM(C141))</f>
        <v/>
      </c>
      <c r="P141" s="25" t="str">
        <f aca="false">IF(O141="","",IF(TRIM(C141)="",TRIM(B141),IF(TRIM(B141)="",TRIM(C141),TRIM(B141)&amp;", "&amp;TRIM(C141))))</f>
        <v/>
      </c>
      <c r="Q141" s="25" t="str">
        <f aca="false">IF(O141="","",TRIM(TRIM(C141)&amp;" "&amp;TRIM(B141)))</f>
        <v/>
      </c>
      <c r="R141" s="25" t="str">
        <f aca="false">IF(P141="","",COUNTIFS($P$2:$P$1000,"&lt;"&amp;P141,$P$2:$P$1000,"?*")+COUNTIF($P$2:P141,P141))</f>
        <v/>
      </c>
    </row>
    <row r="142" customFormat="false" ht="14.25" hidden="false" customHeight="true" outlineLevel="0" collapsed="false">
      <c r="A142" s="25" t="s">
        <v>340</v>
      </c>
      <c r="B142" s="25"/>
      <c r="C142" s="25"/>
      <c r="D142" s="26"/>
      <c r="E142" s="25"/>
      <c r="F142" s="25"/>
      <c r="G142" s="27"/>
      <c r="H142" s="28" t="str">
        <f aca="true">IF(G142="","",DATEDIF(G142,TODAY(),"Y"))</f>
        <v/>
      </c>
      <c r="I142" s="28" t="n">
        <f aca="false">IF($A142="","",COUNTIFS('🤸 Ingresos Pole'!$W$2:$W$1000,$A142,'🤸 Ingresos Pole'!$L$2:$L$1000,"Paquete"))</f>
        <v>0</v>
      </c>
      <c r="J142" s="28" t="n">
        <f aca="false">IF($A142="","",COUNTIF('🤸 Ingresos Pole'!$W$2:$W$1000,$A142))</f>
        <v>0</v>
      </c>
      <c r="K142" s="29" t="n">
        <f aca="false">IF($A142="","",SUMIF('🤸 Ingresos Pole'!$W$2:$W$1000,$A142,'🤸 Ingresos Pole'!$P$2:$P$1000))</f>
        <v>0</v>
      </c>
      <c r="L142" s="30" t="str">
        <f aca="false">IF(OR($A142="",J142=0),"",_xlfn.MINIFS('🤸 Ingresos Pole'!$B$2:$B$1000,'🤸 Ingresos Pole'!$W$2:$W$1000,$A142))</f>
        <v/>
      </c>
      <c r="M142" s="30" t="str">
        <f aca="false">IF(OR($A142="",J142=0),"",_xlfn.MAXIFS('🤸 Ingresos Pole'!$B$2:$B$1000,'🤸 Ingresos Pole'!$W$2:$W$1000,$A142))</f>
        <v/>
      </c>
      <c r="N142" s="28" t="str">
        <f aca="false">IF(OR($A142="",J142=0),"",IF(I142=0,"Sin paquete",IF(I142=1,"Nueva","Recurrente")))</f>
        <v/>
      </c>
      <c r="O142" s="25" t="str">
        <f aca="false">IF(AND(TRIM(B142)="",TRIM(C142)=""),"",TRIM(B142)&amp;"|"&amp;TRIM(C142))</f>
        <v/>
      </c>
      <c r="P142" s="25" t="str">
        <f aca="false">IF(O142="","",IF(TRIM(C142)="",TRIM(B142),IF(TRIM(B142)="",TRIM(C142),TRIM(B142)&amp;", "&amp;TRIM(C142))))</f>
        <v/>
      </c>
      <c r="Q142" s="25" t="str">
        <f aca="false">IF(O142="","",TRIM(TRIM(C142)&amp;" "&amp;TRIM(B142)))</f>
        <v/>
      </c>
      <c r="R142" s="25" t="str">
        <f aca="false">IF(P142="","",COUNTIFS($P$2:$P$1000,"&lt;"&amp;P142,$P$2:$P$1000,"?*")+COUNTIF($P$2:P142,P142))</f>
        <v/>
      </c>
    </row>
    <row r="143" customFormat="false" ht="14.25" hidden="false" customHeight="true" outlineLevel="0" collapsed="false">
      <c r="A143" s="25" t="s">
        <v>341</v>
      </c>
      <c r="B143" s="25"/>
      <c r="C143" s="25"/>
      <c r="D143" s="26"/>
      <c r="E143" s="25"/>
      <c r="F143" s="25"/>
      <c r="G143" s="27"/>
      <c r="H143" s="28" t="str">
        <f aca="true">IF(G143="","",DATEDIF(G143,TODAY(),"Y"))</f>
        <v/>
      </c>
      <c r="I143" s="28" t="n">
        <f aca="false">IF($A143="","",COUNTIFS('🤸 Ingresos Pole'!$W$2:$W$1000,$A143,'🤸 Ingresos Pole'!$L$2:$L$1000,"Paquete"))</f>
        <v>0</v>
      </c>
      <c r="J143" s="28" t="n">
        <f aca="false">IF($A143="","",COUNTIF('🤸 Ingresos Pole'!$W$2:$W$1000,$A143))</f>
        <v>0</v>
      </c>
      <c r="K143" s="29" t="n">
        <f aca="false">IF($A143="","",SUMIF('🤸 Ingresos Pole'!$W$2:$W$1000,$A143,'🤸 Ingresos Pole'!$P$2:$P$1000))</f>
        <v>0</v>
      </c>
      <c r="L143" s="30" t="str">
        <f aca="false">IF(OR($A143="",J143=0),"",_xlfn.MINIFS('🤸 Ingresos Pole'!$B$2:$B$1000,'🤸 Ingresos Pole'!$W$2:$W$1000,$A143))</f>
        <v/>
      </c>
      <c r="M143" s="30" t="str">
        <f aca="false">IF(OR($A143="",J143=0),"",_xlfn.MAXIFS('🤸 Ingresos Pole'!$B$2:$B$1000,'🤸 Ingresos Pole'!$W$2:$W$1000,$A143))</f>
        <v/>
      </c>
      <c r="N143" s="28" t="str">
        <f aca="false">IF(OR($A143="",J143=0),"",IF(I143=0,"Sin paquete",IF(I143=1,"Nueva","Recurrente")))</f>
        <v/>
      </c>
      <c r="O143" s="25" t="str">
        <f aca="false">IF(AND(TRIM(B143)="",TRIM(C143)=""),"",TRIM(B143)&amp;"|"&amp;TRIM(C143))</f>
        <v/>
      </c>
      <c r="P143" s="25" t="str">
        <f aca="false">IF(O143="","",IF(TRIM(C143)="",TRIM(B143),IF(TRIM(B143)="",TRIM(C143),TRIM(B143)&amp;", "&amp;TRIM(C143))))</f>
        <v/>
      </c>
      <c r="Q143" s="25" t="str">
        <f aca="false">IF(O143="","",TRIM(TRIM(C143)&amp;" "&amp;TRIM(B143)))</f>
        <v/>
      </c>
      <c r="R143" s="25" t="str">
        <f aca="false">IF(P143="","",COUNTIFS($P$2:$P$1000,"&lt;"&amp;P143,$P$2:$P$1000,"?*")+COUNTIF($P$2:P143,P143))</f>
        <v/>
      </c>
    </row>
    <row r="144" customFormat="false" ht="14.25" hidden="false" customHeight="true" outlineLevel="0" collapsed="false">
      <c r="A144" s="25" t="s">
        <v>342</v>
      </c>
      <c r="B144" s="25"/>
      <c r="C144" s="25"/>
      <c r="D144" s="26"/>
      <c r="E144" s="25"/>
      <c r="F144" s="25"/>
      <c r="G144" s="27"/>
      <c r="H144" s="28" t="str">
        <f aca="true">IF(G144="","",DATEDIF(G144,TODAY(),"Y"))</f>
        <v/>
      </c>
      <c r="I144" s="28" t="n">
        <f aca="false">IF($A144="","",COUNTIFS('🤸 Ingresos Pole'!$W$2:$W$1000,$A144,'🤸 Ingresos Pole'!$L$2:$L$1000,"Paquete"))</f>
        <v>0</v>
      </c>
      <c r="J144" s="28" t="n">
        <f aca="false">IF($A144="","",COUNTIF('🤸 Ingresos Pole'!$W$2:$W$1000,$A144))</f>
        <v>0</v>
      </c>
      <c r="K144" s="29" t="n">
        <f aca="false">IF($A144="","",SUMIF('🤸 Ingresos Pole'!$W$2:$W$1000,$A144,'🤸 Ingresos Pole'!$P$2:$P$1000))</f>
        <v>0</v>
      </c>
      <c r="L144" s="30" t="str">
        <f aca="false">IF(OR($A144="",J144=0),"",_xlfn.MINIFS('🤸 Ingresos Pole'!$B$2:$B$1000,'🤸 Ingresos Pole'!$W$2:$W$1000,$A144))</f>
        <v/>
      </c>
      <c r="M144" s="30" t="str">
        <f aca="false">IF(OR($A144="",J144=0),"",_xlfn.MAXIFS('🤸 Ingresos Pole'!$B$2:$B$1000,'🤸 Ingresos Pole'!$W$2:$W$1000,$A144))</f>
        <v/>
      </c>
      <c r="N144" s="28" t="str">
        <f aca="false">IF(OR($A144="",J144=0),"",IF(I144=0,"Sin paquete",IF(I144=1,"Nueva","Recurrente")))</f>
        <v/>
      </c>
      <c r="O144" s="25" t="str">
        <f aca="false">IF(AND(TRIM(B144)="",TRIM(C144)=""),"",TRIM(B144)&amp;"|"&amp;TRIM(C144))</f>
        <v/>
      </c>
      <c r="P144" s="25" t="str">
        <f aca="false">IF(O144="","",IF(TRIM(C144)="",TRIM(B144),IF(TRIM(B144)="",TRIM(C144),TRIM(B144)&amp;", "&amp;TRIM(C144))))</f>
        <v/>
      </c>
      <c r="Q144" s="25" t="str">
        <f aca="false">IF(O144="","",TRIM(TRIM(C144)&amp;" "&amp;TRIM(B144)))</f>
        <v/>
      </c>
      <c r="R144" s="25" t="str">
        <f aca="false">IF(P144="","",COUNTIFS($P$2:$P$1000,"&lt;"&amp;P144,$P$2:$P$1000,"?*")+COUNTIF($P$2:P144,P144))</f>
        <v/>
      </c>
    </row>
    <row r="145" customFormat="false" ht="14.25" hidden="false" customHeight="true" outlineLevel="0" collapsed="false">
      <c r="A145" s="25" t="s">
        <v>343</v>
      </c>
      <c r="B145" s="25"/>
      <c r="C145" s="25"/>
      <c r="D145" s="26"/>
      <c r="E145" s="25"/>
      <c r="F145" s="25"/>
      <c r="G145" s="27"/>
      <c r="H145" s="28" t="str">
        <f aca="true">IF(G145="","",DATEDIF(G145,TODAY(),"Y"))</f>
        <v/>
      </c>
      <c r="I145" s="28" t="n">
        <f aca="false">IF($A145="","",COUNTIFS('🤸 Ingresos Pole'!$W$2:$W$1000,$A145,'🤸 Ingresos Pole'!$L$2:$L$1000,"Paquete"))</f>
        <v>0</v>
      </c>
      <c r="J145" s="28" t="n">
        <f aca="false">IF($A145="","",COUNTIF('🤸 Ingresos Pole'!$W$2:$W$1000,$A145))</f>
        <v>0</v>
      </c>
      <c r="K145" s="29" t="n">
        <f aca="false">IF($A145="","",SUMIF('🤸 Ingresos Pole'!$W$2:$W$1000,$A145,'🤸 Ingresos Pole'!$P$2:$P$1000))</f>
        <v>0</v>
      </c>
      <c r="L145" s="30" t="str">
        <f aca="false">IF(OR($A145="",J145=0),"",_xlfn.MINIFS('🤸 Ingresos Pole'!$B$2:$B$1000,'🤸 Ingresos Pole'!$W$2:$W$1000,$A145))</f>
        <v/>
      </c>
      <c r="M145" s="30" t="str">
        <f aca="false">IF(OR($A145="",J145=0),"",_xlfn.MAXIFS('🤸 Ingresos Pole'!$B$2:$B$1000,'🤸 Ingresos Pole'!$W$2:$W$1000,$A145))</f>
        <v/>
      </c>
      <c r="N145" s="28" t="str">
        <f aca="false">IF(OR($A145="",J145=0),"",IF(I145=0,"Sin paquete",IF(I145=1,"Nueva","Recurrente")))</f>
        <v/>
      </c>
      <c r="O145" s="25" t="str">
        <f aca="false">IF(AND(TRIM(B145)="",TRIM(C145)=""),"",TRIM(B145)&amp;"|"&amp;TRIM(C145))</f>
        <v/>
      </c>
      <c r="P145" s="25" t="str">
        <f aca="false">IF(O145="","",IF(TRIM(C145)="",TRIM(B145),IF(TRIM(B145)="",TRIM(C145),TRIM(B145)&amp;", "&amp;TRIM(C145))))</f>
        <v/>
      </c>
      <c r="Q145" s="25" t="str">
        <f aca="false">IF(O145="","",TRIM(TRIM(C145)&amp;" "&amp;TRIM(B145)))</f>
        <v/>
      </c>
      <c r="R145" s="25" t="str">
        <f aca="false">IF(P145="","",COUNTIFS($P$2:$P$1000,"&lt;"&amp;P145,$P$2:$P$1000,"?*")+COUNTIF($P$2:P145,P145))</f>
        <v/>
      </c>
    </row>
    <row r="146" customFormat="false" ht="14.25" hidden="false" customHeight="true" outlineLevel="0" collapsed="false">
      <c r="A146" s="25" t="s">
        <v>344</v>
      </c>
      <c r="B146" s="25"/>
      <c r="C146" s="25"/>
      <c r="D146" s="26"/>
      <c r="E146" s="25"/>
      <c r="F146" s="25"/>
      <c r="G146" s="27"/>
      <c r="H146" s="28" t="str">
        <f aca="true">IF(G146="","",DATEDIF(G146,TODAY(),"Y"))</f>
        <v/>
      </c>
      <c r="I146" s="28" t="n">
        <f aca="false">IF($A146="","",COUNTIFS('🤸 Ingresos Pole'!$W$2:$W$1000,$A146,'🤸 Ingresos Pole'!$L$2:$L$1000,"Paquete"))</f>
        <v>0</v>
      </c>
      <c r="J146" s="28" t="n">
        <f aca="false">IF($A146="","",COUNTIF('🤸 Ingresos Pole'!$W$2:$W$1000,$A146))</f>
        <v>0</v>
      </c>
      <c r="K146" s="29" t="n">
        <f aca="false">IF($A146="","",SUMIF('🤸 Ingresos Pole'!$W$2:$W$1000,$A146,'🤸 Ingresos Pole'!$P$2:$P$1000))</f>
        <v>0</v>
      </c>
      <c r="L146" s="30" t="str">
        <f aca="false">IF(OR($A146="",J146=0),"",_xlfn.MINIFS('🤸 Ingresos Pole'!$B$2:$B$1000,'🤸 Ingresos Pole'!$W$2:$W$1000,$A146))</f>
        <v/>
      </c>
      <c r="M146" s="30" t="str">
        <f aca="false">IF(OR($A146="",J146=0),"",_xlfn.MAXIFS('🤸 Ingresos Pole'!$B$2:$B$1000,'🤸 Ingresos Pole'!$W$2:$W$1000,$A146))</f>
        <v/>
      </c>
      <c r="N146" s="28" t="str">
        <f aca="false">IF(OR($A146="",J146=0),"",IF(I146=0,"Sin paquete",IF(I146=1,"Nueva","Recurrente")))</f>
        <v/>
      </c>
      <c r="O146" s="25" t="str">
        <f aca="false">IF(AND(TRIM(B146)="",TRIM(C146)=""),"",TRIM(B146)&amp;"|"&amp;TRIM(C146))</f>
        <v/>
      </c>
      <c r="P146" s="25" t="str">
        <f aca="false">IF(O146="","",IF(TRIM(C146)="",TRIM(B146),IF(TRIM(B146)="",TRIM(C146),TRIM(B146)&amp;", "&amp;TRIM(C146))))</f>
        <v/>
      </c>
      <c r="Q146" s="25" t="str">
        <f aca="false">IF(O146="","",TRIM(TRIM(C146)&amp;" "&amp;TRIM(B146)))</f>
        <v/>
      </c>
      <c r="R146" s="25" t="str">
        <f aca="false">IF(P146="","",COUNTIFS($P$2:$P$1000,"&lt;"&amp;P146,$P$2:$P$1000,"?*")+COUNTIF($P$2:P146,P146))</f>
        <v/>
      </c>
    </row>
    <row r="147" customFormat="false" ht="14.25" hidden="false" customHeight="true" outlineLevel="0" collapsed="false">
      <c r="A147" s="25" t="s">
        <v>345</v>
      </c>
      <c r="B147" s="25"/>
      <c r="C147" s="25"/>
      <c r="D147" s="26"/>
      <c r="E147" s="25"/>
      <c r="F147" s="25"/>
      <c r="G147" s="27"/>
      <c r="H147" s="28" t="str">
        <f aca="true">IF(G147="","",DATEDIF(G147,TODAY(),"Y"))</f>
        <v/>
      </c>
      <c r="I147" s="28" t="n">
        <f aca="false">IF($A147="","",COUNTIFS('🤸 Ingresos Pole'!$W$2:$W$1000,$A147,'🤸 Ingresos Pole'!$L$2:$L$1000,"Paquete"))</f>
        <v>0</v>
      </c>
      <c r="J147" s="28" t="n">
        <f aca="false">IF($A147="","",COUNTIF('🤸 Ingresos Pole'!$W$2:$W$1000,$A147))</f>
        <v>0</v>
      </c>
      <c r="K147" s="29" t="n">
        <f aca="false">IF($A147="","",SUMIF('🤸 Ingresos Pole'!$W$2:$W$1000,$A147,'🤸 Ingresos Pole'!$P$2:$P$1000))</f>
        <v>0</v>
      </c>
      <c r="L147" s="30" t="str">
        <f aca="false">IF(OR($A147="",J147=0),"",_xlfn.MINIFS('🤸 Ingresos Pole'!$B$2:$B$1000,'🤸 Ingresos Pole'!$W$2:$W$1000,$A147))</f>
        <v/>
      </c>
      <c r="M147" s="30" t="str">
        <f aca="false">IF(OR($A147="",J147=0),"",_xlfn.MAXIFS('🤸 Ingresos Pole'!$B$2:$B$1000,'🤸 Ingresos Pole'!$W$2:$W$1000,$A147))</f>
        <v/>
      </c>
      <c r="N147" s="28" t="str">
        <f aca="false">IF(OR($A147="",J147=0),"",IF(I147=0,"Sin paquete",IF(I147=1,"Nueva","Recurrente")))</f>
        <v/>
      </c>
      <c r="O147" s="25" t="str">
        <f aca="false">IF(AND(TRIM(B147)="",TRIM(C147)=""),"",TRIM(B147)&amp;"|"&amp;TRIM(C147))</f>
        <v/>
      </c>
      <c r="P147" s="25" t="str">
        <f aca="false">IF(O147="","",IF(TRIM(C147)="",TRIM(B147),IF(TRIM(B147)="",TRIM(C147),TRIM(B147)&amp;", "&amp;TRIM(C147))))</f>
        <v/>
      </c>
      <c r="Q147" s="25" t="str">
        <f aca="false">IF(O147="","",TRIM(TRIM(C147)&amp;" "&amp;TRIM(B147)))</f>
        <v/>
      </c>
      <c r="R147" s="25" t="str">
        <f aca="false">IF(P147="","",COUNTIFS($P$2:$P$1000,"&lt;"&amp;P147,$P$2:$P$1000,"?*")+COUNTIF($P$2:P147,P147))</f>
        <v/>
      </c>
    </row>
    <row r="148" customFormat="false" ht="14.25" hidden="false" customHeight="true" outlineLevel="0" collapsed="false">
      <c r="A148" s="25" t="s">
        <v>346</v>
      </c>
      <c r="B148" s="25"/>
      <c r="C148" s="25"/>
      <c r="D148" s="26"/>
      <c r="E148" s="25"/>
      <c r="F148" s="25"/>
      <c r="G148" s="27"/>
      <c r="H148" s="28" t="str">
        <f aca="true">IF(G148="","",DATEDIF(G148,TODAY(),"Y"))</f>
        <v/>
      </c>
      <c r="I148" s="28" t="n">
        <f aca="false">IF($A148="","",COUNTIFS('🤸 Ingresos Pole'!$W$2:$W$1000,$A148,'🤸 Ingresos Pole'!$L$2:$L$1000,"Paquete"))</f>
        <v>0</v>
      </c>
      <c r="J148" s="28" t="n">
        <f aca="false">IF($A148="","",COUNTIF('🤸 Ingresos Pole'!$W$2:$W$1000,$A148))</f>
        <v>0</v>
      </c>
      <c r="K148" s="29" t="n">
        <f aca="false">IF($A148="","",SUMIF('🤸 Ingresos Pole'!$W$2:$W$1000,$A148,'🤸 Ingresos Pole'!$P$2:$P$1000))</f>
        <v>0</v>
      </c>
      <c r="L148" s="30" t="str">
        <f aca="false">IF(OR($A148="",J148=0),"",_xlfn.MINIFS('🤸 Ingresos Pole'!$B$2:$B$1000,'🤸 Ingresos Pole'!$W$2:$W$1000,$A148))</f>
        <v/>
      </c>
      <c r="M148" s="30" t="str">
        <f aca="false">IF(OR($A148="",J148=0),"",_xlfn.MAXIFS('🤸 Ingresos Pole'!$B$2:$B$1000,'🤸 Ingresos Pole'!$W$2:$W$1000,$A148))</f>
        <v/>
      </c>
      <c r="N148" s="28" t="str">
        <f aca="false">IF(OR($A148="",J148=0),"",IF(I148=0,"Sin paquete",IF(I148=1,"Nueva","Recurrente")))</f>
        <v/>
      </c>
      <c r="O148" s="25" t="str">
        <f aca="false">IF(AND(TRIM(B148)="",TRIM(C148)=""),"",TRIM(B148)&amp;"|"&amp;TRIM(C148))</f>
        <v/>
      </c>
      <c r="P148" s="25" t="str">
        <f aca="false">IF(O148="","",IF(TRIM(C148)="",TRIM(B148),IF(TRIM(B148)="",TRIM(C148),TRIM(B148)&amp;", "&amp;TRIM(C148))))</f>
        <v/>
      </c>
      <c r="Q148" s="25" t="str">
        <f aca="false">IF(O148="","",TRIM(TRIM(C148)&amp;" "&amp;TRIM(B148)))</f>
        <v/>
      </c>
      <c r="R148" s="25" t="str">
        <f aca="false">IF(P148="","",COUNTIFS($P$2:$P$1000,"&lt;"&amp;P148,$P$2:$P$1000,"?*")+COUNTIF($P$2:P148,P148))</f>
        <v/>
      </c>
    </row>
    <row r="149" customFormat="false" ht="14.25" hidden="false" customHeight="true" outlineLevel="0" collapsed="false">
      <c r="A149" s="25" t="s">
        <v>347</v>
      </c>
      <c r="B149" s="25"/>
      <c r="C149" s="25"/>
      <c r="D149" s="26"/>
      <c r="E149" s="25"/>
      <c r="F149" s="25"/>
      <c r="G149" s="27"/>
      <c r="H149" s="28" t="str">
        <f aca="true">IF(G149="","",DATEDIF(G149,TODAY(),"Y"))</f>
        <v/>
      </c>
      <c r="I149" s="28" t="n">
        <f aca="false">IF($A149="","",COUNTIFS('🤸 Ingresos Pole'!$W$2:$W$1000,$A149,'🤸 Ingresos Pole'!$L$2:$L$1000,"Paquete"))</f>
        <v>0</v>
      </c>
      <c r="J149" s="28" t="n">
        <f aca="false">IF($A149="","",COUNTIF('🤸 Ingresos Pole'!$W$2:$W$1000,$A149))</f>
        <v>0</v>
      </c>
      <c r="K149" s="29" t="n">
        <f aca="false">IF($A149="","",SUMIF('🤸 Ingresos Pole'!$W$2:$W$1000,$A149,'🤸 Ingresos Pole'!$P$2:$P$1000))</f>
        <v>0</v>
      </c>
      <c r="L149" s="30" t="str">
        <f aca="false">IF(OR($A149="",J149=0),"",_xlfn.MINIFS('🤸 Ingresos Pole'!$B$2:$B$1000,'🤸 Ingresos Pole'!$W$2:$W$1000,$A149))</f>
        <v/>
      </c>
      <c r="M149" s="30" t="str">
        <f aca="false">IF(OR($A149="",J149=0),"",_xlfn.MAXIFS('🤸 Ingresos Pole'!$B$2:$B$1000,'🤸 Ingresos Pole'!$W$2:$W$1000,$A149))</f>
        <v/>
      </c>
      <c r="N149" s="28" t="str">
        <f aca="false">IF(OR($A149="",J149=0),"",IF(I149=0,"Sin paquete",IF(I149=1,"Nueva","Recurrente")))</f>
        <v/>
      </c>
      <c r="O149" s="25" t="str">
        <f aca="false">IF(AND(TRIM(B149)="",TRIM(C149)=""),"",TRIM(B149)&amp;"|"&amp;TRIM(C149))</f>
        <v/>
      </c>
      <c r="P149" s="25" t="str">
        <f aca="false">IF(O149="","",IF(TRIM(C149)="",TRIM(B149),IF(TRIM(B149)="",TRIM(C149),TRIM(B149)&amp;", "&amp;TRIM(C149))))</f>
        <v/>
      </c>
      <c r="Q149" s="25" t="str">
        <f aca="false">IF(O149="","",TRIM(TRIM(C149)&amp;" "&amp;TRIM(B149)))</f>
        <v/>
      </c>
      <c r="R149" s="25" t="str">
        <f aca="false">IF(P149="","",COUNTIFS($P$2:$P$1000,"&lt;"&amp;P149,$P$2:$P$1000,"?*")+COUNTIF($P$2:P149,P149))</f>
        <v/>
      </c>
    </row>
    <row r="150" customFormat="false" ht="14.25" hidden="false" customHeight="true" outlineLevel="0" collapsed="false">
      <c r="A150" s="25" t="s">
        <v>348</v>
      </c>
      <c r="B150" s="25"/>
      <c r="C150" s="25"/>
      <c r="D150" s="26"/>
      <c r="E150" s="25"/>
      <c r="F150" s="25"/>
      <c r="G150" s="27"/>
      <c r="H150" s="28" t="str">
        <f aca="true">IF(G150="","",DATEDIF(G150,TODAY(),"Y"))</f>
        <v/>
      </c>
      <c r="I150" s="28" t="n">
        <f aca="false">IF($A150="","",COUNTIFS('🤸 Ingresos Pole'!$W$2:$W$1000,$A150,'🤸 Ingresos Pole'!$L$2:$L$1000,"Paquete"))</f>
        <v>0</v>
      </c>
      <c r="J150" s="28" t="n">
        <f aca="false">IF($A150="","",COUNTIF('🤸 Ingresos Pole'!$W$2:$W$1000,$A150))</f>
        <v>0</v>
      </c>
      <c r="K150" s="29" t="n">
        <f aca="false">IF($A150="","",SUMIF('🤸 Ingresos Pole'!$W$2:$W$1000,$A150,'🤸 Ingresos Pole'!$P$2:$P$1000))</f>
        <v>0</v>
      </c>
      <c r="L150" s="30" t="str">
        <f aca="false">IF(OR($A150="",J150=0),"",_xlfn.MINIFS('🤸 Ingresos Pole'!$B$2:$B$1000,'🤸 Ingresos Pole'!$W$2:$W$1000,$A150))</f>
        <v/>
      </c>
      <c r="M150" s="30" t="str">
        <f aca="false">IF(OR($A150="",J150=0),"",_xlfn.MAXIFS('🤸 Ingresos Pole'!$B$2:$B$1000,'🤸 Ingresos Pole'!$W$2:$W$1000,$A150))</f>
        <v/>
      </c>
      <c r="N150" s="28" t="str">
        <f aca="false">IF(OR($A150="",J150=0),"",IF(I150=0,"Sin paquete",IF(I150=1,"Nueva","Recurrente")))</f>
        <v/>
      </c>
      <c r="O150" s="25" t="str">
        <f aca="false">IF(AND(TRIM(B150)="",TRIM(C150)=""),"",TRIM(B150)&amp;"|"&amp;TRIM(C150))</f>
        <v/>
      </c>
      <c r="P150" s="25" t="str">
        <f aca="false">IF(O150="","",IF(TRIM(C150)="",TRIM(B150),IF(TRIM(B150)="",TRIM(C150),TRIM(B150)&amp;", "&amp;TRIM(C150))))</f>
        <v/>
      </c>
      <c r="Q150" s="25" t="str">
        <f aca="false">IF(O150="","",TRIM(TRIM(C150)&amp;" "&amp;TRIM(B150)))</f>
        <v/>
      </c>
      <c r="R150" s="25" t="str">
        <f aca="false">IF(P150="","",COUNTIFS($P$2:$P$1000,"&lt;"&amp;P150,$P$2:$P$1000,"?*")+COUNTIF($P$2:P150,P150))</f>
        <v/>
      </c>
    </row>
    <row r="151" customFormat="false" ht="14.25" hidden="false" customHeight="true" outlineLevel="0" collapsed="false">
      <c r="A151" s="25" t="s">
        <v>349</v>
      </c>
      <c r="B151" s="25"/>
      <c r="C151" s="25"/>
      <c r="D151" s="26"/>
      <c r="E151" s="25"/>
      <c r="F151" s="25"/>
      <c r="G151" s="27"/>
      <c r="H151" s="28" t="str">
        <f aca="true">IF(G151="","",DATEDIF(G151,TODAY(),"Y"))</f>
        <v/>
      </c>
      <c r="I151" s="28" t="n">
        <f aca="false">IF($A151="","",COUNTIFS('🤸 Ingresos Pole'!$W$2:$W$1000,$A151,'🤸 Ingresos Pole'!$L$2:$L$1000,"Paquete"))</f>
        <v>0</v>
      </c>
      <c r="J151" s="28" t="n">
        <f aca="false">IF($A151="","",COUNTIF('🤸 Ingresos Pole'!$W$2:$W$1000,$A151))</f>
        <v>0</v>
      </c>
      <c r="K151" s="29" t="n">
        <f aca="false">IF($A151="","",SUMIF('🤸 Ingresos Pole'!$W$2:$W$1000,$A151,'🤸 Ingresos Pole'!$P$2:$P$1000))</f>
        <v>0</v>
      </c>
      <c r="L151" s="30" t="str">
        <f aca="false">IF(OR($A151="",J151=0),"",_xlfn.MINIFS('🤸 Ingresos Pole'!$B$2:$B$1000,'🤸 Ingresos Pole'!$W$2:$W$1000,$A151))</f>
        <v/>
      </c>
      <c r="M151" s="30" t="str">
        <f aca="false">IF(OR($A151="",J151=0),"",_xlfn.MAXIFS('🤸 Ingresos Pole'!$B$2:$B$1000,'🤸 Ingresos Pole'!$W$2:$W$1000,$A151))</f>
        <v/>
      </c>
      <c r="N151" s="28" t="str">
        <f aca="false">IF(OR($A151="",J151=0),"",IF(I151=0,"Sin paquete",IF(I151=1,"Nueva","Recurrente")))</f>
        <v/>
      </c>
      <c r="O151" s="25" t="str">
        <f aca="false">IF(AND(TRIM(B151)="",TRIM(C151)=""),"",TRIM(B151)&amp;"|"&amp;TRIM(C151))</f>
        <v/>
      </c>
      <c r="P151" s="25" t="str">
        <f aca="false">IF(O151="","",IF(TRIM(C151)="",TRIM(B151),IF(TRIM(B151)="",TRIM(C151),TRIM(B151)&amp;", "&amp;TRIM(C151))))</f>
        <v/>
      </c>
      <c r="Q151" s="25" t="str">
        <f aca="false">IF(O151="","",TRIM(TRIM(C151)&amp;" "&amp;TRIM(B151)))</f>
        <v/>
      </c>
      <c r="R151" s="25" t="str">
        <f aca="false">IF(P151="","",COUNTIFS($P$2:$P$1000,"&lt;"&amp;P151,$P$2:$P$1000,"?*")+COUNTIF($P$2:P151,P151))</f>
        <v/>
      </c>
    </row>
    <row r="152" customFormat="false" ht="14.25" hidden="false" customHeight="true" outlineLevel="0" collapsed="false">
      <c r="A152" s="25" t="s">
        <v>350</v>
      </c>
      <c r="B152" s="25"/>
      <c r="C152" s="25"/>
      <c r="D152" s="26"/>
      <c r="E152" s="25"/>
      <c r="F152" s="25"/>
      <c r="G152" s="27"/>
      <c r="H152" s="28" t="str">
        <f aca="true">IF(G152="","",DATEDIF(G152,TODAY(),"Y"))</f>
        <v/>
      </c>
      <c r="I152" s="28" t="n">
        <f aca="false">IF($A152="","",COUNTIFS('🤸 Ingresos Pole'!$W$2:$W$1000,$A152,'🤸 Ingresos Pole'!$L$2:$L$1000,"Paquete"))</f>
        <v>0</v>
      </c>
      <c r="J152" s="28" t="n">
        <f aca="false">IF($A152="","",COUNTIF('🤸 Ingresos Pole'!$W$2:$W$1000,$A152))</f>
        <v>0</v>
      </c>
      <c r="K152" s="29" t="n">
        <f aca="false">IF($A152="","",SUMIF('🤸 Ingresos Pole'!$W$2:$W$1000,$A152,'🤸 Ingresos Pole'!$P$2:$P$1000))</f>
        <v>0</v>
      </c>
      <c r="L152" s="30" t="str">
        <f aca="false">IF(OR($A152="",J152=0),"",_xlfn.MINIFS('🤸 Ingresos Pole'!$B$2:$B$1000,'🤸 Ingresos Pole'!$W$2:$W$1000,$A152))</f>
        <v/>
      </c>
      <c r="M152" s="30" t="str">
        <f aca="false">IF(OR($A152="",J152=0),"",_xlfn.MAXIFS('🤸 Ingresos Pole'!$B$2:$B$1000,'🤸 Ingresos Pole'!$W$2:$W$1000,$A152))</f>
        <v/>
      </c>
      <c r="N152" s="28" t="str">
        <f aca="false">IF(OR($A152="",J152=0),"",IF(I152=0,"Sin paquete",IF(I152=1,"Nueva","Recurrente")))</f>
        <v/>
      </c>
      <c r="O152" s="25" t="str">
        <f aca="false">IF(AND(TRIM(B152)="",TRIM(C152)=""),"",TRIM(B152)&amp;"|"&amp;TRIM(C152))</f>
        <v/>
      </c>
      <c r="P152" s="25" t="str">
        <f aca="false">IF(O152="","",IF(TRIM(C152)="",TRIM(B152),IF(TRIM(B152)="",TRIM(C152),TRIM(B152)&amp;", "&amp;TRIM(C152))))</f>
        <v/>
      </c>
      <c r="Q152" s="25" t="str">
        <f aca="false">IF(O152="","",TRIM(TRIM(C152)&amp;" "&amp;TRIM(B152)))</f>
        <v/>
      </c>
      <c r="R152" s="25" t="str">
        <f aca="false">IF(P152="","",COUNTIFS($P$2:$P$1000,"&lt;"&amp;P152,$P$2:$P$1000,"?*")+COUNTIF($P$2:P152,P152))</f>
        <v/>
      </c>
    </row>
    <row r="153" customFormat="false" ht="14.25" hidden="false" customHeight="true" outlineLevel="0" collapsed="false">
      <c r="A153" s="25" t="s">
        <v>351</v>
      </c>
      <c r="B153" s="25"/>
      <c r="C153" s="25"/>
      <c r="D153" s="26"/>
      <c r="E153" s="25"/>
      <c r="F153" s="25"/>
      <c r="G153" s="27"/>
      <c r="H153" s="28" t="str">
        <f aca="true">IF(G153="","",DATEDIF(G153,TODAY(),"Y"))</f>
        <v/>
      </c>
      <c r="I153" s="28" t="n">
        <f aca="false">IF($A153="","",COUNTIFS('🤸 Ingresos Pole'!$W$2:$W$1000,$A153,'🤸 Ingresos Pole'!$L$2:$L$1000,"Paquete"))</f>
        <v>0</v>
      </c>
      <c r="J153" s="28" t="n">
        <f aca="false">IF($A153="","",COUNTIF('🤸 Ingresos Pole'!$W$2:$W$1000,$A153))</f>
        <v>0</v>
      </c>
      <c r="K153" s="29" t="n">
        <f aca="false">IF($A153="","",SUMIF('🤸 Ingresos Pole'!$W$2:$W$1000,$A153,'🤸 Ingresos Pole'!$P$2:$P$1000))</f>
        <v>0</v>
      </c>
      <c r="L153" s="30" t="str">
        <f aca="false">IF(OR($A153="",J153=0),"",_xlfn.MINIFS('🤸 Ingresos Pole'!$B$2:$B$1000,'🤸 Ingresos Pole'!$W$2:$W$1000,$A153))</f>
        <v/>
      </c>
      <c r="M153" s="30" t="str">
        <f aca="false">IF(OR($A153="",J153=0),"",_xlfn.MAXIFS('🤸 Ingresos Pole'!$B$2:$B$1000,'🤸 Ingresos Pole'!$W$2:$W$1000,$A153))</f>
        <v/>
      </c>
      <c r="N153" s="28" t="str">
        <f aca="false">IF(OR($A153="",J153=0),"",IF(I153=0,"Sin paquete",IF(I153=1,"Nueva","Recurrente")))</f>
        <v/>
      </c>
      <c r="O153" s="25" t="str">
        <f aca="false">IF(AND(TRIM(B153)="",TRIM(C153)=""),"",TRIM(B153)&amp;"|"&amp;TRIM(C153))</f>
        <v/>
      </c>
      <c r="P153" s="25" t="str">
        <f aca="false">IF(O153="","",IF(TRIM(C153)="",TRIM(B153),IF(TRIM(B153)="",TRIM(C153),TRIM(B153)&amp;", "&amp;TRIM(C153))))</f>
        <v/>
      </c>
      <c r="Q153" s="25" t="str">
        <f aca="false">IF(O153="","",TRIM(TRIM(C153)&amp;" "&amp;TRIM(B153)))</f>
        <v/>
      </c>
      <c r="R153" s="25" t="str">
        <f aca="false">IF(P153="","",COUNTIFS($P$2:$P$1000,"&lt;"&amp;P153,$P$2:$P$1000,"?*")+COUNTIF($P$2:P153,P153))</f>
        <v/>
      </c>
    </row>
    <row r="154" customFormat="false" ht="14.25" hidden="false" customHeight="true" outlineLevel="0" collapsed="false">
      <c r="A154" s="25" t="s">
        <v>352</v>
      </c>
      <c r="B154" s="25"/>
      <c r="C154" s="25"/>
      <c r="D154" s="26"/>
      <c r="E154" s="25"/>
      <c r="F154" s="25"/>
      <c r="G154" s="27"/>
      <c r="H154" s="28" t="str">
        <f aca="true">IF(G154="","",DATEDIF(G154,TODAY(),"Y"))</f>
        <v/>
      </c>
      <c r="I154" s="28" t="n">
        <f aca="false">IF($A154="","",COUNTIFS('🤸 Ingresos Pole'!$W$2:$W$1000,$A154,'🤸 Ingresos Pole'!$L$2:$L$1000,"Paquete"))</f>
        <v>0</v>
      </c>
      <c r="J154" s="28" t="n">
        <f aca="false">IF($A154="","",COUNTIF('🤸 Ingresos Pole'!$W$2:$W$1000,$A154))</f>
        <v>0</v>
      </c>
      <c r="K154" s="29" t="n">
        <f aca="false">IF($A154="","",SUMIF('🤸 Ingresos Pole'!$W$2:$W$1000,$A154,'🤸 Ingresos Pole'!$P$2:$P$1000))</f>
        <v>0</v>
      </c>
      <c r="L154" s="30" t="str">
        <f aca="false">IF(OR($A154="",J154=0),"",_xlfn.MINIFS('🤸 Ingresos Pole'!$B$2:$B$1000,'🤸 Ingresos Pole'!$W$2:$W$1000,$A154))</f>
        <v/>
      </c>
      <c r="M154" s="30" t="str">
        <f aca="false">IF(OR($A154="",J154=0),"",_xlfn.MAXIFS('🤸 Ingresos Pole'!$B$2:$B$1000,'🤸 Ingresos Pole'!$W$2:$W$1000,$A154))</f>
        <v/>
      </c>
      <c r="N154" s="28" t="str">
        <f aca="false">IF(OR($A154="",J154=0),"",IF(I154=0,"Sin paquete",IF(I154=1,"Nueva","Recurrente")))</f>
        <v/>
      </c>
      <c r="O154" s="25" t="str">
        <f aca="false">IF(AND(TRIM(B154)="",TRIM(C154)=""),"",TRIM(B154)&amp;"|"&amp;TRIM(C154))</f>
        <v/>
      </c>
      <c r="P154" s="25" t="str">
        <f aca="false">IF(O154="","",IF(TRIM(C154)="",TRIM(B154),IF(TRIM(B154)="",TRIM(C154),TRIM(B154)&amp;", "&amp;TRIM(C154))))</f>
        <v/>
      </c>
      <c r="Q154" s="25" t="str">
        <f aca="false">IF(O154="","",TRIM(TRIM(C154)&amp;" "&amp;TRIM(B154)))</f>
        <v/>
      </c>
      <c r="R154" s="25" t="str">
        <f aca="false">IF(P154="","",COUNTIFS($P$2:$P$1000,"&lt;"&amp;P154,$P$2:$P$1000,"?*")+COUNTIF($P$2:P154,P154))</f>
        <v/>
      </c>
    </row>
    <row r="155" customFormat="false" ht="14.25" hidden="false" customHeight="true" outlineLevel="0" collapsed="false">
      <c r="A155" s="25" t="s">
        <v>353</v>
      </c>
      <c r="B155" s="25"/>
      <c r="C155" s="25"/>
      <c r="D155" s="26"/>
      <c r="E155" s="25"/>
      <c r="F155" s="25"/>
      <c r="G155" s="27"/>
      <c r="H155" s="28" t="str">
        <f aca="true">IF(G155="","",DATEDIF(G155,TODAY(),"Y"))</f>
        <v/>
      </c>
      <c r="I155" s="28" t="n">
        <f aca="false">IF($A155="","",COUNTIFS('🤸 Ingresos Pole'!$W$2:$W$1000,$A155,'🤸 Ingresos Pole'!$L$2:$L$1000,"Paquete"))</f>
        <v>0</v>
      </c>
      <c r="J155" s="28" t="n">
        <f aca="false">IF($A155="","",COUNTIF('🤸 Ingresos Pole'!$W$2:$W$1000,$A155))</f>
        <v>0</v>
      </c>
      <c r="K155" s="29" t="n">
        <f aca="false">IF($A155="","",SUMIF('🤸 Ingresos Pole'!$W$2:$W$1000,$A155,'🤸 Ingresos Pole'!$P$2:$P$1000))</f>
        <v>0</v>
      </c>
      <c r="L155" s="30" t="str">
        <f aca="false">IF(OR($A155="",J155=0),"",_xlfn.MINIFS('🤸 Ingresos Pole'!$B$2:$B$1000,'🤸 Ingresos Pole'!$W$2:$W$1000,$A155))</f>
        <v/>
      </c>
      <c r="M155" s="30" t="str">
        <f aca="false">IF(OR($A155="",J155=0),"",_xlfn.MAXIFS('🤸 Ingresos Pole'!$B$2:$B$1000,'🤸 Ingresos Pole'!$W$2:$W$1000,$A155))</f>
        <v/>
      </c>
      <c r="N155" s="28" t="str">
        <f aca="false">IF(OR($A155="",J155=0),"",IF(I155=0,"Sin paquete",IF(I155=1,"Nueva","Recurrente")))</f>
        <v/>
      </c>
      <c r="O155" s="25" t="str">
        <f aca="false">IF(AND(TRIM(B155)="",TRIM(C155)=""),"",TRIM(B155)&amp;"|"&amp;TRIM(C155))</f>
        <v/>
      </c>
      <c r="P155" s="25" t="str">
        <f aca="false">IF(O155="","",IF(TRIM(C155)="",TRIM(B155),IF(TRIM(B155)="",TRIM(C155),TRIM(B155)&amp;", "&amp;TRIM(C155))))</f>
        <v/>
      </c>
      <c r="Q155" s="25" t="str">
        <f aca="false">IF(O155="","",TRIM(TRIM(C155)&amp;" "&amp;TRIM(B155)))</f>
        <v/>
      </c>
      <c r="R155" s="25" t="str">
        <f aca="false">IF(P155="","",COUNTIFS($P$2:$P$1000,"&lt;"&amp;P155,$P$2:$P$1000,"?*")+COUNTIF($P$2:P155,P155))</f>
        <v/>
      </c>
    </row>
    <row r="156" customFormat="false" ht="14.25" hidden="false" customHeight="true" outlineLevel="0" collapsed="false">
      <c r="A156" s="25" t="s">
        <v>354</v>
      </c>
      <c r="B156" s="25"/>
      <c r="C156" s="25"/>
      <c r="D156" s="26"/>
      <c r="E156" s="25"/>
      <c r="F156" s="25"/>
      <c r="G156" s="27"/>
      <c r="H156" s="28" t="str">
        <f aca="true">IF(G156="","",DATEDIF(G156,TODAY(),"Y"))</f>
        <v/>
      </c>
      <c r="I156" s="28" t="n">
        <f aca="false">IF($A156="","",COUNTIFS('🤸 Ingresos Pole'!$W$2:$W$1000,$A156,'🤸 Ingresos Pole'!$L$2:$L$1000,"Paquete"))</f>
        <v>0</v>
      </c>
      <c r="J156" s="28" t="n">
        <f aca="false">IF($A156="","",COUNTIF('🤸 Ingresos Pole'!$W$2:$W$1000,$A156))</f>
        <v>0</v>
      </c>
      <c r="K156" s="29" t="n">
        <f aca="false">IF($A156="","",SUMIF('🤸 Ingresos Pole'!$W$2:$W$1000,$A156,'🤸 Ingresos Pole'!$P$2:$P$1000))</f>
        <v>0</v>
      </c>
      <c r="L156" s="30" t="str">
        <f aca="false">IF(OR($A156="",J156=0),"",_xlfn.MINIFS('🤸 Ingresos Pole'!$B$2:$B$1000,'🤸 Ingresos Pole'!$W$2:$W$1000,$A156))</f>
        <v/>
      </c>
      <c r="M156" s="30" t="str">
        <f aca="false">IF(OR($A156="",J156=0),"",_xlfn.MAXIFS('🤸 Ingresos Pole'!$B$2:$B$1000,'🤸 Ingresos Pole'!$W$2:$W$1000,$A156))</f>
        <v/>
      </c>
      <c r="N156" s="28" t="str">
        <f aca="false">IF(OR($A156="",J156=0),"",IF(I156=0,"Sin paquete",IF(I156=1,"Nueva","Recurrente")))</f>
        <v/>
      </c>
      <c r="O156" s="25" t="str">
        <f aca="false">IF(AND(TRIM(B156)="",TRIM(C156)=""),"",TRIM(B156)&amp;"|"&amp;TRIM(C156))</f>
        <v/>
      </c>
      <c r="P156" s="25" t="str">
        <f aca="false">IF(O156="","",IF(TRIM(C156)="",TRIM(B156),IF(TRIM(B156)="",TRIM(C156),TRIM(B156)&amp;", "&amp;TRIM(C156))))</f>
        <v/>
      </c>
      <c r="Q156" s="25" t="str">
        <f aca="false">IF(O156="","",TRIM(TRIM(C156)&amp;" "&amp;TRIM(B156)))</f>
        <v/>
      </c>
      <c r="R156" s="25" t="str">
        <f aca="false">IF(P156="","",COUNTIFS($P$2:$P$1000,"&lt;"&amp;P156,$P$2:$P$1000,"?*")+COUNTIF($P$2:P156,P156))</f>
        <v/>
      </c>
    </row>
    <row r="157" customFormat="false" ht="14.25" hidden="false" customHeight="true" outlineLevel="0" collapsed="false">
      <c r="A157" s="25" t="s">
        <v>355</v>
      </c>
      <c r="B157" s="25"/>
      <c r="C157" s="25"/>
      <c r="D157" s="26"/>
      <c r="E157" s="25"/>
      <c r="F157" s="25"/>
      <c r="G157" s="27"/>
      <c r="H157" s="28" t="str">
        <f aca="true">IF(G157="","",DATEDIF(G157,TODAY(),"Y"))</f>
        <v/>
      </c>
      <c r="I157" s="28" t="n">
        <f aca="false">IF($A157="","",COUNTIFS('🤸 Ingresos Pole'!$W$2:$W$1000,$A157,'🤸 Ingresos Pole'!$L$2:$L$1000,"Paquete"))</f>
        <v>0</v>
      </c>
      <c r="J157" s="28" t="n">
        <f aca="false">IF($A157="","",COUNTIF('🤸 Ingresos Pole'!$W$2:$W$1000,$A157))</f>
        <v>0</v>
      </c>
      <c r="K157" s="29" t="n">
        <f aca="false">IF($A157="","",SUMIF('🤸 Ingresos Pole'!$W$2:$W$1000,$A157,'🤸 Ingresos Pole'!$P$2:$P$1000))</f>
        <v>0</v>
      </c>
      <c r="L157" s="30" t="str">
        <f aca="false">IF(OR($A157="",J157=0),"",_xlfn.MINIFS('🤸 Ingresos Pole'!$B$2:$B$1000,'🤸 Ingresos Pole'!$W$2:$W$1000,$A157))</f>
        <v/>
      </c>
      <c r="M157" s="30" t="str">
        <f aca="false">IF(OR($A157="",J157=0),"",_xlfn.MAXIFS('🤸 Ingresos Pole'!$B$2:$B$1000,'🤸 Ingresos Pole'!$W$2:$W$1000,$A157))</f>
        <v/>
      </c>
      <c r="N157" s="28" t="str">
        <f aca="false">IF(OR($A157="",J157=0),"",IF(I157=0,"Sin paquete",IF(I157=1,"Nueva","Recurrente")))</f>
        <v/>
      </c>
      <c r="O157" s="25" t="str">
        <f aca="false">IF(AND(TRIM(B157)="",TRIM(C157)=""),"",TRIM(B157)&amp;"|"&amp;TRIM(C157))</f>
        <v/>
      </c>
      <c r="P157" s="25" t="str">
        <f aca="false">IF(O157="","",IF(TRIM(C157)="",TRIM(B157),IF(TRIM(B157)="",TRIM(C157),TRIM(B157)&amp;", "&amp;TRIM(C157))))</f>
        <v/>
      </c>
      <c r="Q157" s="25" t="str">
        <f aca="false">IF(O157="","",TRIM(TRIM(C157)&amp;" "&amp;TRIM(B157)))</f>
        <v/>
      </c>
      <c r="R157" s="25" t="str">
        <f aca="false">IF(P157="","",COUNTIFS($P$2:$P$1000,"&lt;"&amp;P157,$P$2:$P$1000,"?*")+COUNTIF($P$2:P157,P157))</f>
        <v/>
      </c>
    </row>
    <row r="158" customFormat="false" ht="14.25" hidden="false" customHeight="true" outlineLevel="0" collapsed="false">
      <c r="A158" s="25" t="s">
        <v>356</v>
      </c>
      <c r="B158" s="25"/>
      <c r="C158" s="25"/>
      <c r="D158" s="26"/>
      <c r="E158" s="25"/>
      <c r="F158" s="25"/>
      <c r="G158" s="27"/>
      <c r="H158" s="28" t="str">
        <f aca="true">IF(G158="","",DATEDIF(G158,TODAY(),"Y"))</f>
        <v/>
      </c>
      <c r="I158" s="28" t="n">
        <f aca="false">IF($A158="","",COUNTIFS('🤸 Ingresos Pole'!$W$2:$W$1000,$A158,'🤸 Ingresos Pole'!$L$2:$L$1000,"Paquete"))</f>
        <v>0</v>
      </c>
      <c r="J158" s="28" t="n">
        <f aca="false">IF($A158="","",COUNTIF('🤸 Ingresos Pole'!$W$2:$W$1000,$A158))</f>
        <v>0</v>
      </c>
      <c r="K158" s="29" t="n">
        <f aca="false">IF($A158="","",SUMIF('🤸 Ingresos Pole'!$W$2:$W$1000,$A158,'🤸 Ingresos Pole'!$P$2:$P$1000))</f>
        <v>0</v>
      </c>
      <c r="L158" s="30" t="str">
        <f aca="false">IF(OR($A158="",J158=0),"",_xlfn.MINIFS('🤸 Ingresos Pole'!$B$2:$B$1000,'🤸 Ingresos Pole'!$W$2:$W$1000,$A158))</f>
        <v/>
      </c>
      <c r="M158" s="30" t="str">
        <f aca="false">IF(OR($A158="",J158=0),"",_xlfn.MAXIFS('🤸 Ingresos Pole'!$B$2:$B$1000,'🤸 Ingresos Pole'!$W$2:$W$1000,$A158))</f>
        <v/>
      </c>
      <c r="N158" s="28" t="str">
        <f aca="false">IF(OR($A158="",J158=0),"",IF(I158=0,"Sin paquete",IF(I158=1,"Nueva","Recurrente")))</f>
        <v/>
      </c>
      <c r="O158" s="25" t="str">
        <f aca="false">IF(AND(TRIM(B158)="",TRIM(C158)=""),"",TRIM(B158)&amp;"|"&amp;TRIM(C158))</f>
        <v/>
      </c>
      <c r="P158" s="25" t="str">
        <f aca="false">IF(O158="","",IF(TRIM(C158)="",TRIM(B158),IF(TRIM(B158)="",TRIM(C158),TRIM(B158)&amp;", "&amp;TRIM(C158))))</f>
        <v/>
      </c>
      <c r="Q158" s="25" t="str">
        <f aca="false">IF(O158="","",TRIM(TRIM(C158)&amp;" "&amp;TRIM(B158)))</f>
        <v/>
      </c>
      <c r="R158" s="25" t="str">
        <f aca="false">IF(P158="","",COUNTIFS($P$2:$P$1000,"&lt;"&amp;P158,$P$2:$P$1000,"?*")+COUNTIF($P$2:P158,P158))</f>
        <v/>
      </c>
    </row>
    <row r="159" customFormat="false" ht="14.25" hidden="false" customHeight="true" outlineLevel="0" collapsed="false">
      <c r="A159" s="25" t="s">
        <v>357</v>
      </c>
      <c r="B159" s="25"/>
      <c r="C159" s="25"/>
      <c r="D159" s="26"/>
      <c r="E159" s="25"/>
      <c r="F159" s="25"/>
      <c r="G159" s="27"/>
      <c r="H159" s="28" t="str">
        <f aca="true">IF(G159="","",DATEDIF(G159,TODAY(),"Y"))</f>
        <v/>
      </c>
      <c r="I159" s="28" t="n">
        <f aca="false">IF($A159="","",COUNTIFS('🤸 Ingresos Pole'!$W$2:$W$1000,$A159,'🤸 Ingresos Pole'!$L$2:$L$1000,"Paquete"))</f>
        <v>0</v>
      </c>
      <c r="J159" s="28" t="n">
        <f aca="false">IF($A159="","",COUNTIF('🤸 Ingresos Pole'!$W$2:$W$1000,$A159))</f>
        <v>0</v>
      </c>
      <c r="K159" s="29" t="n">
        <f aca="false">IF($A159="","",SUMIF('🤸 Ingresos Pole'!$W$2:$W$1000,$A159,'🤸 Ingresos Pole'!$P$2:$P$1000))</f>
        <v>0</v>
      </c>
      <c r="L159" s="30" t="str">
        <f aca="false">IF(OR($A159="",J159=0),"",_xlfn.MINIFS('🤸 Ingresos Pole'!$B$2:$B$1000,'🤸 Ingresos Pole'!$W$2:$W$1000,$A159))</f>
        <v/>
      </c>
      <c r="M159" s="30" t="str">
        <f aca="false">IF(OR($A159="",J159=0),"",_xlfn.MAXIFS('🤸 Ingresos Pole'!$B$2:$B$1000,'🤸 Ingresos Pole'!$W$2:$W$1000,$A159))</f>
        <v/>
      </c>
      <c r="N159" s="28" t="str">
        <f aca="false">IF(OR($A159="",J159=0),"",IF(I159=0,"Sin paquete",IF(I159=1,"Nueva","Recurrente")))</f>
        <v/>
      </c>
      <c r="O159" s="25" t="str">
        <f aca="false">IF(AND(TRIM(B159)="",TRIM(C159)=""),"",TRIM(B159)&amp;"|"&amp;TRIM(C159))</f>
        <v/>
      </c>
      <c r="P159" s="25" t="str">
        <f aca="false">IF(O159="","",IF(TRIM(C159)="",TRIM(B159),IF(TRIM(B159)="",TRIM(C159),TRIM(B159)&amp;", "&amp;TRIM(C159))))</f>
        <v/>
      </c>
      <c r="Q159" s="25" t="str">
        <f aca="false">IF(O159="","",TRIM(TRIM(C159)&amp;" "&amp;TRIM(B159)))</f>
        <v/>
      </c>
      <c r="R159" s="25" t="str">
        <f aca="false">IF(P159="","",COUNTIFS($P$2:$P$1000,"&lt;"&amp;P159,$P$2:$P$1000,"?*")+COUNTIF($P$2:P159,P159))</f>
        <v/>
      </c>
    </row>
    <row r="160" customFormat="false" ht="14.25" hidden="false" customHeight="true" outlineLevel="0" collapsed="false">
      <c r="A160" s="25" t="s">
        <v>358</v>
      </c>
      <c r="B160" s="25"/>
      <c r="C160" s="25"/>
      <c r="D160" s="26"/>
      <c r="E160" s="25"/>
      <c r="F160" s="25"/>
      <c r="G160" s="27"/>
      <c r="H160" s="28" t="str">
        <f aca="true">IF(G160="","",DATEDIF(G160,TODAY(),"Y"))</f>
        <v/>
      </c>
      <c r="I160" s="28" t="n">
        <f aca="false">IF($A160="","",COUNTIFS('🤸 Ingresos Pole'!$W$2:$W$1000,$A160,'🤸 Ingresos Pole'!$L$2:$L$1000,"Paquete"))</f>
        <v>0</v>
      </c>
      <c r="J160" s="28" t="n">
        <f aca="false">IF($A160="","",COUNTIF('🤸 Ingresos Pole'!$W$2:$W$1000,$A160))</f>
        <v>0</v>
      </c>
      <c r="K160" s="29" t="n">
        <f aca="false">IF($A160="","",SUMIF('🤸 Ingresos Pole'!$W$2:$W$1000,$A160,'🤸 Ingresos Pole'!$P$2:$P$1000))</f>
        <v>0</v>
      </c>
      <c r="L160" s="30" t="str">
        <f aca="false">IF(OR($A160="",J160=0),"",_xlfn.MINIFS('🤸 Ingresos Pole'!$B$2:$B$1000,'🤸 Ingresos Pole'!$W$2:$W$1000,$A160))</f>
        <v/>
      </c>
      <c r="M160" s="30" t="str">
        <f aca="false">IF(OR($A160="",J160=0),"",_xlfn.MAXIFS('🤸 Ingresos Pole'!$B$2:$B$1000,'🤸 Ingresos Pole'!$W$2:$W$1000,$A160))</f>
        <v/>
      </c>
      <c r="N160" s="28" t="str">
        <f aca="false">IF(OR($A160="",J160=0),"",IF(I160=0,"Sin paquete",IF(I160=1,"Nueva","Recurrente")))</f>
        <v/>
      </c>
      <c r="O160" s="25" t="str">
        <f aca="false">IF(AND(TRIM(B160)="",TRIM(C160)=""),"",TRIM(B160)&amp;"|"&amp;TRIM(C160))</f>
        <v/>
      </c>
      <c r="P160" s="25" t="str">
        <f aca="false">IF(O160="","",IF(TRIM(C160)="",TRIM(B160),IF(TRIM(B160)="",TRIM(C160),TRIM(B160)&amp;", "&amp;TRIM(C160))))</f>
        <v/>
      </c>
      <c r="Q160" s="25" t="str">
        <f aca="false">IF(O160="","",TRIM(TRIM(C160)&amp;" "&amp;TRIM(B160)))</f>
        <v/>
      </c>
      <c r="R160" s="25" t="str">
        <f aca="false">IF(P160="","",COUNTIFS($P$2:$P$1000,"&lt;"&amp;P160,$P$2:$P$1000,"?*")+COUNTIF($P$2:P160,P160))</f>
        <v/>
      </c>
    </row>
    <row r="161" customFormat="false" ht="14.25" hidden="false" customHeight="true" outlineLevel="0" collapsed="false">
      <c r="A161" s="25" t="s">
        <v>359</v>
      </c>
      <c r="B161" s="25"/>
      <c r="C161" s="25"/>
      <c r="D161" s="26"/>
      <c r="E161" s="25"/>
      <c r="F161" s="25"/>
      <c r="G161" s="27"/>
      <c r="H161" s="28" t="str">
        <f aca="true">IF(G161="","",DATEDIF(G161,TODAY(),"Y"))</f>
        <v/>
      </c>
      <c r="I161" s="28" t="n">
        <f aca="false">IF($A161="","",COUNTIFS('🤸 Ingresos Pole'!$W$2:$W$1000,$A161,'🤸 Ingresos Pole'!$L$2:$L$1000,"Paquete"))</f>
        <v>0</v>
      </c>
      <c r="J161" s="28" t="n">
        <f aca="false">IF($A161="","",COUNTIF('🤸 Ingresos Pole'!$W$2:$W$1000,$A161))</f>
        <v>0</v>
      </c>
      <c r="K161" s="29" t="n">
        <f aca="false">IF($A161="","",SUMIF('🤸 Ingresos Pole'!$W$2:$W$1000,$A161,'🤸 Ingresos Pole'!$P$2:$P$1000))</f>
        <v>0</v>
      </c>
      <c r="L161" s="30" t="str">
        <f aca="false">IF(OR($A161="",J161=0),"",_xlfn.MINIFS('🤸 Ingresos Pole'!$B$2:$B$1000,'🤸 Ingresos Pole'!$W$2:$W$1000,$A161))</f>
        <v/>
      </c>
      <c r="M161" s="30" t="str">
        <f aca="false">IF(OR($A161="",J161=0),"",_xlfn.MAXIFS('🤸 Ingresos Pole'!$B$2:$B$1000,'🤸 Ingresos Pole'!$W$2:$W$1000,$A161))</f>
        <v/>
      </c>
      <c r="N161" s="28" t="str">
        <f aca="false">IF(OR($A161="",J161=0),"",IF(I161=0,"Sin paquete",IF(I161=1,"Nueva","Recurrente")))</f>
        <v/>
      </c>
      <c r="O161" s="25" t="str">
        <f aca="false">IF(AND(TRIM(B161)="",TRIM(C161)=""),"",TRIM(B161)&amp;"|"&amp;TRIM(C161))</f>
        <v/>
      </c>
      <c r="P161" s="25" t="str">
        <f aca="false">IF(O161="","",IF(TRIM(C161)="",TRIM(B161),IF(TRIM(B161)="",TRIM(C161),TRIM(B161)&amp;", "&amp;TRIM(C161))))</f>
        <v/>
      </c>
      <c r="Q161" s="25" t="str">
        <f aca="false">IF(O161="","",TRIM(TRIM(C161)&amp;" "&amp;TRIM(B161)))</f>
        <v/>
      </c>
      <c r="R161" s="25" t="str">
        <f aca="false">IF(P161="","",COUNTIFS($P$2:$P$1000,"&lt;"&amp;P161,$P$2:$P$1000,"?*")+COUNTIF($P$2:P161,P161))</f>
        <v/>
      </c>
    </row>
    <row r="162" customFormat="false" ht="14.25" hidden="false" customHeight="true" outlineLevel="0" collapsed="false">
      <c r="A162" s="25" t="s">
        <v>360</v>
      </c>
      <c r="B162" s="25"/>
      <c r="C162" s="25"/>
      <c r="D162" s="26"/>
      <c r="E162" s="25"/>
      <c r="F162" s="25"/>
      <c r="G162" s="27"/>
      <c r="H162" s="28" t="str">
        <f aca="true">IF(G162="","",DATEDIF(G162,TODAY(),"Y"))</f>
        <v/>
      </c>
      <c r="I162" s="28" t="n">
        <f aca="false">IF($A162="","",COUNTIFS('🤸 Ingresos Pole'!$W$2:$W$1000,$A162,'🤸 Ingresos Pole'!$L$2:$L$1000,"Paquete"))</f>
        <v>0</v>
      </c>
      <c r="J162" s="28" t="n">
        <f aca="false">IF($A162="","",COUNTIF('🤸 Ingresos Pole'!$W$2:$W$1000,$A162))</f>
        <v>0</v>
      </c>
      <c r="K162" s="29" t="n">
        <f aca="false">IF($A162="","",SUMIF('🤸 Ingresos Pole'!$W$2:$W$1000,$A162,'🤸 Ingresos Pole'!$P$2:$P$1000))</f>
        <v>0</v>
      </c>
      <c r="L162" s="30" t="str">
        <f aca="false">IF(OR($A162="",J162=0),"",_xlfn.MINIFS('🤸 Ingresos Pole'!$B$2:$B$1000,'🤸 Ingresos Pole'!$W$2:$W$1000,$A162))</f>
        <v/>
      </c>
      <c r="M162" s="30" t="str">
        <f aca="false">IF(OR($A162="",J162=0),"",_xlfn.MAXIFS('🤸 Ingresos Pole'!$B$2:$B$1000,'🤸 Ingresos Pole'!$W$2:$W$1000,$A162))</f>
        <v/>
      </c>
      <c r="N162" s="28" t="str">
        <f aca="false">IF(OR($A162="",J162=0),"",IF(I162=0,"Sin paquete",IF(I162=1,"Nueva","Recurrente")))</f>
        <v/>
      </c>
      <c r="O162" s="25" t="str">
        <f aca="false">IF(AND(TRIM(B162)="",TRIM(C162)=""),"",TRIM(B162)&amp;"|"&amp;TRIM(C162))</f>
        <v/>
      </c>
      <c r="P162" s="25" t="str">
        <f aca="false">IF(O162="","",IF(TRIM(C162)="",TRIM(B162),IF(TRIM(B162)="",TRIM(C162),TRIM(B162)&amp;", "&amp;TRIM(C162))))</f>
        <v/>
      </c>
      <c r="Q162" s="25" t="str">
        <f aca="false">IF(O162="","",TRIM(TRIM(C162)&amp;" "&amp;TRIM(B162)))</f>
        <v/>
      </c>
      <c r="R162" s="25" t="str">
        <f aca="false">IF(P162="","",COUNTIFS($P$2:$P$1000,"&lt;"&amp;P162,$P$2:$P$1000,"?*")+COUNTIF($P$2:P162,P162))</f>
        <v/>
      </c>
    </row>
    <row r="163" customFormat="false" ht="14.25" hidden="false" customHeight="true" outlineLevel="0" collapsed="false">
      <c r="A163" s="25" t="s">
        <v>361</v>
      </c>
      <c r="B163" s="25"/>
      <c r="C163" s="25"/>
      <c r="D163" s="26"/>
      <c r="E163" s="25"/>
      <c r="F163" s="25"/>
      <c r="G163" s="27"/>
      <c r="H163" s="28" t="str">
        <f aca="true">IF(G163="","",DATEDIF(G163,TODAY(),"Y"))</f>
        <v/>
      </c>
      <c r="I163" s="28" t="n">
        <f aca="false">IF($A163="","",COUNTIFS('🤸 Ingresos Pole'!$W$2:$W$1000,$A163,'🤸 Ingresos Pole'!$L$2:$L$1000,"Paquete"))</f>
        <v>0</v>
      </c>
      <c r="J163" s="28" t="n">
        <f aca="false">IF($A163="","",COUNTIF('🤸 Ingresos Pole'!$W$2:$W$1000,$A163))</f>
        <v>0</v>
      </c>
      <c r="K163" s="29" t="n">
        <f aca="false">IF($A163="","",SUMIF('🤸 Ingresos Pole'!$W$2:$W$1000,$A163,'🤸 Ingresos Pole'!$P$2:$P$1000))</f>
        <v>0</v>
      </c>
      <c r="L163" s="30" t="str">
        <f aca="false">IF(OR($A163="",J163=0),"",_xlfn.MINIFS('🤸 Ingresos Pole'!$B$2:$B$1000,'🤸 Ingresos Pole'!$W$2:$W$1000,$A163))</f>
        <v/>
      </c>
      <c r="M163" s="30" t="str">
        <f aca="false">IF(OR($A163="",J163=0),"",_xlfn.MAXIFS('🤸 Ingresos Pole'!$B$2:$B$1000,'🤸 Ingresos Pole'!$W$2:$W$1000,$A163))</f>
        <v/>
      </c>
      <c r="N163" s="28" t="str">
        <f aca="false">IF(OR($A163="",J163=0),"",IF(I163=0,"Sin paquete",IF(I163=1,"Nueva","Recurrente")))</f>
        <v/>
      </c>
      <c r="O163" s="25" t="str">
        <f aca="false">IF(AND(TRIM(B163)="",TRIM(C163)=""),"",TRIM(B163)&amp;"|"&amp;TRIM(C163))</f>
        <v/>
      </c>
      <c r="P163" s="25" t="str">
        <f aca="false">IF(O163="","",IF(TRIM(C163)="",TRIM(B163),IF(TRIM(B163)="",TRIM(C163),TRIM(B163)&amp;", "&amp;TRIM(C163))))</f>
        <v/>
      </c>
      <c r="Q163" s="25" t="str">
        <f aca="false">IF(O163="","",TRIM(TRIM(C163)&amp;" "&amp;TRIM(B163)))</f>
        <v/>
      </c>
      <c r="R163" s="25" t="str">
        <f aca="false">IF(P163="","",COUNTIFS($P$2:$P$1000,"&lt;"&amp;P163,$P$2:$P$1000,"?*")+COUNTIF($P$2:P163,P163))</f>
        <v/>
      </c>
    </row>
    <row r="164" customFormat="false" ht="14.25" hidden="false" customHeight="true" outlineLevel="0" collapsed="false">
      <c r="A164" s="25" t="s">
        <v>362</v>
      </c>
      <c r="B164" s="25"/>
      <c r="C164" s="25"/>
      <c r="D164" s="26"/>
      <c r="E164" s="25"/>
      <c r="F164" s="25"/>
      <c r="G164" s="27"/>
      <c r="H164" s="28" t="str">
        <f aca="true">IF(G164="","",DATEDIF(G164,TODAY(),"Y"))</f>
        <v/>
      </c>
      <c r="I164" s="28" t="n">
        <f aca="false">IF($A164="","",COUNTIFS('🤸 Ingresos Pole'!$W$2:$W$1000,$A164,'🤸 Ingresos Pole'!$L$2:$L$1000,"Paquete"))</f>
        <v>0</v>
      </c>
      <c r="J164" s="28" t="n">
        <f aca="false">IF($A164="","",COUNTIF('🤸 Ingresos Pole'!$W$2:$W$1000,$A164))</f>
        <v>0</v>
      </c>
      <c r="K164" s="29" t="n">
        <f aca="false">IF($A164="","",SUMIF('🤸 Ingresos Pole'!$W$2:$W$1000,$A164,'🤸 Ingresos Pole'!$P$2:$P$1000))</f>
        <v>0</v>
      </c>
      <c r="L164" s="30" t="str">
        <f aca="false">IF(OR($A164="",J164=0),"",_xlfn.MINIFS('🤸 Ingresos Pole'!$B$2:$B$1000,'🤸 Ingresos Pole'!$W$2:$W$1000,$A164))</f>
        <v/>
      </c>
      <c r="M164" s="30" t="str">
        <f aca="false">IF(OR($A164="",J164=0),"",_xlfn.MAXIFS('🤸 Ingresos Pole'!$B$2:$B$1000,'🤸 Ingresos Pole'!$W$2:$W$1000,$A164))</f>
        <v/>
      </c>
      <c r="N164" s="28" t="str">
        <f aca="false">IF(OR($A164="",J164=0),"",IF(I164=0,"Sin paquete",IF(I164=1,"Nueva","Recurrente")))</f>
        <v/>
      </c>
      <c r="O164" s="25" t="str">
        <f aca="false">IF(AND(TRIM(B164)="",TRIM(C164)=""),"",TRIM(B164)&amp;"|"&amp;TRIM(C164))</f>
        <v/>
      </c>
      <c r="P164" s="25" t="str">
        <f aca="false">IF(O164="","",IF(TRIM(C164)="",TRIM(B164),IF(TRIM(B164)="",TRIM(C164),TRIM(B164)&amp;", "&amp;TRIM(C164))))</f>
        <v/>
      </c>
      <c r="Q164" s="25" t="str">
        <f aca="false">IF(O164="","",TRIM(TRIM(C164)&amp;" "&amp;TRIM(B164)))</f>
        <v/>
      </c>
      <c r="R164" s="25" t="str">
        <f aca="false">IF(P164="","",COUNTIFS($P$2:$P$1000,"&lt;"&amp;P164,$P$2:$P$1000,"?*")+COUNTIF($P$2:P164,P164))</f>
        <v/>
      </c>
    </row>
    <row r="165" customFormat="false" ht="14.25" hidden="false" customHeight="true" outlineLevel="0" collapsed="false">
      <c r="A165" s="25" t="s">
        <v>363</v>
      </c>
      <c r="B165" s="25"/>
      <c r="C165" s="25"/>
      <c r="D165" s="26"/>
      <c r="E165" s="25"/>
      <c r="F165" s="25"/>
      <c r="G165" s="27"/>
      <c r="H165" s="28" t="str">
        <f aca="true">IF(G165="","",DATEDIF(G165,TODAY(),"Y"))</f>
        <v/>
      </c>
      <c r="I165" s="28" t="n">
        <f aca="false">IF($A165="","",COUNTIFS('🤸 Ingresos Pole'!$W$2:$W$1000,$A165,'🤸 Ingresos Pole'!$L$2:$L$1000,"Paquete"))</f>
        <v>0</v>
      </c>
      <c r="J165" s="28" t="n">
        <f aca="false">IF($A165="","",COUNTIF('🤸 Ingresos Pole'!$W$2:$W$1000,$A165))</f>
        <v>0</v>
      </c>
      <c r="K165" s="29" t="n">
        <f aca="false">IF($A165="","",SUMIF('🤸 Ingresos Pole'!$W$2:$W$1000,$A165,'🤸 Ingresos Pole'!$P$2:$P$1000))</f>
        <v>0</v>
      </c>
      <c r="L165" s="30" t="str">
        <f aca="false">IF(OR($A165="",J165=0),"",_xlfn.MINIFS('🤸 Ingresos Pole'!$B$2:$B$1000,'🤸 Ingresos Pole'!$W$2:$W$1000,$A165))</f>
        <v/>
      </c>
      <c r="M165" s="30" t="str">
        <f aca="false">IF(OR($A165="",J165=0),"",_xlfn.MAXIFS('🤸 Ingresos Pole'!$B$2:$B$1000,'🤸 Ingresos Pole'!$W$2:$W$1000,$A165))</f>
        <v/>
      </c>
      <c r="N165" s="28" t="str">
        <f aca="false">IF(OR($A165="",J165=0),"",IF(I165=0,"Sin paquete",IF(I165=1,"Nueva","Recurrente")))</f>
        <v/>
      </c>
      <c r="O165" s="25" t="str">
        <f aca="false">IF(AND(TRIM(B165)="",TRIM(C165)=""),"",TRIM(B165)&amp;"|"&amp;TRIM(C165))</f>
        <v/>
      </c>
      <c r="P165" s="25" t="str">
        <f aca="false">IF(O165="","",IF(TRIM(C165)="",TRIM(B165),IF(TRIM(B165)="",TRIM(C165),TRIM(B165)&amp;", "&amp;TRIM(C165))))</f>
        <v/>
      </c>
      <c r="Q165" s="25" t="str">
        <f aca="false">IF(O165="","",TRIM(TRIM(C165)&amp;" "&amp;TRIM(B165)))</f>
        <v/>
      </c>
      <c r="R165" s="25" t="str">
        <f aca="false">IF(P165="","",COUNTIFS($P$2:$P$1000,"&lt;"&amp;P165,$P$2:$P$1000,"?*")+COUNTIF($P$2:P165,P165))</f>
        <v/>
      </c>
    </row>
    <row r="166" customFormat="false" ht="14.25" hidden="false" customHeight="true" outlineLevel="0" collapsed="false">
      <c r="A166" s="25" t="s">
        <v>364</v>
      </c>
      <c r="B166" s="25"/>
      <c r="C166" s="25"/>
      <c r="D166" s="26"/>
      <c r="E166" s="25"/>
      <c r="F166" s="25"/>
      <c r="G166" s="27"/>
      <c r="H166" s="28" t="str">
        <f aca="true">IF(G166="","",DATEDIF(G166,TODAY(),"Y"))</f>
        <v/>
      </c>
      <c r="I166" s="28" t="n">
        <f aca="false">IF($A166="","",COUNTIFS('🤸 Ingresos Pole'!$W$2:$W$1000,$A166,'🤸 Ingresos Pole'!$L$2:$L$1000,"Paquete"))</f>
        <v>0</v>
      </c>
      <c r="J166" s="28" t="n">
        <f aca="false">IF($A166="","",COUNTIF('🤸 Ingresos Pole'!$W$2:$W$1000,$A166))</f>
        <v>0</v>
      </c>
      <c r="K166" s="29" t="n">
        <f aca="false">IF($A166="","",SUMIF('🤸 Ingresos Pole'!$W$2:$W$1000,$A166,'🤸 Ingresos Pole'!$P$2:$P$1000))</f>
        <v>0</v>
      </c>
      <c r="L166" s="30" t="str">
        <f aca="false">IF(OR($A166="",J166=0),"",_xlfn.MINIFS('🤸 Ingresos Pole'!$B$2:$B$1000,'🤸 Ingresos Pole'!$W$2:$W$1000,$A166))</f>
        <v/>
      </c>
      <c r="M166" s="30" t="str">
        <f aca="false">IF(OR($A166="",J166=0),"",_xlfn.MAXIFS('🤸 Ingresos Pole'!$B$2:$B$1000,'🤸 Ingresos Pole'!$W$2:$W$1000,$A166))</f>
        <v/>
      </c>
      <c r="N166" s="28" t="str">
        <f aca="false">IF(OR($A166="",J166=0),"",IF(I166=0,"Sin paquete",IF(I166=1,"Nueva","Recurrente")))</f>
        <v/>
      </c>
      <c r="O166" s="25" t="str">
        <f aca="false">IF(AND(TRIM(B166)="",TRIM(C166)=""),"",TRIM(B166)&amp;"|"&amp;TRIM(C166))</f>
        <v/>
      </c>
      <c r="P166" s="25" t="str">
        <f aca="false">IF(O166="","",IF(TRIM(C166)="",TRIM(B166),IF(TRIM(B166)="",TRIM(C166),TRIM(B166)&amp;", "&amp;TRIM(C166))))</f>
        <v/>
      </c>
      <c r="Q166" s="25" t="str">
        <f aca="false">IF(O166="","",TRIM(TRIM(C166)&amp;" "&amp;TRIM(B166)))</f>
        <v/>
      </c>
      <c r="R166" s="25" t="str">
        <f aca="false">IF(P166="","",COUNTIFS($P$2:$P$1000,"&lt;"&amp;P166,$P$2:$P$1000,"?*")+COUNTIF($P$2:P166,P166))</f>
        <v/>
      </c>
    </row>
    <row r="167" customFormat="false" ht="14.25" hidden="false" customHeight="true" outlineLevel="0" collapsed="false">
      <c r="A167" s="25" t="s">
        <v>365</v>
      </c>
      <c r="B167" s="25"/>
      <c r="C167" s="25"/>
      <c r="D167" s="26"/>
      <c r="E167" s="25"/>
      <c r="F167" s="25"/>
      <c r="G167" s="27"/>
      <c r="H167" s="28" t="str">
        <f aca="true">IF(G167="","",DATEDIF(G167,TODAY(),"Y"))</f>
        <v/>
      </c>
      <c r="I167" s="28" t="n">
        <f aca="false">IF($A167="","",COUNTIFS('🤸 Ingresos Pole'!$W$2:$W$1000,$A167,'🤸 Ingresos Pole'!$L$2:$L$1000,"Paquete"))</f>
        <v>0</v>
      </c>
      <c r="J167" s="28" t="n">
        <f aca="false">IF($A167="","",COUNTIF('🤸 Ingresos Pole'!$W$2:$W$1000,$A167))</f>
        <v>0</v>
      </c>
      <c r="K167" s="29" t="n">
        <f aca="false">IF($A167="","",SUMIF('🤸 Ingresos Pole'!$W$2:$W$1000,$A167,'🤸 Ingresos Pole'!$P$2:$P$1000))</f>
        <v>0</v>
      </c>
      <c r="L167" s="30" t="str">
        <f aca="false">IF(OR($A167="",J167=0),"",_xlfn.MINIFS('🤸 Ingresos Pole'!$B$2:$B$1000,'🤸 Ingresos Pole'!$W$2:$W$1000,$A167))</f>
        <v/>
      </c>
      <c r="M167" s="30" t="str">
        <f aca="false">IF(OR($A167="",J167=0),"",_xlfn.MAXIFS('🤸 Ingresos Pole'!$B$2:$B$1000,'🤸 Ingresos Pole'!$W$2:$W$1000,$A167))</f>
        <v/>
      </c>
      <c r="N167" s="28" t="str">
        <f aca="false">IF(OR($A167="",J167=0),"",IF(I167=0,"Sin paquete",IF(I167=1,"Nueva","Recurrente")))</f>
        <v/>
      </c>
      <c r="O167" s="25" t="str">
        <f aca="false">IF(AND(TRIM(B167)="",TRIM(C167)=""),"",TRIM(B167)&amp;"|"&amp;TRIM(C167))</f>
        <v/>
      </c>
      <c r="P167" s="25" t="str">
        <f aca="false">IF(O167="","",IF(TRIM(C167)="",TRIM(B167),IF(TRIM(B167)="",TRIM(C167),TRIM(B167)&amp;", "&amp;TRIM(C167))))</f>
        <v/>
      </c>
      <c r="Q167" s="25" t="str">
        <f aca="false">IF(O167="","",TRIM(TRIM(C167)&amp;" "&amp;TRIM(B167)))</f>
        <v/>
      </c>
      <c r="R167" s="25" t="str">
        <f aca="false">IF(P167="","",COUNTIFS($P$2:$P$1000,"&lt;"&amp;P167,$P$2:$P$1000,"?*")+COUNTIF($P$2:P167,P167))</f>
        <v/>
      </c>
    </row>
    <row r="168" customFormat="false" ht="14.25" hidden="false" customHeight="true" outlineLevel="0" collapsed="false">
      <c r="A168" s="25" t="s">
        <v>366</v>
      </c>
      <c r="B168" s="25"/>
      <c r="C168" s="25"/>
      <c r="D168" s="26"/>
      <c r="E168" s="25"/>
      <c r="F168" s="25"/>
      <c r="G168" s="27"/>
      <c r="H168" s="28" t="str">
        <f aca="true">IF(G168="","",DATEDIF(G168,TODAY(),"Y"))</f>
        <v/>
      </c>
      <c r="I168" s="28" t="n">
        <f aca="false">IF($A168="","",COUNTIFS('🤸 Ingresos Pole'!$W$2:$W$1000,$A168,'🤸 Ingresos Pole'!$L$2:$L$1000,"Paquete"))</f>
        <v>0</v>
      </c>
      <c r="J168" s="28" t="n">
        <f aca="false">IF($A168="","",COUNTIF('🤸 Ingresos Pole'!$W$2:$W$1000,$A168))</f>
        <v>0</v>
      </c>
      <c r="K168" s="29" t="n">
        <f aca="false">IF($A168="","",SUMIF('🤸 Ingresos Pole'!$W$2:$W$1000,$A168,'🤸 Ingresos Pole'!$P$2:$P$1000))</f>
        <v>0</v>
      </c>
      <c r="L168" s="30" t="str">
        <f aca="false">IF(OR($A168="",J168=0),"",_xlfn.MINIFS('🤸 Ingresos Pole'!$B$2:$B$1000,'🤸 Ingresos Pole'!$W$2:$W$1000,$A168))</f>
        <v/>
      </c>
      <c r="M168" s="30" t="str">
        <f aca="false">IF(OR($A168="",J168=0),"",_xlfn.MAXIFS('🤸 Ingresos Pole'!$B$2:$B$1000,'🤸 Ingresos Pole'!$W$2:$W$1000,$A168))</f>
        <v/>
      </c>
      <c r="N168" s="28" t="str">
        <f aca="false">IF(OR($A168="",J168=0),"",IF(I168=0,"Sin paquete",IF(I168=1,"Nueva","Recurrente")))</f>
        <v/>
      </c>
      <c r="O168" s="25" t="str">
        <f aca="false">IF(AND(TRIM(B168)="",TRIM(C168)=""),"",TRIM(B168)&amp;"|"&amp;TRIM(C168))</f>
        <v/>
      </c>
      <c r="P168" s="25" t="str">
        <f aca="false">IF(O168="","",IF(TRIM(C168)="",TRIM(B168),IF(TRIM(B168)="",TRIM(C168),TRIM(B168)&amp;", "&amp;TRIM(C168))))</f>
        <v/>
      </c>
      <c r="Q168" s="25" t="str">
        <f aca="false">IF(O168="","",TRIM(TRIM(C168)&amp;" "&amp;TRIM(B168)))</f>
        <v/>
      </c>
      <c r="R168" s="25" t="str">
        <f aca="false">IF(P168="","",COUNTIFS($P$2:$P$1000,"&lt;"&amp;P168,$P$2:$P$1000,"?*")+COUNTIF($P$2:P168,P168))</f>
        <v/>
      </c>
    </row>
    <row r="169" customFormat="false" ht="14.25" hidden="false" customHeight="true" outlineLevel="0" collapsed="false">
      <c r="A169" s="25" t="s">
        <v>367</v>
      </c>
      <c r="B169" s="25"/>
      <c r="C169" s="25"/>
      <c r="D169" s="26"/>
      <c r="E169" s="25"/>
      <c r="F169" s="25"/>
      <c r="G169" s="27"/>
      <c r="H169" s="28" t="str">
        <f aca="true">IF(G169="","",DATEDIF(G169,TODAY(),"Y"))</f>
        <v/>
      </c>
      <c r="I169" s="28" t="n">
        <f aca="false">IF($A169="","",COUNTIFS('🤸 Ingresos Pole'!$W$2:$W$1000,$A169,'🤸 Ingresos Pole'!$L$2:$L$1000,"Paquete"))</f>
        <v>0</v>
      </c>
      <c r="J169" s="28" t="n">
        <f aca="false">IF($A169="","",COUNTIF('🤸 Ingresos Pole'!$W$2:$W$1000,$A169))</f>
        <v>0</v>
      </c>
      <c r="K169" s="29" t="n">
        <f aca="false">IF($A169="","",SUMIF('🤸 Ingresos Pole'!$W$2:$W$1000,$A169,'🤸 Ingresos Pole'!$P$2:$P$1000))</f>
        <v>0</v>
      </c>
      <c r="L169" s="30" t="str">
        <f aca="false">IF(OR($A169="",J169=0),"",_xlfn.MINIFS('🤸 Ingresos Pole'!$B$2:$B$1000,'🤸 Ingresos Pole'!$W$2:$W$1000,$A169))</f>
        <v/>
      </c>
      <c r="M169" s="30" t="str">
        <f aca="false">IF(OR($A169="",J169=0),"",_xlfn.MAXIFS('🤸 Ingresos Pole'!$B$2:$B$1000,'🤸 Ingresos Pole'!$W$2:$W$1000,$A169))</f>
        <v/>
      </c>
      <c r="N169" s="28" t="str">
        <f aca="false">IF(OR($A169="",J169=0),"",IF(I169=0,"Sin paquete",IF(I169=1,"Nueva","Recurrente")))</f>
        <v/>
      </c>
      <c r="O169" s="25" t="str">
        <f aca="false">IF(AND(TRIM(B169)="",TRIM(C169)=""),"",TRIM(B169)&amp;"|"&amp;TRIM(C169))</f>
        <v/>
      </c>
      <c r="P169" s="25" t="str">
        <f aca="false">IF(O169="","",IF(TRIM(C169)="",TRIM(B169),IF(TRIM(B169)="",TRIM(C169),TRIM(B169)&amp;", "&amp;TRIM(C169))))</f>
        <v/>
      </c>
      <c r="Q169" s="25" t="str">
        <f aca="false">IF(O169="","",TRIM(TRIM(C169)&amp;" "&amp;TRIM(B169)))</f>
        <v/>
      </c>
      <c r="R169" s="25" t="str">
        <f aca="false">IF(P169="","",COUNTIFS($P$2:$P$1000,"&lt;"&amp;P169,$P$2:$P$1000,"?*")+COUNTIF($P$2:P169,P169))</f>
        <v/>
      </c>
    </row>
    <row r="170" customFormat="false" ht="14.25" hidden="false" customHeight="true" outlineLevel="0" collapsed="false">
      <c r="A170" s="25" t="s">
        <v>368</v>
      </c>
      <c r="B170" s="25"/>
      <c r="C170" s="25"/>
      <c r="D170" s="26"/>
      <c r="E170" s="25"/>
      <c r="F170" s="25"/>
      <c r="G170" s="27"/>
      <c r="H170" s="28" t="str">
        <f aca="true">IF(G170="","",DATEDIF(G170,TODAY(),"Y"))</f>
        <v/>
      </c>
      <c r="I170" s="28" t="n">
        <f aca="false">IF($A170="","",COUNTIFS('🤸 Ingresos Pole'!$W$2:$W$1000,$A170,'🤸 Ingresos Pole'!$L$2:$L$1000,"Paquete"))</f>
        <v>0</v>
      </c>
      <c r="J170" s="28" t="n">
        <f aca="false">IF($A170="","",COUNTIF('🤸 Ingresos Pole'!$W$2:$W$1000,$A170))</f>
        <v>0</v>
      </c>
      <c r="K170" s="29" t="n">
        <f aca="false">IF($A170="","",SUMIF('🤸 Ingresos Pole'!$W$2:$W$1000,$A170,'🤸 Ingresos Pole'!$P$2:$P$1000))</f>
        <v>0</v>
      </c>
      <c r="L170" s="30" t="str">
        <f aca="false">IF(OR($A170="",J170=0),"",_xlfn.MINIFS('🤸 Ingresos Pole'!$B$2:$B$1000,'🤸 Ingresos Pole'!$W$2:$W$1000,$A170))</f>
        <v/>
      </c>
      <c r="M170" s="30" t="str">
        <f aca="false">IF(OR($A170="",J170=0),"",_xlfn.MAXIFS('🤸 Ingresos Pole'!$B$2:$B$1000,'🤸 Ingresos Pole'!$W$2:$W$1000,$A170))</f>
        <v/>
      </c>
      <c r="N170" s="28" t="str">
        <f aca="false">IF(OR($A170="",J170=0),"",IF(I170=0,"Sin paquete",IF(I170=1,"Nueva","Recurrente")))</f>
        <v/>
      </c>
      <c r="O170" s="25" t="str">
        <f aca="false">IF(AND(TRIM(B170)="",TRIM(C170)=""),"",TRIM(B170)&amp;"|"&amp;TRIM(C170))</f>
        <v/>
      </c>
      <c r="P170" s="25" t="str">
        <f aca="false">IF(O170="","",IF(TRIM(C170)="",TRIM(B170),IF(TRIM(B170)="",TRIM(C170),TRIM(B170)&amp;", "&amp;TRIM(C170))))</f>
        <v/>
      </c>
      <c r="Q170" s="25" t="str">
        <f aca="false">IF(O170="","",TRIM(TRIM(C170)&amp;" "&amp;TRIM(B170)))</f>
        <v/>
      </c>
      <c r="R170" s="25" t="str">
        <f aca="false">IF(P170="","",COUNTIFS($P$2:$P$1000,"&lt;"&amp;P170,$P$2:$P$1000,"?*")+COUNTIF($P$2:P170,P170))</f>
        <v/>
      </c>
    </row>
    <row r="171" customFormat="false" ht="14.25" hidden="false" customHeight="true" outlineLevel="0" collapsed="false">
      <c r="A171" s="25" t="s">
        <v>369</v>
      </c>
      <c r="B171" s="25"/>
      <c r="C171" s="25"/>
      <c r="D171" s="26"/>
      <c r="E171" s="25"/>
      <c r="F171" s="25"/>
      <c r="G171" s="27"/>
      <c r="H171" s="28" t="str">
        <f aca="true">IF(G171="","",DATEDIF(G171,TODAY(),"Y"))</f>
        <v/>
      </c>
      <c r="I171" s="28" t="n">
        <f aca="false">IF($A171="","",COUNTIFS('🤸 Ingresos Pole'!$W$2:$W$1000,$A171,'🤸 Ingresos Pole'!$L$2:$L$1000,"Paquete"))</f>
        <v>0</v>
      </c>
      <c r="J171" s="28" t="n">
        <f aca="false">IF($A171="","",COUNTIF('🤸 Ingresos Pole'!$W$2:$W$1000,$A171))</f>
        <v>0</v>
      </c>
      <c r="K171" s="29" t="n">
        <f aca="false">IF($A171="","",SUMIF('🤸 Ingresos Pole'!$W$2:$W$1000,$A171,'🤸 Ingresos Pole'!$P$2:$P$1000))</f>
        <v>0</v>
      </c>
      <c r="L171" s="30" t="str">
        <f aca="false">IF(OR($A171="",J171=0),"",_xlfn.MINIFS('🤸 Ingresos Pole'!$B$2:$B$1000,'🤸 Ingresos Pole'!$W$2:$W$1000,$A171))</f>
        <v/>
      </c>
      <c r="M171" s="30" t="str">
        <f aca="false">IF(OR($A171="",J171=0),"",_xlfn.MAXIFS('🤸 Ingresos Pole'!$B$2:$B$1000,'🤸 Ingresos Pole'!$W$2:$W$1000,$A171))</f>
        <v/>
      </c>
      <c r="N171" s="28" t="str">
        <f aca="false">IF(OR($A171="",J171=0),"",IF(I171=0,"Sin paquete",IF(I171=1,"Nueva","Recurrente")))</f>
        <v/>
      </c>
      <c r="O171" s="25" t="str">
        <f aca="false">IF(AND(TRIM(B171)="",TRIM(C171)=""),"",TRIM(B171)&amp;"|"&amp;TRIM(C171))</f>
        <v/>
      </c>
      <c r="P171" s="25" t="str">
        <f aca="false">IF(O171="","",IF(TRIM(C171)="",TRIM(B171),IF(TRIM(B171)="",TRIM(C171),TRIM(B171)&amp;", "&amp;TRIM(C171))))</f>
        <v/>
      </c>
      <c r="Q171" s="25" t="str">
        <f aca="false">IF(O171="","",TRIM(TRIM(C171)&amp;" "&amp;TRIM(B171)))</f>
        <v/>
      </c>
      <c r="R171" s="25" t="str">
        <f aca="false">IF(P171="","",COUNTIFS($P$2:$P$1000,"&lt;"&amp;P171,$P$2:$P$1000,"?*")+COUNTIF($P$2:P171,P171))</f>
        <v/>
      </c>
    </row>
    <row r="172" customFormat="false" ht="14.25" hidden="false" customHeight="true" outlineLevel="0" collapsed="false">
      <c r="A172" s="25" t="s">
        <v>370</v>
      </c>
      <c r="B172" s="25"/>
      <c r="C172" s="25"/>
      <c r="D172" s="26"/>
      <c r="E172" s="25"/>
      <c r="F172" s="25"/>
      <c r="G172" s="27"/>
      <c r="H172" s="28" t="str">
        <f aca="true">IF(G172="","",DATEDIF(G172,TODAY(),"Y"))</f>
        <v/>
      </c>
      <c r="I172" s="28" t="n">
        <f aca="false">IF($A172="","",COUNTIFS('🤸 Ingresos Pole'!$W$2:$W$1000,$A172,'🤸 Ingresos Pole'!$L$2:$L$1000,"Paquete"))</f>
        <v>0</v>
      </c>
      <c r="J172" s="28" t="n">
        <f aca="false">IF($A172="","",COUNTIF('🤸 Ingresos Pole'!$W$2:$W$1000,$A172))</f>
        <v>0</v>
      </c>
      <c r="K172" s="29" t="n">
        <f aca="false">IF($A172="","",SUMIF('🤸 Ingresos Pole'!$W$2:$W$1000,$A172,'🤸 Ingresos Pole'!$P$2:$P$1000))</f>
        <v>0</v>
      </c>
      <c r="L172" s="30" t="str">
        <f aca="false">IF(OR($A172="",J172=0),"",_xlfn.MINIFS('🤸 Ingresos Pole'!$B$2:$B$1000,'🤸 Ingresos Pole'!$W$2:$W$1000,$A172))</f>
        <v/>
      </c>
      <c r="M172" s="30" t="str">
        <f aca="false">IF(OR($A172="",J172=0),"",_xlfn.MAXIFS('🤸 Ingresos Pole'!$B$2:$B$1000,'🤸 Ingresos Pole'!$W$2:$W$1000,$A172))</f>
        <v/>
      </c>
      <c r="N172" s="28" t="str">
        <f aca="false">IF(OR($A172="",J172=0),"",IF(I172=0,"Sin paquete",IF(I172=1,"Nueva","Recurrente")))</f>
        <v/>
      </c>
      <c r="O172" s="25" t="str">
        <f aca="false">IF(AND(TRIM(B172)="",TRIM(C172)=""),"",TRIM(B172)&amp;"|"&amp;TRIM(C172))</f>
        <v/>
      </c>
      <c r="P172" s="25" t="str">
        <f aca="false">IF(O172="","",IF(TRIM(C172)="",TRIM(B172),IF(TRIM(B172)="",TRIM(C172),TRIM(B172)&amp;", "&amp;TRIM(C172))))</f>
        <v/>
      </c>
      <c r="Q172" s="25" t="str">
        <f aca="false">IF(O172="","",TRIM(TRIM(C172)&amp;" "&amp;TRIM(B172)))</f>
        <v/>
      </c>
      <c r="R172" s="25" t="str">
        <f aca="false">IF(P172="","",COUNTIFS($P$2:$P$1000,"&lt;"&amp;P172,$P$2:$P$1000,"?*")+COUNTIF($P$2:P172,P172))</f>
        <v/>
      </c>
    </row>
    <row r="173" customFormat="false" ht="14.25" hidden="false" customHeight="true" outlineLevel="0" collapsed="false">
      <c r="A173" s="25" t="s">
        <v>371</v>
      </c>
      <c r="B173" s="25"/>
      <c r="C173" s="25"/>
      <c r="D173" s="26"/>
      <c r="E173" s="25"/>
      <c r="F173" s="25"/>
      <c r="G173" s="27"/>
      <c r="H173" s="28" t="str">
        <f aca="true">IF(G173="","",DATEDIF(G173,TODAY(),"Y"))</f>
        <v/>
      </c>
      <c r="I173" s="28" t="n">
        <f aca="false">IF($A173="","",COUNTIFS('🤸 Ingresos Pole'!$W$2:$W$1000,$A173,'🤸 Ingresos Pole'!$L$2:$L$1000,"Paquete"))</f>
        <v>0</v>
      </c>
      <c r="J173" s="28" t="n">
        <f aca="false">IF($A173="","",COUNTIF('🤸 Ingresos Pole'!$W$2:$W$1000,$A173))</f>
        <v>0</v>
      </c>
      <c r="K173" s="29" t="n">
        <f aca="false">IF($A173="","",SUMIF('🤸 Ingresos Pole'!$W$2:$W$1000,$A173,'🤸 Ingresos Pole'!$P$2:$P$1000))</f>
        <v>0</v>
      </c>
      <c r="L173" s="30" t="str">
        <f aca="false">IF(OR($A173="",J173=0),"",_xlfn.MINIFS('🤸 Ingresos Pole'!$B$2:$B$1000,'🤸 Ingresos Pole'!$W$2:$W$1000,$A173))</f>
        <v/>
      </c>
      <c r="M173" s="30" t="str">
        <f aca="false">IF(OR($A173="",J173=0),"",_xlfn.MAXIFS('🤸 Ingresos Pole'!$B$2:$B$1000,'🤸 Ingresos Pole'!$W$2:$W$1000,$A173))</f>
        <v/>
      </c>
      <c r="N173" s="28" t="str">
        <f aca="false">IF(OR($A173="",J173=0),"",IF(I173=0,"Sin paquete",IF(I173=1,"Nueva","Recurrente")))</f>
        <v/>
      </c>
      <c r="O173" s="25" t="str">
        <f aca="false">IF(AND(TRIM(B173)="",TRIM(C173)=""),"",TRIM(B173)&amp;"|"&amp;TRIM(C173))</f>
        <v/>
      </c>
      <c r="P173" s="25" t="str">
        <f aca="false">IF(O173="","",IF(TRIM(C173)="",TRIM(B173),IF(TRIM(B173)="",TRIM(C173),TRIM(B173)&amp;", "&amp;TRIM(C173))))</f>
        <v/>
      </c>
      <c r="Q173" s="25" t="str">
        <f aca="false">IF(O173="","",TRIM(TRIM(C173)&amp;" "&amp;TRIM(B173)))</f>
        <v/>
      </c>
      <c r="R173" s="25" t="str">
        <f aca="false">IF(P173="","",COUNTIFS($P$2:$P$1000,"&lt;"&amp;P173,$P$2:$P$1000,"?*")+COUNTIF($P$2:P173,P173))</f>
        <v/>
      </c>
    </row>
    <row r="174" customFormat="false" ht="14.25" hidden="false" customHeight="true" outlineLevel="0" collapsed="false">
      <c r="A174" s="25" t="s">
        <v>372</v>
      </c>
      <c r="B174" s="25"/>
      <c r="C174" s="25"/>
      <c r="D174" s="26"/>
      <c r="E174" s="25"/>
      <c r="F174" s="25"/>
      <c r="G174" s="27"/>
      <c r="H174" s="28" t="str">
        <f aca="true">IF(G174="","",DATEDIF(G174,TODAY(),"Y"))</f>
        <v/>
      </c>
      <c r="I174" s="28" t="n">
        <f aca="false">IF($A174="","",COUNTIFS('🤸 Ingresos Pole'!$W$2:$W$1000,$A174,'🤸 Ingresos Pole'!$L$2:$L$1000,"Paquete"))</f>
        <v>0</v>
      </c>
      <c r="J174" s="28" t="n">
        <f aca="false">IF($A174="","",COUNTIF('🤸 Ingresos Pole'!$W$2:$W$1000,$A174))</f>
        <v>0</v>
      </c>
      <c r="K174" s="29" t="n">
        <f aca="false">IF($A174="","",SUMIF('🤸 Ingresos Pole'!$W$2:$W$1000,$A174,'🤸 Ingresos Pole'!$P$2:$P$1000))</f>
        <v>0</v>
      </c>
      <c r="L174" s="30" t="str">
        <f aca="false">IF(OR($A174="",J174=0),"",_xlfn.MINIFS('🤸 Ingresos Pole'!$B$2:$B$1000,'🤸 Ingresos Pole'!$W$2:$W$1000,$A174))</f>
        <v/>
      </c>
      <c r="M174" s="30" t="str">
        <f aca="false">IF(OR($A174="",J174=0),"",_xlfn.MAXIFS('🤸 Ingresos Pole'!$B$2:$B$1000,'🤸 Ingresos Pole'!$W$2:$W$1000,$A174))</f>
        <v/>
      </c>
      <c r="N174" s="28" t="str">
        <f aca="false">IF(OR($A174="",J174=0),"",IF(I174=0,"Sin paquete",IF(I174=1,"Nueva","Recurrente")))</f>
        <v/>
      </c>
      <c r="O174" s="25" t="str">
        <f aca="false">IF(AND(TRIM(B174)="",TRIM(C174)=""),"",TRIM(B174)&amp;"|"&amp;TRIM(C174))</f>
        <v/>
      </c>
      <c r="P174" s="25" t="str">
        <f aca="false">IF(O174="","",IF(TRIM(C174)="",TRIM(B174),IF(TRIM(B174)="",TRIM(C174),TRIM(B174)&amp;", "&amp;TRIM(C174))))</f>
        <v/>
      </c>
      <c r="Q174" s="25" t="str">
        <f aca="false">IF(O174="","",TRIM(TRIM(C174)&amp;" "&amp;TRIM(B174)))</f>
        <v/>
      </c>
      <c r="R174" s="25" t="str">
        <f aca="false">IF(P174="","",COUNTIFS($P$2:$P$1000,"&lt;"&amp;P174,$P$2:$P$1000,"?*")+COUNTIF($P$2:P174,P174))</f>
        <v/>
      </c>
    </row>
    <row r="175" customFormat="false" ht="14.25" hidden="false" customHeight="true" outlineLevel="0" collapsed="false">
      <c r="A175" s="25" t="s">
        <v>373</v>
      </c>
      <c r="B175" s="25"/>
      <c r="C175" s="25"/>
      <c r="D175" s="26"/>
      <c r="E175" s="25"/>
      <c r="F175" s="25"/>
      <c r="G175" s="27"/>
      <c r="H175" s="28" t="str">
        <f aca="true">IF(G175="","",DATEDIF(G175,TODAY(),"Y"))</f>
        <v/>
      </c>
      <c r="I175" s="28" t="n">
        <f aca="false">IF($A175="","",COUNTIFS('🤸 Ingresos Pole'!$W$2:$W$1000,$A175,'🤸 Ingresos Pole'!$L$2:$L$1000,"Paquete"))</f>
        <v>0</v>
      </c>
      <c r="J175" s="28" t="n">
        <f aca="false">IF($A175="","",COUNTIF('🤸 Ingresos Pole'!$W$2:$W$1000,$A175))</f>
        <v>0</v>
      </c>
      <c r="K175" s="29" t="n">
        <f aca="false">IF($A175="","",SUMIF('🤸 Ingresos Pole'!$W$2:$W$1000,$A175,'🤸 Ingresos Pole'!$P$2:$P$1000))</f>
        <v>0</v>
      </c>
      <c r="L175" s="30" t="str">
        <f aca="false">IF(OR($A175="",J175=0),"",_xlfn.MINIFS('🤸 Ingresos Pole'!$B$2:$B$1000,'🤸 Ingresos Pole'!$W$2:$W$1000,$A175))</f>
        <v/>
      </c>
      <c r="M175" s="30" t="str">
        <f aca="false">IF(OR($A175="",J175=0),"",_xlfn.MAXIFS('🤸 Ingresos Pole'!$B$2:$B$1000,'🤸 Ingresos Pole'!$W$2:$W$1000,$A175))</f>
        <v/>
      </c>
      <c r="N175" s="28" t="str">
        <f aca="false">IF(OR($A175="",J175=0),"",IF(I175=0,"Sin paquete",IF(I175=1,"Nueva","Recurrente")))</f>
        <v/>
      </c>
      <c r="O175" s="25" t="str">
        <f aca="false">IF(AND(TRIM(B175)="",TRIM(C175)=""),"",TRIM(B175)&amp;"|"&amp;TRIM(C175))</f>
        <v/>
      </c>
      <c r="P175" s="25" t="str">
        <f aca="false">IF(O175="","",IF(TRIM(C175)="",TRIM(B175),IF(TRIM(B175)="",TRIM(C175),TRIM(B175)&amp;", "&amp;TRIM(C175))))</f>
        <v/>
      </c>
      <c r="Q175" s="25" t="str">
        <f aca="false">IF(O175="","",TRIM(TRIM(C175)&amp;" "&amp;TRIM(B175)))</f>
        <v/>
      </c>
      <c r="R175" s="25" t="str">
        <f aca="false">IF(P175="","",COUNTIFS($P$2:$P$1000,"&lt;"&amp;P175,$P$2:$P$1000,"?*")+COUNTIF($P$2:P175,P175))</f>
        <v/>
      </c>
    </row>
    <row r="176" customFormat="false" ht="14.25" hidden="false" customHeight="true" outlineLevel="0" collapsed="false">
      <c r="A176" s="25" t="s">
        <v>374</v>
      </c>
      <c r="B176" s="25"/>
      <c r="C176" s="25"/>
      <c r="D176" s="26"/>
      <c r="E176" s="25"/>
      <c r="F176" s="25"/>
      <c r="G176" s="27"/>
      <c r="H176" s="28" t="str">
        <f aca="true">IF(G176="","",DATEDIF(G176,TODAY(),"Y"))</f>
        <v/>
      </c>
      <c r="I176" s="28" t="n">
        <f aca="false">IF($A176="","",COUNTIFS('🤸 Ingresos Pole'!$W$2:$W$1000,$A176,'🤸 Ingresos Pole'!$L$2:$L$1000,"Paquete"))</f>
        <v>0</v>
      </c>
      <c r="J176" s="28" t="n">
        <f aca="false">IF($A176="","",COUNTIF('🤸 Ingresos Pole'!$W$2:$W$1000,$A176))</f>
        <v>0</v>
      </c>
      <c r="K176" s="29" t="n">
        <f aca="false">IF($A176="","",SUMIF('🤸 Ingresos Pole'!$W$2:$W$1000,$A176,'🤸 Ingresos Pole'!$P$2:$P$1000))</f>
        <v>0</v>
      </c>
      <c r="L176" s="30" t="str">
        <f aca="false">IF(OR($A176="",J176=0),"",_xlfn.MINIFS('🤸 Ingresos Pole'!$B$2:$B$1000,'🤸 Ingresos Pole'!$W$2:$W$1000,$A176))</f>
        <v/>
      </c>
      <c r="M176" s="30" t="str">
        <f aca="false">IF(OR($A176="",J176=0),"",_xlfn.MAXIFS('🤸 Ingresos Pole'!$B$2:$B$1000,'🤸 Ingresos Pole'!$W$2:$W$1000,$A176))</f>
        <v/>
      </c>
      <c r="N176" s="28" t="str">
        <f aca="false">IF(OR($A176="",J176=0),"",IF(I176=0,"Sin paquete",IF(I176=1,"Nueva","Recurrente")))</f>
        <v/>
      </c>
      <c r="O176" s="25" t="str">
        <f aca="false">IF(AND(TRIM(B176)="",TRIM(C176)=""),"",TRIM(B176)&amp;"|"&amp;TRIM(C176))</f>
        <v/>
      </c>
      <c r="P176" s="25" t="str">
        <f aca="false">IF(O176="","",IF(TRIM(C176)="",TRIM(B176),IF(TRIM(B176)="",TRIM(C176),TRIM(B176)&amp;", "&amp;TRIM(C176))))</f>
        <v/>
      </c>
      <c r="Q176" s="25" t="str">
        <f aca="false">IF(O176="","",TRIM(TRIM(C176)&amp;" "&amp;TRIM(B176)))</f>
        <v/>
      </c>
      <c r="R176" s="25" t="str">
        <f aca="false">IF(P176="","",COUNTIFS($P$2:$P$1000,"&lt;"&amp;P176,$P$2:$P$1000,"?*")+COUNTIF($P$2:P176,P176))</f>
        <v/>
      </c>
    </row>
    <row r="177" customFormat="false" ht="14.25" hidden="false" customHeight="true" outlineLevel="0" collapsed="false">
      <c r="A177" s="25" t="s">
        <v>375</v>
      </c>
      <c r="B177" s="25"/>
      <c r="C177" s="25"/>
      <c r="D177" s="26"/>
      <c r="E177" s="25"/>
      <c r="F177" s="25"/>
      <c r="G177" s="27"/>
      <c r="H177" s="28" t="str">
        <f aca="true">IF(G177="","",DATEDIF(G177,TODAY(),"Y"))</f>
        <v/>
      </c>
      <c r="I177" s="28" t="n">
        <f aca="false">IF($A177="","",COUNTIFS('🤸 Ingresos Pole'!$W$2:$W$1000,$A177,'🤸 Ingresos Pole'!$L$2:$L$1000,"Paquete"))</f>
        <v>0</v>
      </c>
      <c r="J177" s="28" t="n">
        <f aca="false">IF($A177="","",COUNTIF('🤸 Ingresos Pole'!$W$2:$W$1000,$A177))</f>
        <v>0</v>
      </c>
      <c r="K177" s="29" t="n">
        <f aca="false">IF($A177="","",SUMIF('🤸 Ingresos Pole'!$W$2:$W$1000,$A177,'🤸 Ingresos Pole'!$P$2:$P$1000))</f>
        <v>0</v>
      </c>
      <c r="L177" s="30" t="str">
        <f aca="false">IF(OR($A177="",J177=0),"",_xlfn.MINIFS('🤸 Ingresos Pole'!$B$2:$B$1000,'🤸 Ingresos Pole'!$W$2:$W$1000,$A177))</f>
        <v/>
      </c>
      <c r="M177" s="30" t="str">
        <f aca="false">IF(OR($A177="",J177=0),"",_xlfn.MAXIFS('🤸 Ingresos Pole'!$B$2:$B$1000,'🤸 Ingresos Pole'!$W$2:$W$1000,$A177))</f>
        <v/>
      </c>
      <c r="N177" s="28" t="str">
        <f aca="false">IF(OR($A177="",J177=0),"",IF(I177=0,"Sin paquete",IF(I177=1,"Nueva","Recurrente")))</f>
        <v/>
      </c>
      <c r="O177" s="25" t="str">
        <f aca="false">IF(AND(TRIM(B177)="",TRIM(C177)=""),"",TRIM(B177)&amp;"|"&amp;TRIM(C177))</f>
        <v/>
      </c>
      <c r="P177" s="25" t="str">
        <f aca="false">IF(O177="","",IF(TRIM(C177)="",TRIM(B177),IF(TRIM(B177)="",TRIM(C177),TRIM(B177)&amp;", "&amp;TRIM(C177))))</f>
        <v/>
      </c>
      <c r="Q177" s="25" t="str">
        <f aca="false">IF(O177="","",TRIM(TRIM(C177)&amp;" "&amp;TRIM(B177)))</f>
        <v/>
      </c>
      <c r="R177" s="25" t="str">
        <f aca="false">IF(P177="","",COUNTIFS($P$2:$P$1000,"&lt;"&amp;P177,$P$2:$P$1000,"?*")+COUNTIF($P$2:P177,P177))</f>
        <v/>
      </c>
    </row>
    <row r="178" customFormat="false" ht="14.25" hidden="false" customHeight="true" outlineLevel="0" collapsed="false">
      <c r="A178" s="25" t="s">
        <v>376</v>
      </c>
      <c r="B178" s="25"/>
      <c r="C178" s="25"/>
      <c r="D178" s="26"/>
      <c r="E178" s="25"/>
      <c r="F178" s="25"/>
      <c r="G178" s="27"/>
      <c r="H178" s="28" t="str">
        <f aca="true">IF(G178="","",DATEDIF(G178,TODAY(),"Y"))</f>
        <v/>
      </c>
      <c r="I178" s="28" t="n">
        <f aca="false">IF($A178="","",COUNTIFS('🤸 Ingresos Pole'!$W$2:$W$1000,$A178,'🤸 Ingresos Pole'!$L$2:$L$1000,"Paquete"))</f>
        <v>0</v>
      </c>
      <c r="J178" s="28" t="n">
        <f aca="false">IF($A178="","",COUNTIF('🤸 Ingresos Pole'!$W$2:$W$1000,$A178))</f>
        <v>0</v>
      </c>
      <c r="K178" s="29" t="n">
        <f aca="false">IF($A178="","",SUMIF('🤸 Ingresos Pole'!$W$2:$W$1000,$A178,'🤸 Ingresos Pole'!$P$2:$P$1000))</f>
        <v>0</v>
      </c>
      <c r="L178" s="30" t="str">
        <f aca="false">IF(OR($A178="",J178=0),"",_xlfn.MINIFS('🤸 Ingresos Pole'!$B$2:$B$1000,'🤸 Ingresos Pole'!$W$2:$W$1000,$A178))</f>
        <v/>
      </c>
      <c r="M178" s="30" t="str">
        <f aca="false">IF(OR($A178="",J178=0),"",_xlfn.MAXIFS('🤸 Ingresos Pole'!$B$2:$B$1000,'🤸 Ingresos Pole'!$W$2:$W$1000,$A178))</f>
        <v/>
      </c>
      <c r="N178" s="28" t="str">
        <f aca="false">IF(OR($A178="",J178=0),"",IF(I178=0,"Sin paquete",IF(I178=1,"Nueva","Recurrente")))</f>
        <v/>
      </c>
      <c r="O178" s="25" t="str">
        <f aca="false">IF(AND(TRIM(B178)="",TRIM(C178)=""),"",TRIM(B178)&amp;"|"&amp;TRIM(C178))</f>
        <v/>
      </c>
      <c r="P178" s="25" t="str">
        <f aca="false">IF(O178="","",IF(TRIM(C178)="",TRIM(B178),IF(TRIM(B178)="",TRIM(C178),TRIM(B178)&amp;", "&amp;TRIM(C178))))</f>
        <v/>
      </c>
      <c r="Q178" s="25" t="str">
        <f aca="false">IF(O178="","",TRIM(TRIM(C178)&amp;" "&amp;TRIM(B178)))</f>
        <v/>
      </c>
      <c r="R178" s="25" t="str">
        <f aca="false">IF(P178="","",COUNTIFS($P$2:$P$1000,"&lt;"&amp;P178,$P$2:$P$1000,"?*")+COUNTIF($P$2:P178,P178))</f>
        <v/>
      </c>
    </row>
    <row r="179" customFormat="false" ht="14.25" hidden="false" customHeight="true" outlineLevel="0" collapsed="false">
      <c r="A179" s="25" t="s">
        <v>377</v>
      </c>
      <c r="B179" s="25"/>
      <c r="C179" s="25"/>
      <c r="D179" s="26"/>
      <c r="E179" s="25"/>
      <c r="F179" s="25"/>
      <c r="G179" s="27"/>
      <c r="H179" s="28" t="str">
        <f aca="true">IF(G179="","",DATEDIF(G179,TODAY(),"Y"))</f>
        <v/>
      </c>
      <c r="I179" s="28" t="n">
        <f aca="false">IF($A179="","",COUNTIFS('🤸 Ingresos Pole'!$W$2:$W$1000,$A179,'🤸 Ingresos Pole'!$L$2:$L$1000,"Paquete"))</f>
        <v>0</v>
      </c>
      <c r="J179" s="28" t="n">
        <f aca="false">IF($A179="","",COUNTIF('🤸 Ingresos Pole'!$W$2:$W$1000,$A179))</f>
        <v>0</v>
      </c>
      <c r="K179" s="29" t="n">
        <f aca="false">IF($A179="","",SUMIF('🤸 Ingresos Pole'!$W$2:$W$1000,$A179,'🤸 Ingresos Pole'!$P$2:$P$1000))</f>
        <v>0</v>
      </c>
      <c r="L179" s="30" t="str">
        <f aca="false">IF(OR($A179="",J179=0),"",_xlfn.MINIFS('🤸 Ingresos Pole'!$B$2:$B$1000,'🤸 Ingresos Pole'!$W$2:$W$1000,$A179))</f>
        <v/>
      </c>
      <c r="M179" s="30" t="str">
        <f aca="false">IF(OR($A179="",J179=0),"",_xlfn.MAXIFS('🤸 Ingresos Pole'!$B$2:$B$1000,'🤸 Ingresos Pole'!$W$2:$W$1000,$A179))</f>
        <v/>
      </c>
      <c r="N179" s="28" t="str">
        <f aca="false">IF(OR($A179="",J179=0),"",IF(I179=0,"Sin paquete",IF(I179=1,"Nueva","Recurrente")))</f>
        <v/>
      </c>
      <c r="O179" s="25" t="str">
        <f aca="false">IF(AND(TRIM(B179)="",TRIM(C179)=""),"",TRIM(B179)&amp;"|"&amp;TRIM(C179))</f>
        <v/>
      </c>
      <c r="P179" s="25" t="str">
        <f aca="false">IF(O179="","",IF(TRIM(C179)="",TRIM(B179),IF(TRIM(B179)="",TRIM(C179),TRIM(B179)&amp;", "&amp;TRIM(C179))))</f>
        <v/>
      </c>
      <c r="Q179" s="25" t="str">
        <f aca="false">IF(O179="","",TRIM(TRIM(C179)&amp;" "&amp;TRIM(B179)))</f>
        <v/>
      </c>
      <c r="R179" s="25" t="str">
        <f aca="false">IF(P179="","",COUNTIFS($P$2:$P$1000,"&lt;"&amp;P179,$P$2:$P$1000,"?*")+COUNTIF($P$2:P179,P179))</f>
        <v/>
      </c>
    </row>
    <row r="180" customFormat="false" ht="14.25" hidden="false" customHeight="true" outlineLevel="0" collapsed="false">
      <c r="A180" s="25" t="s">
        <v>378</v>
      </c>
      <c r="B180" s="25"/>
      <c r="C180" s="25"/>
      <c r="D180" s="26"/>
      <c r="E180" s="25"/>
      <c r="F180" s="25"/>
      <c r="G180" s="27"/>
      <c r="H180" s="28" t="str">
        <f aca="true">IF(G180="","",DATEDIF(G180,TODAY(),"Y"))</f>
        <v/>
      </c>
      <c r="I180" s="28" t="n">
        <f aca="false">IF($A180="","",COUNTIFS('🤸 Ingresos Pole'!$W$2:$W$1000,$A180,'🤸 Ingresos Pole'!$L$2:$L$1000,"Paquete"))</f>
        <v>0</v>
      </c>
      <c r="J180" s="28" t="n">
        <f aca="false">IF($A180="","",COUNTIF('🤸 Ingresos Pole'!$W$2:$W$1000,$A180))</f>
        <v>0</v>
      </c>
      <c r="K180" s="29" t="n">
        <f aca="false">IF($A180="","",SUMIF('🤸 Ingresos Pole'!$W$2:$W$1000,$A180,'🤸 Ingresos Pole'!$P$2:$P$1000))</f>
        <v>0</v>
      </c>
      <c r="L180" s="30" t="str">
        <f aca="false">IF(OR($A180="",J180=0),"",_xlfn.MINIFS('🤸 Ingresos Pole'!$B$2:$B$1000,'🤸 Ingresos Pole'!$W$2:$W$1000,$A180))</f>
        <v/>
      </c>
      <c r="M180" s="30" t="str">
        <f aca="false">IF(OR($A180="",J180=0),"",_xlfn.MAXIFS('🤸 Ingresos Pole'!$B$2:$B$1000,'🤸 Ingresos Pole'!$W$2:$W$1000,$A180))</f>
        <v/>
      </c>
      <c r="N180" s="28" t="str">
        <f aca="false">IF(OR($A180="",J180=0),"",IF(I180=0,"Sin paquete",IF(I180=1,"Nueva","Recurrente")))</f>
        <v/>
      </c>
      <c r="O180" s="25" t="str">
        <f aca="false">IF(AND(TRIM(B180)="",TRIM(C180)=""),"",TRIM(B180)&amp;"|"&amp;TRIM(C180))</f>
        <v/>
      </c>
      <c r="P180" s="25" t="str">
        <f aca="false">IF(O180="","",IF(TRIM(C180)="",TRIM(B180),IF(TRIM(B180)="",TRIM(C180),TRIM(B180)&amp;", "&amp;TRIM(C180))))</f>
        <v/>
      </c>
      <c r="Q180" s="25" t="str">
        <f aca="false">IF(O180="","",TRIM(TRIM(C180)&amp;" "&amp;TRIM(B180)))</f>
        <v/>
      </c>
      <c r="R180" s="25" t="str">
        <f aca="false">IF(P180="","",COUNTIFS($P$2:$P$1000,"&lt;"&amp;P180,$P$2:$P$1000,"?*")+COUNTIF($P$2:P180,P180))</f>
        <v/>
      </c>
    </row>
    <row r="181" customFormat="false" ht="14.25" hidden="false" customHeight="true" outlineLevel="0" collapsed="false">
      <c r="A181" s="25" t="s">
        <v>379</v>
      </c>
      <c r="B181" s="25"/>
      <c r="C181" s="25"/>
      <c r="D181" s="26"/>
      <c r="E181" s="25"/>
      <c r="F181" s="25"/>
      <c r="G181" s="27"/>
      <c r="H181" s="28" t="str">
        <f aca="true">IF(G181="","",DATEDIF(G181,TODAY(),"Y"))</f>
        <v/>
      </c>
      <c r="I181" s="28" t="n">
        <f aca="false">IF($A181="","",COUNTIFS('🤸 Ingresos Pole'!$W$2:$W$1000,$A181,'🤸 Ingresos Pole'!$L$2:$L$1000,"Paquete"))</f>
        <v>0</v>
      </c>
      <c r="J181" s="28" t="n">
        <f aca="false">IF($A181="","",COUNTIF('🤸 Ingresos Pole'!$W$2:$W$1000,$A181))</f>
        <v>0</v>
      </c>
      <c r="K181" s="29" t="n">
        <f aca="false">IF($A181="","",SUMIF('🤸 Ingresos Pole'!$W$2:$W$1000,$A181,'🤸 Ingresos Pole'!$P$2:$P$1000))</f>
        <v>0</v>
      </c>
      <c r="L181" s="30" t="str">
        <f aca="false">IF(OR($A181="",J181=0),"",_xlfn.MINIFS('🤸 Ingresos Pole'!$B$2:$B$1000,'🤸 Ingresos Pole'!$W$2:$W$1000,$A181))</f>
        <v/>
      </c>
      <c r="M181" s="30" t="str">
        <f aca="false">IF(OR($A181="",J181=0),"",_xlfn.MAXIFS('🤸 Ingresos Pole'!$B$2:$B$1000,'🤸 Ingresos Pole'!$W$2:$W$1000,$A181))</f>
        <v/>
      </c>
      <c r="N181" s="28" t="str">
        <f aca="false">IF(OR($A181="",J181=0),"",IF(I181=0,"Sin paquete",IF(I181=1,"Nueva","Recurrente")))</f>
        <v/>
      </c>
      <c r="O181" s="25" t="str">
        <f aca="false">IF(AND(TRIM(B181)="",TRIM(C181)=""),"",TRIM(B181)&amp;"|"&amp;TRIM(C181))</f>
        <v/>
      </c>
      <c r="P181" s="25" t="str">
        <f aca="false">IF(O181="","",IF(TRIM(C181)="",TRIM(B181),IF(TRIM(B181)="",TRIM(C181),TRIM(B181)&amp;", "&amp;TRIM(C181))))</f>
        <v/>
      </c>
      <c r="Q181" s="25" t="str">
        <f aca="false">IF(O181="","",TRIM(TRIM(C181)&amp;" "&amp;TRIM(B181)))</f>
        <v/>
      </c>
      <c r="R181" s="25" t="str">
        <f aca="false">IF(P181="","",COUNTIFS($P$2:$P$1000,"&lt;"&amp;P181,$P$2:$P$1000,"?*")+COUNTIF($P$2:P181,P181))</f>
        <v/>
      </c>
    </row>
    <row r="182" customFormat="false" ht="14.25" hidden="false" customHeight="true" outlineLevel="0" collapsed="false">
      <c r="A182" s="25" t="s">
        <v>380</v>
      </c>
      <c r="B182" s="25"/>
      <c r="C182" s="25"/>
      <c r="D182" s="26"/>
      <c r="E182" s="25"/>
      <c r="F182" s="25"/>
      <c r="G182" s="27"/>
      <c r="H182" s="28" t="str">
        <f aca="true">IF(G182="","",DATEDIF(G182,TODAY(),"Y"))</f>
        <v/>
      </c>
      <c r="I182" s="28" t="n">
        <f aca="false">IF($A182="","",COUNTIFS('🤸 Ingresos Pole'!$W$2:$W$1000,$A182,'🤸 Ingresos Pole'!$L$2:$L$1000,"Paquete"))</f>
        <v>0</v>
      </c>
      <c r="J182" s="28" t="n">
        <f aca="false">IF($A182="","",COUNTIF('🤸 Ingresos Pole'!$W$2:$W$1000,$A182))</f>
        <v>0</v>
      </c>
      <c r="K182" s="29" t="n">
        <f aca="false">IF($A182="","",SUMIF('🤸 Ingresos Pole'!$W$2:$W$1000,$A182,'🤸 Ingresos Pole'!$P$2:$P$1000))</f>
        <v>0</v>
      </c>
      <c r="L182" s="30" t="str">
        <f aca="false">IF(OR($A182="",J182=0),"",_xlfn.MINIFS('🤸 Ingresos Pole'!$B$2:$B$1000,'🤸 Ingresos Pole'!$W$2:$W$1000,$A182))</f>
        <v/>
      </c>
      <c r="M182" s="30" t="str">
        <f aca="false">IF(OR($A182="",J182=0),"",_xlfn.MAXIFS('🤸 Ingresos Pole'!$B$2:$B$1000,'🤸 Ingresos Pole'!$W$2:$W$1000,$A182))</f>
        <v/>
      </c>
      <c r="N182" s="28" t="str">
        <f aca="false">IF(OR($A182="",J182=0),"",IF(I182=0,"Sin paquete",IF(I182=1,"Nueva","Recurrente")))</f>
        <v/>
      </c>
      <c r="O182" s="25" t="str">
        <f aca="false">IF(AND(TRIM(B182)="",TRIM(C182)=""),"",TRIM(B182)&amp;"|"&amp;TRIM(C182))</f>
        <v/>
      </c>
      <c r="P182" s="25" t="str">
        <f aca="false">IF(O182="","",IF(TRIM(C182)="",TRIM(B182),IF(TRIM(B182)="",TRIM(C182),TRIM(B182)&amp;", "&amp;TRIM(C182))))</f>
        <v/>
      </c>
      <c r="Q182" s="25" t="str">
        <f aca="false">IF(O182="","",TRIM(TRIM(C182)&amp;" "&amp;TRIM(B182)))</f>
        <v/>
      </c>
      <c r="R182" s="25" t="str">
        <f aca="false">IF(P182="","",COUNTIFS($P$2:$P$1000,"&lt;"&amp;P182,$P$2:$P$1000,"?*")+COUNTIF($P$2:P182,P182))</f>
        <v/>
      </c>
    </row>
    <row r="183" customFormat="false" ht="14.25" hidden="false" customHeight="true" outlineLevel="0" collapsed="false">
      <c r="A183" s="25" t="s">
        <v>381</v>
      </c>
      <c r="B183" s="25"/>
      <c r="C183" s="25"/>
      <c r="D183" s="26"/>
      <c r="E183" s="25"/>
      <c r="F183" s="25"/>
      <c r="G183" s="27"/>
      <c r="H183" s="28" t="str">
        <f aca="true">IF(G183="","",DATEDIF(G183,TODAY(),"Y"))</f>
        <v/>
      </c>
      <c r="I183" s="28" t="n">
        <f aca="false">IF($A183="","",COUNTIFS('🤸 Ingresos Pole'!$W$2:$W$1000,$A183,'🤸 Ingresos Pole'!$L$2:$L$1000,"Paquete"))</f>
        <v>0</v>
      </c>
      <c r="J183" s="28" t="n">
        <f aca="false">IF($A183="","",COUNTIF('🤸 Ingresos Pole'!$W$2:$W$1000,$A183))</f>
        <v>0</v>
      </c>
      <c r="K183" s="29" t="n">
        <f aca="false">IF($A183="","",SUMIF('🤸 Ingresos Pole'!$W$2:$W$1000,$A183,'🤸 Ingresos Pole'!$P$2:$P$1000))</f>
        <v>0</v>
      </c>
      <c r="L183" s="30" t="str">
        <f aca="false">IF(OR($A183="",J183=0),"",_xlfn.MINIFS('🤸 Ingresos Pole'!$B$2:$B$1000,'🤸 Ingresos Pole'!$W$2:$W$1000,$A183))</f>
        <v/>
      </c>
      <c r="M183" s="30" t="str">
        <f aca="false">IF(OR($A183="",J183=0),"",_xlfn.MAXIFS('🤸 Ingresos Pole'!$B$2:$B$1000,'🤸 Ingresos Pole'!$W$2:$W$1000,$A183))</f>
        <v/>
      </c>
      <c r="N183" s="28" t="str">
        <f aca="false">IF(OR($A183="",J183=0),"",IF(I183=0,"Sin paquete",IF(I183=1,"Nueva","Recurrente")))</f>
        <v/>
      </c>
      <c r="O183" s="25" t="str">
        <f aca="false">IF(AND(TRIM(B183)="",TRIM(C183)=""),"",TRIM(B183)&amp;"|"&amp;TRIM(C183))</f>
        <v/>
      </c>
      <c r="P183" s="25" t="str">
        <f aca="false">IF(O183="","",IF(TRIM(C183)="",TRIM(B183),IF(TRIM(B183)="",TRIM(C183),TRIM(B183)&amp;", "&amp;TRIM(C183))))</f>
        <v/>
      </c>
      <c r="Q183" s="25" t="str">
        <f aca="false">IF(O183="","",TRIM(TRIM(C183)&amp;" "&amp;TRIM(B183)))</f>
        <v/>
      </c>
      <c r="R183" s="25" t="str">
        <f aca="false">IF(P183="","",COUNTIFS($P$2:$P$1000,"&lt;"&amp;P183,$P$2:$P$1000,"?*")+COUNTIF($P$2:P183,P183))</f>
        <v/>
      </c>
    </row>
    <row r="184" customFormat="false" ht="14.25" hidden="false" customHeight="true" outlineLevel="0" collapsed="false">
      <c r="A184" s="25" t="s">
        <v>382</v>
      </c>
      <c r="B184" s="25"/>
      <c r="C184" s="25"/>
      <c r="D184" s="26"/>
      <c r="E184" s="25"/>
      <c r="F184" s="25"/>
      <c r="G184" s="27"/>
      <c r="H184" s="28" t="str">
        <f aca="true">IF(G184="","",DATEDIF(G184,TODAY(),"Y"))</f>
        <v/>
      </c>
      <c r="I184" s="28" t="n">
        <f aca="false">IF($A184="","",COUNTIFS('🤸 Ingresos Pole'!$W$2:$W$1000,$A184,'🤸 Ingresos Pole'!$L$2:$L$1000,"Paquete"))</f>
        <v>0</v>
      </c>
      <c r="J184" s="28" t="n">
        <f aca="false">IF($A184="","",COUNTIF('🤸 Ingresos Pole'!$W$2:$W$1000,$A184))</f>
        <v>0</v>
      </c>
      <c r="K184" s="29" t="n">
        <f aca="false">IF($A184="","",SUMIF('🤸 Ingresos Pole'!$W$2:$W$1000,$A184,'🤸 Ingresos Pole'!$P$2:$P$1000))</f>
        <v>0</v>
      </c>
      <c r="L184" s="30" t="str">
        <f aca="false">IF(OR($A184="",J184=0),"",_xlfn.MINIFS('🤸 Ingresos Pole'!$B$2:$B$1000,'🤸 Ingresos Pole'!$W$2:$W$1000,$A184))</f>
        <v/>
      </c>
      <c r="M184" s="30" t="str">
        <f aca="false">IF(OR($A184="",J184=0),"",_xlfn.MAXIFS('🤸 Ingresos Pole'!$B$2:$B$1000,'🤸 Ingresos Pole'!$W$2:$W$1000,$A184))</f>
        <v/>
      </c>
      <c r="N184" s="28" t="str">
        <f aca="false">IF(OR($A184="",J184=0),"",IF(I184=0,"Sin paquete",IF(I184=1,"Nueva","Recurrente")))</f>
        <v/>
      </c>
      <c r="O184" s="25" t="str">
        <f aca="false">IF(AND(TRIM(B184)="",TRIM(C184)=""),"",TRIM(B184)&amp;"|"&amp;TRIM(C184))</f>
        <v/>
      </c>
      <c r="P184" s="25" t="str">
        <f aca="false">IF(O184="","",IF(TRIM(C184)="",TRIM(B184),IF(TRIM(B184)="",TRIM(C184),TRIM(B184)&amp;", "&amp;TRIM(C184))))</f>
        <v/>
      </c>
      <c r="Q184" s="25" t="str">
        <f aca="false">IF(O184="","",TRIM(TRIM(C184)&amp;" "&amp;TRIM(B184)))</f>
        <v/>
      </c>
      <c r="R184" s="25" t="str">
        <f aca="false">IF(P184="","",COUNTIFS($P$2:$P$1000,"&lt;"&amp;P184,$P$2:$P$1000,"?*")+COUNTIF($P$2:P184,P184))</f>
        <v/>
      </c>
    </row>
    <row r="185" customFormat="false" ht="14.25" hidden="false" customHeight="true" outlineLevel="0" collapsed="false">
      <c r="A185" s="25" t="s">
        <v>383</v>
      </c>
      <c r="B185" s="25"/>
      <c r="C185" s="25"/>
      <c r="D185" s="26"/>
      <c r="E185" s="25"/>
      <c r="F185" s="25"/>
      <c r="G185" s="27"/>
      <c r="H185" s="28" t="str">
        <f aca="true">IF(G185="","",DATEDIF(G185,TODAY(),"Y"))</f>
        <v/>
      </c>
      <c r="I185" s="28" t="n">
        <f aca="false">IF($A185="","",COUNTIFS('🤸 Ingresos Pole'!$W$2:$W$1000,$A185,'🤸 Ingresos Pole'!$L$2:$L$1000,"Paquete"))</f>
        <v>0</v>
      </c>
      <c r="J185" s="28" t="n">
        <f aca="false">IF($A185="","",COUNTIF('🤸 Ingresos Pole'!$W$2:$W$1000,$A185))</f>
        <v>0</v>
      </c>
      <c r="K185" s="29" t="n">
        <f aca="false">IF($A185="","",SUMIF('🤸 Ingresos Pole'!$W$2:$W$1000,$A185,'🤸 Ingresos Pole'!$P$2:$P$1000))</f>
        <v>0</v>
      </c>
      <c r="L185" s="30" t="str">
        <f aca="false">IF(OR($A185="",J185=0),"",_xlfn.MINIFS('🤸 Ingresos Pole'!$B$2:$B$1000,'🤸 Ingresos Pole'!$W$2:$W$1000,$A185))</f>
        <v/>
      </c>
      <c r="M185" s="30" t="str">
        <f aca="false">IF(OR($A185="",J185=0),"",_xlfn.MAXIFS('🤸 Ingresos Pole'!$B$2:$B$1000,'🤸 Ingresos Pole'!$W$2:$W$1000,$A185))</f>
        <v/>
      </c>
      <c r="N185" s="28" t="str">
        <f aca="false">IF(OR($A185="",J185=0),"",IF(I185=0,"Sin paquete",IF(I185=1,"Nueva","Recurrente")))</f>
        <v/>
      </c>
      <c r="O185" s="25" t="str">
        <f aca="false">IF(AND(TRIM(B185)="",TRIM(C185)=""),"",TRIM(B185)&amp;"|"&amp;TRIM(C185))</f>
        <v/>
      </c>
      <c r="P185" s="25" t="str">
        <f aca="false">IF(O185="","",IF(TRIM(C185)="",TRIM(B185),IF(TRIM(B185)="",TRIM(C185),TRIM(B185)&amp;", "&amp;TRIM(C185))))</f>
        <v/>
      </c>
      <c r="Q185" s="25" t="str">
        <f aca="false">IF(O185="","",TRIM(TRIM(C185)&amp;" "&amp;TRIM(B185)))</f>
        <v/>
      </c>
      <c r="R185" s="25" t="str">
        <f aca="false">IF(P185="","",COUNTIFS($P$2:$P$1000,"&lt;"&amp;P185,$P$2:$P$1000,"?*")+COUNTIF($P$2:P185,P185))</f>
        <v/>
      </c>
    </row>
    <row r="186" customFormat="false" ht="14.25" hidden="false" customHeight="true" outlineLevel="0" collapsed="false">
      <c r="A186" s="25" t="s">
        <v>384</v>
      </c>
      <c r="B186" s="25"/>
      <c r="C186" s="25"/>
      <c r="D186" s="26"/>
      <c r="E186" s="25"/>
      <c r="F186" s="25"/>
      <c r="G186" s="27"/>
      <c r="H186" s="28" t="str">
        <f aca="true">IF(G186="","",DATEDIF(G186,TODAY(),"Y"))</f>
        <v/>
      </c>
      <c r="I186" s="28" t="n">
        <f aca="false">IF($A186="","",COUNTIFS('🤸 Ingresos Pole'!$W$2:$W$1000,$A186,'🤸 Ingresos Pole'!$L$2:$L$1000,"Paquete"))</f>
        <v>0</v>
      </c>
      <c r="J186" s="28" t="n">
        <f aca="false">IF($A186="","",COUNTIF('🤸 Ingresos Pole'!$W$2:$W$1000,$A186))</f>
        <v>0</v>
      </c>
      <c r="K186" s="29" t="n">
        <f aca="false">IF($A186="","",SUMIF('🤸 Ingresos Pole'!$W$2:$W$1000,$A186,'🤸 Ingresos Pole'!$P$2:$P$1000))</f>
        <v>0</v>
      </c>
      <c r="L186" s="30" t="str">
        <f aca="false">IF(OR($A186="",J186=0),"",_xlfn.MINIFS('🤸 Ingresos Pole'!$B$2:$B$1000,'🤸 Ingresos Pole'!$W$2:$W$1000,$A186))</f>
        <v/>
      </c>
      <c r="M186" s="30" t="str">
        <f aca="false">IF(OR($A186="",J186=0),"",_xlfn.MAXIFS('🤸 Ingresos Pole'!$B$2:$B$1000,'🤸 Ingresos Pole'!$W$2:$W$1000,$A186))</f>
        <v/>
      </c>
      <c r="N186" s="28" t="str">
        <f aca="false">IF(OR($A186="",J186=0),"",IF(I186=0,"Sin paquete",IF(I186=1,"Nueva","Recurrente")))</f>
        <v/>
      </c>
      <c r="O186" s="25" t="str">
        <f aca="false">IF(AND(TRIM(B186)="",TRIM(C186)=""),"",TRIM(B186)&amp;"|"&amp;TRIM(C186))</f>
        <v/>
      </c>
      <c r="P186" s="25" t="str">
        <f aca="false">IF(O186="","",IF(TRIM(C186)="",TRIM(B186),IF(TRIM(B186)="",TRIM(C186),TRIM(B186)&amp;", "&amp;TRIM(C186))))</f>
        <v/>
      </c>
      <c r="Q186" s="25" t="str">
        <f aca="false">IF(O186="","",TRIM(TRIM(C186)&amp;" "&amp;TRIM(B186)))</f>
        <v/>
      </c>
      <c r="R186" s="25" t="str">
        <f aca="false">IF(P186="","",COUNTIFS($P$2:$P$1000,"&lt;"&amp;P186,$P$2:$P$1000,"?*")+COUNTIF($P$2:P186,P186))</f>
        <v/>
      </c>
    </row>
    <row r="187" customFormat="false" ht="14.25" hidden="false" customHeight="true" outlineLevel="0" collapsed="false">
      <c r="A187" s="25" t="s">
        <v>385</v>
      </c>
      <c r="B187" s="25"/>
      <c r="C187" s="25"/>
      <c r="D187" s="26"/>
      <c r="E187" s="25"/>
      <c r="F187" s="25"/>
      <c r="G187" s="27"/>
      <c r="H187" s="28" t="str">
        <f aca="true">IF(G187="","",DATEDIF(G187,TODAY(),"Y"))</f>
        <v/>
      </c>
      <c r="I187" s="28" t="n">
        <f aca="false">IF($A187="","",COUNTIFS('🤸 Ingresos Pole'!$W$2:$W$1000,$A187,'🤸 Ingresos Pole'!$L$2:$L$1000,"Paquete"))</f>
        <v>0</v>
      </c>
      <c r="J187" s="28" t="n">
        <f aca="false">IF($A187="","",COUNTIF('🤸 Ingresos Pole'!$W$2:$W$1000,$A187))</f>
        <v>0</v>
      </c>
      <c r="K187" s="29" t="n">
        <f aca="false">IF($A187="","",SUMIF('🤸 Ingresos Pole'!$W$2:$W$1000,$A187,'🤸 Ingresos Pole'!$P$2:$P$1000))</f>
        <v>0</v>
      </c>
      <c r="L187" s="30" t="str">
        <f aca="false">IF(OR($A187="",J187=0),"",_xlfn.MINIFS('🤸 Ingresos Pole'!$B$2:$B$1000,'🤸 Ingresos Pole'!$W$2:$W$1000,$A187))</f>
        <v/>
      </c>
      <c r="M187" s="30" t="str">
        <f aca="false">IF(OR($A187="",J187=0),"",_xlfn.MAXIFS('🤸 Ingresos Pole'!$B$2:$B$1000,'🤸 Ingresos Pole'!$W$2:$W$1000,$A187))</f>
        <v/>
      </c>
      <c r="N187" s="28" t="str">
        <f aca="false">IF(OR($A187="",J187=0),"",IF(I187=0,"Sin paquete",IF(I187=1,"Nueva","Recurrente")))</f>
        <v/>
      </c>
      <c r="O187" s="25" t="str">
        <f aca="false">IF(AND(TRIM(B187)="",TRIM(C187)=""),"",TRIM(B187)&amp;"|"&amp;TRIM(C187))</f>
        <v/>
      </c>
      <c r="P187" s="25" t="str">
        <f aca="false">IF(O187="","",IF(TRIM(C187)="",TRIM(B187),IF(TRIM(B187)="",TRIM(C187),TRIM(B187)&amp;", "&amp;TRIM(C187))))</f>
        <v/>
      </c>
      <c r="Q187" s="25" t="str">
        <f aca="false">IF(O187="","",TRIM(TRIM(C187)&amp;" "&amp;TRIM(B187)))</f>
        <v/>
      </c>
      <c r="R187" s="25" t="str">
        <f aca="false">IF(P187="","",COUNTIFS($P$2:$P$1000,"&lt;"&amp;P187,$P$2:$P$1000,"?*")+COUNTIF($P$2:P187,P187))</f>
        <v/>
      </c>
    </row>
    <row r="188" customFormat="false" ht="14.25" hidden="false" customHeight="true" outlineLevel="0" collapsed="false">
      <c r="A188" s="25" t="s">
        <v>386</v>
      </c>
      <c r="B188" s="25"/>
      <c r="C188" s="25"/>
      <c r="D188" s="26"/>
      <c r="E188" s="25"/>
      <c r="F188" s="25"/>
      <c r="G188" s="27"/>
      <c r="H188" s="28" t="str">
        <f aca="true">IF(G188="","",DATEDIF(G188,TODAY(),"Y"))</f>
        <v/>
      </c>
      <c r="I188" s="28" t="n">
        <f aca="false">IF($A188="","",COUNTIFS('🤸 Ingresos Pole'!$W$2:$W$1000,$A188,'🤸 Ingresos Pole'!$L$2:$L$1000,"Paquete"))</f>
        <v>0</v>
      </c>
      <c r="J188" s="28" t="n">
        <f aca="false">IF($A188="","",COUNTIF('🤸 Ingresos Pole'!$W$2:$W$1000,$A188))</f>
        <v>0</v>
      </c>
      <c r="K188" s="29" t="n">
        <f aca="false">IF($A188="","",SUMIF('🤸 Ingresos Pole'!$W$2:$W$1000,$A188,'🤸 Ingresos Pole'!$P$2:$P$1000))</f>
        <v>0</v>
      </c>
      <c r="L188" s="30" t="str">
        <f aca="false">IF(OR($A188="",J188=0),"",_xlfn.MINIFS('🤸 Ingresos Pole'!$B$2:$B$1000,'🤸 Ingresos Pole'!$W$2:$W$1000,$A188))</f>
        <v/>
      </c>
      <c r="M188" s="30" t="str">
        <f aca="false">IF(OR($A188="",J188=0),"",_xlfn.MAXIFS('🤸 Ingresos Pole'!$B$2:$B$1000,'🤸 Ingresos Pole'!$W$2:$W$1000,$A188))</f>
        <v/>
      </c>
      <c r="N188" s="28" t="str">
        <f aca="false">IF(OR($A188="",J188=0),"",IF(I188=0,"Sin paquete",IF(I188=1,"Nueva","Recurrente")))</f>
        <v/>
      </c>
      <c r="O188" s="25" t="str">
        <f aca="false">IF(AND(TRIM(B188)="",TRIM(C188)=""),"",TRIM(B188)&amp;"|"&amp;TRIM(C188))</f>
        <v/>
      </c>
      <c r="P188" s="25" t="str">
        <f aca="false">IF(O188="","",IF(TRIM(C188)="",TRIM(B188),IF(TRIM(B188)="",TRIM(C188),TRIM(B188)&amp;", "&amp;TRIM(C188))))</f>
        <v/>
      </c>
      <c r="Q188" s="25" t="str">
        <f aca="false">IF(O188="","",TRIM(TRIM(C188)&amp;" "&amp;TRIM(B188)))</f>
        <v/>
      </c>
      <c r="R188" s="25" t="str">
        <f aca="false">IF(P188="","",COUNTIFS($P$2:$P$1000,"&lt;"&amp;P188,$P$2:$P$1000,"?*")+COUNTIF($P$2:P188,P188))</f>
        <v/>
      </c>
    </row>
    <row r="189" customFormat="false" ht="14.25" hidden="false" customHeight="true" outlineLevel="0" collapsed="false">
      <c r="A189" s="25" t="s">
        <v>387</v>
      </c>
      <c r="B189" s="25"/>
      <c r="C189" s="25"/>
      <c r="D189" s="26"/>
      <c r="E189" s="25"/>
      <c r="F189" s="25"/>
      <c r="G189" s="27"/>
      <c r="H189" s="28" t="str">
        <f aca="true">IF(G189="","",DATEDIF(G189,TODAY(),"Y"))</f>
        <v/>
      </c>
      <c r="I189" s="28" t="n">
        <f aca="false">IF($A189="","",COUNTIFS('🤸 Ingresos Pole'!$W$2:$W$1000,$A189,'🤸 Ingresos Pole'!$L$2:$L$1000,"Paquete"))</f>
        <v>0</v>
      </c>
      <c r="J189" s="28" t="n">
        <f aca="false">IF($A189="","",COUNTIF('🤸 Ingresos Pole'!$W$2:$W$1000,$A189))</f>
        <v>0</v>
      </c>
      <c r="K189" s="29" t="n">
        <f aca="false">IF($A189="","",SUMIF('🤸 Ingresos Pole'!$W$2:$W$1000,$A189,'🤸 Ingresos Pole'!$P$2:$P$1000))</f>
        <v>0</v>
      </c>
      <c r="L189" s="30" t="str">
        <f aca="false">IF(OR($A189="",J189=0),"",_xlfn.MINIFS('🤸 Ingresos Pole'!$B$2:$B$1000,'🤸 Ingresos Pole'!$W$2:$W$1000,$A189))</f>
        <v/>
      </c>
      <c r="M189" s="30" t="str">
        <f aca="false">IF(OR($A189="",J189=0),"",_xlfn.MAXIFS('🤸 Ingresos Pole'!$B$2:$B$1000,'🤸 Ingresos Pole'!$W$2:$W$1000,$A189))</f>
        <v/>
      </c>
      <c r="N189" s="28" t="str">
        <f aca="false">IF(OR($A189="",J189=0),"",IF(I189=0,"Sin paquete",IF(I189=1,"Nueva","Recurrente")))</f>
        <v/>
      </c>
      <c r="O189" s="25" t="str">
        <f aca="false">IF(AND(TRIM(B189)="",TRIM(C189)=""),"",TRIM(B189)&amp;"|"&amp;TRIM(C189))</f>
        <v/>
      </c>
      <c r="P189" s="25" t="str">
        <f aca="false">IF(O189="","",IF(TRIM(C189)="",TRIM(B189),IF(TRIM(B189)="",TRIM(C189),TRIM(B189)&amp;", "&amp;TRIM(C189))))</f>
        <v/>
      </c>
      <c r="Q189" s="25" t="str">
        <f aca="false">IF(O189="","",TRIM(TRIM(C189)&amp;" "&amp;TRIM(B189)))</f>
        <v/>
      </c>
      <c r="R189" s="25" t="str">
        <f aca="false">IF(P189="","",COUNTIFS($P$2:$P$1000,"&lt;"&amp;P189,$P$2:$P$1000,"?*")+COUNTIF($P$2:P189,P189))</f>
        <v/>
      </c>
    </row>
    <row r="190" customFormat="false" ht="14.25" hidden="false" customHeight="true" outlineLevel="0" collapsed="false">
      <c r="A190" s="25" t="s">
        <v>388</v>
      </c>
      <c r="B190" s="25"/>
      <c r="C190" s="25"/>
      <c r="D190" s="26"/>
      <c r="E190" s="25"/>
      <c r="F190" s="25"/>
      <c r="G190" s="27"/>
      <c r="H190" s="28" t="str">
        <f aca="true">IF(G190="","",DATEDIF(G190,TODAY(),"Y"))</f>
        <v/>
      </c>
      <c r="I190" s="28" t="n">
        <f aca="false">IF($A190="","",COUNTIFS('🤸 Ingresos Pole'!$W$2:$W$1000,$A190,'🤸 Ingresos Pole'!$L$2:$L$1000,"Paquete"))</f>
        <v>0</v>
      </c>
      <c r="J190" s="28" t="n">
        <f aca="false">IF($A190="","",COUNTIF('🤸 Ingresos Pole'!$W$2:$W$1000,$A190))</f>
        <v>0</v>
      </c>
      <c r="K190" s="29" t="n">
        <f aca="false">IF($A190="","",SUMIF('🤸 Ingresos Pole'!$W$2:$W$1000,$A190,'🤸 Ingresos Pole'!$P$2:$P$1000))</f>
        <v>0</v>
      </c>
      <c r="L190" s="30" t="str">
        <f aca="false">IF(OR($A190="",J190=0),"",_xlfn.MINIFS('🤸 Ingresos Pole'!$B$2:$B$1000,'🤸 Ingresos Pole'!$W$2:$W$1000,$A190))</f>
        <v/>
      </c>
      <c r="M190" s="30" t="str">
        <f aca="false">IF(OR($A190="",J190=0),"",_xlfn.MAXIFS('🤸 Ingresos Pole'!$B$2:$B$1000,'🤸 Ingresos Pole'!$W$2:$W$1000,$A190))</f>
        <v/>
      </c>
      <c r="N190" s="28" t="str">
        <f aca="false">IF(OR($A190="",J190=0),"",IF(I190=0,"Sin paquete",IF(I190=1,"Nueva","Recurrente")))</f>
        <v/>
      </c>
      <c r="O190" s="25" t="str">
        <f aca="false">IF(AND(TRIM(B190)="",TRIM(C190)=""),"",TRIM(B190)&amp;"|"&amp;TRIM(C190))</f>
        <v/>
      </c>
      <c r="P190" s="25" t="str">
        <f aca="false">IF(O190="","",IF(TRIM(C190)="",TRIM(B190),IF(TRIM(B190)="",TRIM(C190),TRIM(B190)&amp;", "&amp;TRIM(C190))))</f>
        <v/>
      </c>
      <c r="Q190" s="25" t="str">
        <f aca="false">IF(O190="","",TRIM(TRIM(C190)&amp;" "&amp;TRIM(B190)))</f>
        <v/>
      </c>
      <c r="R190" s="25" t="str">
        <f aca="false">IF(P190="","",COUNTIFS($P$2:$P$1000,"&lt;"&amp;P190,$P$2:$P$1000,"?*")+COUNTIF($P$2:P190,P190))</f>
        <v/>
      </c>
    </row>
    <row r="191" customFormat="false" ht="14.25" hidden="false" customHeight="true" outlineLevel="0" collapsed="false">
      <c r="A191" s="25" t="s">
        <v>389</v>
      </c>
      <c r="B191" s="25"/>
      <c r="C191" s="25"/>
      <c r="D191" s="26"/>
      <c r="E191" s="25"/>
      <c r="F191" s="25"/>
      <c r="G191" s="27"/>
      <c r="H191" s="28" t="str">
        <f aca="true">IF(G191="","",DATEDIF(G191,TODAY(),"Y"))</f>
        <v/>
      </c>
      <c r="I191" s="28" t="n">
        <f aca="false">IF($A191="","",COUNTIFS('🤸 Ingresos Pole'!$W$2:$W$1000,$A191,'🤸 Ingresos Pole'!$L$2:$L$1000,"Paquete"))</f>
        <v>0</v>
      </c>
      <c r="J191" s="28" t="n">
        <f aca="false">IF($A191="","",COUNTIF('🤸 Ingresos Pole'!$W$2:$W$1000,$A191))</f>
        <v>0</v>
      </c>
      <c r="K191" s="29" t="n">
        <f aca="false">IF($A191="","",SUMIF('🤸 Ingresos Pole'!$W$2:$W$1000,$A191,'🤸 Ingresos Pole'!$P$2:$P$1000))</f>
        <v>0</v>
      </c>
      <c r="L191" s="30" t="str">
        <f aca="false">IF(OR($A191="",J191=0),"",_xlfn.MINIFS('🤸 Ingresos Pole'!$B$2:$B$1000,'🤸 Ingresos Pole'!$W$2:$W$1000,$A191))</f>
        <v/>
      </c>
      <c r="M191" s="30" t="str">
        <f aca="false">IF(OR($A191="",J191=0),"",_xlfn.MAXIFS('🤸 Ingresos Pole'!$B$2:$B$1000,'🤸 Ingresos Pole'!$W$2:$W$1000,$A191))</f>
        <v/>
      </c>
      <c r="N191" s="28" t="str">
        <f aca="false">IF(OR($A191="",J191=0),"",IF(I191=0,"Sin paquete",IF(I191=1,"Nueva","Recurrente")))</f>
        <v/>
      </c>
      <c r="O191" s="25" t="str">
        <f aca="false">IF(AND(TRIM(B191)="",TRIM(C191)=""),"",TRIM(B191)&amp;"|"&amp;TRIM(C191))</f>
        <v/>
      </c>
      <c r="P191" s="25" t="str">
        <f aca="false">IF(O191="","",IF(TRIM(C191)="",TRIM(B191),IF(TRIM(B191)="",TRIM(C191),TRIM(B191)&amp;", "&amp;TRIM(C191))))</f>
        <v/>
      </c>
      <c r="Q191" s="25" t="str">
        <f aca="false">IF(O191="","",TRIM(TRIM(C191)&amp;" "&amp;TRIM(B191)))</f>
        <v/>
      </c>
      <c r="R191" s="25" t="str">
        <f aca="false">IF(P191="","",COUNTIFS($P$2:$P$1000,"&lt;"&amp;P191,$P$2:$P$1000,"?*")+COUNTIF($P$2:P191,P191))</f>
        <v/>
      </c>
    </row>
    <row r="192" customFormat="false" ht="14.25" hidden="false" customHeight="true" outlineLevel="0" collapsed="false">
      <c r="A192" s="25" t="s">
        <v>390</v>
      </c>
      <c r="B192" s="25"/>
      <c r="C192" s="25"/>
      <c r="D192" s="26"/>
      <c r="E192" s="25"/>
      <c r="F192" s="25"/>
      <c r="G192" s="27"/>
      <c r="H192" s="28" t="str">
        <f aca="true">IF(G192="","",DATEDIF(G192,TODAY(),"Y"))</f>
        <v/>
      </c>
      <c r="I192" s="28" t="n">
        <f aca="false">IF($A192="","",COUNTIFS('🤸 Ingresos Pole'!$W$2:$W$1000,$A192,'🤸 Ingresos Pole'!$L$2:$L$1000,"Paquete"))</f>
        <v>0</v>
      </c>
      <c r="J192" s="28" t="n">
        <f aca="false">IF($A192="","",COUNTIF('🤸 Ingresos Pole'!$W$2:$W$1000,$A192))</f>
        <v>0</v>
      </c>
      <c r="K192" s="29" t="n">
        <f aca="false">IF($A192="","",SUMIF('🤸 Ingresos Pole'!$W$2:$W$1000,$A192,'🤸 Ingresos Pole'!$P$2:$P$1000))</f>
        <v>0</v>
      </c>
      <c r="L192" s="30" t="str">
        <f aca="false">IF(OR($A192="",J192=0),"",_xlfn.MINIFS('🤸 Ingresos Pole'!$B$2:$B$1000,'🤸 Ingresos Pole'!$W$2:$W$1000,$A192))</f>
        <v/>
      </c>
      <c r="M192" s="30" t="str">
        <f aca="false">IF(OR($A192="",J192=0),"",_xlfn.MAXIFS('🤸 Ingresos Pole'!$B$2:$B$1000,'🤸 Ingresos Pole'!$W$2:$W$1000,$A192))</f>
        <v/>
      </c>
      <c r="N192" s="28" t="str">
        <f aca="false">IF(OR($A192="",J192=0),"",IF(I192=0,"Sin paquete",IF(I192=1,"Nueva","Recurrente")))</f>
        <v/>
      </c>
      <c r="O192" s="25" t="str">
        <f aca="false">IF(AND(TRIM(B192)="",TRIM(C192)=""),"",TRIM(B192)&amp;"|"&amp;TRIM(C192))</f>
        <v/>
      </c>
      <c r="P192" s="25" t="str">
        <f aca="false">IF(O192="","",IF(TRIM(C192)="",TRIM(B192),IF(TRIM(B192)="",TRIM(C192),TRIM(B192)&amp;", "&amp;TRIM(C192))))</f>
        <v/>
      </c>
      <c r="Q192" s="25" t="str">
        <f aca="false">IF(O192="","",TRIM(TRIM(C192)&amp;" "&amp;TRIM(B192)))</f>
        <v/>
      </c>
      <c r="R192" s="25" t="str">
        <f aca="false">IF(P192="","",COUNTIFS($P$2:$P$1000,"&lt;"&amp;P192,$P$2:$P$1000,"?*")+COUNTIF($P$2:P192,P192))</f>
        <v/>
      </c>
    </row>
    <row r="193" customFormat="false" ht="14.25" hidden="false" customHeight="true" outlineLevel="0" collapsed="false">
      <c r="A193" s="25" t="s">
        <v>391</v>
      </c>
      <c r="B193" s="25"/>
      <c r="C193" s="25"/>
      <c r="D193" s="26"/>
      <c r="E193" s="25"/>
      <c r="F193" s="25"/>
      <c r="G193" s="27"/>
      <c r="H193" s="28" t="str">
        <f aca="true">IF(G193="","",DATEDIF(G193,TODAY(),"Y"))</f>
        <v/>
      </c>
      <c r="I193" s="28" t="n">
        <f aca="false">IF($A193="","",COUNTIFS('🤸 Ingresos Pole'!$W$2:$W$1000,$A193,'🤸 Ingresos Pole'!$L$2:$L$1000,"Paquete"))</f>
        <v>0</v>
      </c>
      <c r="J193" s="28" t="n">
        <f aca="false">IF($A193="","",COUNTIF('🤸 Ingresos Pole'!$W$2:$W$1000,$A193))</f>
        <v>0</v>
      </c>
      <c r="K193" s="29" t="n">
        <f aca="false">IF($A193="","",SUMIF('🤸 Ingresos Pole'!$W$2:$W$1000,$A193,'🤸 Ingresos Pole'!$P$2:$P$1000))</f>
        <v>0</v>
      </c>
      <c r="L193" s="30" t="str">
        <f aca="false">IF(OR($A193="",J193=0),"",_xlfn.MINIFS('🤸 Ingresos Pole'!$B$2:$B$1000,'🤸 Ingresos Pole'!$W$2:$W$1000,$A193))</f>
        <v/>
      </c>
      <c r="M193" s="30" t="str">
        <f aca="false">IF(OR($A193="",J193=0),"",_xlfn.MAXIFS('🤸 Ingresos Pole'!$B$2:$B$1000,'🤸 Ingresos Pole'!$W$2:$W$1000,$A193))</f>
        <v/>
      </c>
      <c r="N193" s="28" t="str">
        <f aca="false">IF(OR($A193="",J193=0),"",IF(I193=0,"Sin paquete",IF(I193=1,"Nueva","Recurrente")))</f>
        <v/>
      </c>
      <c r="O193" s="25" t="str">
        <f aca="false">IF(AND(TRIM(B193)="",TRIM(C193)=""),"",TRIM(B193)&amp;"|"&amp;TRIM(C193))</f>
        <v/>
      </c>
      <c r="P193" s="25" t="str">
        <f aca="false">IF(O193="","",IF(TRIM(C193)="",TRIM(B193),IF(TRIM(B193)="",TRIM(C193),TRIM(B193)&amp;", "&amp;TRIM(C193))))</f>
        <v/>
      </c>
      <c r="Q193" s="25" t="str">
        <f aca="false">IF(O193="","",TRIM(TRIM(C193)&amp;" "&amp;TRIM(B193)))</f>
        <v/>
      </c>
      <c r="R193" s="25" t="str">
        <f aca="false">IF(P193="","",COUNTIFS($P$2:$P$1000,"&lt;"&amp;P193,$P$2:$P$1000,"?*")+COUNTIF($P$2:P193,P193))</f>
        <v/>
      </c>
    </row>
    <row r="194" customFormat="false" ht="14.25" hidden="false" customHeight="true" outlineLevel="0" collapsed="false">
      <c r="A194" s="25" t="s">
        <v>392</v>
      </c>
      <c r="B194" s="25"/>
      <c r="C194" s="25"/>
      <c r="D194" s="26"/>
      <c r="E194" s="25"/>
      <c r="F194" s="25"/>
      <c r="G194" s="27"/>
      <c r="H194" s="28" t="str">
        <f aca="true">IF(G194="","",DATEDIF(G194,TODAY(),"Y"))</f>
        <v/>
      </c>
      <c r="I194" s="28" t="n">
        <f aca="false">IF($A194="","",COUNTIFS('🤸 Ingresos Pole'!$W$2:$W$1000,$A194,'🤸 Ingresos Pole'!$L$2:$L$1000,"Paquete"))</f>
        <v>0</v>
      </c>
      <c r="J194" s="28" t="n">
        <f aca="false">IF($A194="","",COUNTIF('🤸 Ingresos Pole'!$W$2:$W$1000,$A194))</f>
        <v>0</v>
      </c>
      <c r="K194" s="29" t="n">
        <f aca="false">IF($A194="","",SUMIF('🤸 Ingresos Pole'!$W$2:$W$1000,$A194,'🤸 Ingresos Pole'!$P$2:$P$1000))</f>
        <v>0</v>
      </c>
      <c r="L194" s="30" t="str">
        <f aca="false">IF(OR($A194="",J194=0),"",_xlfn.MINIFS('🤸 Ingresos Pole'!$B$2:$B$1000,'🤸 Ingresos Pole'!$W$2:$W$1000,$A194))</f>
        <v/>
      </c>
      <c r="M194" s="30" t="str">
        <f aca="false">IF(OR($A194="",J194=0),"",_xlfn.MAXIFS('🤸 Ingresos Pole'!$B$2:$B$1000,'🤸 Ingresos Pole'!$W$2:$W$1000,$A194))</f>
        <v/>
      </c>
      <c r="N194" s="28" t="str">
        <f aca="false">IF(OR($A194="",J194=0),"",IF(I194=0,"Sin paquete",IF(I194=1,"Nueva","Recurrente")))</f>
        <v/>
      </c>
      <c r="O194" s="25" t="str">
        <f aca="false">IF(AND(TRIM(B194)="",TRIM(C194)=""),"",TRIM(B194)&amp;"|"&amp;TRIM(C194))</f>
        <v/>
      </c>
      <c r="P194" s="25" t="str">
        <f aca="false">IF(O194="","",IF(TRIM(C194)="",TRIM(B194),IF(TRIM(B194)="",TRIM(C194),TRIM(B194)&amp;", "&amp;TRIM(C194))))</f>
        <v/>
      </c>
      <c r="Q194" s="25" t="str">
        <f aca="false">IF(O194="","",TRIM(TRIM(C194)&amp;" "&amp;TRIM(B194)))</f>
        <v/>
      </c>
      <c r="R194" s="25" t="str">
        <f aca="false">IF(P194="","",COUNTIFS($P$2:$P$1000,"&lt;"&amp;P194,$P$2:$P$1000,"?*")+COUNTIF($P$2:P194,P194))</f>
        <v/>
      </c>
    </row>
    <row r="195" customFormat="false" ht="14.25" hidden="false" customHeight="true" outlineLevel="0" collapsed="false">
      <c r="A195" s="25" t="s">
        <v>393</v>
      </c>
      <c r="B195" s="25"/>
      <c r="C195" s="25"/>
      <c r="D195" s="26"/>
      <c r="E195" s="25"/>
      <c r="F195" s="25"/>
      <c r="G195" s="27"/>
      <c r="H195" s="28" t="str">
        <f aca="true">IF(G195="","",DATEDIF(G195,TODAY(),"Y"))</f>
        <v/>
      </c>
      <c r="I195" s="28" t="n">
        <f aca="false">IF($A195="","",COUNTIFS('🤸 Ingresos Pole'!$W$2:$W$1000,$A195,'🤸 Ingresos Pole'!$L$2:$L$1000,"Paquete"))</f>
        <v>0</v>
      </c>
      <c r="J195" s="28" t="n">
        <f aca="false">IF($A195="","",COUNTIF('🤸 Ingresos Pole'!$W$2:$W$1000,$A195))</f>
        <v>0</v>
      </c>
      <c r="K195" s="29" t="n">
        <f aca="false">IF($A195="","",SUMIF('🤸 Ingresos Pole'!$W$2:$W$1000,$A195,'🤸 Ingresos Pole'!$P$2:$P$1000))</f>
        <v>0</v>
      </c>
      <c r="L195" s="30" t="str">
        <f aca="false">IF(OR($A195="",J195=0),"",_xlfn.MINIFS('🤸 Ingresos Pole'!$B$2:$B$1000,'🤸 Ingresos Pole'!$W$2:$W$1000,$A195))</f>
        <v/>
      </c>
      <c r="M195" s="30" t="str">
        <f aca="false">IF(OR($A195="",J195=0),"",_xlfn.MAXIFS('🤸 Ingresos Pole'!$B$2:$B$1000,'🤸 Ingresos Pole'!$W$2:$W$1000,$A195))</f>
        <v/>
      </c>
      <c r="N195" s="28" t="str">
        <f aca="false">IF(OR($A195="",J195=0),"",IF(I195=0,"Sin paquete",IF(I195=1,"Nueva","Recurrente")))</f>
        <v/>
      </c>
      <c r="O195" s="25" t="str">
        <f aca="false">IF(AND(TRIM(B195)="",TRIM(C195)=""),"",TRIM(B195)&amp;"|"&amp;TRIM(C195))</f>
        <v/>
      </c>
      <c r="P195" s="25" t="str">
        <f aca="false">IF(O195="","",IF(TRIM(C195)="",TRIM(B195),IF(TRIM(B195)="",TRIM(C195),TRIM(B195)&amp;", "&amp;TRIM(C195))))</f>
        <v/>
      </c>
      <c r="Q195" s="25" t="str">
        <f aca="false">IF(O195="","",TRIM(TRIM(C195)&amp;" "&amp;TRIM(B195)))</f>
        <v/>
      </c>
      <c r="R195" s="25" t="str">
        <f aca="false">IF(P195="","",COUNTIFS($P$2:$P$1000,"&lt;"&amp;P195,$P$2:$P$1000,"?*")+COUNTIF($P$2:P195,P195))</f>
        <v/>
      </c>
    </row>
    <row r="196" customFormat="false" ht="14.25" hidden="false" customHeight="true" outlineLevel="0" collapsed="false">
      <c r="A196" s="25" t="s">
        <v>394</v>
      </c>
      <c r="B196" s="25"/>
      <c r="C196" s="25"/>
      <c r="D196" s="26"/>
      <c r="E196" s="25"/>
      <c r="F196" s="25"/>
      <c r="G196" s="27"/>
      <c r="H196" s="28" t="str">
        <f aca="true">IF(G196="","",DATEDIF(G196,TODAY(),"Y"))</f>
        <v/>
      </c>
      <c r="I196" s="28" t="n">
        <f aca="false">IF($A196="","",COUNTIFS('🤸 Ingresos Pole'!$W$2:$W$1000,$A196,'🤸 Ingresos Pole'!$L$2:$L$1000,"Paquete"))</f>
        <v>0</v>
      </c>
      <c r="J196" s="28" t="n">
        <f aca="false">IF($A196="","",COUNTIF('🤸 Ingresos Pole'!$W$2:$W$1000,$A196))</f>
        <v>0</v>
      </c>
      <c r="K196" s="29" t="n">
        <f aca="false">IF($A196="","",SUMIF('🤸 Ingresos Pole'!$W$2:$W$1000,$A196,'🤸 Ingresos Pole'!$P$2:$P$1000))</f>
        <v>0</v>
      </c>
      <c r="L196" s="30" t="str">
        <f aca="false">IF(OR($A196="",J196=0),"",_xlfn.MINIFS('🤸 Ingresos Pole'!$B$2:$B$1000,'🤸 Ingresos Pole'!$W$2:$W$1000,$A196))</f>
        <v/>
      </c>
      <c r="M196" s="30" t="str">
        <f aca="false">IF(OR($A196="",J196=0),"",_xlfn.MAXIFS('🤸 Ingresos Pole'!$B$2:$B$1000,'🤸 Ingresos Pole'!$W$2:$W$1000,$A196))</f>
        <v/>
      </c>
      <c r="N196" s="28" t="str">
        <f aca="false">IF(OR($A196="",J196=0),"",IF(I196=0,"Sin paquete",IF(I196=1,"Nueva","Recurrente")))</f>
        <v/>
      </c>
      <c r="O196" s="25" t="str">
        <f aca="false">IF(AND(TRIM(B196)="",TRIM(C196)=""),"",TRIM(B196)&amp;"|"&amp;TRIM(C196))</f>
        <v/>
      </c>
      <c r="P196" s="25" t="str">
        <f aca="false">IF(O196="","",IF(TRIM(C196)="",TRIM(B196),IF(TRIM(B196)="",TRIM(C196),TRIM(B196)&amp;", "&amp;TRIM(C196))))</f>
        <v/>
      </c>
      <c r="Q196" s="25" t="str">
        <f aca="false">IF(O196="","",TRIM(TRIM(C196)&amp;" "&amp;TRIM(B196)))</f>
        <v/>
      </c>
      <c r="R196" s="25" t="str">
        <f aca="false">IF(P196="","",COUNTIFS($P$2:$P$1000,"&lt;"&amp;P196,$P$2:$P$1000,"?*")+COUNTIF($P$2:P196,P196))</f>
        <v/>
      </c>
    </row>
    <row r="197" customFormat="false" ht="14.25" hidden="false" customHeight="true" outlineLevel="0" collapsed="false">
      <c r="A197" s="25" t="s">
        <v>395</v>
      </c>
      <c r="B197" s="25"/>
      <c r="C197" s="25"/>
      <c r="D197" s="26"/>
      <c r="E197" s="25"/>
      <c r="F197" s="25"/>
      <c r="G197" s="27"/>
      <c r="H197" s="28" t="str">
        <f aca="true">IF(G197="","",DATEDIF(G197,TODAY(),"Y"))</f>
        <v/>
      </c>
      <c r="I197" s="28" t="n">
        <f aca="false">IF($A197="","",COUNTIFS('🤸 Ingresos Pole'!$W$2:$W$1000,$A197,'🤸 Ingresos Pole'!$L$2:$L$1000,"Paquete"))</f>
        <v>0</v>
      </c>
      <c r="J197" s="28" t="n">
        <f aca="false">IF($A197="","",COUNTIF('🤸 Ingresos Pole'!$W$2:$W$1000,$A197))</f>
        <v>0</v>
      </c>
      <c r="K197" s="29" t="n">
        <f aca="false">IF($A197="","",SUMIF('🤸 Ingresos Pole'!$W$2:$W$1000,$A197,'🤸 Ingresos Pole'!$P$2:$P$1000))</f>
        <v>0</v>
      </c>
      <c r="L197" s="30" t="str">
        <f aca="false">IF(OR($A197="",J197=0),"",_xlfn.MINIFS('🤸 Ingresos Pole'!$B$2:$B$1000,'🤸 Ingresos Pole'!$W$2:$W$1000,$A197))</f>
        <v/>
      </c>
      <c r="M197" s="30" t="str">
        <f aca="false">IF(OR($A197="",J197=0),"",_xlfn.MAXIFS('🤸 Ingresos Pole'!$B$2:$B$1000,'🤸 Ingresos Pole'!$W$2:$W$1000,$A197))</f>
        <v/>
      </c>
      <c r="N197" s="28" t="str">
        <f aca="false">IF(OR($A197="",J197=0),"",IF(I197=0,"Sin paquete",IF(I197=1,"Nueva","Recurrente")))</f>
        <v/>
      </c>
      <c r="O197" s="25" t="str">
        <f aca="false">IF(AND(TRIM(B197)="",TRIM(C197)=""),"",TRIM(B197)&amp;"|"&amp;TRIM(C197))</f>
        <v/>
      </c>
      <c r="P197" s="25" t="str">
        <f aca="false">IF(O197="","",IF(TRIM(C197)="",TRIM(B197),IF(TRIM(B197)="",TRIM(C197),TRIM(B197)&amp;", "&amp;TRIM(C197))))</f>
        <v/>
      </c>
      <c r="Q197" s="25" t="str">
        <f aca="false">IF(O197="","",TRIM(TRIM(C197)&amp;" "&amp;TRIM(B197)))</f>
        <v/>
      </c>
      <c r="R197" s="25" t="str">
        <f aca="false">IF(P197="","",COUNTIFS($P$2:$P$1000,"&lt;"&amp;P197,$P$2:$P$1000,"?*")+COUNTIF($P$2:P197,P197))</f>
        <v/>
      </c>
    </row>
    <row r="198" customFormat="false" ht="14.25" hidden="false" customHeight="true" outlineLevel="0" collapsed="false">
      <c r="A198" s="25" t="s">
        <v>396</v>
      </c>
      <c r="B198" s="25"/>
      <c r="C198" s="25"/>
      <c r="D198" s="26"/>
      <c r="E198" s="25"/>
      <c r="F198" s="25"/>
      <c r="G198" s="27"/>
      <c r="H198" s="28" t="str">
        <f aca="true">IF(G198="","",DATEDIF(G198,TODAY(),"Y"))</f>
        <v/>
      </c>
      <c r="I198" s="28" t="n">
        <f aca="false">IF($A198="","",COUNTIFS('🤸 Ingresos Pole'!$W$2:$W$1000,$A198,'🤸 Ingresos Pole'!$L$2:$L$1000,"Paquete"))</f>
        <v>0</v>
      </c>
      <c r="J198" s="28" t="n">
        <f aca="false">IF($A198="","",COUNTIF('🤸 Ingresos Pole'!$W$2:$W$1000,$A198))</f>
        <v>0</v>
      </c>
      <c r="K198" s="29" t="n">
        <f aca="false">IF($A198="","",SUMIF('🤸 Ingresos Pole'!$W$2:$W$1000,$A198,'🤸 Ingresos Pole'!$P$2:$P$1000))</f>
        <v>0</v>
      </c>
      <c r="L198" s="30" t="str">
        <f aca="false">IF(OR($A198="",J198=0),"",_xlfn.MINIFS('🤸 Ingresos Pole'!$B$2:$B$1000,'🤸 Ingresos Pole'!$W$2:$W$1000,$A198))</f>
        <v/>
      </c>
      <c r="M198" s="30" t="str">
        <f aca="false">IF(OR($A198="",J198=0),"",_xlfn.MAXIFS('🤸 Ingresos Pole'!$B$2:$B$1000,'🤸 Ingresos Pole'!$W$2:$W$1000,$A198))</f>
        <v/>
      </c>
      <c r="N198" s="28" t="str">
        <f aca="false">IF(OR($A198="",J198=0),"",IF(I198=0,"Sin paquete",IF(I198=1,"Nueva","Recurrente")))</f>
        <v/>
      </c>
      <c r="O198" s="25" t="str">
        <f aca="false">IF(AND(TRIM(B198)="",TRIM(C198)=""),"",TRIM(B198)&amp;"|"&amp;TRIM(C198))</f>
        <v/>
      </c>
      <c r="P198" s="25" t="str">
        <f aca="false">IF(O198="","",IF(TRIM(C198)="",TRIM(B198),IF(TRIM(B198)="",TRIM(C198),TRIM(B198)&amp;", "&amp;TRIM(C198))))</f>
        <v/>
      </c>
      <c r="Q198" s="25" t="str">
        <f aca="false">IF(O198="","",TRIM(TRIM(C198)&amp;" "&amp;TRIM(B198)))</f>
        <v/>
      </c>
      <c r="R198" s="25" t="str">
        <f aca="false">IF(P198="","",COUNTIFS($P$2:$P$1000,"&lt;"&amp;P198,$P$2:$P$1000,"?*")+COUNTIF($P$2:P198,P198))</f>
        <v/>
      </c>
    </row>
    <row r="199" customFormat="false" ht="14.25" hidden="false" customHeight="true" outlineLevel="0" collapsed="false">
      <c r="A199" s="25" t="s">
        <v>397</v>
      </c>
      <c r="B199" s="25"/>
      <c r="C199" s="25"/>
      <c r="D199" s="26"/>
      <c r="E199" s="25"/>
      <c r="F199" s="25"/>
      <c r="G199" s="27"/>
      <c r="H199" s="28" t="str">
        <f aca="true">IF(G199="","",DATEDIF(G199,TODAY(),"Y"))</f>
        <v/>
      </c>
      <c r="I199" s="28" t="n">
        <f aca="false">IF($A199="","",COUNTIFS('🤸 Ingresos Pole'!$W$2:$W$1000,$A199,'🤸 Ingresos Pole'!$L$2:$L$1000,"Paquete"))</f>
        <v>0</v>
      </c>
      <c r="J199" s="28" t="n">
        <f aca="false">IF($A199="","",COUNTIF('🤸 Ingresos Pole'!$W$2:$W$1000,$A199))</f>
        <v>0</v>
      </c>
      <c r="K199" s="29" t="n">
        <f aca="false">IF($A199="","",SUMIF('🤸 Ingresos Pole'!$W$2:$W$1000,$A199,'🤸 Ingresos Pole'!$P$2:$P$1000))</f>
        <v>0</v>
      </c>
      <c r="L199" s="30" t="str">
        <f aca="false">IF(OR($A199="",J199=0),"",_xlfn.MINIFS('🤸 Ingresos Pole'!$B$2:$B$1000,'🤸 Ingresos Pole'!$W$2:$W$1000,$A199))</f>
        <v/>
      </c>
      <c r="M199" s="30" t="str">
        <f aca="false">IF(OR($A199="",J199=0),"",_xlfn.MAXIFS('🤸 Ingresos Pole'!$B$2:$B$1000,'🤸 Ingresos Pole'!$W$2:$W$1000,$A199))</f>
        <v/>
      </c>
      <c r="N199" s="28" t="str">
        <f aca="false">IF(OR($A199="",J199=0),"",IF(I199=0,"Sin paquete",IF(I199=1,"Nueva","Recurrente")))</f>
        <v/>
      </c>
      <c r="O199" s="25" t="str">
        <f aca="false">IF(AND(TRIM(B199)="",TRIM(C199)=""),"",TRIM(B199)&amp;"|"&amp;TRIM(C199))</f>
        <v/>
      </c>
      <c r="P199" s="25" t="str">
        <f aca="false">IF(O199="","",IF(TRIM(C199)="",TRIM(B199),IF(TRIM(B199)="",TRIM(C199),TRIM(B199)&amp;", "&amp;TRIM(C199))))</f>
        <v/>
      </c>
      <c r="Q199" s="25" t="str">
        <f aca="false">IF(O199="","",TRIM(TRIM(C199)&amp;" "&amp;TRIM(B199)))</f>
        <v/>
      </c>
      <c r="R199" s="25" t="str">
        <f aca="false">IF(P199="","",COUNTIFS($P$2:$P$1000,"&lt;"&amp;P199,$P$2:$P$1000,"?*")+COUNTIF($P$2:P199,P199))</f>
        <v/>
      </c>
    </row>
    <row r="200" customFormat="false" ht="14.25" hidden="false" customHeight="true" outlineLevel="0" collapsed="false">
      <c r="A200" s="25" t="s">
        <v>398</v>
      </c>
      <c r="B200" s="25"/>
      <c r="C200" s="25"/>
      <c r="D200" s="26"/>
      <c r="E200" s="25"/>
      <c r="F200" s="25"/>
      <c r="G200" s="27"/>
      <c r="H200" s="28" t="str">
        <f aca="true">IF(G200="","",DATEDIF(G200,TODAY(),"Y"))</f>
        <v/>
      </c>
      <c r="I200" s="28" t="n">
        <f aca="false">IF($A200="","",COUNTIFS('🤸 Ingresos Pole'!$W$2:$W$1000,$A200,'🤸 Ingresos Pole'!$L$2:$L$1000,"Paquete"))</f>
        <v>0</v>
      </c>
      <c r="J200" s="28" t="n">
        <f aca="false">IF($A200="","",COUNTIF('🤸 Ingresos Pole'!$W$2:$W$1000,$A200))</f>
        <v>0</v>
      </c>
      <c r="K200" s="29" t="n">
        <f aca="false">IF($A200="","",SUMIF('🤸 Ingresos Pole'!$W$2:$W$1000,$A200,'🤸 Ingresos Pole'!$P$2:$P$1000))</f>
        <v>0</v>
      </c>
      <c r="L200" s="30" t="str">
        <f aca="false">IF(OR($A200="",J200=0),"",_xlfn.MINIFS('🤸 Ingresos Pole'!$B$2:$B$1000,'🤸 Ingresos Pole'!$W$2:$W$1000,$A200))</f>
        <v/>
      </c>
      <c r="M200" s="30" t="str">
        <f aca="false">IF(OR($A200="",J200=0),"",_xlfn.MAXIFS('🤸 Ingresos Pole'!$B$2:$B$1000,'🤸 Ingresos Pole'!$W$2:$W$1000,$A200))</f>
        <v/>
      </c>
      <c r="N200" s="28" t="str">
        <f aca="false">IF(OR($A200="",J200=0),"",IF(I200=0,"Sin paquete",IF(I200=1,"Nueva","Recurrente")))</f>
        <v/>
      </c>
      <c r="O200" s="25" t="str">
        <f aca="false">IF(AND(TRIM(B200)="",TRIM(C200)=""),"",TRIM(B200)&amp;"|"&amp;TRIM(C200))</f>
        <v/>
      </c>
      <c r="P200" s="25" t="str">
        <f aca="false">IF(O200="","",IF(TRIM(C200)="",TRIM(B200),IF(TRIM(B200)="",TRIM(C200),TRIM(B200)&amp;", "&amp;TRIM(C200))))</f>
        <v/>
      </c>
      <c r="Q200" s="25" t="str">
        <f aca="false">IF(O200="","",TRIM(TRIM(C200)&amp;" "&amp;TRIM(B200)))</f>
        <v/>
      </c>
      <c r="R200" s="25" t="str">
        <f aca="false">IF(P200="","",COUNTIFS($P$2:$P$1000,"&lt;"&amp;P200,$P$2:$P$1000,"?*")+COUNTIF($P$2:P200,P200))</f>
        <v/>
      </c>
    </row>
    <row r="201" customFormat="false" ht="14.25" hidden="false" customHeight="true" outlineLevel="0" collapsed="false">
      <c r="A201" s="25" t="s">
        <v>399</v>
      </c>
      <c r="B201" s="25"/>
      <c r="C201" s="25"/>
      <c r="D201" s="26"/>
      <c r="E201" s="25"/>
      <c r="F201" s="25"/>
      <c r="G201" s="27"/>
      <c r="H201" s="28" t="str">
        <f aca="true">IF(G201="","",DATEDIF(G201,TODAY(),"Y"))</f>
        <v/>
      </c>
      <c r="I201" s="28" t="n">
        <f aca="false">IF($A201="","",COUNTIFS('🤸 Ingresos Pole'!$W$2:$W$1000,$A201,'🤸 Ingresos Pole'!$L$2:$L$1000,"Paquete"))</f>
        <v>0</v>
      </c>
      <c r="J201" s="28" t="n">
        <f aca="false">IF($A201="","",COUNTIF('🤸 Ingresos Pole'!$W$2:$W$1000,$A201))</f>
        <v>0</v>
      </c>
      <c r="K201" s="29" t="n">
        <f aca="false">IF($A201="","",SUMIF('🤸 Ingresos Pole'!$W$2:$W$1000,$A201,'🤸 Ingresos Pole'!$P$2:$P$1000))</f>
        <v>0</v>
      </c>
      <c r="L201" s="30" t="str">
        <f aca="false">IF(OR($A201="",J201=0),"",_xlfn.MINIFS('🤸 Ingresos Pole'!$B$2:$B$1000,'🤸 Ingresos Pole'!$W$2:$W$1000,$A201))</f>
        <v/>
      </c>
      <c r="M201" s="30" t="str">
        <f aca="false">IF(OR($A201="",J201=0),"",_xlfn.MAXIFS('🤸 Ingresos Pole'!$B$2:$B$1000,'🤸 Ingresos Pole'!$W$2:$W$1000,$A201))</f>
        <v/>
      </c>
      <c r="N201" s="28" t="str">
        <f aca="false">IF(OR($A201="",J201=0),"",IF(I201=0,"Sin paquete",IF(I201=1,"Nueva","Recurrente")))</f>
        <v/>
      </c>
      <c r="O201" s="25" t="str">
        <f aca="false">IF(AND(TRIM(B201)="",TRIM(C201)=""),"",TRIM(B201)&amp;"|"&amp;TRIM(C201))</f>
        <v/>
      </c>
      <c r="P201" s="25" t="str">
        <f aca="false">IF(O201="","",IF(TRIM(C201)="",TRIM(B201),IF(TRIM(B201)="",TRIM(C201),TRIM(B201)&amp;", "&amp;TRIM(C201))))</f>
        <v/>
      </c>
      <c r="Q201" s="25" t="str">
        <f aca="false">IF(O201="","",TRIM(TRIM(C201)&amp;" "&amp;TRIM(B201)))</f>
        <v/>
      </c>
      <c r="R201" s="25" t="str">
        <f aca="false">IF(P201="","",COUNTIFS($P$2:$P$1000,"&lt;"&amp;P201,$P$2:$P$1000,"?*")+COUNTIF($P$2:P201,P201))</f>
        <v/>
      </c>
    </row>
    <row r="202" customFormat="false" ht="14.25" hidden="false" customHeight="true" outlineLevel="0" collapsed="false">
      <c r="A202" s="25" t="s">
        <v>400</v>
      </c>
      <c r="B202" s="25"/>
      <c r="C202" s="25"/>
      <c r="D202" s="26"/>
      <c r="E202" s="25"/>
      <c r="F202" s="25"/>
      <c r="G202" s="27"/>
      <c r="H202" s="28" t="str">
        <f aca="true">IF(G202="","",DATEDIF(G202,TODAY(),"Y"))</f>
        <v/>
      </c>
      <c r="I202" s="28" t="n">
        <f aca="false">IF($A202="","",COUNTIFS('🤸 Ingresos Pole'!$W$2:$W$1000,$A202,'🤸 Ingresos Pole'!$L$2:$L$1000,"Paquete"))</f>
        <v>0</v>
      </c>
      <c r="J202" s="28" t="n">
        <f aca="false">IF($A202="","",COUNTIF('🤸 Ingresos Pole'!$W$2:$W$1000,$A202))</f>
        <v>0</v>
      </c>
      <c r="K202" s="29" t="n">
        <f aca="false">IF($A202="","",SUMIF('🤸 Ingresos Pole'!$W$2:$W$1000,$A202,'🤸 Ingresos Pole'!$P$2:$P$1000))</f>
        <v>0</v>
      </c>
      <c r="L202" s="30" t="str">
        <f aca="false">IF(OR($A202="",J202=0),"",_xlfn.MINIFS('🤸 Ingresos Pole'!$B$2:$B$1000,'🤸 Ingresos Pole'!$W$2:$W$1000,$A202))</f>
        <v/>
      </c>
      <c r="M202" s="30" t="str">
        <f aca="false">IF(OR($A202="",J202=0),"",_xlfn.MAXIFS('🤸 Ingresos Pole'!$B$2:$B$1000,'🤸 Ingresos Pole'!$W$2:$W$1000,$A202))</f>
        <v/>
      </c>
      <c r="N202" s="28" t="str">
        <f aca="false">IF(OR($A202="",J202=0),"",IF(I202=0,"Sin paquete",IF(I202=1,"Nueva","Recurrente")))</f>
        <v/>
      </c>
      <c r="O202" s="25" t="str">
        <f aca="false">IF(AND(TRIM(B202)="",TRIM(C202)=""),"",TRIM(B202)&amp;"|"&amp;TRIM(C202))</f>
        <v/>
      </c>
      <c r="P202" s="25" t="str">
        <f aca="false">IF(O202="","",IF(TRIM(C202)="",TRIM(B202),IF(TRIM(B202)="",TRIM(C202),TRIM(B202)&amp;", "&amp;TRIM(C202))))</f>
        <v/>
      </c>
      <c r="Q202" s="25" t="str">
        <f aca="false">IF(O202="","",TRIM(TRIM(C202)&amp;" "&amp;TRIM(B202)))</f>
        <v/>
      </c>
      <c r="R202" s="25" t="str">
        <f aca="false">IF(P202="","",COUNTIFS($P$2:$P$1000,"&lt;"&amp;P202,$P$2:$P$1000,"?*")+COUNTIF($P$2:P202,P202))</f>
        <v/>
      </c>
    </row>
    <row r="203" customFormat="false" ht="14.25" hidden="false" customHeight="true" outlineLevel="0" collapsed="false">
      <c r="A203" s="25" t="s">
        <v>401</v>
      </c>
      <c r="B203" s="25"/>
      <c r="C203" s="25"/>
      <c r="D203" s="26"/>
      <c r="E203" s="25"/>
      <c r="F203" s="25"/>
      <c r="G203" s="27"/>
      <c r="H203" s="28" t="str">
        <f aca="true">IF(G203="","",DATEDIF(G203,TODAY(),"Y"))</f>
        <v/>
      </c>
      <c r="I203" s="28" t="n">
        <f aca="false">IF($A203="","",COUNTIFS('🤸 Ingresos Pole'!$W$2:$W$1000,$A203,'🤸 Ingresos Pole'!$L$2:$L$1000,"Paquete"))</f>
        <v>0</v>
      </c>
      <c r="J203" s="28" t="n">
        <f aca="false">IF($A203="","",COUNTIF('🤸 Ingresos Pole'!$W$2:$W$1000,$A203))</f>
        <v>0</v>
      </c>
      <c r="K203" s="29" t="n">
        <f aca="false">IF($A203="","",SUMIF('🤸 Ingresos Pole'!$W$2:$W$1000,$A203,'🤸 Ingresos Pole'!$P$2:$P$1000))</f>
        <v>0</v>
      </c>
      <c r="L203" s="30" t="str">
        <f aca="false">IF(OR($A203="",J203=0),"",_xlfn.MINIFS('🤸 Ingresos Pole'!$B$2:$B$1000,'🤸 Ingresos Pole'!$W$2:$W$1000,$A203))</f>
        <v/>
      </c>
      <c r="M203" s="30" t="str">
        <f aca="false">IF(OR($A203="",J203=0),"",_xlfn.MAXIFS('🤸 Ingresos Pole'!$B$2:$B$1000,'🤸 Ingresos Pole'!$W$2:$W$1000,$A203))</f>
        <v/>
      </c>
      <c r="N203" s="28" t="str">
        <f aca="false">IF(OR($A203="",J203=0),"",IF(I203=0,"Sin paquete",IF(I203=1,"Nueva","Recurrente")))</f>
        <v/>
      </c>
      <c r="O203" s="25" t="str">
        <f aca="false">IF(AND(TRIM(B203)="",TRIM(C203)=""),"",TRIM(B203)&amp;"|"&amp;TRIM(C203))</f>
        <v/>
      </c>
      <c r="P203" s="25" t="str">
        <f aca="false">IF(O203="","",IF(TRIM(C203)="",TRIM(B203),IF(TRIM(B203)="",TRIM(C203),TRIM(B203)&amp;", "&amp;TRIM(C203))))</f>
        <v/>
      </c>
      <c r="Q203" s="25" t="str">
        <f aca="false">IF(O203="","",TRIM(TRIM(C203)&amp;" "&amp;TRIM(B203)))</f>
        <v/>
      </c>
      <c r="R203" s="25" t="str">
        <f aca="false">IF(P203="","",COUNTIFS($P$2:$P$1000,"&lt;"&amp;P203,$P$2:$P$1000,"?*")+COUNTIF($P$2:P203,P203))</f>
        <v/>
      </c>
    </row>
    <row r="204" customFormat="false" ht="14.25" hidden="false" customHeight="true" outlineLevel="0" collapsed="false">
      <c r="A204" s="25" t="s">
        <v>402</v>
      </c>
      <c r="B204" s="25"/>
      <c r="C204" s="25"/>
      <c r="D204" s="26"/>
      <c r="E204" s="25"/>
      <c r="F204" s="25"/>
      <c r="G204" s="27"/>
      <c r="H204" s="28" t="str">
        <f aca="true">IF(G204="","",DATEDIF(G204,TODAY(),"Y"))</f>
        <v/>
      </c>
      <c r="I204" s="28" t="n">
        <f aca="false">IF($A204="","",COUNTIFS('🤸 Ingresos Pole'!$W$2:$W$1000,$A204,'🤸 Ingresos Pole'!$L$2:$L$1000,"Paquete"))</f>
        <v>0</v>
      </c>
      <c r="J204" s="28" t="n">
        <f aca="false">IF($A204="","",COUNTIF('🤸 Ingresos Pole'!$W$2:$W$1000,$A204))</f>
        <v>0</v>
      </c>
      <c r="K204" s="29" t="n">
        <f aca="false">IF($A204="","",SUMIF('🤸 Ingresos Pole'!$W$2:$W$1000,$A204,'🤸 Ingresos Pole'!$P$2:$P$1000))</f>
        <v>0</v>
      </c>
      <c r="L204" s="30" t="str">
        <f aca="false">IF(OR($A204="",J204=0),"",_xlfn.MINIFS('🤸 Ingresos Pole'!$B$2:$B$1000,'🤸 Ingresos Pole'!$W$2:$W$1000,$A204))</f>
        <v/>
      </c>
      <c r="M204" s="30" t="str">
        <f aca="false">IF(OR($A204="",J204=0),"",_xlfn.MAXIFS('🤸 Ingresos Pole'!$B$2:$B$1000,'🤸 Ingresos Pole'!$W$2:$W$1000,$A204))</f>
        <v/>
      </c>
      <c r="N204" s="28" t="str">
        <f aca="false">IF(OR($A204="",J204=0),"",IF(I204=0,"Sin paquete",IF(I204=1,"Nueva","Recurrente")))</f>
        <v/>
      </c>
      <c r="O204" s="25" t="str">
        <f aca="false">IF(AND(TRIM(B204)="",TRIM(C204)=""),"",TRIM(B204)&amp;"|"&amp;TRIM(C204))</f>
        <v/>
      </c>
      <c r="P204" s="25" t="str">
        <f aca="false">IF(O204="","",IF(TRIM(C204)="",TRIM(B204),IF(TRIM(B204)="",TRIM(C204),TRIM(B204)&amp;", "&amp;TRIM(C204))))</f>
        <v/>
      </c>
      <c r="Q204" s="25" t="str">
        <f aca="false">IF(O204="","",TRIM(TRIM(C204)&amp;" "&amp;TRIM(B204)))</f>
        <v/>
      </c>
      <c r="R204" s="25" t="str">
        <f aca="false">IF(P204="","",COUNTIFS($P$2:$P$1000,"&lt;"&amp;P204,$P$2:$P$1000,"?*")+COUNTIF($P$2:P204,P204))</f>
        <v/>
      </c>
    </row>
    <row r="205" customFormat="false" ht="14.25" hidden="false" customHeight="true" outlineLevel="0" collapsed="false">
      <c r="A205" s="25" t="s">
        <v>403</v>
      </c>
      <c r="B205" s="25"/>
      <c r="C205" s="25"/>
      <c r="D205" s="26"/>
      <c r="E205" s="25"/>
      <c r="F205" s="25"/>
      <c r="G205" s="27"/>
      <c r="H205" s="28" t="str">
        <f aca="true">IF(G205="","",DATEDIF(G205,TODAY(),"Y"))</f>
        <v/>
      </c>
      <c r="I205" s="28" t="n">
        <f aca="false">IF($A205="","",COUNTIFS('🤸 Ingresos Pole'!$W$2:$W$1000,$A205,'🤸 Ingresos Pole'!$L$2:$L$1000,"Paquete"))</f>
        <v>0</v>
      </c>
      <c r="J205" s="28" t="n">
        <f aca="false">IF($A205="","",COUNTIF('🤸 Ingresos Pole'!$W$2:$W$1000,$A205))</f>
        <v>0</v>
      </c>
      <c r="K205" s="29" t="n">
        <f aca="false">IF($A205="","",SUMIF('🤸 Ingresos Pole'!$W$2:$W$1000,$A205,'🤸 Ingresos Pole'!$P$2:$P$1000))</f>
        <v>0</v>
      </c>
      <c r="L205" s="30" t="str">
        <f aca="false">IF(OR($A205="",J205=0),"",_xlfn.MINIFS('🤸 Ingresos Pole'!$B$2:$B$1000,'🤸 Ingresos Pole'!$W$2:$W$1000,$A205))</f>
        <v/>
      </c>
      <c r="M205" s="30" t="str">
        <f aca="false">IF(OR($A205="",J205=0),"",_xlfn.MAXIFS('🤸 Ingresos Pole'!$B$2:$B$1000,'🤸 Ingresos Pole'!$W$2:$W$1000,$A205))</f>
        <v/>
      </c>
      <c r="N205" s="28" t="str">
        <f aca="false">IF(OR($A205="",J205=0),"",IF(I205=0,"Sin paquete",IF(I205=1,"Nueva","Recurrente")))</f>
        <v/>
      </c>
      <c r="O205" s="25" t="str">
        <f aca="false">IF(AND(TRIM(B205)="",TRIM(C205)=""),"",TRIM(B205)&amp;"|"&amp;TRIM(C205))</f>
        <v/>
      </c>
      <c r="P205" s="25" t="str">
        <f aca="false">IF(O205="","",IF(TRIM(C205)="",TRIM(B205),IF(TRIM(B205)="",TRIM(C205),TRIM(B205)&amp;", "&amp;TRIM(C205))))</f>
        <v/>
      </c>
      <c r="Q205" s="25" t="str">
        <f aca="false">IF(O205="","",TRIM(TRIM(C205)&amp;" "&amp;TRIM(B205)))</f>
        <v/>
      </c>
      <c r="R205" s="25" t="str">
        <f aca="false">IF(P205="","",COUNTIFS($P$2:$P$1000,"&lt;"&amp;P205,$P$2:$P$1000,"?*")+COUNTIF($P$2:P205,P205))</f>
        <v/>
      </c>
    </row>
    <row r="206" customFormat="false" ht="14.25" hidden="false" customHeight="true" outlineLevel="0" collapsed="false">
      <c r="A206" s="25" t="s">
        <v>404</v>
      </c>
      <c r="B206" s="25"/>
      <c r="C206" s="25"/>
      <c r="D206" s="26"/>
      <c r="E206" s="25"/>
      <c r="F206" s="25"/>
      <c r="G206" s="27"/>
      <c r="H206" s="28" t="str">
        <f aca="true">IF(G206="","",DATEDIF(G206,TODAY(),"Y"))</f>
        <v/>
      </c>
      <c r="I206" s="28" t="n">
        <f aca="false">IF($A206="","",COUNTIFS('🤸 Ingresos Pole'!$W$2:$W$1000,$A206,'🤸 Ingresos Pole'!$L$2:$L$1000,"Paquete"))</f>
        <v>0</v>
      </c>
      <c r="J206" s="28" t="n">
        <f aca="false">IF($A206="","",COUNTIF('🤸 Ingresos Pole'!$W$2:$W$1000,$A206))</f>
        <v>0</v>
      </c>
      <c r="K206" s="29" t="n">
        <f aca="false">IF($A206="","",SUMIF('🤸 Ingresos Pole'!$W$2:$W$1000,$A206,'🤸 Ingresos Pole'!$P$2:$P$1000))</f>
        <v>0</v>
      </c>
      <c r="L206" s="30" t="str">
        <f aca="false">IF(OR($A206="",J206=0),"",_xlfn.MINIFS('🤸 Ingresos Pole'!$B$2:$B$1000,'🤸 Ingresos Pole'!$W$2:$W$1000,$A206))</f>
        <v/>
      </c>
      <c r="M206" s="30" t="str">
        <f aca="false">IF(OR($A206="",J206=0),"",_xlfn.MAXIFS('🤸 Ingresos Pole'!$B$2:$B$1000,'🤸 Ingresos Pole'!$W$2:$W$1000,$A206))</f>
        <v/>
      </c>
      <c r="N206" s="28" t="str">
        <f aca="false">IF(OR($A206="",J206=0),"",IF(I206=0,"Sin paquete",IF(I206=1,"Nueva","Recurrente")))</f>
        <v/>
      </c>
      <c r="O206" s="25" t="str">
        <f aca="false">IF(AND(TRIM(B206)="",TRIM(C206)=""),"",TRIM(B206)&amp;"|"&amp;TRIM(C206))</f>
        <v/>
      </c>
      <c r="P206" s="25" t="str">
        <f aca="false">IF(O206="","",IF(TRIM(C206)="",TRIM(B206),IF(TRIM(B206)="",TRIM(C206),TRIM(B206)&amp;", "&amp;TRIM(C206))))</f>
        <v/>
      </c>
      <c r="Q206" s="25" t="str">
        <f aca="false">IF(O206="","",TRIM(TRIM(C206)&amp;" "&amp;TRIM(B206)))</f>
        <v/>
      </c>
      <c r="R206" s="25" t="str">
        <f aca="false">IF(P206="","",COUNTIFS($P$2:$P$1000,"&lt;"&amp;P206,$P$2:$P$1000,"?*")+COUNTIF($P$2:P206,P206))</f>
        <v/>
      </c>
    </row>
    <row r="207" customFormat="false" ht="14.25" hidden="false" customHeight="true" outlineLevel="0" collapsed="false">
      <c r="A207" s="25" t="s">
        <v>405</v>
      </c>
      <c r="B207" s="25"/>
      <c r="C207" s="25"/>
      <c r="D207" s="26"/>
      <c r="E207" s="25"/>
      <c r="F207" s="25"/>
      <c r="G207" s="27"/>
      <c r="H207" s="28" t="str">
        <f aca="true">IF(G207="","",DATEDIF(G207,TODAY(),"Y"))</f>
        <v/>
      </c>
      <c r="I207" s="28" t="n">
        <f aca="false">IF($A207="","",COUNTIFS('🤸 Ingresos Pole'!$W$2:$W$1000,$A207,'🤸 Ingresos Pole'!$L$2:$L$1000,"Paquete"))</f>
        <v>0</v>
      </c>
      <c r="J207" s="28" t="n">
        <f aca="false">IF($A207="","",COUNTIF('🤸 Ingresos Pole'!$W$2:$W$1000,$A207))</f>
        <v>0</v>
      </c>
      <c r="K207" s="29" t="n">
        <f aca="false">IF($A207="","",SUMIF('🤸 Ingresos Pole'!$W$2:$W$1000,$A207,'🤸 Ingresos Pole'!$P$2:$P$1000))</f>
        <v>0</v>
      </c>
      <c r="L207" s="30" t="str">
        <f aca="false">IF(OR($A207="",J207=0),"",_xlfn.MINIFS('🤸 Ingresos Pole'!$B$2:$B$1000,'🤸 Ingresos Pole'!$W$2:$W$1000,$A207))</f>
        <v/>
      </c>
      <c r="M207" s="30" t="str">
        <f aca="false">IF(OR($A207="",J207=0),"",_xlfn.MAXIFS('🤸 Ingresos Pole'!$B$2:$B$1000,'🤸 Ingresos Pole'!$W$2:$W$1000,$A207))</f>
        <v/>
      </c>
      <c r="N207" s="28" t="str">
        <f aca="false">IF(OR($A207="",J207=0),"",IF(I207=0,"Sin paquete",IF(I207=1,"Nueva","Recurrente")))</f>
        <v/>
      </c>
      <c r="O207" s="25" t="str">
        <f aca="false">IF(AND(TRIM(B207)="",TRIM(C207)=""),"",TRIM(B207)&amp;"|"&amp;TRIM(C207))</f>
        <v/>
      </c>
      <c r="P207" s="25" t="str">
        <f aca="false">IF(O207="","",IF(TRIM(C207)="",TRIM(B207),IF(TRIM(B207)="",TRIM(C207),TRIM(B207)&amp;", "&amp;TRIM(C207))))</f>
        <v/>
      </c>
      <c r="Q207" s="25" t="str">
        <f aca="false">IF(O207="","",TRIM(TRIM(C207)&amp;" "&amp;TRIM(B207)))</f>
        <v/>
      </c>
      <c r="R207" s="25" t="str">
        <f aca="false">IF(P207="","",COUNTIFS($P$2:$P$1000,"&lt;"&amp;P207,$P$2:$P$1000,"?*")+COUNTIF($P$2:P207,P207))</f>
        <v/>
      </c>
    </row>
    <row r="208" customFormat="false" ht="14.25" hidden="false" customHeight="true" outlineLevel="0" collapsed="false">
      <c r="A208" s="25" t="s">
        <v>406</v>
      </c>
      <c r="B208" s="25"/>
      <c r="C208" s="25"/>
      <c r="D208" s="26"/>
      <c r="E208" s="25"/>
      <c r="F208" s="25"/>
      <c r="G208" s="27"/>
      <c r="H208" s="28" t="str">
        <f aca="true">IF(G208="","",DATEDIF(G208,TODAY(),"Y"))</f>
        <v/>
      </c>
      <c r="I208" s="28" t="n">
        <f aca="false">IF($A208="","",COUNTIFS('🤸 Ingresos Pole'!$W$2:$W$1000,$A208,'🤸 Ingresos Pole'!$L$2:$L$1000,"Paquete"))</f>
        <v>0</v>
      </c>
      <c r="J208" s="28" t="n">
        <f aca="false">IF($A208="","",COUNTIF('🤸 Ingresos Pole'!$W$2:$W$1000,$A208))</f>
        <v>0</v>
      </c>
      <c r="K208" s="29" t="n">
        <f aca="false">IF($A208="","",SUMIF('🤸 Ingresos Pole'!$W$2:$W$1000,$A208,'🤸 Ingresos Pole'!$P$2:$P$1000))</f>
        <v>0</v>
      </c>
      <c r="L208" s="30" t="str">
        <f aca="false">IF(OR($A208="",J208=0),"",_xlfn.MINIFS('🤸 Ingresos Pole'!$B$2:$B$1000,'🤸 Ingresos Pole'!$W$2:$W$1000,$A208))</f>
        <v/>
      </c>
      <c r="M208" s="30" t="str">
        <f aca="false">IF(OR($A208="",J208=0),"",_xlfn.MAXIFS('🤸 Ingresos Pole'!$B$2:$B$1000,'🤸 Ingresos Pole'!$W$2:$W$1000,$A208))</f>
        <v/>
      </c>
      <c r="N208" s="28" t="str">
        <f aca="false">IF(OR($A208="",J208=0),"",IF(I208=0,"Sin paquete",IF(I208=1,"Nueva","Recurrente")))</f>
        <v/>
      </c>
      <c r="O208" s="25" t="str">
        <f aca="false">IF(AND(TRIM(B208)="",TRIM(C208)=""),"",TRIM(B208)&amp;"|"&amp;TRIM(C208))</f>
        <v/>
      </c>
      <c r="P208" s="25" t="str">
        <f aca="false">IF(O208="","",IF(TRIM(C208)="",TRIM(B208),IF(TRIM(B208)="",TRIM(C208),TRIM(B208)&amp;", "&amp;TRIM(C208))))</f>
        <v/>
      </c>
      <c r="Q208" s="25" t="str">
        <f aca="false">IF(O208="","",TRIM(TRIM(C208)&amp;" "&amp;TRIM(B208)))</f>
        <v/>
      </c>
      <c r="R208" s="25" t="str">
        <f aca="false">IF(P208="","",COUNTIFS($P$2:$P$1000,"&lt;"&amp;P208,$P$2:$P$1000,"?*")+COUNTIF($P$2:P208,P208))</f>
        <v/>
      </c>
    </row>
    <row r="209" customFormat="false" ht="14.25" hidden="false" customHeight="true" outlineLevel="0" collapsed="false">
      <c r="A209" s="25" t="s">
        <v>407</v>
      </c>
      <c r="B209" s="25"/>
      <c r="C209" s="25"/>
      <c r="D209" s="26"/>
      <c r="E209" s="25"/>
      <c r="F209" s="25"/>
      <c r="G209" s="27"/>
      <c r="H209" s="28" t="str">
        <f aca="true">IF(G209="","",DATEDIF(G209,TODAY(),"Y"))</f>
        <v/>
      </c>
      <c r="I209" s="28" t="n">
        <f aca="false">IF($A209="","",COUNTIFS('🤸 Ingresos Pole'!$W$2:$W$1000,$A209,'🤸 Ingresos Pole'!$L$2:$L$1000,"Paquete"))</f>
        <v>0</v>
      </c>
      <c r="J209" s="28" t="n">
        <f aca="false">IF($A209="","",COUNTIF('🤸 Ingresos Pole'!$W$2:$W$1000,$A209))</f>
        <v>0</v>
      </c>
      <c r="K209" s="29" t="n">
        <f aca="false">IF($A209="","",SUMIF('🤸 Ingresos Pole'!$W$2:$W$1000,$A209,'🤸 Ingresos Pole'!$P$2:$P$1000))</f>
        <v>0</v>
      </c>
      <c r="L209" s="30" t="str">
        <f aca="false">IF(OR($A209="",J209=0),"",_xlfn.MINIFS('🤸 Ingresos Pole'!$B$2:$B$1000,'🤸 Ingresos Pole'!$W$2:$W$1000,$A209))</f>
        <v/>
      </c>
      <c r="M209" s="30" t="str">
        <f aca="false">IF(OR($A209="",J209=0),"",_xlfn.MAXIFS('🤸 Ingresos Pole'!$B$2:$B$1000,'🤸 Ingresos Pole'!$W$2:$W$1000,$A209))</f>
        <v/>
      </c>
      <c r="N209" s="28" t="str">
        <f aca="false">IF(OR($A209="",J209=0),"",IF(I209=0,"Sin paquete",IF(I209=1,"Nueva","Recurrente")))</f>
        <v/>
      </c>
      <c r="O209" s="25" t="str">
        <f aca="false">IF(AND(TRIM(B209)="",TRIM(C209)=""),"",TRIM(B209)&amp;"|"&amp;TRIM(C209))</f>
        <v/>
      </c>
      <c r="P209" s="25" t="str">
        <f aca="false">IF(O209="","",IF(TRIM(C209)="",TRIM(B209),IF(TRIM(B209)="",TRIM(C209),TRIM(B209)&amp;", "&amp;TRIM(C209))))</f>
        <v/>
      </c>
      <c r="Q209" s="25" t="str">
        <f aca="false">IF(O209="","",TRIM(TRIM(C209)&amp;" "&amp;TRIM(B209)))</f>
        <v/>
      </c>
      <c r="R209" s="25" t="str">
        <f aca="false">IF(P209="","",COUNTIFS($P$2:$P$1000,"&lt;"&amp;P209,$P$2:$P$1000,"?*")+COUNTIF($P$2:P209,P209))</f>
        <v/>
      </c>
    </row>
    <row r="210" customFormat="false" ht="14.25" hidden="false" customHeight="true" outlineLevel="0" collapsed="false">
      <c r="A210" s="25" t="s">
        <v>408</v>
      </c>
      <c r="B210" s="25"/>
      <c r="C210" s="25"/>
      <c r="D210" s="26"/>
      <c r="E210" s="25"/>
      <c r="F210" s="25"/>
      <c r="G210" s="27"/>
      <c r="H210" s="28" t="str">
        <f aca="true">IF(G210="","",DATEDIF(G210,TODAY(),"Y"))</f>
        <v/>
      </c>
      <c r="I210" s="28" t="n">
        <f aca="false">IF($A210="","",COUNTIFS('🤸 Ingresos Pole'!$W$2:$W$1000,$A210,'🤸 Ingresos Pole'!$L$2:$L$1000,"Paquete"))</f>
        <v>0</v>
      </c>
      <c r="J210" s="28" t="n">
        <f aca="false">IF($A210="","",COUNTIF('🤸 Ingresos Pole'!$W$2:$W$1000,$A210))</f>
        <v>0</v>
      </c>
      <c r="K210" s="29" t="n">
        <f aca="false">IF($A210="","",SUMIF('🤸 Ingresos Pole'!$W$2:$W$1000,$A210,'🤸 Ingresos Pole'!$P$2:$P$1000))</f>
        <v>0</v>
      </c>
      <c r="L210" s="30" t="str">
        <f aca="false">IF(OR($A210="",J210=0),"",_xlfn.MINIFS('🤸 Ingresos Pole'!$B$2:$B$1000,'🤸 Ingresos Pole'!$W$2:$W$1000,$A210))</f>
        <v/>
      </c>
      <c r="M210" s="30" t="str">
        <f aca="false">IF(OR($A210="",J210=0),"",_xlfn.MAXIFS('🤸 Ingresos Pole'!$B$2:$B$1000,'🤸 Ingresos Pole'!$W$2:$W$1000,$A210))</f>
        <v/>
      </c>
      <c r="N210" s="28" t="str">
        <f aca="false">IF(OR($A210="",J210=0),"",IF(I210=0,"Sin paquete",IF(I210=1,"Nueva","Recurrente")))</f>
        <v/>
      </c>
      <c r="O210" s="25" t="str">
        <f aca="false">IF(AND(TRIM(B210)="",TRIM(C210)=""),"",TRIM(B210)&amp;"|"&amp;TRIM(C210))</f>
        <v/>
      </c>
      <c r="P210" s="25" t="str">
        <f aca="false">IF(O210="","",IF(TRIM(C210)="",TRIM(B210),IF(TRIM(B210)="",TRIM(C210),TRIM(B210)&amp;", "&amp;TRIM(C210))))</f>
        <v/>
      </c>
      <c r="Q210" s="25" t="str">
        <f aca="false">IF(O210="","",TRIM(TRIM(C210)&amp;" "&amp;TRIM(B210)))</f>
        <v/>
      </c>
      <c r="R210" s="25" t="str">
        <f aca="false">IF(P210="","",COUNTIFS($P$2:$P$1000,"&lt;"&amp;P210,$P$2:$P$1000,"?*")+COUNTIF($P$2:P210,P210))</f>
        <v/>
      </c>
    </row>
    <row r="211" customFormat="false" ht="14.25" hidden="false" customHeight="true" outlineLevel="0" collapsed="false">
      <c r="A211" s="25" t="s">
        <v>409</v>
      </c>
      <c r="B211" s="25"/>
      <c r="C211" s="25"/>
      <c r="D211" s="26"/>
      <c r="E211" s="25"/>
      <c r="F211" s="25"/>
      <c r="G211" s="27"/>
      <c r="H211" s="28" t="str">
        <f aca="true">IF(G211="","",DATEDIF(G211,TODAY(),"Y"))</f>
        <v/>
      </c>
      <c r="I211" s="28" t="n">
        <f aca="false">IF($A211="","",COUNTIFS('🤸 Ingresos Pole'!$W$2:$W$1000,$A211,'🤸 Ingresos Pole'!$L$2:$L$1000,"Paquete"))</f>
        <v>0</v>
      </c>
      <c r="J211" s="28" t="n">
        <f aca="false">IF($A211="","",COUNTIF('🤸 Ingresos Pole'!$W$2:$W$1000,$A211))</f>
        <v>0</v>
      </c>
      <c r="K211" s="29" t="n">
        <f aca="false">IF($A211="","",SUMIF('🤸 Ingresos Pole'!$W$2:$W$1000,$A211,'🤸 Ingresos Pole'!$P$2:$P$1000))</f>
        <v>0</v>
      </c>
      <c r="L211" s="30" t="str">
        <f aca="false">IF(OR($A211="",J211=0),"",_xlfn.MINIFS('🤸 Ingresos Pole'!$B$2:$B$1000,'🤸 Ingresos Pole'!$W$2:$W$1000,$A211))</f>
        <v/>
      </c>
      <c r="M211" s="30" t="str">
        <f aca="false">IF(OR($A211="",J211=0),"",_xlfn.MAXIFS('🤸 Ingresos Pole'!$B$2:$B$1000,'🤸 Ingresos Pole'!$W$2:$W$1000,$A211))</f>
        <v/>
      </c>
      <c r="N211" s="28" t="str">
        <f aca="false">IF(OR($A211="",J211=0),"",IF(I211=0,"Sin paquete",IF(I211=1,"Nueva","Recurrente")))</f>
        <v/>
      </c>
      <c r="O211" s="25" t="str">
        <f aca="false">IF(AND(TRIM(B211)="",TRIM(C211)=""),"",TRIM(B211)&amp;"|"&amp;TRIM(C211))</f>
        <v/>
      </c>
      <c r="P211" s="25" t="str">
        <f aca="false">IF(O211="","",IF(TRIM(C211)="",TRIM(B211),IF(TRIM(B211)="",TRIM(C211),TRIM(B211)&amp;", "&amp;TRIM(C211))))</f>
        <v/>
      </c>
      <c r="Q211" s="25" t="str">
        <f aca="false">IF(O211="","",TRIM(TRIM(C211)&amp;" "&amp;TRIM(B211)))</f>
        <v/>
      </c>
      <c r="R211" s="25" t="str">
        <f aca="false">IF(P211="","",COUNTIFS($P$2:$P$1000,"&lt;"&amp;P211,$P$2:$P$1000,"?*")+COUNTIF($P$2:P211,P211))</f>
        <v/>
      </c>
    </row>
    <row r="212" customFormat="false" ht="14.25" hidden="false" customHeight="true" outlineLevel="0" collapsed="false">
      <c r="A212" s="25" t="s">
        <v>410</v>
      </c>
      <c r="B212" s="25"/>
      <c r="C212" s="25"/>
      <c r="D212" s="26"/>
      <c r="E212" s="25"/>
      <c r="F212" s="25"/>
      <c r="G212" s="27"/>
      <c r="H212" s="28" t="str">
        <f aca="true">IF(G212="","",DATEDIF(G212,TODAY(),"Y"))</f>
        <v/>
      </c>
      <c r="I212" s="28" t="n">
        <f aca="false">IF($A212="","",COUNTIFS('🤸 Ingresos Pole'!$W$2:$W$1000,$A212,'🤸 Ingresos Pole'!$L$2:$L$1000,"Paquete"))</f>
        <v>0</v>
      </c>
      <c r="J212" s="28" t="n">
        <f aca="false">IF($A212="","",COUNTIF('🤸 Ingresos Pole'!$W$2:$W$1000,$A212))</f>
        <v>0</v>
      </c>
      <c r="K212" s="29" t="n">
        <f aca="false">IF($A212="","",SUMIF('🤸 Ingresos Pole'!$W$2:$W$1000,$A212,'🤸 Ingresos Pole'!$P$2:$P$1000))</f>
        <v>0</v>
      </c>
      <c r="L212" s="30" t="str">
        <f aca="false">IF(OR($A212="",J212=0),"",_xlfn.MINIFS('🤸 Ingresos Pole'!$B$2:$B$1000,'🤸 Ingresos Pole'!$W$2:$W$1000,$A212))</f>
        <v/>
      </c>
      <c r="M212" s="30" t="str">
        <f aca="false">IF(OR($A212="",J212=0),"",_xlfn.MAXIFS('🤸 Ingresos Pole'!$B$2:$B$1000,'🤸 Ingresos Pole'!$W$2:$W$1000,$A212))</f>
        <v/>
      </c>
      <c r="N212" s="28" t="str">
        <f aca="false">IF(OR($A212="",J212=0),"",IF(I212=0,"Sin paquete",IF(I212=1,"Nueva","Recurrente")))</f>
        <v/>
      </c>
      <c r="O212" s="25" t="str">
        <f aca="false">IF(AND(TRIM(B212)="",TRIM(C212)=""),"",TRIM(B212)&amp;"|"&amp;TRIM(C212))</f>
        <v/>
      </c>
      <c r="P212" s="25" t="str">
        <f aca="false">IF(O212="","",IF(TRIM(C212)="",TRIM(B212),IF(TRIM(B212)="",TRIM(C212),TRIM(B212)&amp;", "&amp;TRIM(C212))))</f>
        <v/>
      </c>
      <c r="Q212" s="25" t="str">
        <f aca="false">IF(O212="","",TRIM(TRIM(C212)&amp;" "&amp;TRIM(B212)))</f>
        <v/>
      </c>
      <c r="R212" s="25" t="str">
        <f aca="false">IF(P212="","",COUNTIFS($P$2:$P$1000,"&lt;"&amp;P212,$P$2:$P$1000,"?*")+COUNTIF($P$2:P212,P212))</f>
        <v/>
      </c>
    </row>
    <row r="213" customFormat="false" ht="14.25" hidden="false" customHeight="true" outlineLevel="0" collapsed="false">
      <c r="A213" s="25" t="s">
        <v>411</v>
      </c>
      <c r="B213" s="25"/>
      <c r="C213" s="25"/>
      <c r="D213" s="26"/>
      <c r="E213" s="25"/>
      <c r="F213" s="25"/>
      <c r="G213" s="27"/>
      <c r="H213" s="28" t="str">
        <f aca="true">IF(G213="","",DATEDIF(G213,TODAY(),"Y"))</f>
        <v/>
      </c>
      <c r="I213" s="28" t="n">
        <f aca="false">IF($A213="","",COUNTIFS('🤸 Ingresos Pole'!$W$2:$W$1000,$A213,'🤸 Ingresos Pole'!$L$2:$L$1000,"Paquete"))</f>
        <v>0</v>
      </c>
      <c r="J213" s="28" t="n">
        <f aca="false">IF($A213="","",COUNTIF('🤸 Ingresos Pole'!$W$2:$W$1000,$A213))</f>
        <v>0</v>
      </c>
      <c r="K213" s="29" t="n">
        <f aca="false">IF($A213="","",SUMIF('🤸 Ingresos Pole'!$W$2:$W$1000,$A213,'🤸 Ingresos Pole'!$P$2:$P$1000))</f>
        <v>0</v>
      </c>
      <c r="L213" s="30" t="str">
        <f aca="false">IF(OR($A213="",J213=0),"",_xlfn.MINIFS('🤸 Ingresos Pole'!$B$2:$B$1000,'🤸 Ingresos Pole'!$W$2:$W$1000,$A213))</f>
        <v/>
      </c>
      <c r="M213" s="30" t="str">
        <f aca="false">IF(OR($A213="",J213=0),"",_xlfn.MAXIFS('🤸 Ingresos Pole'!$B$2:$B$1000,'🤸 Ingresos Pole'!$W$2:$W$1000,$A213))</f>
        <v/>
      </c>
      <c r="N213" s="28" t="str">
        <f aca="false">IF(OR($A213="",J213=0),"",IF(I213=0,"Sin paquete",IF(I213=1,"Nueva","Recurrente")))</f>
        <v/>
      </c>
      <c r="O213" s="25" t="str">
        <f aca="false">IF(AND(TRIM(B213)="",TRIM(C213)=""),"",TRIM(B213)&amp;"|"&amp;TRIM(C213))</f>
        <v/>
      </c>
      <c r="P213" s="25" t="str">
        <f aca="false">IF(O213="","",IF(TRIM(C213)="",TRIM(B213),IF(TRIM(B213)="",TRIM(C213),TRIM(B213)&amp;", "&amp;TRIM(C213))))</f>
        <v/>
      </c>
      <c r="Q213" s="25" t="str">
        <f aca="false">IF(O213="","",TRIM(TRIM(C213)&amp;" "&amp;TRIM(B213)))</f>
        <v/>
      </c>
      <c r="R213" s="25" t="str">
        <f aca="false">IF(P213="","",COUNTIFS($P$2:$P$1000,"&lt;"&amp;P213,$P$2:$P$1000,"?*")+COUNTIF($P$2:P213,P213))</f>
        <v/>
      </c>
    </row>
    <row r="214" customFormat="false" ht="14.25" hidden="false" customHeight="true" outlineLevel="0" collapsed="false">
      <c r="A214" s="25" t="s">
        <v>412</v>
      </c>
      <c r="B214" s="25"/>
      <c r="C214" s="25"/>
      <c r="D214" s="26"/>
      <c r="E214" s="25"/>
      <c r="F214" s="25"/>
      <c r="G214" s="27"/>
      <c r="H214" s="28" t="str">
        <f aca="true">IF(G214="","",DATEDIF(G214,TODAY(),"Y"))</f>
        <v/>
      </c>
      <c r="I214" s="28" t="n">
        <f aca="false">IF($A214="","",COUNTIFS('🤸 Ingresos Pole'!$W$2:$W$1000,$A214,'🤸 Ingresos Pole'!$L$2:$L$1000,"Paquete"))</f>
        <v>0</v>
      </c>
      <c r="J214" s="28" t="n">
        <f aca="false">IF($A214="","",COUNTIF('🤸 Ingresos Pole'!$W$2:$W$1000,$A214))</f>
        <v>0</v>
      </c>
      <c r="K214" s="29" t="n">
        <f aca="false">IF($A214="","",SUMIF('🤸 Ingresos Pole'!$W$2:$W$1000,$A214,'🤸 Ingresos Pole'!$P$2:$P$1000))</f>
        <v>0</v>
      </c>
      <c r="L214" s="30" t="str">
        <f aca="false">IF(OR($A214="",J214=0),"",_xlfn.MINIFS('🤸 Ingresos Pole'!$B$2:$B$1000,'🤸 Ingresos Pole'!$W$2:$W$1000,$A214))</f>
        <v/>
      </c>
      <c r="M214" s="30" t="str">
        <f aca="false">IF(OR($A214="",J214=0),"",_xlfn.MAXIFS('🤸 Ingresos Pole'!$B$2:$B$1000,'🤸 Ingresos Pole'!$W$2:$W$1000,$A214))</f>
        <v/>
      </c>
      <c r="N214" s="28" t="str">
        <f aca="false">IF(OR($A214="",J214=0),"",IF(I214=0,"Sin paquete",IF(I214=1,"Nueva","Recurrente")))</f>
        <v/>
      </c>
      <c r="O214" s="25" t="str">
        <f aca="false">IF(AND(TRIM(B214)="",TRIM(C214)=""),"",TRIM(B214)&amp;"|"&amp;TRIM(C214))</f>
        <v/>
      </c>
      <c r="P214" s="25" t="str">
        <f aca="false">IF(O214="","",IF(TRIM(C214)="",TRIM(B214),IF(TRIM(B214)="",TRIM(C214),TRIM(B214)&amp;", "&amp;TRIM(C214))))</f>
        <v/>
      </c>
      <c r="Q214" s="25" t="str">
        <f aca="false">IF(O214="","",TRIM(TRIM(C214)&amp;" "&amp;TRIM(B214)))</f>
        <v/>
      </c>
      <c r="R214" s="25" t="str">
        <f aca="false">IF(P214="","",COUNTIFS($P$2:$P$1000,"&lt;"&amp;P214,$P$2:$P$1000,"?*")+COUNTIF($P$2:P214,P214))</f>
        <v/>
      </c>
    </row>
    <row r="215" customFormat="false" ht="14.25" hidden="false" customHeight="true" outlineLevel="0" collapsed="false">
      <c r="A215" s="25" t="s">
        <v>413</v>
      </c>
      <c r="B215" s="25"/>
      <c r="C215" s="25"/>
      <c r="D215" s="26"/>
      <c r="E215" s="25"/>
      <c r="F215" s="25"/>
      <c r="G215" s="27"/>
      <c r="H215" s="28" t="str">
        <f aca="true">IF(G215="","",DATEDIF(G215,TODAY(),"Y"))</f>
        <v/>
      </c>
      <c r="I215" s="28" t="n">
        <f aca="false">IF($A215="","",COUNTIFS('🤸 Ingresos Pole'!$W$2:$W$1000,$A215,'🤸 Ingresos Pole'!$L$2:$L$1000,"Paquete"))</f>
        <v>0</v>
      </c>
      <c r="J215" s="28" t="n">
        <f aca="false">IF($A215="","",COUNTIF('🤸 Ingresos Pole'!$W$2:$W$1000,$A215))</f>
        <v>0</v>
      </c>
      <c r="K215" s="29" t="n">
        <f aca="false">IF($A215="","",SUMIF('🤸 Ingresos Pole'!$W$2:$W$1000,$A215,'🤸 Ingresos Pole'!$P$2:$P$1000))</f>
        <v>0</v>
      </c>
      <c r="L215" s="30" t="str">
        <f aca="false">IF(OR($A215="",J215=0),"",_xlfn.MINIFS('🤸 Ingresos Pole'!$B$2:$B$1000,'🤸 Ingresos Pole'!$W$2:$W$1000,$A215))</f>
        <v/>
      </c>
      <c r="M215" s="30" t="str">
        <f aca="false">IF(OR($A215="",J215=0),"",_xlfn.MAXIFS('🤸 Ingresos Pole'!$B$2:$B$1000,'🤸 Ingresos Pole'!$W$2:$W$1000,$A215))</f>
        <v/>
      </c>
      <c r="N215" s="28" t="str">
        <f aca="false">IF(OR($A215="",J215=0),"",IF(I215=0,"Sin paquete",IF(I215=1,"Nueva","Recurrente")))</f>
        <v/>
      </c>
      <c r="O215" s="25" t="str">
        <f aca="false">IF(AND(TRIM(B215)="",TRIM(C215)=""),"",TRIM(B215)&amp;"|"&amp;TRIM(C215))</f>
        <v/>
      </c>
      <c r="P215" s="25" t="str">
        <f aca="false">IF(O215="","",IF(TRIM(C215)="",TRIM(B215),IF(TRIM(B215)="",TRIM(C215),TRIM(B215)&amp;", "&amp;TRIM(C215))))</f>
        <v/>
      </c>
      <c r="Q215" s="25" t="str">
        <f aca="false">IF(O215="","",TRIM(TRIM(C215)&amp;" "&amp;TRIM(B215)))</f>
        <v/>
      </c>
      <c r="R215" s="25" t="str">
        <f aca="false">IF(P215="","",COUNTIFS($P$2:$P$1000,"&lt;"&amp;P215,$P$2:$P$1000,"?*")+COUNTIF($P$2:P215,P215))</f>
        <v/>
      </c>
    </row>
    <row r="216" customFormat="false" ht="14.25" hidden="false" customHeight="true" outlineLevel="0" collapsed="false">
      <c r="A216" s="25" t="s">
        <v>414</v>
      </c>
      <c r="B216" s="25"/>
      <c r="C216" s="25"/>
      <c r="D216" s="26"/>
      <c r="E216" s="25"/>
      <c r="F216" s="25"/>
      <c r="G216" s="27"/>
      <c r="H216" s="28" t="str">
        <f aca="true">IF(G216="","",DATEDIF(G216,TODAY(),"Y"))</f>
        <v/>
      </c>
      <c r="I216" s="28" t="n">
        <f aca="false">IF($A216="","",COUNTIFS('🤸 Ingresos Pole'!$W$2:$W$1000,$A216,'🤸 Ingresos Pole'!$L$2:$L$1000,"Paquete"))</f>
        <v>0</v>
      </c>
      <c r="J216" s="28" t="n">
        <f aca="false">IF($A216="","",COUNTIF('🤸 Ingresos Pole'!$W$2:$W$1000,$A216))</f>
        <v>0</v>
      </c>
      <c r="K216" s="29" t="n">
        <f aca="false">IF($A216="","",SUMIF('🤸 Ingresos Pole'!$W$2:$W$1000,$A216,'🤸 Ingresos Pole'!$P$2:$P$1000))</f>
        <v>0</v>
      </c>
      <c r="L216" s="30" t="str">
        <f aca="false">IF(OR($A216="",J216=0),"",_xlfn.MINIFS('🤸 Ingresos Pole'!$B$2:$B$1000,'🤸 Ingresos Pole'!$W$2:$W$1000,$A216))</f>
        <v/>
      </c>
      <c r="M216" s="30" t="str">
        <f aca="false">IF(OR($A216="",J216=0),"",_xlfn.MAXIFS('🤸 Ingresos Pole'!$B$2:$B$1000,'🤸 Ingresos Pole'!$W$2:$W$1000,$A216))</f>
        <v/>
      </c>
      <c r="N216" s="28" t="str">
        <f aca="false">IF(OR($A216="",J216=0),"",IF(I216=0,"Sin paquete",IF(I216=1,"Nueva","Recurrente")))</f>
        <v/>
      </c>
      <c r="O216" s="25" t="str">
        <f aca="false">IF(AND(TRIM(B216)="",TRIM(C216)=""),"",TRIM(B216)&amp;"|"&amp;TRIM(C216))</f>
        <v/>
      </c>
      <c r="P216" s="25" t="str">
        <f aca="false">IF(O216="","",IF(TRIM(C216)="",TRIM(B216),IF(TRIM(B216)="",TRIM(C216),TRIM(B216)&amp;", "&amp;TRIM(C216))))</f>
        <v/>
      </c>
      <c r="Q216" s="25" t="str">
        <f aca="false">IF(O216="","",TRIM(TRIM(C216)&amp;" "&amp;TRIM(B216)))</f>
        <v/>
      </c>
      <c r="R216" s="25" t="str">
        <f aca="false">IF(P216="","",COUNTIFS($P$2:$P$1000,"&lt;"&amp;P216,$P$2:$P$1000,"?*")+COUNTIF($P$2:P216,P216))</f>
        <v/>
      </c>
    </row>
    <row r="217" customFormat="false" ht="14.25" hidden="false" customHeight="true" outlineLevel="0" collapsed="false">
      <c r="A217" s="25" t="s">
        <v>415</v>
      </c>
      <c r="B217" s="25"/>
      <c r="C217" s="25"/>
      <c r="D217" s="26"/>
      <c r="E217" s="25"/>
      <c r="F217" s="25"/>
      <c r="G217" s="27"/>
      <c r="H217" s="28" t="str">
        <f aca="true">IF(G217="","",DATEDIF(G217,TODAY(),"Y"))</f>
        <v/>
      </c>
      <c r="I217" s="28" t="n">
        <f aca="false">IF($A217="","",COUNTIFS('🤸 Ingresos Pole'!$W$2:$W$1000,$A217,'🤸 Ingresos Pole'!$L$2:$L$1000,"Paquete"))</f>
        <v>0</v>
      </c>
      <c r="J217" s="28" t="n">
        <f aca="false">IF($A217="","",COUNTIF('🤸 Ingresos Pole'!$W$2:$W$1000,$A217))</f>
        <v>0</v>
      </c>
      <c r="K217" s="29" t="n">
        <f aca="false">IF($A217="","",SUMIF('🤸 Ingresos Pole'!$W$2:$W$1000,$A217,'🤸 Ingresos Pole'!$P$2:$P$1000))</f>
        <v>0</v>
      </c>
      <c r="L217" s="30" t="str">
        <f aca="false">IF(OR($A217="",J217=0),"",_xlfn.MINIFS('🤸 Ingresos Pole'!$B$2:$B$1000,'🤸 Ingresos Pole'!$W$2:$W$1000,$A217))</f>
        <v/>
      </c>
      <c r="M217" s="30" t="str">
        <f aca="false">IF(OR($A217="",J217=0),"",_xlfn.MAXIFS('🤸 Ingresos Pole'!$B$2:$B$1000,'🤸 Ingresos Pole'!$W$2:$W$1000,$A217))</f>
        <v/>
      </c>
      <c r="N217" s="28" t="str">
        <f aca="false">IF(OR($A217="",J217=0),"",IF(I217=0,"Sin paquete",IF(I217=1,"Nueva","Recurrente")))</f>
        <v/>
      </c>
      <c r="O217" s="25" t="str">
        <f aca="false">IF(AND(TRIM(B217)="",TRIM(C217)=""),"",TRIM(B217)&amp;"|"&amp;TRIM(C217))</f>
        <v/>
      </c>
      <c r="P217" s="25" t="str">
        <f aca="false">IF(O217="","",IF(TRIM(C217)="",TRIM(B217),IF(TRIM(B217)="",TRIM(C217),TRIM(B217)&amp;", "&amp;TRIM(C217))))</f>
        <v/>
      </c>
      <c r="Q217" s="25" t="str">
        <f aca="false">IF(O217="","",TRIM(TRIM(C217)&amp;" "&amp;TRIM(B217)))</f>
        <v/>
      </c>
      <c r="R217" s="25" t="str">
        <f aca="false">IF(P217="","",COUNTIFS($P$2:$P$1000,"&lt;"&amp;P217,$P$2:$P$1000,"?*")+COUNTIF($P$2:P217,P217))</f>
        <v/>
      </c>
    </row>
    <row r="218" customFormat="false" ht="14.25" hidden="false" customHeight="true" outlineLevel="0" collapsed="false">
      <c r="A218" s="25" t="s">
        <v>416</v>
      </c>
      <c r="B218" s="25"/>
      <c r="C218" s="25"/>
      <c r="D218" s="26"/>
      <c r="E218" s="25"/>
      <c r="F218" s="25"/>
      <c r="G218" s="27"/>
      <c r="H218" s="28" t="str">
        <f aca="true">IF(G218="","",DATEDIF(G218,TODAY(),"Y"))</f>
        <v/>
      </c>
      <c r="I218" s="28" t="n">
        <f aca="false">IF($A218="","",COUNTIFS('🤸 Ingresos Pole'!$W$2:$W$1000,$A218,'🤸 Ingresos Pole'!$L$2:$L$1000,"Paquete"))</f>
        <v>0</v>
      </c>
      <c r="J218" s="28" t="n">
        <f aca="false">IF($A218="","",COUNTIF('🤸 Ingresos Pole'!$W$2:$W$1000,$A218))</f>
        <v>0</v>
      </c>
      <c r="K218" s="29" t="n">
        <f aca="false">IF($A218="","",SUMIF('🤸 Ingresos Pole'!$W$2:$W$1000,$A218,'🤸 Ingresos Pole'!$P$2:$P$1000))</f>
        <v>0</v>
      </c>
      <c r="L218" s="30" t="str">
        <f aca="false">IF(OR($A218="",J218=0),"",_xlfn.MINIFS('🤸 Ingresos Pole'!$B$2:$B$1000,'🤸 Ingresos Pole'!$W$2:$W$1000,$A218))</f>
        <v/>
      </c>
      <c r="M218" s="30" t="str">
        <f aca="false">IF(OR($A218="",J218=0),"",_xlfn.MAXIFS('🤸 Ingresos Pole'!$B$2:$B$1000,'🤸 Ingresos Pole'!$W$2:$W$1000,$A218))</f>
        <v/>
      </c>
      <c r="N218" s="28" t="str">
        <f aca="false">IF(OR($A218="",J218=0),"",IF(I218=0,"Sin paquete",IF(I218=1,"Nueva","Recurrente")))</f>
        <v/>
      </c>
      <c r="O218" s="25" t="str">
        <f aca="false">IF(AND(TRIM(B218)="",TRIM(C218)=""),"",TRIM(B218)&amp;"|"&amp;TRIM(C218))</f>
        <v/>
      </c>
      <c r="P218" s="25" t="str">
        <f aca="false">IF(O218="","",IF(TRIM(C218)="",TRIM(B218),IF(TRIM(B218)="",TRIM(C218),TRIM(B218)&amp;", "&amp;TRIM(C218))))</f>
        <v/>
      </c>
      <c r="Q218" s="25" t="str">
        <f aca="false">IF(O218="","",TRIM(TRIM(C218)&amp;" "&amp;TRIM(B218)))</f>
        <v/>
      </c>
      <c r="R218" s="25" t="str">
        <f aca="false">IF(P218="","",COUNTIFS($P$2:$P$1000,"&lt;"&amp;P218,$P$2:$P$1000,"?*")+COUNTIF($P$2:P218,P218))</f>
        <v/>
      </c>
    </row>
    <row r="219" customFormat="false" ht="14.25" hidden="false" customHeight="true" outlineLevel="0" collapsed="false">
      <c r="A219" s="25" t="s">
        <v>417</v>
      </c>
      <c r="B219" s="25"/>
      <c r="C219" s="25"/>
      <c r="D219" s="26"/>
      <c r="E219" s="25"/>
      <c r="F219" s="25"/>
      <c r="G219" s="27"/>
      <c r="H219" s="28" t="str">
        <f aca="true">IF(G219="","",DATEDIF(G219,TODAY(),"Y"))</f>
        <v/>
      </c>
      <c r="I219" s="28" t="n">
        <f aca="false">IF($A219="","",COUNTIFS('🤸 Ingresos Pole'!$W$2:$W$1000,$A219,'🤸 Ingresos Pole'!$L$2:$L$1000,"Paquete"))</f>
        <v>0</v>
      </c>
      <c r="J219" s="28" t="n">
        <f aca="false">IF($A219="","",COUNTIF('🤸 Ingresos Pole'!$W$2:$W$1000,$A219))</f>
        <v>0</v>
      </c>
      <c r="K219" s="29" t="n">
        <f aca="false">IF($A219="","",SUMIF('🤸 Ingresos Pole'!$W$2:$W$1000,$A219,'🤸 Ingresos Pole'!$P$2:$P$1000))</f>
        <v>0</v>
      </c>
      <c r="L219" s="30" t="str">
        <f aca="false">IF(OR($A219="",J219=0),"",_xlfn.MINIFS('🤸 Ingresos Pole'!$B$2:$B$1000,'🤸 Ingresos Pole'!$W$2:$W$1000,$A219))</f>
        <v/>
      </c>
      <c r="M219" s="30" t="str">
        <f aca="false">IF(OR($A219="",J219=0),"",_xlfn.MAXIFS('🤸 Ingresos Pole'!$B$2:$B$1000,'🤸 Ingresos Pole'!$W$2:$W$1000,$A219))</f>
        <v/>
      </c>
      <c r="N219" s="28" t="str">
        <f aca="false">IF(OR($A219="",J219=0),"",IF(I219=0,"Sin paquete",IF(I219=1,"Nueva","Recurrente")))</f>
        <v/>
      </c>
      <c r="O219" s="25" t="str">
        <f aca="false">IF(AND(TRIM(B219)="",TRIM(C219)=""),"",TRIM(B219)&amp;"|"&amp;TRIM(C219))</f>
        <v/>
      </c>
      <c r="P219" s="25" t="str">
        <f aca="false">IF(O219="","",IF(TRIM(C219)="",TRIM(B219),IF(TRIM(B219)="",TRIM(C219),TRIM(B219)&amp;", "&amp;TRIM(C219))))</f>
        <v/>
      </c>
      <c r="Q219" s="25" t="str">
        <f aca="false">IF(O219="","",TRIM(TRIM(C219)&amp;" "&amp;TRIM(B219)))</f>
        <v/>
      </c>
      <c r="R219" s="25" t="str">
        <f aca="false">IF(P219="","",COUNTIFS($P$2:$P$1000,"&lt;"&amp;P219,$P$2:$P$1000,"?*")+COUNTIF($P$2:P219,P219))</f>
        <v/>
      </c>
    </row>
    <row r="220" customFormat="false" ht="14.25" hidden="false" customHeight="true" outlineLevel="0" collapsed="false">
      <c r="A220" s="25" t="s">
        <v>418</v>
      </c>
      <c r="B220" s="25"/>
      <c r="C220" s="25"/>
      <c r="D220" s="26"/>
      <c r="E220" s="25"/>
      <c r="F220" s="25"/>
      <c r="G220" s="27"/>
      <c r="H220" s="28" t="str">
        <f aca="true">IF(G220="","",DATEDIF(G220,TODAY(),"Y"))</f>
        <v/>
      </c>
      <c r="I220" s="28" t="n">
        <f aca="false">IF($A220="","",COUNTIFS('🤸 Ingresos Pole'!$W$2:$W$1000,$A220,'🤸 Ingresos Pole'!$L$2:$L$1000,"Paquete"))</f>
        <v>0</v>
      </c>
      <c r="J220" s="28" t="n">
        <f aca="false">IF($A220="","",COUNTIF('🤸 Ingresos Pole'!$W$2:$W$1000,$A220))</f>
        <v>0</v>
      </c>
      <c r="K220" s="29" t="n">
        <f aca="false">IF($A220="","",SUMIF('🤸 Ingresos Pole'!$W$2:$W$1000,$A220,'🤸 Ingresos Pole'!$P$2:$P$1000))</f>
        <v>0</v>
      </c>
      <c r="L220" s="30" t="str">
        <f aca="false">IF(OR($A220="",J220=0),"",_xlfn.MINIFS('🤸 Ingresos Pole'!$B$2:$B$1000,'🤸 Ingresos Pole'!$W$2:$W$1000,$A220))</f>
        <v/>
      </c>
      <c r="M220" s="30" t="str">
        <f aca="false">IF(OR($A220="",J220=0),"",_xlfn.MAXIFS('🤸 Ingresos Pole'!$B$2:$B$1000,'🤸 Ingresos Pole'!$W$2:$W$1000,$A220))</f>
        <v/>
      </c>
      <c r="N220" s="28" t="str">
        <f aca="false">IF(OR($A220="",J220=0),"",IF(I220=0,"Sin paquete",IF(I220=1,"Nueva","Recurrente")))</f>
        <v/>
      </c>
      <c r="O220" s="25" t="str">
        <f aca="false">IF(AND(TRIM(B220)="",TRIM(C220)=""),"",TRIM(B220)&amp;"|"&amp;TRIM(C220))</f>
        <v/>
      </c>
      <c r="P220" s="25" t="str">
        <f aca="false">IF(O220="","",IF(TRIM(C220)="",TRIM(B220),IF(TRIM(B220)="",TRIM(C220),TRIM(B220)&amp;", "&amp;TRIM(C220))))</f>
        <v/>
      </c>
      <c r="Q220" s="25" t="str">
        <f aca="false">IF(O220="","",TRIM(TRIM(C220)&amp;" "&amp;TRIM(B220)))</f>
        <v/>
      </c>
      <c r="R220" s="25" t="str">
        <f aca="false">IF(P220="","",COUNTIFS($P$2:$P$1000,"&lt;"&amp;P220,$P$2:$P$1000,"?*")+COUNTIF($P$2:P220,P220))</f>
        <v/>
      </c>
    </row>
    <row r="221" customFormat="false" ht="14.25" hidden="false" customHeight="true" outlineLevel="0" collapsed="false">
      <c r="A221" s="25" t="s">
        <v>419</v>
      </c>
      <c r="B221" s="25"/>
      <c r="C221" s="25"/>
      <c r="D221" s="26"/>
      <c r="E221" s="25"/>
      <c r="F221" s="25"/>
      <c r="G221" s="27"/>
      <c r="H221" s="28" t="str">
        <f aca="true">IF(G221="","",DATEDIF(G221,TODAY(),"Y"))</f>
        <v/>
      </c>
      <c r="I221" s="28" t="n">
        <f aca="false">IF($A221="","",COUNTIFS('🤸 Ingresos Pole'!$W$2:$W$1000,$A221,'🤸 Ingresos Pole'!$L$2:$L$1000,"Paquete"))</f>
        <v>0</v>
      </c>
      <c r="J221" s="28" t="n">
        <f aca="false">IF($A221="","",COUNTIF('🤸 Ingresos Pole'!$W$2:$W$1000,$A221))</f>
        <v>0</v>
      </c>
      <c r="K221" s="29" t="n">
        <f aca="false">IF($A221="","",SUMIF('🤸 Ingresos Pole'!$W$2:$W$1000,$A221,'🤸 Ingresos Pole'!$P$2:$P$1000))</f>
        <v>0</v>
      </c>
      <c r="L221" s="30" t="str">
        <f aca="false">IF(OR($A221="",J221=0),"",_xlfn.MINIFS('🤸 Ingresos Pole'!$B$2:$B$1000,'🤸 Ingresos Pole'!$W$2:$W$1000,$A221))</f>
        <v/>
      </c>
      <c r="M221" s="30" t="str">
        <f aca="false">IF(OR($A221="",J221=0),"",_xlfn.MAXIFS('🤸 Ingresos Pole'!$B$2:$B$1000,'🤸 Ingresos Pole'!$W$2:$W$1000,$A221))</f>
        <v/>
      </c>
      <c r="N221" s="28" t="str">
        <f aca="false">IF(OR($A221="",J221=0),"",IF(I221=0,"Sin paquete",IF(I221=1,"Nueva","Recurrente")))</f>
        <v/>
      </c>
      <c r="O221" s="25" t="str">
        <f aca="false">IF(AND(TRIM(B221)="",TRIM(C221)=""),"",TRIM(B221)&amp;"|"&amp;TRIM(C221))</f>
        <v/>
      </c>
      <c r="P221" s="25" t="str">
        <f aca="false">IF(O221="","",IF(TRIM(C221)="",TRIM(B221),IF(TRIM(B221)="",TRIM(C221),TRIM(B221)&amp;", "&amp;TRIM(C221))))</f>
        <v/>
      </c>
      <c r="Q221" s="25" t="str">
        <f aca="false">IF(O221="","",TRIM(TRIM(C221)&amp;" "&amp;TRIM(B221)))</f>
        <v/>
      </c>
      <c r="R221" s="25" t="str">
        <f aca="false">IF(P221="","",COUNTIFS($P$2:$P$1000,"&lt;"&amp;P221,$P$2:$P$1000,"?*")+COUNTIF($P$2:P221,P221))</f>
        <v/>
      </c>
    </row>
    <row r="222" customFormat="false" ht="14.25" hidden="false" customHeight="true" outlineLevel="0" collapsed="false">
      <c r="A222" s="25" t="s">
        <v>420</v>
      </c>
      <c r="B222" s="25"/>
      <c r="C222" s="25"/>
      <c r="D222" s="26"/>
      <c r="E222" s="25"/>
      <c r="F222" s="25"/>
      <c r="G222" s="27"/>
      <c r="H222" s="28" t="str">
        <f aca="true">IF(G222="","",DATEDIF(G222,TODAY(),"Y"))</f>
        <v/>
      </c>
      <c r="I222" s="28" t="n">
        <f aca="false">IF($A222="","",COUNTIFS('🤸 Ingresos Pole'!$W$2:$W$1000,$A222,'🤸 Ingresos Pole'!$L$2:$L$1000,"Paquete"))</f>
        <v>0</v>
      </c>
      <c r="J222" s="28" t="n">
        <f aca="false">IF($A222="","",COUNTIF('🤸 Ingresos Pole'!$W$2:$W$1000,$A222))</f>
        <v>0</v>
      </c>
      <c r="K222" s="29" t="n">
        <f aca="false">IF($A222="","",SUMIF('🤸 Ingresos Pole'!$W$2:$W$1000,$A222,'🤸 Ingresos Pole'!$P$2:$P$1000))</f>
        <v>0</v>
      </c>
      <c r="L222" s="30" t="str">
        <f aca="false">IF(OR($A222="",J222=0),"",_xlfn.MINIFS('🤸 Ingresos Pole'!$B$2:$B$1000,'🤸 Ingresos Pole'!$W$2:$W$1000,$A222))</f>
        <v/>
      </c>
      <c r="M222" s="30" t="str">
        <f aca="false">IF(OR($A222="",J222=0),"",_xlfn.MAXIFS('🤸 Ingresos Pole'!$B$2:$B$1000,'🤸 Ingresos Pole'!$W$2:$W$1000,$A222))</f>
        <v/>
      </c>
      <c r="N222" s="28" t="str">
        <f aca="false">IF(OR($A222="",J222=0),"",IF(I222=0,"Sin paquete",IF(I222=1,"Nueva","Recurrente")))</f>
        <v/>
      </c>
      <c r="O222" s="25" t="str">
        <f aca="false">IF(AND(TRIM(B222)="",TRIM(C222)=""),"",TRIM(B222)&amp;"|"&amp;TRIM(C222))</f>
        <v/>
      </c>
      <c r="P222" s="25" t="str">
        <f aca="false">IF(O222="","",IF(TRIM(C222)="",TRIM(B222),IF(TRIM(B222)="",TRIM(C222),TRIM(B222)&amp;", "&amp;TRIM(C222))))</f>
        <v/>
      </c>
      <c r="Q222" s="25" t="str">
        <f aca="false">IF(O222="","",TRIM(TRIM(C222)&amp;" "&amp;TRIM(B222)))</f>
        <v/>
      </c>
      <c r="R222" s="25" t="str">
        <f aca="false">IF(P222="","",COUNTIFS($P$2:$P$1000,"&lt;"&amp;P222,$P$2:$P$1000,"?*")+COUNTIF($P$2:P222,P222))</f>
        <v/>
      </c>
    </row>
    <row r="223" customFormat="false" ht="14.25" hidden="false" customHeight="true" outlineLevel="0" collapsed="false">
      <c r="A223" s="25" t="s">
        <v>421</v>
      </c>
      <c r="B223" s="25"/>
      <c r="C223" s="25"/>
      <c r="D223" s="26"/>
      <c r="E223" s="25"/>
      <c r="F223" s="25"/>
      <c r="G223" s="27"/>
      <c r="H223" s="28" t="str">
        <f aca="true">IF(G223="","",DATEDIF(G223,TODAY(),"Y"))</f>
        <v/>
      </c>
      <c r="I223" s="28" t="n">
        <f aca="false">IF($A223="","",COUNTIFS('🤸 Ingresos Pole'!$W$2:$W$1000,$A223,'🤸 Ingresos Pole'!$L$2:$L$1000,"Paquete"))</f>
        <v>0</v>
      </c>
      <c r="J223" s="28" t="n">
        <f aca="false">IF($A223="","",COUNTIF('🤸 Ingresos Pole'!$W$2:$W$1000,$A223))</f>
        <v>0</v>
      </c>
      <c r="K223" s="29" t="n">
        <f aca="false">IF($A223="","",SUMIF('🤸 Ingresos Pole'!$W$2:$W$1000,$A223,'🤸 Ingresos Pole'!$P$2:$P$1000))</f>
        <v>0</v>
      </c>
      <c r="L223" s="30" t="str">
        <f aca="false">IF(OR($A223="",J223=0),"",_xlfn.MINIFS('🤸 Ingresos Pole'!$B$2:$B$1000,'🤸 Ingresos Pole'!$W$2:$W$1000,$A223))</f>
        <v/>
      </c>
      <c r="M223" s="30" t="str">
        <f aca="false">IF(OR($A223="",J223=0),"",_xlfn.MAXIFS('🤸 Ingresos Pole'!$B$2:$B$1000,'🤸 Ingresos Pole'!$W$2:$W$1000,$A223))</f>
        <v/>
      </c>
      <c r="N223" s="28" t="str">
        <f aca="false">IF(OR($A223="",J223=0),"",IF(I223=0,"Sin paquete",IF(I223=1,"Nueva","Recurrente")))</f>
        <v/>
      </c>
      <c r="O223" s="25" t="str">
        <f aca="false">IF(AND(TRIM(B223)="",TRIM(C223)=""),"",TRIM(B223)&amp;"|"&amp;TRIM(C223))</f>
        <v/>
      </c>
      <c r="P223" s="25" t="str">
        <f aca="false">IF(O223="","",IF(TRIM(C223)="",TRIM(B223),IF(TRIM(B223)="",TRIM(C223),TRIM(B223)&amp;", "&amp;TRIM(C223))))</f>
        <v/>
      </c>
      <c r="Q223" s="25" t="str">
        <f aca="false">IF(O223="","",TRIM(TRIM(C223)&amp;" "&amp;TRIM(B223)))</f>
        <v/>
      </c>
      <c r="R223" s="25" t="str">
        <f aca="false">IF(P223="","",COUNTIFS($P$2:$P$1000,"&lt;"&amp;P223,$P$2:$P$1000,"?*")+COUNTIF($P$2:P223,P223))</f>
        <v/>
      </c>
    </row>
    <row r="224" customFormat="false" ht="14.25" hidden="false" customHeight="true" outlineLevel="0" collapsed="false">
      <c r="A224" s="25" t="s">
        <v>422</v>
      </c>
      <c r="B224" s="25"/>
      <c r="C224" s="25"/>
      <c r="D224" s="26"/>
      <c r="E224" s="25"/>
      <c r="F224" s="25"/>
      <c r="G224" s="27"/>
      <c r="H224" s="28" t="str">
        <f aca="true">IF(G224="","",DATEDIF(G224,TODAY(),"Y"))</f>
        <v/>
      </c>
      <c r="I224" s="28" t="n">
        <f aca="false">IF($A224="","",COUNTIFS('🤸 Ingresos Pole'!$W$2:$W$1000,$A224,'🤸 Ingresos Pole'!$L$2:$L$1000,"Paquete"))</f>
        <v>0</v>
      </c>
      <c r="J224" s="28" t="n">
        <f aca="false">IF($A224="","",COUNTIF('🤸 Ingresos Pole'!$W$2:$W$1000,$A224))</f>
        <v>0</v>
      </c>
      <c r="K224" s="29" t="n">
        <f aca="false">IF($A224="","",SUMIF('🤸 Ingresos Pole'!$W$2:$W$1000,$A224,'🤸 Ingresos Pole'!$P$2:$P$1000))</f>
        <v>0</v>
      </c>
      <c r="L224" s="30" t="str">
        <f aca="false">IF(OR($A224="",J224=0),"",_xlfn.MINIFS('🤸 Ingresos Pole'!$B$2:$B$1000,'🤸 Ingresos Pole'!$W$2:$W$1000,$A224))</f>
        <v/>
      </c>
      <c r="M224" s="30" t="str">
        <f aca="false">IF(OR($A224="",J224=0),"",_xlfn.MAXIFS('🤸 Ingresos Pole'!$B$2:$B$1000,'🤸 Ingresos Pole'!$W$2:$W$1000,$A224))</f>
        <v/>
      </c>
      <c r="N224" s="28" t="str">
        <f aca="false">IF(OR($A224="",J224=0),"",IF(I224=0,"Sin paquete",IF(I224=1,"Nueva","Recurrente")))</f>
        <v/>
      </c>
      <c r="O224" s="25" t="str">
        <f aca="false">IF(AND(TRIM(B224)="",TRIM(C224)=""),"",TRIM(B224)&amp;"|"&amp;TRIM(C224))</f>
        <v/>
      </c>
      <c r="P224" s="25" t="str">
        <f aca="false">IF(O224="","",IF(TRIM(C224)="",TRIM(B224),IF(TRIM(B224)="",TRIM(C224),TRIM(B224)&amp;", "&amp;TRIM(C224))))</f>
        <v/>
      </c>
      <c r="Q224" s="25" t="str">
        <f aca="false">IF(O224="","",TRIM(TRIM(C224)&amp;" "&amp;TRIM(B224)))</f>
        <v/>
      </c>
      <c r="R224" s="25" t="str">
        <f aca="false">IF(P224="","",COUNTIFS($P$2:$P$1000,"&lt;"&amp;P224,$P$2:$P$1000,"?*")+COUNTIF($P$2:P224,P224))</f>
        <v/>
      </c>
    </row>
    <row r="225" customFormat="false" ht="14.25" hidden="false" customHeight="true" outlineLevel="0" collapsed="false">
      <c r="A225" s="25" t="s">
        <v>423</v>
      </c>
      <c r="B225" s="25"/>
      <c r="C225" s="25"/>
      <c r="D225" s="26"/>
      <c r="E225" s="25"/>
      <c r="F225" s="25"/>
      <c r="G225" s="27"/>
      <c r="H225" s="28" t="str">
        <f aca="true">IF(G225="","",DATEDIF(G225,TODAY(),"Y"))</f>
        <v/>
      </c>
      <c r="I225" s="28" t="n">
        <f aca="false">IF($A225="","",COUNTIFS('🤸 Ingresos Pole'!$W$2:$W$1000,$A225,'🤸 Ingresos Pole'!$L$2:$L$1000,"Paquete"))</f>
        <v>0</v>
      </c>
      <c r="J225" s="28" t="n">
        <f aca="false">IF($A225="","",COUNTIF('🤸 Ingresos Pole'!$W$2:$W$1000,$A225))</f>
        <v>0</v>
      </c>
      <c r="K225" s="29" t="n">
        <f aca="false">IF($A225="","",SUMIF('🤸 Ingresos Pole'!$W$2:$W$1000,$A225,'🤸 Ingresos Pole'!$P$2:$P$1000))</f>
        <v>0</v>
      </c>
      <c r="L225" s="30" t="str">
        <f aca="false">IF(OR($A225="",J225=0),"",_xlfn.MINIFS('🤸 Ingresos Pole'!$B$2:$B$1000,'🤸 Ingresos Pole'!$W$2:$W$1000,$A225))</f>
        <v/>
      </c>
      <c r="M225" s="30" t="str">
        <f aca="false">IF(OR($A225="",J225=0),"",_xlfn.MAXIFS('🤸 Ingresos Pole'!$B$2:$B$1000,'🤸 Ingresos Pole'!$W$2:$W$1000,$A225))</f>
        <v/>
      </c>
      <c r="N225" s="28" t="str">
        <f aca="false">IF(OR($A225="",J225=0),"",IF(I225=0,"Sin paquete",IF(I225=1,"Nueva","Recurrente")))</f>
        <v/>
      </c>
      <c r="O225" s="25" t="str">
        <f aca="false">IF(AND(TRIM(B225)="",TRIM(C225)=""),"",TRIM(B225)&amp;"|"&amp;TRIM(C225))</f>
        <v/>
      </c>
      <c r="P225" s="25" t="str">
        <f aca="false">IF(O225="","",IF(TRIM(C225)="",TRIM(B225),IF(TRIM(B225)="",TRIM(C225),TRIM(B225)&amp;", "&amp;TRIM(C225))))</f>
        <v/>
      </c>
      <c r="Q225" s="25" t="str">
        <f aca="false">IF(O225="","",TRIM(TRIM(C225)&amp;" "&amp;TRIM(B225)))</f>
        <v/>
      </c>
      <c r="R225" s="25" t="str">
        <f aca="false">IF(P225="","",COUNTIFS($P$2:$P$1000,"&lt;"&amp;P225,$P$2:$P$1000,"?*")+COUNTIF($P$2:P225,P225))</f>
        <v/>
      </c>
    </row>
    <row r="226" customFormat="false" ht="14.25" hidden="false" customHeight="true" outlineLevel="0" collapsed="false">
      <c r="A226" s="25" t="s">
        <v>424</v>
      </c>
      <c r="B226" s="25"/>
      <c r="C226" s="25"/>
      <c r="D226" s="26"/>
      <c r="E226" s="25"/>
      <c r="F226" s="25"/>
      <c r="G226" s="27"/>
      <c r="H226" s="28" t="str">
        <f aca="true">IF(G226="","",DATEDIF(G226,TODAY(),"Y"))</f>
        <v/>
      </c>
      <c r="I226" s="28" t="n">
        <f aca="false">IF($A226="","",COUNTIFS('🤸 Ingresos Pole'!$W$2:$W$1000,$A226,'🤸 Ingresos Pole'!$L$2:$L$1000,"Paquete"))</f>
        <v>0</v>
      </c>
      <c r="J226" s="28" t="n">
        <f aca="false">IF($A226="","",COUNTIF('🤸 Ingresos Pole'!$W$2:$W$1000,$A226))</f>
        <v>0</v>
      </c>
      <c r="K226" s="29" t="n">
        <f aca="false">IF($A226="","",SUMIF('🤸 Ingresos Pole'!$W$2:$W$1000,$A226,'🤸 Ingresos Pole'!$P$2:$P$1000))</f>
        <v>0</v>
      </c>
      <c r="L226" s="30" t="str">
        <f aca="false">IF(OR($A226="",J226=0),"",_xlfn.MINIFS('🤸 Ingresos Pole'!$B$2:$B$1000,'🤸 Ingresos Pole'!$W$2:$W$1000,$A226))</f>
        <v/>
      </c>
      <c r="M226" s="30" t="str">
        <f aca="false">IF(OR($A226="",J226=0),"",_xlfn.MAXIFS('🤸 Ingresos Pole'!$B$2:$B$1000,'🤸 Ingresos Pole'!$W$2:$W$1000,$A226))</f>
        <v/>
      </c>
      <c r="N226" s="28" t="str">
        <f aca="false">IF(OR($A226="",J226=0),"",IF(I226=0,"Sin paquete",IF(I226=1,"Nueva","Recurrente")))</f>
        <v/>
      </c>
      <c r="O226" s="25" t="str">
        <f aca="false">IF(AND(TRIM(B226)="",TRIM(C226)=""),"",TRIM(B226)&amp;"|"&amp;TRIM(C226))</f>
        <v/>
      </c>
      <c r="P226" s="25" t="str">
        <f aca="false">IF(O226="","",IF(TRIM(C226)="",TRIM(B226),IF(TRIM(B226)="",TRIM(C226),TRIM(B226)&amp;", "&amp;TRIM(C226))))</f>
        <v/>
      </c>
      <c r="Q226" s="25" t="str">
        <f aca="false">IF(O226="","",TRIM(TRIM(C226)&amp;" "&amp;TRIM(B226)))</f>
        <v/>
      </c>
      <c r="R226" s="25" t="str">
        <f aca="false">IF(P226="","",COUNTIFS($P$2:$P$1000,"&lt;"&amp;P226,$P$2:$P$1000,"?*")+COUNTIF($P$2:P226,P226))</f>
        <v/>
      </c>
    </row>
    <row r="227" customFormat="false" ht="14.25" hidden="false" customHeight="true" outlineLevel="0" collapsed="false">
      <c r="A227" s="25" t="s">
        <v>425</v>
      </c>
      <c r="B227" s="25"/>
      <c r="C227" s="25"/>
      <c r="D227" s="26"/>
      <c r="E227" s="25"/>
      <c r="F227" s="25"/>
      <c r="G227" s="27"/>
      <c r="H227" s="28" t="str">
        <f aca="true">IF(G227="","",DATEDIF(G227,TODAY(),"Y"))</f>
        <v/>
      </c>
      <c r="I227" s="28" t="n">
        <f aca="false">IF($A227="","",COUNTIFS('🤸 Ingresos Pole'!$W$2:$W$1000,$A227,'🤸 Ingresos Pole'!$L$2:$L$1000,"Paquete"))</f>
        <v>0</v>
      </c>
      <c r="J227" s="28" t="n">
        <f aca="false">IF($A227="","",COUNTIF('🤸 Ingresos Pole'!$W$2:$W$1000,$A227))</f>
        <v>0</v>
      </c>
      <c r="K227" s="29" t="n">
        <f aca="false">IF($A227="","",SUMIF('🤸 Ingresos Pole'!$W$2:$W$1000,$A227,'🤸 Ingresos Pole'!$P$2:$P$1000))</f>
        <v>0</v>
      </c>
      <c r="L227" s="30" t="str">
        <f aca="false">IF(OR($A227="",J227=0),"",_xlfn.MINIFS('🤸 Ingresos Pole'!$B$2:$B$1000,'🤸 Ingresos Pole'!$W$2:$W$1000,$A227))</f>
        <v/>
      </c>
      <c r="M227" s="30" t="str">
        <f aca="false">IF(OR($A227="",J227=0),"",_xlfn.MAXIFS('🤸 Ingresos Pole'!$B$2:$B$1000,'🤸 Ingresos Pole'!$W$2:$W$1000,$A227))</f>
        <v/>
      </c>
      <c r="N227" s="28" t="str">
        <f aca="false">IF(OR($A227="",J227=0),"",IF(I227=0,"Sin paquete",IF(I227=1,"Nueva","Recurrente")))</f>
        <v/>
      </c>
      <c r="O227" s="25" t="str">
        <f aca="false">IF(AND(TRIM(B227)="",TRIM(C227)=""),"",TRIM(B227)&amp;"|"&amp;TRIM(C227))</f>
        <v/>
      </c>
      <c r="P227" s="25" t="str">
        <f aca="false">IF(O227="","",IF(TRIM(C227)="",TRIM(B227),IF(TRIM(B227)="",TRIM(C227),TRIM(B227)&amp;", "&amp;TRIM(C227))))</f>
        <v/>
      </c>
      <c r="Q227" s="25" t="str">
        <f aca="false">IF(O227="","",TRIM(TRIM(C227)&amp;" "&amp;TRIM(B227)))</f>
        <v/>
      </c>
      <c r="R227" s="25" t="str">
        <f aca="false">IF(P227="","",COUNTIFS($P$2:$P$1000,"&lt;"&amp;P227,$P$2:$P$1000,"?*")+COUNTIF($P$2:P227,P227))</f>
        <v/>
      </c>
    </row>
    <row r="228" customFormat="false" ht="14.25" hidden="false" customHeight="true" outlineLevel="0" collapsed="false">
      <c r="A228" s="25" t="s">
        <v>426</v>
      </c>
      <c r="B228" s="25"/>
      <c r="C228" s="25"/>
      <c r="D228" s="26"/>
      <c r="E228" s="25"/>
      <c r="F228" s="25"/>
      <c r="G228" s="27"/>
      <c r="H228" s="28" t="str">
        <f aca="true">IF(G228="","",DATEDIF(G228,TODAY(),"Y"))</f>
        <v/>
      </c>
      <c r="I228" s="28" t="n">
        <f aca="false">IF($A228="","",COUNTIFS('🤸 Ingresos Pole'!$W$2:$W$1000,$A228,'🤸 Ingresos Pole'!$L$2:$L$1000,"Paquete"))</f>
        <v>0</v>
      </c>
      <c r="J228" s="28" t="n">
        <f aca="false">IF($A228="","",COUNTIF('🤸 Ingresos Pole'!$W$2:$W$1000,$A228))</f>
        <v>0</v>
      </c>
      <c r="K228" s="29" t="n">
        <f aca="false">IF($A228="","",SUMIF('🤸 Ingresos Pole'!$W$2:$W$1000,$A228,'🤸 Ingresos Pole'!$P$2:$P$1000))</f>
        <v>0</v>
      </c>
      <c r="L228" s="30" t="str">
        <f aca="false">IF(OR($A228="",J228=0),"",_xlfn.MINIFS('🤸 Ingresos Pole'!$B$2:$B$1000,'🤸 Ingresos Pole'!$W$2:$W$1000,$A228))</f>
        <v/>
      </c>
      <c r="M228" s="30" t="str">
        <f aca="false">IF(OR($A228="",J228=0),"",_xlfn.MAXIFS('🤸 Ingresos Pole'!$B$2:$B$1000,'🤸 Ingresos Pole'!$W$2:$W$1000,$A228))</f>
        <v/>
      </c>
      <c r="N228" s="28" t="str">
        <f aca="false">IF(OR($A228="",J228=0),"",IF(I228=0,"Sin paquete",IF(I228=1,"Nueva","Recurrente")))</f>
        <v/>
      </c>
      <c r="O228" s="25" t="str">
        <f aca="false">IF(AND(TRIM(B228)="",TRIM(C228)=""),"",TRIM(B228)&amp;"|"&amp;TRIM(C228))</f>
        <v/>
      </c>
      <c r="P228" s="25" t="str">
        <f aca="false">IF(O228="","",IF(TRIM(C228)="",TRIM(B228),IF(TRIM(B228)="",TRIM(C228),TRIM(B228)&amp;", "&amp;TRIM(C228))))</f>
        <v/>
      </c>
      <c r="Q228" s="25" t="str">
        <f aca="false">IF(O228="","",TRIM(TRIM(C228)&amp;" "&amp;TRIM(B228)))</f>
        <v/>
      </c>
      <c r="R228" s="25" t="str">
        <f aca="false">IF(P228="","",COUNTIFS($P$2:$P$1000,"&lt;"&amp;P228,$P$2:$P$1000,"?*")+COUNTIF($P$2:P228,P228))</f>
        <v/>
      </c>
    </row>
    <row r="229" customFormat="false" ht="14.25" hidden="false" customHeight="true" outlineLevel="0" collapsed="false">
      <c r="A229" s="25" t="s">
        <v>427</v>
      </c>
      <c r="B229" s="25"/>
      <c r="C229" s="25"/>
      <c r="D229" s="26"/>
      <c r="E229" s="25"/>
      <c r="F229" s="25"/>
      <c r="G229" s="27"/>
      <c r="H229" s="28" t="str">
        <f aca="true">IF(G229="","",DATEDIF(G229,TODAY(),"Y"))</f>
        <v/>
      </c>
      <c r="I229" s="28" t="n">
        <f aca="false">IF($A229="","",COUNTIFS('🤸 Ingresos Pole'!$W$2:$W$1000,$A229,'🤸 Ingresos Pole'!$L$2:$L$1000,"Paquete"))</f>
        <v>0</v>
      </c>
      <c r="J229" s="28" t="n">
        <f aca="false">IF($A229="","",COUNTIF('🤸 Ingresos Pole'!$W$2:$W$1000,$A229))</f>
        <v>0</v>
      </c>
      <c r="K229" s="29" t="n">
        <f aca="false">IF($A229="","",SUMIF('🤸 Ingresos Pole'!$W$2:$W$1000,$A229,'🤸 Ingresos Pole'!$P$2:$P$1000))</f>
        <v>0</v>
      </c>
      <c r="L229" s="30" t="str">
        <f aca="false">IF(OR($A229="",J229=0),"",_xlfn.MINIFS('🤸 Ingresos Pole'!$B$2:$B$1000,'🤸 Ingresos Pole'!$W$2:$W$1000,$A229))</f>
        <v/>
      </c>
      <c r="M229" s="30" t="str">
        <f aca="false">IF(OR($A229="",J229=0),"",_xlfn.MAXIFS('🤸 Ingresos Pole'!$B$2:$B$1000,'🤸 Ingresos Pole'!$W$2:$W$1000,$A229))</f>
        <v/>
      </c>
      <c r="N229" s="28" t="str">
        <f aca="false">IF(OR($A229="",J229=0),"",IF(I229=0,"Sin paquete",IF(I229=1,"Nueva","Recurrente")))</f>
        <v/>
      </c>
      <c r="O229" s="25" t="str">
        <f aca="false">IF(AND(TRIM(B229)="",TRIM(C229)=""),"",TRIM(B229)&amp;"|"&amp;TRIM(C229))</f>
        <v/>
      </c>
      <c r="P229" s="25" t="str">
        <f aca="false">IF(O229="","",IF(TRIM(C229)="",TRIM(B229),IF(TRIM(B229)="",TRIM(C229),TRIM(B229)&amp;", "&amp;TRIM(C229))))</f>
        <v/>
      </c>
      <c r="Q229" s="25" t="str">
        <f aca="false">IF(O229="","",TRIM(TRIM(C229)&amp;" "&amp;TRIM(B229)))</f>
        <v/>
      </c>
      <c r="R229" s="25" t="str">
        <f aca="false">IF(P229="","",COUNTIFS($P$2:$P$1000,"&lt;"&amp;P229,$P$2:$P$1000,"?*")+COUNTIF($P$2:P229,P229))</f>
        <v/>
      </c>
    </row>
    <row r="230" customFormat="false" ht="14.25" hidden="false" customHeight="true" outlineLevel="0" collapsed="false">
      <c r="A230" s="25" t="s">
        <v>428</v>
      </c>
      <c r="B230" s="25"/>
      <c r="C230" s="25"/>
      <c r="D230" s="26"/>
      <c r="E230" s="25"/>
      <c r="F230" s="25"/>
      <c r="G230" s="27"/>
      <c r="H230" s="28" t="str">
        <f aca="true">IF(G230="","",DATEDIF(G230,TODAY(),"Y"))</f>
        <v/>
      </c>
      <c r="I230" s="28" t="n">
        <f aca="false">IF($A230="","",COUNTIFS('🤸 Ingresos Pole'!$W$2:$W$1000,$A230,'🤸 Ingresos Pole'!$L$2:$L$1000,"Paquete"))</f>
        <v>0</v>
      </c>
      <c r="J230" s="28" t="n">
        <f aca="false">IF($A230="","",COUNTIF('🤸 Ingresos Pole'!$W$2:$W$1000,$A230))</f>
        <v>0</v>
      </c>
      <c r="K230" s="29" t="n">
        <f aca="false">IF($A230="","",SUMIF('🤸 Ingresos Pole'!$W$2:$W$1000,$A230,'🤸 Ingresos Pole'!$P$2:$P$1000))</f>
        <v>0</v>
      </c>
      <c r="L230" s="30" t="str">
        <f aca="false">IF(OR($A230="",J230=0),"",_xlfn.MINIFS('🤸 Ingresos Pole'!$B$2:$B$1000,'🤸 Ingresos Pole'!$W$2:$W$1000,$A230))</f>
        <v/>
      </c>
      <c r="M230" s="30" t="str">
        <f aca="false">IF(OR($A230="",J230=0),"",_xlfn.MAXIFS('🤸 Ingresos Pole'!$B$2:$B$1000,'🤸 Ingresos Pole'!$W$2:$W$1000,$A230))</f>
        <v/>
      </c>
      <c r="N230" s="28" t="str">
        <f aca="false">IF(OR($A230="",J230=0),"",IF(I230=0,"Sin paquete",IF(I230=1,"Nueva","Recurrente")))</f>
        <v/>
      </c>
      <c r="O230" s="25" t="str">
        <f aca="false">IF(AND(TRIM(B230)="",TRIM(C230)=""),"",TRIM(B230)&amp;"|"&amp;TRIM(C230))</f>
        <v/>
      </c>
      <c r="P230" s="25" t="str">
        <f aca="false">IF(O230="","",IF(TRIM(C230)="",TRIM(B230),IF(TRIM(B230)="",TRIM(C230),TRIM(B230)&amp;", "&amp;TRIM(C230))))</f>
        <v/>
      </c>
      <c r="Q230" s="25" t="str">
        <f aca="false">IF(O230="","",TRIM(TRIM(C230)&amp;" "&amp;TRIM(B230)))</f>
        <v/>
      </c>
      <c r="R230" s="25" t="str">
        <f aca="false">IF(P230="","",COUNTIFS($P$2:$P$1000,"&lt;"&amp;P230,$P$2:$P$1000,"?*")+COUNTIF($P$2:P230,P230))</f>
        <v/>
      </c>
    </row>
    <row r="231" customFormat="false" ht="14.25" hidden="false" customHeight="true" outlineLevel="0" collapsed="false">
      <c r="A231" s="25" t="s">
        <v>429</v>
      </c>
      <c r="B231" s="25"/>
      <c r="C231" s="25"/>
      <c r="D231" s="26"/>
      <c r="E231" s="25"/>
      <c r="F231" s="25"/>
      <c r="G231" s="27"/>
      <c r="H231" s="28" t="str">
        <f aca="true">IF(G231="","",DATEDIF(G231,TODAY(),"Y"))</f>
        <v/>
      </c>
      <c r="I231" s="28" t="n">
        <f aca="false">IF($A231="","",COUNTIFS('🤸 Ingresos Pole'!$W$2:$W$1000,$A231,'🤸 Ingresos Pole'!$L$2:$L$1000,"Paquete"))</f>
        <v>0</v>
      </c>
      <c r="J231" s="28" t="n">
        <f aca="false">IF($A231="","",COUNTIF('🤸 Ingresos Pole'!$W$2:$W$1000,$A231))</f>
        <v>0</v>
      </c>
      <c r="K231" s="29" t="n">
        <f aca="false">IF($A231="","",SUMIF('🤸 Ingresos Pole'!$W$2:$W$1000,$A231,'🤸 Ingresos Pole'!$P$2:$P$1000))</f>
        <v>0</v>
      </c>
      <c r="L231" s="30" t="str">
        <f aca="false">IF(OR($A231="",J231=0),"",_xlfn.MINIFS('🤸 Ingresos Pole'!$B$2:$B$1000,'🤸 Ingresos Pole'!$W$2:$W$1000,$A231))</f>
        <v/>
      </c>
      <c r="M231" s="30" t="str">
        <f aca="false">IF(OR($A231="",J231=0),"",_xlfn.MAXIFS('🤸 Ingresos Pole'!$B$2:$B$1000,'🤸 Ingresos Pole'!$W$2:$W$1000,$A231))</f>
        <v/>
      </c>
      <c r="N231" s="28" t="str">
        <f aca="false">IF(OR($A231="",J231=0),"",IF(I231=0,"Sin paquete",IF(I231=1,"Nueva","Recurrente")))</f>
        <v/>
      </c>
      <c r="O231" s="25" t="str">
        <f aca="false">IF(AND(TRIM(B231)="",TRIM(C231)=""),"",TRIM(B231)&amp;"|"&amp;TRIM(C231))</f>
        <v/>
      </c>
      <c r="P231" s="25" t="str">
        <f aca="false">IF(O231="","",IF(TRIM(C231)="",TRIM(B231),IF(TRIM(B231)="",TRIM(C231),TRIM(B231)&amp;", "&amp;TRIM(C231))))</f>
        <v/>
      </c>
      <c r="Q231" s="25" t="str">
        <f aca="false">IF(O231="","",TRIM(TRIM(C231)&amp;" "&amp;TRIM(B231)))</f>
        <v/>
      </c>
      <c r="R231" s="25" t="str">
        <f aca="false">IF(P231="","",COUNTIFS($P$2:$P$1000,"&lt;"&amp;P231,$P$2:$P$1000,"?*")+COUNTIF($P$2:P231,P231))</f>
        <v/>
      </c>
    </row>
    <row r="232" customFormat="false" ht="14.25" hidden="false" customHeight="true" outlineLevel="0" collapsed="false">
      <c r="A232" s="25" t="s">
        <v>430</v>
      </c>
      <c r="B232" s="25"/>
      <c r="C232" s="25"/>
      <c r="D232" s="26"/>
      <c r="E232" s="25"/>
      <c r="F232" s="25"/>
      <c r="G232" s="27"/>
      <c r="H232" s="28" t="str">
        <f aca="true">IF(G232="","",DATEDIF(G232,TODAY(),"Y"))</f>
        <v/>
      </c>
      <c r="I232" s="28" t="n">
        <f aca="false">IF($A232="","",COUNTIFS('🤸 Ingresos Pole'!$W$2:$W$1000,$A232,'🤸 Ingresos Pole'!$L$2:$L$1000,"Paquete"))</f>
        <v>0</v>
      </c>
      <c r="J232" s="28" t="n">
        <f aca="false">IF($A232="","",COUNTIF('🤸 Ingresos Pole'!$W$2:$W$1000,$A232))</f>
        <v>0</v>
      </c>
      <c r="K232" s="29" t="n">
        <f aca="false">IF($A232="","",SUMIF('🤸 Ingresos Pole'!$W$2:$W$1000,$A232,'🤸 Ingresos Pole'!$P$2:$P$1000))</f>
        <v>0</v>
      </c>
      <c r="L232" s="30" t="str">
        <f aca="false">IF(OR($A232="",J232=0),"",_xlfn.MINIFS('🤸 Ingresos Pole'!$B$2:$B$1000,'🤸 Ingresos Pole'!$W$2:$W$1000,$A232))</f>
        <v/>
      </c>
      <c r="M232" s="30" t="str">
        <f aca="false">IF(OR($A232="",J232=0),"",_xlfn.MAXIFS('🤸 Ingresos Pole'!$B$2:$B$1000,'🤸 Ingresos Pole'!$W$2:$W$1000,$A232))</f>
        <v/>
      </c>
      <c r="N232" s="28" t="str">
        <f aca="false">IF(OR($A232="",J232=0),"",IF(I232=0,"Sin paquete",IF(I232=1,"Nueva","Recurrente")))</f>
        <v/>
      </c>
      <c r="O232" s="25" t="str">
        <f aca="false">IF(AND(TRIM(B232)="",TRIM(C232)=""),"",TRIM(B232)&amp;"|"&amp;TRIM(C232))</f>
        <v/>
      </c>
      <c r="P232" s="25" t="str">
        <f aca="false">IF(O232="","",IF(TRIM(C232)="",TRIM(B232),IF(TRIM(B232)="",TRIM(C232),TRIM(B232)&amp;", "&amp;TRIM(C232))))</f>
        <v/>
      </c>
      <c r="Q232" s="25" t="str">
        <f aca="false">IF(O232="","",TRIM(TRIM(C232)&amp;" "&amp;TRIM(B232)))</f>
        <v/>
      </c>
      <c r="R232" s="25" t="str">
        <f aca="false">IF(P232="","",COUNTIFS($P$2:$P$1000,"&lt;"&amp;P232,$P$2:$P$1000,"?*")+COUNTIF($P$2:P232,P232))</f>
        <v/>
      </c>
    </row>
    <row r="233" customFormat="false" ht="14.25" hidden="false" customHeight="true" outlineLevel="0" collapsed="false">
      <c r="A233" s="25" t="s">
        <v>431</v>
      </c>
      <c r="B233" s="25"/>
      <c r="C233" s="25"/>
      <c r="D233" s="26"/>
      <c r="E233" s="25"/>
      <c r="F233" s="25"/>
      <c r="G233" s="27"/>
      <c r="H233" s="28" t="str">
        <f aca="true">IF(G233="","",DATEDIF(G233,TODAY(),"Y"))</f>
        <v/>
      </c>
      <c r="I233" s="28" t="n">
        <f aca="false">IF($A233="","",COUNTIFS('🤸 Ingresos Pole'!$W$2:$W$1000,$A233,'🤸 Ingresos Pole'!$L$2:$L$1000,"Paquete"))</f>
        <v>0</v>
      </c>
      <c r="J233" s="28" t="n">
        <f aca="false">IF($A233="","",COUNTIF('🤸 Ingresos Pole'!$W$2:$W$1000,$A233))</f>
        <v>0</v>
      </c>
      <c r="K233" s="29" t="n">
        <f aca="false">IF($A233="","",SUMIF('🤸 Ingresos Pole'!$W$2:$W$1000,$A233,'🤸 Ingresos Pole'!$P$2:$P$1000))</f>
        <v>0</v>
      </c>
      <c r="L233" s="30" t="str">
        <f aca="false">IF(OR($A233="",J233=0),"",_xlfn.MINIFS('🤸 Ingresos Pole'!$B$2:$B$1000,'🤸 Ingresos Pole'!$W$2:$W$1000,$A233))</f>
        <v/>
      </c>
      <c r="M233" s="30" t="str">
        <f aca="false">IF(OR($A233="",J233=0),"",_xlfn.MAXIFS('🤸 Ingresos Pole'!$B$2:$B$1000,'🤸 Ingresos Pole'!$W$2:$W$1000,$A233))</f>
        <v/>
      </c>
      <c r="N233" s="28" t="str">
        <f aca="false">IF(OR($A233="",J233=0),"",IF(I233=0,"Sin paquete",IF(I233=1,"Nueva","Recurrente")))</f>
        <v/>
      </c>
      <c r="O233" s="25" t="str">
        <f aca="false">IF(AND(TRIM(B233)="",TRIM(C233)=""),"",TRIM(B233)&amp;"|"&amp;TRIM(C233))</f>
        <v/>
      </c>
      <c r="P233" s="25" t="str">
        <f aca="false">IF(O233="","",IF(TRIM(C233)="",TRIM(B233),IF(TRIM(B233)="",TRIM(C233),TRIM(B233)&amp;", "&amp;TRIM(C233))))</f>
        <v/>
      </c>
      <c r="Q233" s="25" t="str">
        <f aca="false">IF(O233="","",TRIM(TRIM(C233)&amp;" "&amp;TRIM(B233)))</f>
        <v/>
      </c>
      <c r="R233" s="25" t="str">
        <f aca="false">IF(P233="","",COUNTIFS($P$2:$P$1000,"&lt;"&amp;P233,$P$2:$P$1000,"?*")+COUNTIF($P$2:P233,P233))</f>
        <v/>
      </c>
    </row>
    <row r="234" customFormat="false" ht="14.25" hidden="false" customHeight="true" outlineLevel="0" collapsed="false">
      <c r="A234" s="25" t="s">
        <v>432</v>
      </c>
      <c r="B234" s="25"/>
      <c r="C234" s="25"/>
      <c r="D234" s="26"/>
      <c r="E234" s="25"/>
      <c r="F234" s="25"/>
      <c r="G234" s="27"/>
      <c r="H234" s="28" t="str">
        <f aca="true">IF(G234="","",DATEDIF(G234,TODAY(),"Y"))</f>
        <v/>
      </c>
      <c r="I234" s="28" t="n">
        <f aca="false">IF($A234="","",COUNTIFS('🤸 Ingresos Pole'!$W$2:$W$1000,$A234,'🤸 Ingresos Pole'!$L$2:$L$1000,"Paquete"))</f>
        <v>0</v>
      </c>
      <c r="J234" s="28" t="n">
        <f aca="false">IF($A234="","",COUNTIF('🤸 Ingresos Pole'!$W$2:$W$1000,$A234))</f>
        <v>0</v>
      </c>
      <c r="K234" s="29" t="n">
        <f aca="false">IF($A234="","",SUMIF('🤸 Ingresos Pole'!$W$2:$W$1000,$A234,'🤸 Ingresos Pole'!$P$2:$P$1000))</f>
        <v>0</v>
      </c>
      <c r="L234" s="30" t="str">
        <f aca="false">IF(OR($A234="",J234=0),"",_xlfn.MINIFS('🤸 Ingresos Pole'!$B$2:$B$1000,'🤸 Ingresos Pole'!$W$2:$W$1000,$A234))</f>
        <v/>
      </c>
      <c r="M234" s="30" t="str">
        <f aca="false">IF(OR($A234="",J234=0),"",_xlfn.MAXIFS('🤸 Ingresos Pole'!$B$2:$B$1000,'🤸 Ingresos Pole'!$W$2:$W$1000,$A234))</f>
        <v/>
      </c>
      <c r="N234" s="28" t="str">
        <f aca="false">IF(OR($A234="",J234=0),"",IF(I234=0,"Sin paquete",IF(I234=1,"Nueva","Recurrente")))</f>
        <v/>
      </c>
      <c r="O234" s="25" t="str">
        <f aca="false">IF(AND(TRIM(B234)="",TRIM(C234)=""),"",TRIM(B234)&amp;"|"&amp;TRIM(C234))</f>
        <v/>
      </c>
      <c r="P234" s="25" t="str">
        <f aca="false">IF(O234="","",IF(TRIM(C234)="",TRIM(B234),IF(TRIM(B234)="",TRIM(C234),TRIM(B234)&amp;", "&amp;TRIM(C234))))</f>
        <v/>
      </c>
      <c r="Q234" s="25" t="str">
        <f aca="false">IF(O234="","",TRIM(TRIM(C234)&amp;" "&amp;TRIM(B234)))</f>
        <v/>
      </c>
      <c r="R234" s="25" t="str">
        <f aca="false">IF(P234="","",COUNTIFS($P$2:$P$1000,"&lt;"&amp;P234,$P$2:$P$1000,"?*")+COUNTIF($P$2:P234,P234))</f>
        <v/>
      </c>
    </row>
    <row r="235" customFormat="false" ht="14.25" hidden="false" customHeight="true" outlineLevel="0" collapsed="false">
      <c r="A235" s="25" t="s">
        <v>433</v>
      </c>
      <c r="B235" s="25"/>
      <c r="C235" s="25"/>
      <c r="D235" s="26"/>
      <c r="E235" s="25"/>
      <c r="F235" s="25"/>
      <c r="G235" s="27"/>
      <c r="H235" s="28" t="str">
        <f aca="true">IF(G235="","",DATEDIF(G235,TODAY(),"Y"))</f>
        <v/>
      </c>
      <c r="I235" s="28" t="n">
        <f aca="false">IF($A235="","",COUNTIFS('🤸 Ingresos Pole'!$W$2:$W$1000,$A235,'🤸 Ingresos Pole'!$L$2:$L$1000,"Paquete"))</f>
        <v>0</v>
      </c>
      <c r="J235" s="28" t="n">
        <f aca="false">IF($A235="","",COUNTIF('🤸 Ingresos Pole'!$W$2:$W$1000,$A235))</f>
        <v>0</v>
      </c>
      <c r="K235" s="29" t="n">
        <f aca="false">IF($A235="","",SUMIF('🤸 Ingresos Pole'!$W$2:$W$1000,$A235,'🤸 Ingresos Pole'!$P$2:$P$1000))</f>
        <v>0</v>
      </c>
      <c r="L235" s="30" t="str">
        <f aca="false">IF(OR($A235="",J235=0),"",_xlfn.MINIFS('🤸 Ingresos Pole'!$B$2:$B$1000,'🤸 Ingresos Pole'!$W$2:$W$1000,$A235))</f>
        <v/>
      </c>
      <c r="M235" s="30" t="str">
        <f aca="false">IF(OR($A235="",J235=0),"",_xlfn.MAXIFS('🤸 Ingresos Pole'!$B$2:$B$1000,'🤸 Ingresos Pole'!$W$2:$W$1000,$A235))</f>
        <v/>
      </c>
      <c r="N235" s="28" t="str">
        <f aca="false">IF(OR($A235="",J235=0),"",IF(I235=0,"Sin paquete",IF(I235=1,"Nueva","Recurrente")))</f>
        <v/>
      </c>
      <c r="O235" s="25" t="str">
        <f aca="false">IF(AND(TRIM(B235)="",TRIM(C235)=""),"",TRIM(B235)&amp;"|"&amp;TRIM(C235))</f>
        <v/>
      </c>
      <c r="P235" s="25" t="str">
        <f aca="false">IF(O235="","",IF(TRIM(C235)="",TRIM(B235),IF(TRIM(B235)="",TRIM(C235),TRIM(B235)&amp;", "&amp;TRIM(C235))))</f>
        <v/>
      </c>
      <c r="Q235" s="25" t="str">
        <f aca="false">IF(O235="","",TRIM(TRIM(C235)&amp;" "&amp;TRIM(B235)))</f>
        <v/>
      </c>
      <c r="R235" s="25" t="str">
        <f aca="false">IF(P235="","",COUNTIFS($P$2:$P$1000,"&lt;"&amp;P235,$P$2:$P$1000,"?*")+COUNTIF($P$2:P235,P235))</f>
        <v/>
      </c>
    </row>
    <row r="236" customFormat="false" ht="14.25" hidden="false" customHeight="true" outlineLevel="0" collapsed="false">
      <c r="A236" s="25" t="s">
        <v>434</v>
      </c>
      <c r="B236" s="25"/>
      <c r="C236" s="25"/>
      <c r="D236" s="26"/>
      <c r="E236" s="25"/>
      <c r="F236" s="25"/>
      <c r="G236" s="27"/>
      <c r="H236" s="28" t="str">
        <f aca="true">IF(G236="","",DATEDIF(G236,TODAY(),"Y"))</f>
        <v/>
      </c>
      <c r="I236" s="28" t="n">
        <f aca="false">IF($A236="","",COUNTIFS('🤸 Ingresos Pole'!$W$2:$W$1000,$A236,'🤸 Ingresos Pole'!$L$2:$L$1000,"Paquete"))</f>
        <v>0</v>
      </c>
      <c r="J236" s="28" t="n">
        <f aca="false">IF($A236="","",COUNTIF('🤸 Ingresos Pole'!$W$2:$W$1000,$A236))</f>
        <v>0</v>
      </c>
      <c r="K236" s="29" t="n">
        <f aca="false">IF($A236="","",SUMIF('🤸 Ingresos Pole'!$W$2:$W$1000,$A236,'🤸 Ingresos Pole'!$P$2:$P$1000))</f>
        <v>0</v>
      </c>
      <c r="L236" s="30" t="str">
        <f aca="false">IF(OR($A236="",J236=0),"",_xlfn.MINIFS('🤸 Ingresos Pole'!$B$2:$B$1000,'🤸 Ingresos Pole'!$W$2:$W$1000,$A236))</f>
        <v/>
      </c>
      <c r="M236" s="30" t="str">
        <f aca="false">IF(OR($A236="",J236=0),"",_xlfn.MAXIFS('🤸 Ingresos Pole'!$B$2:$B$1000,'🤸 Ingresos Pole'!$W$2:$W$1000,$A236))</f>
        <v/>
      </c>
      <c r="N236" s="28" t="str">
        <f aca="false">IF(OR($A236="",J236=0),"",IF(I236=0,"Sin paquete",IF(I236=1,"Nueva","Recurrente")))</f>
        <v/>
      </c>
      <c r="O236" s="25" t="str">
        <f aca="false">IF(AND(TRIM(B236)="",TRIM(C236)=""),"",TRIM(B236)&amp;"|"&amp;TRIM(C236))</f>
        <v/>
      </c>
      <c r="P236" s="25" t="str">
        <f aca="false">IF(O236="","",IF(TRIM(C236)="",TRIM(B236),IF(TRIM(B236)="",TRIM(C236),TRIM(B236)&amp;", "&amp;TRIM(C236))))</f>
        <v/>
      </c>
      <c r="Q236" s="25" t="str">
        <f aca="false">IF(O236="","",TRIM(TRIM(C236)&amp;" "&amp;TRIM(B236)))</f>
        <v/>
      </c>
      <c r="R236" s="25" t="str">
        <f aca="false">IF(P236="","",COUNTIFS($P$2:$P$1000,"&lt;"&amp;P236,$P$2:$P$1000,"?*")+COUNTIF($P$2:P236,P236))</f>
        <v/>
      </c>
    </row>
    <row r="237" customFormat="false" ht="14.25" hidden="false" customHeight="true" outlineLevel="0" collapsed="false">
      <c r="A237" s="25" t="s">
        <v>435</v>
      </c>
      <c r="B237" s="25"/>
      <c r="C237" s="25"/>
      <c r="D237" s="26"/>
      <c r="E237" s="25"/>
      <c r="F237" s="25"/>
      <c r="G237" s="27"/>
      <c r="H237" s="28" t="str">
        <f aca="true">IF(G237="","",DATEDIF(G237,TODAY(),"Y"))</f>
        <v/>
      </c>
      <c r="I237" s="28" t="n">
        <f aca="false">IF($A237="","",COUNTIFS('🤸 Ingresos Pole'!$W$2:$W$1000,$A237,'🤸 Ingresos Pole'!$L$2:$L$1000,"Paquete"))</f>
        <v>0</v>
      </c>
      <c r="J237" s="28" t="n">
        <f aca="false">IF($A237="","",COUNTIF('🤸 Ingresos Pole'!$W$2:$W$1000,$A237))</f>
        <v>0</v>
      </c>
      <c r="K237" s="29" t="n">
        <f aca="false">IF($A237="","",SUMIF('🤸 Ingresos Pole'!$W$2:$W$1000,$A237,'🤸 Ingresos Pole'!$P$2:$P$1000))</f>
        <v>0</v>
      </c>
      <c r="L237" s="30" t="str">
        <f aca="false">IF(OR($A237="",J237=0),"",_xlfn.MINIFS('🤸 Ingresos Pole'!$B$2:$B$1000,'🤸 Ingresos Pole'!$W$2:$W$1000,$A237))</f>
        <v/>
      </c>
      <c r="M237" s="30" t="str">
        <f aca="false">IF(OR($A237="",J237=0),"",_xlfn.MAXIFS('🤸 Ingresos Pole'!$B$2:$B$1000,'🤸 Ingresos Pole'!$W$2:$W$1000,$A237))</f>
        <v/>
      </c>
      <c r="N237" s="28" t="str">
        <f aca="false">IF(OR($A237="",J237=0),"",IF(I237=0,"Sin paquete",IF(I237=1,"Nueva","Recurrente")))</f>
        <v/>
      </c>
      <c r="O237" s="25" t="str">
        <f aca="false">IF(AND(TRIM(B237)="",TRIM(C237)=""),"",TRIM(B237)&amp;"|"&amp;TRIM(C237))</f>
        <v/>
      </c>
      <c r="P237" s="25" t="str">
        <f aca="false">IF(O237="","",IF(TRIM(C237)="",TRIM(B237),IF(TRIM(B237)="",TRIM(C237),TRIM(B237)&amp;", "&amp;TRIM(C237))))</f>
        <v/>
      </c>
      <c r="Q237" s="25" t="str">
        <f aca="false">IF(O237="","",TRIM(TRIM(C237)&amp;" "&amp;TRIM(B237)))</f>
        <v/>
      </c>
      <c r="R237" s="25" t="str">
        <f aca="false">IF(P237="","",COUNTIFS($P$2:$P$1000,"&lt;"&amp;P237,$P$2:$P$1000,"?*")+COUNTIF($P$2:P237,P237))</f>
        <v/>
      </c>
    </row>
    <row r="238" customFormat="false" ht="14.25" hidden="false" customHeight="true" outlineLevel="0" collapsed="false">
      <c r="A238" s="25" t="s">
        <v>436</v>
      </c>
      <c r="B238" s="25"/>
      <c r="C238" s="25"/>
      <c r="D238" s="26"/>
      <c r="E238" s="25"/>
      <c r="F238" s="25"/>
      <c r="G238" s="27"/>
      <c r="H238" s="28" t="str">
        <f aca="true">IF(G238="","",DATEDIF(G238,TODAY(),"Y"))</f>
        <v/>
      </c>
      <c r="I238" s="28" t="n">
        <f aca="false">IF($A238="","",COUNTIFS('🤸 Ingresos Pole'!$W$2:$W$1000,$A238,'🤸 Ingresos Pole'!$L$2:$L$1000,"Paquete"))</f>
        <v>0</v>
      </c>
      <c r="J238" s="28" t="n">
        <f aca="false">IF($A238="","",COUNTIF('🤸 Ingresos Pole'!$W$2:$W$1000,$A238))</f>
        <v>0</v>
      </c>
      <c r="K238" s="29" t="n">
        <f aca="false">IF($A238="","",SUMIF('🤸 Ingresos Pole'!$W$2:$W$1000,$A238,'🤸 Ingresos Pole'!$P$2:$P$1000))</f>
        <v>0</v>
      </c>
      <c r="L238" s="30" t="str">
        <f aca="false">IF(OR($A238="",J238=0),"",_xlfn.MINIFS('🤸 Ingresos Pole'!$B$2:$B$1000,'🤸 Ingresos Pole'!$W$2:$W$1000,$A238))</f>
        <v/>
      </c>
      <c r="M238" s="30" t="str">
        <f aca="false">IF(OR($A238="",J238=0),"",_xlfn.MAXIFS('🤸 Ingresos Pole'!$B$2:$B$1000,'🤸 Ingresos Pole'!$W$2:$W$1000,$A238))</f>
        <v/>
      </c>
      <c r="N238" s="28" t="str">
        <f aca="false">IF(OR($A238="",J238=0),"",IF(I238=0,"Sin paquete",IF(I238=1,"Nueva","Recurrente")))</f>
        <v/>
      </c>
      <c r="O238" s="25" t="str">
        <f aca="false">IF(AND(TRIM(B238)="",TRIM(C238)=""),"",TRIM(B238)&amp;"|"&amp;TRIM(C238))</f>
        <v/>
      </c>
      <c r="P238" s="25" t="str">
        <f aca="false">IF(O238="","",IF(TRIM(C238)="",TRIM(B238),IF(TRIM(B238)="",TRIM(C238),TRIM(B238)&amp;", "&amp;TRIM(C238))))</f>
        <v/>
      </c>
      <c r="Q238" s="25" t="str">
        <f aca="false">IF(O238="","",TRIM(TRIM(C238)&amp;" "&amp;TRIM(B238)))</f>
        <v/>
      </c>
      <c r="R238" s="25" t="str">
        <f aca="false">IF(P238="","",COUNTIFS($P$2:$P$1000,"&lt;"&amp;P238,$P$2:$P$1000,"?*")+COUNTIF($P$2:P238,P238))</f>
        <v/>
      </c>
    </row>
    <row r="239" customFormat="false" ht="14.25" hidden="false" customHeight="true" outlineLevel="0" collapsed="false">
      <c r="A239" s="25" t="s">
        <v>437</v>
      </c>
      <c r="B239" s="25"/>
      <c r="C239" s="25"/>
      <c r="D239" s="26"/>
      <c r="E239" s="25"/>
      <c r="F239" s="25"/>
      <c r="G239" s="27"/>
      <c r="H239" s="28" t="str">
        <f aca="true">IF(G239="","",DATEDIF(G239,TODAY(),"Y"))</f>
        <v/>
      </c>
      <c r="I239" s="28" t="n">
        <f aca="false">IF($A239="","",COUNTIFS('🤸 Ingresos Pole'!$W$2:$W$1000,$A239,'🤸 Ingresos Pole'!$L$2:$L$1000,"Paquete"))</f>
        <v>0</v>
      </c>
      <c r="J239" s="28" t="n">
        <f aca="false">IF($A239="","",COUNTIF('🤸 Ingresos Pole'!$W$2:$W$1000,$A239))</f>
        <v>0</v>
      </c>
      <c r="K239" s="29" t="n">
        <f aca="false">IF($A239="","",SUMIF('🤸 Ingresos Pole'!$W$2:$W$1000,$A239,'🤸 Ingresos Pole'!$P$2:$P$1000))</f>
        <v>0</v>
      </c>
      <c r="L239" s="30" t="str">
        <f aca="false">IF(OR($A239="",J239=0),"",_xlfn.MINIFS('🤸 Ingresos Pole'!$B$2:$B$1000,'🤸 Ingresos Pole'!$W$2:$W$1000,$A239))</f>
        <v/>
      </c>
      <c r="M239" s="30" t="str">
        <f aca="false">IF(OR($A239="",J239=0),"",_xlfn.MAXIFS('🤸 Ingresos Pole'!$B$2:$B$1000,'🤸 Ingresos Pole'!$W$2:$W$1000,$A239))</f>
        <v/>
      </c>
      <c r="N239" s="28" t="str">
        <f aca="false">IF(OR($A239="",J239=0),"",IF(I239=0,"Sin paquete",IF(I239=1,"Nueva","Recurrente")))</f>
        <v/>
      </c>
      <c r="O239" s="25" t="str">
        <f aca="false">IF(AND(TRIM(B239)="",TRIM(C239)=""),"",TRIM(B239)&amp;"|"&amp;TRIM(C239))</f>
        <v/>
      </c>
      <c r="P239" s="25" t="str">
        <f aca="false">IF(O239="","",IF(TRIM(C239)="",TRIM(B239),IF(TRIM(B239)="",TRIM(C239),TRIM(B239)&amp;", "&amp;TRIM(C239))))</f>
        <v/>
      </c>
      <c r="Q239" s="25" t="str">
        <f aca="false">IF(O239="","",TRIM(TRIM(C239)&amp;" "&amp;TRIM(B239)))</f>
        <v/>
      </c>
      <c r="R239" s="25" t="str">
        <f aca="false">IF(P239="","",COUNTIFS($P$2:$P$1000,"&lt;"&amp;P239,$P$2:$P$1000,"?*")+COUNTIF($P$2:P239,P239))</f>
        <v/>
      </c>
    </row>
    <row r="240" customFormat="false" ht="14.25" hidden="false" customHeight="true" outlineLevel="0" collapsed="false">
      <c r="A240" s="25" t="s">
        <v>438</v>
      </c>
      <c r="B240" s="25"/>
      <c r="C240" s="25"/>
      <c r="D240" s="26"/>
      <c r="E240" s="25"/>
      <c r="F240" s="25"/>
      <c r="G240" s="27"/>
      <c r="H240" s="28" t="str">
        <f aca="true">IF(G240="","",DATEDIF(G240,TODAY(),"Y"))</f>
        <v/>
      </c>
      <c r="I240" s="28" t="n">
        <f aca="false">IF($A240="","",COUNTIFS('🤸 Ingresos Pole'!$W$2:$W$1000,$A240,'🤸 Ingresos Pole'!$L$2:$L$1000,"Paquete"))</f>
        <v>0</v>
      </c>
      <c r="J240" s="28" t="n">
        <f aca="false">IF($A240="","",COUNTIF('🤸 Ingresos Pole'!$W$2:$W$1000,$A240))</f>
        <v>0</v>
      </c>
      <c r="K240" s="29" t="n">
        <f aca="false">IF($A240="","",SUMIF('🤸 Ingresos Pole'!$W$2:$W$1000,$A240,'🤸 Ingresos Pole'!$P$2:$P$1000))</f>
        <v>0</v>
      </c>
      <c r="L240" s="30" t="str">
        <f aca="false">IF(OR($A240="",J240=0),"",_xlfn.MINIFS('🤸 Ingresos Pole'!$B$2:$B$1000,'🤸 Ingresos Pole'!$W$2:$W$1000,$A240))</f>
        <v/>
      </c>
      <c r="M240" s="30" t="str">
        <f aca="false">IF(OR($A240="",J240=0),"",_xlfn.MAXIFS('🤸 Ingresos Pole'!$B$2:$B$1000,'🤸 Ingresos Pole'!$W$2:$W$1000,$A240))</f>
        <v/>
      </c>
      <c r="N240" s="28" t="str">
        <f aca="false">IF(OR($A240="",J240=0),"",IF(I240=0,"Sin paquete",IF(I240=1,"Nueva","Recurrente")))</f>
        <v/>
      </c>
      <c r="O240" s="25" t="str">
        <f aca="false">IF(AND(TRIM(B240)="",TRIM(C240)=""),"",TRIM(B240)&amp;"|"&amp;TRIM(C240))</f>
        <v/>
      </c>
      <c r="P240" s="25" t="str">
        <f aca="false">IF(O240="","",IF(TRIM(C240)="",TRIM(B240),IF(TRIM(B240)="",TRIM(C240),TRIM(B240)&amp;", "&amp;TRIM(C240))))</f>
        <v/>
      </c>
      <c r="Q240" s="25" t="str">
        <f aca="false">IF(O240="","",TRIM(TRIM(C240)&amp;" "&amp;TRIM(B240)))</f>
        <v/>
      </c>
      <c r="R240" s="25" t="str">
        <f aca="false">IF(P240="","",COUNTIFS($P$2:$P$1000,"&lt;"&amp;P240,$P$2:$P$1000,"?*")+COUNTIF($P$2:P240,P240))</f>
        <v/>
      </c>
    </row>
    <row r="241" customFormat="false" ht="14.25" hidden="false" customHeight="true" outlineLevel="0" collapsed="false">
      <c r="A241" s="25" t="s">
        <v>439</v>
      </c>
      <c r="B241" s="25"/>
      <c r="C241" s="25"/>
      <c r="D241" s="26"/>
      <c r="E241" s="25"/>
      <c r="F241" s="25"/>
      <c r="G241" s="27"/>
      <c r="H241" s="28" t="str">
        <f aca="true">IF(G241="","",DATEDIF(G241,TODAY(),"Y"))</f>
        <v/>
      </c>
      <c r="I241" s="28" t="n">
        <f aca="false">IF($A241="","",COUNTIFS('🤸 Ingresos Pole'!$W$2:$W$1000,$A241,'🤸 Ingresos Pole'!$L$2:$L$1000,"Paquete"))</f>
        <v>0</v>
      </c>
      <c r="J241" s="28" t="n">
        <f aca="false">IF($A241="","",COUNTIF('🤸 Ingresos Pole'!$W$2:$W$1000,$A241))</f>
        <v>0</v>
      </c>
      <c r="K241" s="29" t="n">
        <f aca="false">IF($A241="","",SUMIF('🤸 Ingresos Pole'!$W$2:$W$1000,$A241,'🤸 Ingresos Pole'!$P$2:$P$1000))</f>
        <v>0</v>
      </c>
      <c r="L241" s="30" t="str">
        <f aca="false">IF(OR($A241="",J241=0),"",_xlfn.MINIFS('🤸 Ingresos Pole'!$B$2:$B$1000,'🤸 Ingresos Pole'!$W$2:$W$1000,$A241))</f>
        <v/>
      </c>
      <c r="M241" s="30" t="str">
        <f aca="false">IF(OR($A241="",J241=0),"",_xlfn.MAXIFS('🤸 Ingresos Pole'!$B$2:$B$1000,'🤸 Ingresos Pole'!$W$2:$W$1000,$A241))</f>
        <v/>
      </c>
      <c r="N241" s="28" t="str">
        <f aca="false">IF(OR($A241="",J241=0),"",IF(I241=0,"Sin paquete",IF(I241=1,"Nueva","Recurrente")))</f>
        <v/>
      </c>
      <c r="O241" s="25" t="str">
        <f aca="false">IF(AND(TRIM(B241)="",TRIM(C241)=""),"",TRIM(B241)&amp;"|"&amp;TRIM(C241))</f>
        <v/>
      </c>
      <c r="P241" s="25" t="str">
        <f aca="false">IF(O241="","",IF(TRIM(C241)="",TRIM(B241),IF(TRIM(B241)="",TRIM(C241),TRIM(B241)&amp;", "&amp;TRIM(C241))))</f>
        <v/>
      </c>
      <c r="Q241" s="25" t="str">
        <f aca="false">IF(O241="","",TRIM(TRIM(C241)&amp;" "&amp;TRIM(B241)))</f>
        <v/>
      </c>
      <c r="R241" s="25" t="str">
        <f aca="false">IF(P241="","",COUNTIFS($P$2:$P$1000,"&lt;"&amp;P241,$P$2:$P$1000,"?*")+COUNTIF($P$2:P241,P241))</f>
        <v/>
      </c>
    </row>
    <row r="242" customFormat="false" ht="14.25" hidden="false" customHeight="true" outlineLevel="0" collapsed="false">
      <c r="A242" s="25" t="s">
        <v>440</v>
      </c>
      <c r="B242" s="25"/>
      <c r="C242" s="25"/>
      <c r="D242" s="26"/>
      <c r="E242" s="25"/>
      <c r="F242" s="25"/>
      <c r="G242" s="27"/>
      <c r="H242" s="28" t="str">
        <f aca="true">IF(G242="","",DATEDIF(G242,TODAY(),"Y"))</f>
        <v/>
      </c>
      <c r="I242" s="28" t="n">
        <f aca="false">IF($A242="","",COUNTIFS('🤸 Ingresos Pole'!$W$2:$W$1000,$A242,'🤸 Ingresos Pole'!$L$2:$L$1000,"Paquete"))</f>
        <v>0</v>
      </c>
      <c r="J242" s="28" t="n">
        <f aca="false">IF($A242="","",COUNTIF('🤸 Ingresos Pole'!$W$2:$W$1000,$A242))</f>
        <v>0</v>
      </c>
      <c r="K242" s="29" t="n">
        <f aca="false">IF($A242="","",SUMIF('🤸 Ingresos Pole'!$W$2:$W$1000,$A242,'🤸 Ingresos Pole'!$P$2:$P$1000))</f>
        <v>0</v>
      </c>
      <c r="L242" s="30" t="str">
        <f aca="false">IF(OR($A242="",J242=0),"",_xlfn.MINIFS('🤸 Ingresos Pole'!$B$2:$B$1000,'🤸 Ingresos Pole'!$W$2:$W$1000,$A242))</f>
        <v/>
      </c>
      <c r="M242" s="30" t="str">
        <f aca="false">IF(OR($A242="",J242=0),"",_xlfn.MAXIFS('🤸 Ingresos Pole'!$B$2:$B$1000,'🤸 Ingresos Pole'!$W$2:$W$1000,$A242))</f>
        <v/>
      </c>
      <c r="N242" s="28" t="str">
        <f aca="false">IF(OR($A242="",J242=0),"",IF(I242=0,"Sin paquete",IF(I242=1,"Nueva","Recurrente")))</f>
        <v/>
      </c>
      <c r="O242" s="25" t="str">
        <f aca="false">IF(AND(TRIM(B242)="",TRIM(C242)=""),"",TRIM(B242)&amp;"|"&amp;TRIM(C242))</f>
        <v/>
      </c>
      <c r="P242" s="25" t="str">
        <f aca="false">IF(O242="","",IF(TRIM(C242)="",TRIM(B242),IF(TRIM(B242)="",TRIM(C242),TRIM(B242)&amp;", "&amp;TRIM(C242))))</f>
        <v/>
      </c>
      <c r="Q242" s="25" t="str">
        <f aca="false">IF(O242="","",TRIM(TRIM(C242)&amp;" "&amp;TRIM(B242)))</f>
        <v/>
      </c>
      <c r="R242" s="25" t="str">
        <f aca="false">IF(P242="","",COUNTIFS($P$2:$P$1000,"&lt;"&amp;P242,$P$2:$P$1000,"?*")+COUNTIF($P$2:P242,P242))</f>
        <v/>
      </c>
    </row>
    <row r="243" customFormat="false" ht="14.25" hidden="false" customHeight="true" outlineLevel="0" collapsed="false">
      <c r="A243" s="25" t="s">
        <v>441</v>
      </c>
      <c r="B243" s="25"/>
      <c r="C243" s="25"/>
      <c r="D243" s="26"/>
      <c r="E243" s="25"/>
      <c r="F243" s="25"/>
      <c r="G243" s="27"/>
      <c r="H243" s="28" t="str">
        <f aca="true">IF(G243="","",DATEDIF(G243,TODAY(),"Y"))</f>
        <v/>
      </c>
      <c r="I243" s="28" t="n">
        <f aca="false">IF($A243="","",COUNTIFS('🤸 Ingresos Pole'!$W$2:$W$1000,$A243,'🤸 Ingresos Pole'!$L$2:$L$1000,"Paquete"))</f>
        <v>0</v>
      </c>
      <c r="J243" s="28" t="n">
        <f aca="false">IF($A243="","",COUNTIF('🤸 Ingresos Pole'!$W$2:$W$1000,$A243))</f>
        <v>0</v>
      </c>
      <c r="K243" s="29" t="n">
        <f aca="false">IF($A243="","",SUMIF('🤸 Ingresos Pole'!$W$2:$W$1000,$A243,'🤸 Ingresos Pole'!$P$2:$P$1000))</f>
        <v>0</v>
      </c>
      <c r="L243" s="30" t="str">
        <f aca="false">IF(OR($A243="",J243=0),"",_xlfn.MINIFS('🤸 Ingresos Pole'!$B$2:$B$1000,'🤸 Ingresos Pole'!$W$2:$W$1000,$A243))</f>
        <v/>
      </c>
      <c r="M243" s="30" t="str">
        <f aca="false">IF(OR($A243="",J243=0),"",_xlfn.MAXIFS('🤸 Ingresos Pole'!$B$2:$B$1000,'🤸 Ingresos Pole'!$W$2:$W$1000,$A243))</f>
        <v/>
      </c>
      <c r="N243" s="28" t="str">
        <f aca="false">IF(OR($A243="",J243=0),"",IF(I243=0,"Sin paquete",IF(I243=1,"Nueva","Recurrente")))</f>
        <v/>
      </c>
      <c r="O243" s="25" t="str">
        <f aca="false">IF(AND(TRIM(B243)="",TRIM(C243)=""),"",TRIM(B243)&amp;"|"&amp;TRIM(C243))</f>
        <v/>
      </c>
      <c r="P243" s="25" t="str">
        <f aca="false">IF(O243="","",IF(TRIM(C243)="",TRIM(B243),IF(TRIM(B243)="",TRIM(C243),TRIM(B243)&amp;", "&amp;TRIM(C243))))</f>
        <v/>
      </c>
      <c r="Q243" s="25" t="str">
        <f aca="false">IF(O243="","",TRIM(TRIM(C243)&amp;" "&amp;TRIM(B243)))</f>
        <v/>
      </c>
      <c r="R243" s="25" t="str">
        <f aca="false">IF(P243="","",COUNTIFS($P$2:$P$1000,"&lt;"&amp;P243,$P$2:$P$1000,"?*")+COUNTIF($P$2:P243,P243))</f>
        <v/>
      </c>
    </row>
    <row r="244" customFormat="false" ht="14.25" hidden="false" customHeight="true" outlineLevel="0" collapsed="false">
      <c r="A244" s="25" t="s">
        <v>442</v>
      </c>
      <c r="B244" s="25"/>
      <c r="C244" s="25"/>
      <c r="D244" s="26"/>
      <c r="E244" s="25"/>
      <c r="F244" s="25"/>
      <c r="G244" s="27"/>
      <c r="H244" s="28" t="str">
        <f aca="true">IF(G244="","",DATEDIF(G244,TODAY(),"Y"))</f>
        <v/>
      </c>
      <c r="I244" s="28" t="n">
        <f aca="false">IF($A244="","",COUNTIFS('🤸 Ingresos Pole'!$W$2:$W$1000,$A244,'🤸 Ingresos Pole'!$L$2:$L$1000,"Paquete"))</f>
        <v>0</v>
      </c>
      <c r="J244" s="28" t="n">
        <f aca="false">IF($A244="","",COUNTIF('🤸 Ingresos Pole'!$W$2:$W$1000,$A244))</f>
        <v>0</v>
      </c>
      <c r="K244" s="29" t="n">
        <f aca="false">IF($A244="","",SUMIF('🤸 Ingresos Pole'!$W$2:$W$1000,$A244,'🤸 Ingresos Pole'!$P$2:$P$1000))</f>
        <v>0</v>
      </c>
      <c r="L244" s="30" t="str">
        <f aca="false">IF(OR($A244="",J244=0),"",_xlfn.MINIFS('🤸 Ingresos Pole'!$B$2:$B$1000,'🤸 Ingresos Pole'!$W$2:$W$1000,$A244))</f>
        <v/>
      </c>
      <c r="M244" s="30" t="str">
        <f aca="false">IF(OR($A244="",J244=0),"",_xlfn.MAXIFS('🤸 Ingresos Pole'!$B$2:$B$1000,'🤸 Ingresos Pole'!$W$2:$W$1000,$A244))</f>
        <v/>
      </c>
      <c r="N244" s="28" t="str">
        <f aca="false">IF(OR($A244="",J244=0),"",IF(I244=0,"Sin paquete",IF(I244=1,"Nueva","Recurrente")))</f>
        <v/>
      </c>
      <c r="O244" s="25" t="str">
        <f aca="false">IF(AND(TRIM(B244)="",TRIM(C244)=""),"",TRIM(B244)&amp;"|"&amp;TRIM(C244))</f>
        <v/>
      </c>
      <c r="P244" s="25" t="str">
        <f aca="false">IF(O244="","",IF(TRIM(C244)="",TRIM(B244),IF(TRIM(B244)="",TRIM(C244),TRIM(B244)&amp;", "&amp;TRIM(C244))))</f>
        <v/>
      </c>
      <c r="Q244" s="25" t="str">
        <f aca="false">IF(O244="","",TRIM(TRIM(C244)&amp;" "&amp;TRIM(B244)))</f>
        <v/>
      </c>
      <c r="R244" s="25" t="str">
        <f aca="false">IF(P244="","",COUNTIFS($P$2:$P$1000,"&lt;"&amp;P244,$P$2:$P$1000,"?*")+COUNTIF($P$2:P244,P244))</f>
        <v/>
      </c>
    </row>
    <row r="245" customFormat="false" ht="14.25" hidden="false" customHeight="true" outlineLevel="0" collapsed="false">
      <c r="A245" s="25" t="s">
        <v>443</v>
      </c>
      <c r="B245" s="25"/>
      <c r="C245" s="25"/>
      <c r="D245" s="26"/>
      <c r="E245" s="25"/>
      <c r="F245" s="25"/>
      <c r="G245" s="27"/>
      <c r="H245" s="28" t="str">
        <f aca="true">IF(G245="","",DATEDIF(G245,TODAY(),"Y"))</f>
        <v/>
      </c>
      <c r="I245" s="28" t="n">
        <f aca="false">IF($A245="","",COUNTIFS('🤸 Ingresos Pole'!$W$2:$W$1000,$A245,'🤸 Ingresos Pole'!$L$2:$L$1000,"Paquete"))</f>
        <v>0</v>
      </c>
      <c r="J245" s="28" t="n">
        <f aca="false">IF($A245="","",COUNTIF('🤸 Ingresos Pole'!$W$2:$W$1000,$A245))</f>
        <v>0</v>
      </c>
      <c r="K245" s="29" t="n">
        <f aca="false">IF($A245="","",SUMIF('🤸 Ingresos Pole'!$W$2:$W$1000,$A245,'🤸 Ingresos Pole'!$P$2:$P$1000))</f>
        <v>0</v>
      </c>
      <c r="L245" s="30" t="str">
        <f aca="false">IF(OR($A245="",J245=0),"",_xlfn.MINIFS('🤸 Ingresos Pole'!$B$2:$B$1000,'🤸 Ingresos Pole'!$W$2:$W$1000,$A245))</f>
        <v/>
      </c>
      <c r="M245" s="30" t="str">
        <f aca="false">IF(OR($A245="",J245=0),"",_xlfn.MAXIFS('🤸 Ingresos Pole'!$B$2:$B$1000,'🤸 Ingresos Pole'!$W$2:$W$1000,$A245))</f>
        <v/>
      </c>
      <c r="N245" s="28" t="str">
        <f aca="false">IF(OR($A245="",J245=0),"",IF(I245=0,"Sin paquete",IF(I245=1,"Nueva","Recurrente")))</f>
        <v/>
      </c>
      <c r="O245" s="25" t="str">
        <f aca="false">IF(AND(TRIM(B245)="",TRIM(C245)=""),"",TRIM(B245)&amp;"|"&amp;TRIM(C245))</f>
        <v/>
      </c>
      <c r="P245" s="25" t="str">
        <f aca="false">IF(O245="","",IF(TRIM(C245)="",TRIM(B245),IF(TRIM(B245)="",TRIM(C245),TRIM(B245)&amp;", "&amp;TRIM(C245))))</f>
        <v/>
      </c>
      <c r="Q245" s="25" t="str">
        <f aca="false">IF(O245="","",TRIM(TRIM(C245)&amp;" "&amp;TRIM(B245)))</f>
        <v/>
      </c>
      <c r="R245" s="25" t="str">
        <f aca="false">IF(P245="","",COUNTIFS($P$2:$P$1000,"&lt;"&amp;P245,$P$2:$P$1000,"?*")+COUNTIF($P$2:P245,P245))</f>
        <v/>
      </c>
    </row>
    <row r="246" customFormat="false" ht="14.25" hidden="false" customHeight="true" outlineLevel="0" collapsed="false">
      <c r="A246" s="25" t="s">
        <v>444</v>
      </c>
      <c r="B246" s="25"/>
      <c r="C246" s="25"/>
      <c r="D246" s="26"/>
      <c r="E246" s="25"/>
      <c r="F246" s="25"/>
      <c r="G246" s="27"/>
      <c r="H246" s="28" t="str">
        <f aca="true">IF(G246="","",DATEDIF(G246,TODAY(),"Y"))</f>
        <v/>
      </c>
      <c r="I246" s="28" t="n">
        <f aca="false">IF($A246="","",COUNTIFS('🤸 Ingresos Pole'!$W$2:$W$1000,$A246,'🤸 Ingresos Pole'!$L$2:$L$1000,"Paquete"))</f>
        <v>0</v>
      </c>
      <c r="J246" s="28" t="n">
        <f aca="false">IF($A246="","",COUNTIF('🤸 Ingresos Pole'!$W$2:$W$1000,$A246))</f>
        <v>0</v>
      </c>
      <c r="K246" s="29" t="n">
        <f aca="false">IF($A246="","",SUMIF('🤸 Ingresos Pole'!$W$2:$W$1000,$A246,'🤸 Ingresos Pole'!$P$2:$P$1000))</f>
        <v>0</v>
      </c>
      <c r="L246" s="30" t="str">
        <f aca="false">IF(OR($A246="",J246=0),"",_xlfn.MINIFS('🤸 Ingresos Pole'!$B$2:$B$1000,'🤸 Ingresos Pole'!$W$2:$W$1000,$A246))</f>
        <v/>
      </c>
      <c r="M246" s="30" t="str">
        <f aca="false">IF(OR($A246="",J246=0),"",_xlfn.MAXIFS('🤸 Ingresos Pole'!$B$2:$B$1000,'🤸 Ingresos Pole'!$W$2:$W$1000,$A246))</f>
        <v/>
      </c>
      <c r="N246" s="28" t="str">
        <f aca="false">IF(OR($A246="",J246=0),"",IF(I246=0,"Sin paquete",IF(I246=1,"Nueva","Recurrente")))</f>
        <v/>
      </c>
      <c r="O246" s="25" t="str">
        <f aca="false">IF(AND(TRIM(B246)="",TRIM(C246)=""),"",TRIM(B246)&amp;"|"&amp;TRIM(C246))</f>
        <v/>
      </c>
      <c r="P246" s="25" t="str">
        <f aca="false">IF(O246="","",IF(TRIM(C246)="",TRIM(B246),IF(TRIM(B246)="",TRIM(C246),TRIM(B246)&amp;", "&amp;TRIM(C246))))</f>
        <v/>
      </c>
      <c r="Q246" s="25" t="str">
        <f aca="false">IF(O246="","",TRIM(TRIM(C246)&amp;" "&amp;TRIM(B246)))</f>
        <v/>
      </c>
      <c r="R246" s="25" t="str">
        <f aca="false">IF(P246="","",COUNTIFS($P$2:$P$1000,"&lt;"&amp;P246,$P$2:$P$1000,"?*")+COUNTIF($P$2:P246,P246))</f>
        <v/>
      </c>
    </row>
    <row r="247" customFormat="false" ht="14.25" hidden="false" customHeight="true" outlineLevel="0" collapsed="false">
      <c r="A247" s="25" t="s">
        <v>445</v>
      </c>
      <c r="B247" s="25"/>
      <c r="C247" s="25"/>
      <c r="D247" s="26"/>
      <c r="E247" s="25"/>
      <c r="F247" s="25"/>
      <c r="G247" s="27"/>
      <c r="H247" s="28" t="str">
        <f aca="true">IF(G247="","",DATEDIF(G247,TODAY(),"Y"))</f>
        <v/>
      </c>
      <c r="I247" s="28" t="n">
        <f aca="false">IF($A247="","",COUNTIFS('🤸 Ingresos Pole'!$W$2:$W$1000,$A247,'🤸 Ingresos Pole'!$L$2:$L$1000,"Paquete"))</f>
        <v>0</v>
      </c>
      <c r="J247" s="28" t="n">
        <f aca="false">IF($A247="","",COUNTIF('🤸 Ingresos Pole'!$W$2:$W$1000,$A247))</f>
        <v>0</v>
      </c>
      <c r="K247" s="29" t="n">
        <f aca="false">IF($A247="","",SUMIF('🤸 Ingresos Pole'!$W$2:$W$1000,$A247,'🤸 Ingresos Pole'!$P$2:$P$1000))</f>
        <v>0</v>
      </c>
      <c r="L247" s="30" t="str">
        <f aca="false">IF(OR($A247="",J247=0),"",_xlfn.MINIFS('🤸 Ingresos Pole'!$B$2:$B$1000,'🤸 Ingresos Pole'!$W$2:$W$1000,$A247))</f>
        <v/>
      </c>
      <c r="M247" s="30" t="str">
        <f aca="false">IF(OR($A247="",J247=0),"",_xlfn.MAXIFS('🤸 Ingresos Pole'!$B$2:$B$1000,'🤸 Ingresos Pole'!$W$2:$W$1000,$A247))</f>
        <v/>
      </c>
      <c r="N247" s="28" t="str">
        <f aca="false">IF(OR($A247="",J247=0),"",IF(I247=0,"Sin paquete",IF(I247=1,"Nueva","Recurrente")))</f>
        <v/>
      </c>
      <c r="O247" s="25" t="str">
        <f aca="false">IF(AND(TRIM(B247)="",TRIM(C247)=""),"",TRIM(B247)&amp;"|"&amp;TRIM(C247))</f>
        <v/>
      </c>
      <c r="P247" s="25" t="str">
        <f aca="false">IF(O247="","",IF(TRIM(C247)="",TRIM(B247),IF(TRIM(B247)="",TRIM(C247),TRIM(B247)&amp;", "&amp;TRIM(C247))))</f>
        <v/>
      </c>
      <c r="Q247" s="25" t="str">
        <f aca="false">IF(O247="","",TRIM(TRIM(C247)&amp;" "&amp;TRIM(B247)))</f>
        <v/>
      </c>
      <c r="R247" s="25" t="str">
        <f aca="false">IF(P247="","",COUNTIFS($P$2:$P$1000,"&lt;"&amp;P247,$P$2:$P$1000,"?*")+COUNTIF($P$2:P247,P247))</f>
        <v/>
      </c>
    </row>
    <row r="248" customFormat="false" ht="14.25" hidden="false" customHeight="true" outlineLevel="0" collapsed="false">
      <c r="A248" s="25" t="s">
        <v>446</v>
      </c>
      <c r="B248" s="25"/>
      <c r="C248" s="25"/>
      <c r="D248" s="26"/>
      <c r="E248" s="25"/>
      <c r="F248" s="25"/>
      <c r="G248" s="27"/>
      <c r="H248" s="28" t="str">
        <f aca="true">IF(G248="","",DATEDIF(G248,TODAY(),"Y"))</f>
        <v/>
      </c>
      <c r="I248" s="28" t="n">
        <f aca="false">IF($A248="","",COUNTIFS('🤸 Ingresos Pole'!$W$2:$W$1000,$A248,'🤸 Ingresos Pole'!$L$2:$L$1000,"Paquete"))</f>
        <v>0</v>
      </c>
      <c r="J248" s="28" t="n">
        <f aca="false">IF($A248="","",COUNTIF('🤸 Ingresos Pole'!$W$2:$W$1000,$A248))</f>
        <v>0</v>
      </c>
      <c r="K248" s="29" t="n">
        <f aca="false">IF($A248="","",SUMIF('🤸 Ingresos Pole'!$W$2:$W$1000,$A248,'🤸 Ingresos Pole'!$P$2:$P$1000))</f>
        <v>0</v>
      </c>
      <c r="L248" s="30" t="str">
        <f aca="false">IF(OR($A248="",J248=0),"",_xlfn.MINIFS('🤸 Ingresos Pole'!$B$2:$B$1000,'🤸 Ingresos Pole'!$W$2:$W$1000,$A248))</f>
        <v/>
      </c>
      <c r="M248" s="30" t="str">
        <f aca="false">IF(OR($A248="",J248=0),"",_xlfn.MAXIFS('🤸 Ingresos Pole'!$B$2:$B$1000,'🤸 Ingresos Pole'!$W$2:$W$1000,$A248))</f>
        <v/>
      </c>
      <c r="N248" s="28" t="str">
        <f aca="false">IF(OR($A248="",J248=0),"",IF(I248=0,"Sin paquete",IF(I248=1,"Nueva","Recurrente")))</f>
        <v/>
      </c>
      <c r="O248" s="25" t="str">
        <f aca="false">IF(AND(TRIM(B248)="",TRIM(C248)=""),"",TRIM(B248)&amp;"|"&amp;TRIM(C248))</f>
        <v/>
      </c>
      <c r="P248" s="25" t="str">
        <f aca="false">IF(O248="","",IF(TRIM(C248)="",TRIM(B248),IF(TRIM(B248)="",TRIM(C248),TRIM(B248)&amp;", "&amp;TRIM(C248))))</f>
        <v/>
      </c>
      <c r="Q248" s="25" t="str">
        <f aca="false">IF(O248="","",TRIM(TRIM(C248)&amp;" "&amp;TRIM(B248)))</f>
        <v/>
      </c>
      <c r="R248" s="25" t="str">
        <f aca="false">IF(P248="","",COUNTIFS($P$2:$P$1000,"&lt;"&amp;P248,$P$2:$P$1000,"?*")+COUNTIF($P$2:P248,P248))</f>
        <v/>
      </c>
    </row>
    <row r="249" customFormat="false" ht="14.25" hidden="false" customHeight="true" outlineLevel="0" collapsed="false">
      <c r="A249" s="25" t="s">
        <v>447</v>
      </c>
      <c r="B249" s="25"/>
      <c r="C249" s="25"/>
      <c r="D249" s="26"/>
      <c r="E249" s="25"/>
      <c r="F249" s="25"/>
      <c r="G249" s="27"/>
      <c r="H249" s="28" t="str">
        <f aca="true">IF(G249="","",DATEDIF(G249,TODAY(),"Y"))</f>
        <v/>
      </c>
      <c r="I249" s="28" t="n">
        <f aca="false">IF($A249="","",COUNTIFS('🤸 Ingresos Pole'!$W$2:$W$1000,$A249,'🤸 Ingresos Pole'!$L$2:$L$1000,"Paquete"))</f>
        <v>0</v>
      </c>
      <c r="J249" s="28" t="n">
        <f aca="false">IF($A249="","",COUNTIF('🤸 Ingresos Pole'!$W$2:$W$1000,$A249))</f>
        <v>0</v>
      </c>
      <c r="K249" s="29" t="n">
        <f aca="false">IF($A249="","",SUMIF('🤸 Ingresos Pole'!$W$2:$W$1000,$A249,'🤸 Ingresos Pole'!$P$2:$P$1000))</f>
        <v>0</v>
      </c>
      <c r="L249" s="30" t="str">
        <f aca="false">IF(OR($A249="",J249=0),"",_xlfn.MINIFS('🤸 Ingresos Pole'!$B$2:$B$1000,'🤸 Ingresos Pole'!$W$2:$W$1000,$A249))</f>
        <v/>
      </c>
      <c r="M249" s="30" t="str">
        <f aca="false">IF(OR($A249="",J249=0),"",_xlfn.MAXIFS('🤸 Ingresos Pole'!$B$2:$B$1000,'🤸 Ingresos Pole'!$W$2:$W$1000,$A249))</f>
        <v/>
      </c>
      <c r="N249" s="28" t="str">
        <f aca="false">IF(OR($A249="",J249=0),"",IF(I249=0,"Sin paquete",IF(I249=1,"Nueva","Recurrente")))</f>
        <v/>
      </c>
      <c r="O249" s="25" t="str">
        <f aca="false">IF(AND(TRIM(B249)="",TRIM(C249)=""),"",TRIM(B249)&amp;"|"&amp;TRIM(C249))</f>
        <v/>
      </c>
      <c r="P249" s="25" t="str">
        <f aca="false">IF(O249="","",IF(TRIM(C249)="",TRIM(B249),IF(TRIM(B249)="",TRIM(C249),TRIM(B249)&amp;", "&amp;TRIM(C249))))</f>
        <v/>
      </c>
      <c r="Q249" s="25" t="str">
        <f aca="false">IF(O249="","",TRIM(TRIM(C249)&amp;" "&amp;TRIM(B249)))</f>
        <v/>
      </c>
      <c r="R249" s="25" t="str">
        <f aca="false">IF(P249="","",COUNTIFS($P$2:$P$1000,"&lt;"&amp;P249,$P$2:$P$1000,"?*")+COUNTIF($P$2:P249,P249))</f>
        <v/>
      </c>
    </row>
    <row r="250" customFormat="false" ht="14.25" hidden="false" customHeight="true" outlineLevel="0" collapsed="false">
      <c r="A250" s="25" t="s">
        <v>448</v>
      </c>
      <c r="B250" s="25"/>
      <c r="C250" s="25"/>
      <c r="D250" s="26"/>
      <c r="E250" s="25"/>
      <c r="F250" s="25"/>
      <c r="G250" s="27"/>
      <c r="H250" s="28" t="str">
        <f aca="true">IF(G250="","",DATEDIF(G250,TODAY(),"Y"))</f>
        <v/>
      </c>
      <c r="I250" s="28" t="n">
        <f aca="false">IF($A250="","",COUNTIFS('🤸 Ingresos Pole'!$W$2:$W$1000,$A250,'🤸 Ingresos Pole'!$L$2:$L$1000,"Paquete"))</f>
        <v>0</v>
      </c>
      <c r="J250" s="28" t="n">
        <f aca="false">IF($A250="","",COUNTIF('🤸 Ingresos Pole'!$W$2:$W$1000,$A250))</f>
        <v>0</v>
      </c>
      <c r="K250" s="29" t="n">
        <f aca="false">IF($A250="","",SUMIF('🤸 Ingresos Pole'!$W$2:$W$1000,$A250,'🤸 Ingresos Pole'!$P$2:$P$1000))</f>
        <v>0</v>
      </c>
      <c r="L250" s="30" t="str">
        <f aca="false">IF(OR($A250="",J250=0),"",_xlfn.MINIFS('🤸 Ingresos Pole'!$B$2:$B$1000,'🤸 Ingresos Pole'!$W$2:$W$1000,$A250))</f>
        <v/>
      </c>
      <c r="M250" s="30" t="str">
        <f aca="false">IF(OR($A250="",J250=0),"",_xlfn.MAXIFS('🤸 Ingresos Pole'!$B$2:$B$1000,'🤸 Ingresos Pole'!$W$2:$W$1000,$A250))</f>
        <v/>
      </c>
      <c r="N250" s="28" t="str">
        <f aca="false">IF(OR($A250="",J250=0),"",IF(I250=0,"Sin paquete",IF(I250=1,"Nueva","Recurrente")))</f>
        <v/>
      </c>
      <c r="O250" s="25" t="str">
        <f aca="false">IF(AND(TRIM(B250)="",TRIM(C250)=""),"",TRIM(B250)&amp;"|"&amp;TRIM(C250))</f>
        <v/>
      </c>
      <c r="P250" s="25" t="str">
        <f aca="false">IF(O250="","",IF(TRIM(C250)="",TRIM(B250),IF(TRIM(B250)="",TRIM(C250),TRIM(B250)&amp;", "&amp;TRIM(C250))))</f>
        <v/>
      </c>
      <c r="Q250" s="25" t="str">
        <f aca="false">IF(O250="","",TRIM(TRIM(C250)&amp;" "&amp;TRIM(B250)))</f>
        <v/>
      </c>
      <c r="R250" s="25" t="str">
        <f aca="false">IF(P250="","",COUNTIFS($P$2:$P$1000,"&lt;"&amp;P250,$P$2:$P$1000,"?*")+COUNTIF($P$2:P250,P250))</f>
        <v/>
      </c>
    </row>
    <row r="251" customFormat="false" ht="14.25" hidden="false" customHeight="true" outlineLevel="0" collapsed="false">
      <c r="A251" s="25" t="s">
        <v>449</v>
      </c>
      <c r="B251" s="25"/>
      <c r="C251" s="25"/>
      <c r="D251" s="26"/>
      <c r="E251" s="25"/>
      <c r="F251" s="25"/>
      <c r="G251" s="27"/>
      <c r="H251" s="28" t="str">
        <f aca="true">IF(G251="","",DATEDIF(G251,TODAY(),"Y"))</f>
        <v/>
      </c>
      <c r="I251" s="28" t="n">
        <f aca="false">IF($A251="","",COUNTIFS('🤸 Ingresos Pole'!$W$2:$W$1000,$A251,'🤸 Ingresos Pole'!$L$2:$L$1000,"Paquete"))</f>
        <v>0</v>
      </c>
      <c r="J251" s="28" t="n">
        <f aca="false">IF($A251="","",COUNTIF('🤸 Ingresos Pole'!$W$2:$W$1000,$A251))</f>
        <v>0</v>
      </c>
      <c r="K251" s="29" t="n">
        <f aca="false">IF($A251="","",SUMIF('🤸 Ingresos Pole'!$W$2:$W$1000,$A251,'🤸 Ingresos Pole'!$P$2:$P$1000))</f>
        <v>0</v>
      </c>
      <c r="L251" s="30" t="str">
        <f aca="false">IF(OR($A251="",J251=0),"",_xlfn.MINIFS('🤸 Ingresos Pole'!$B$2:$B$1000,'🤸 Ingresos Pole'!$W$2:$W$1000,$A251))</f>
        <v/>
      </c>
      <c r="M251" s="30" t="str">
        <f aca="false">IF(OR($A251="",J251=0),"",_xlfn.MAXIFS('🤸 Ingresos Pole'!$B$2:$B$1000,'🤸 Ingresos Pole'!$W$2:$W$1000,$A251))</f>
        <v/>
      </c>
      <c r="N251" s="28" t="str">
        <f aca="false">IF(OR($A251="",J251=0),"",IF(I251=0,"Sin paquete",IF(I251=1,"Nueva","Recurrente")))</f>
        <v/>
      </c>
      <c r="O251" s="25" t="str">
        <f aca="false">IF(AND(TRIM(B251)="",TRIM(C251)=""),"",TRIM(B251)&amp;"|"&amp;TRIM(C251))</f>
        <v/>
      </c>
      <c r="P251" s="25" t="str">
        <f aca="false">IF(O251="","",IF(TRIM(C251)="",TRIM(B251),IF(TRIM(B251)="",TRIM(C251),TRIM(B251)&amp;", "&amp;TRIM(C251))))</f>
        <v/>
      </c>
      <c r="Q251" s="25" t="str">
        <f aca="false">IF(O251="","",TRIM(TRIM(C251)&amp;" "&amp;TRIM(B251)))</f>
        <v/>
      </c>
      <c r="R251" s="25" t="str">
        <f aca="false">IF(P251="","",COUNTIFS($P$2:$P$1000,"&lt;"&amp;P251,$P$2:$P$1000,"?*")+COUNTIF($P$2:P251,P251))</f>
        <v/>
      </c>
    </row>
    <row r="252" customFormat="false" ht="14.25" hidden="false" customHeight="true" outlineLevel="0" collapsed="false">
      <c r="A252" s="25" t="s">
        <v>450</v>
      </c>
      <c r="B252" s="25"/>
      <c r="C252" s="25"/>
      <c r="D252" s="26"/>
      <c r="E252" s="25"/>
      <c r="F252" s="25"/>
      <c r="G252" s="27"/>
      <c r="H252" s="28" t="str">
        <f aca="true">IF(G252="","",DATEDIF(G252,TODAY(),"Y"))</f>
        <v/>
      </c>
      <c r="I252" s="28" t="n">
        <f aca="false">IF($A252="","",COUNTIFS('🤸 Ingresos Pole'!$W$2:$W$1000,$A252,'🤸 Ingresos Pole'!$L$2:$L$1000,"Paquete"))</f>
        <v>0</v>
      </c>
      <c r="J252" s="28" t="n">
        <f aca="false">IF($A252="","",COUNTIF('🤸 Ingresos Pole'!$W$2:$W$1000,$A252))</f>
        <v>0</v>
      </c>
      <c r="K252" s="29" t="n">
        <f aca="false">IF($A252="","",SUMIF('🤸 Ingresos Pole'!$W$2:$W$1000,$A252,'🤸 Ingresos Pole'!$P$2:$P$1000))</f>
        <v>0</v>
      </c>
      <c r="L252" s="30" t="str">
        <f aca="false">IF(OR($A252="",J252=0),"",_xlfn.MINIFS('🤸 Ingresos Pole'!$B$2:$B$1000,'🤸 Ingresos Pole'!$W$2:$W$1000,$A252))</f>
        <v/>
      </c>
      <c r="M252" s="30" t="str">
        <f aca="false">IF(OR($A252="",J252=0),"",_xlfn.MAXIFS('🤸 Ingresos Pole'!$B$2:$B$1000,'🤸 Ingresos Pole'!$W$2:$W$1000,$A252))</f>
        <v/>
      </c>
      <c r="N252" s="28" t="str">
        <f aca="false">IF(OR($A252="",J252=0),"",IF(I252=0,"Sin paquete",IF(I252=1,"Nueva","Recurrente")))</f>
        <v/>
      </c>
      <c r="O252" s="25" t="str">
        <f aca="false">IF(AND(TRIM(B252)="",TRIM(C252)=""),"",TRIM(B252)&amp;"|"&amp;TRIM(C252))</f>
        <v/>
      </c>
      <c r="P252" s="25" t="str">
        <f aca="false">IF(O252="","",IF(TRIM(C252)="",TRIM(B252),IF(TRIM(B252)="",TRIM(C252),TRIM(B252)&amp;", "&amp;TRIM(C252))))</f>
        <v/>
      </c>
      <c r="Q252" s="25" t="str">
        <f aca="false">IF(O252="","",TRIM(TRIM(C252)&amp;" "&amp;TRIM(B252)))</f>
        <v/>
      </c>
      <c r="R252" s="25" t="str">
        <f aca="false">IF(P252="","",COUNTIFS($P$2:$P$1000,"&lt;"&amp;P252,$P$2:$P$1000,"?*")+COUNTIF($P$2:P252,P252))</f>
        <v/>
      </c>
    </row>
    <row r="253" customFormat="false" ht="14.25" hidden="false" customHeight="true" outlineLevel="0" collapsed="false">
      <c r="A253" s="25" t="s">
        <v>451</v>
      </c>
      <c r="B253" s="25"/>
      <c r="C253" s="25"/>
      <c r="D253" s="26"/>
      <c r="E253" s="25"/>
      <c r="F253" s="25"/>
      <c r="G253" s="27"/>
      <c r="H253" s="28" t="str">
        <f aca="true">IF(G253="","",DATEDIF(G253,TODAY(),"Y"))</f>
        <v/>
      </c>
      <c r="I253" s="28" t="n">
        <f aca="false">IF($A253="","",COUNTIFS('🤸 Ingresos Pole'!$W$2:$W$1000,$A253,'🤸 Ingresos Pole'!$L$2:$L$1000,"Paquete"))</f>
        <v>0</v>
      </c>
      <c r="J253" s="28" t="n">
        <f aca="false">IF($A253="","",COUNTIF('🤸 Ingresos Pole'!$W$2:$W$1000,$A253))</f>
        <v>0</v>
      </c>
      <c r="K253" s="29" t="n">
        <f aca="false">IF($A253="","",SUMIF('🤸 Ingresos Pole'!$W$2:$W$1000,$A253,'🤸 Ingresos Pole'!$P$2:$P$1000))</f>
        <v>0</v>
      </c>
      <c r="L253" s="30" t="str">
        <f aca="false">IF(OR($A253="",J253=0),"",_xlfn.MINIFS('🤸 Ingresos Pole'!$B$2:$B$1000,'🤸 Ingresos Pole'!$W$2:$W$1000,$A253))</f>
        <v/>
      </c>
      <c r="M253" s="30" t="str">
        <f aca="false">IF(OR($A253="",J253=0),"",_xlfn.MAXIFS('🤸 Ingresos Pole'!$B$2:$B$1000,'🤸 Ingresos Pole'!$W$2:$W$1000,$A253))</f>
        <v/>
      </c>
      <c r="N253" s="28" t="str">
        <f aca="false">IF(OR($A253="",J253=0),"",IF(I253=0,"Sin paquete",IF(I253=1,"Nueva","Recurrente")))</f>
        <v/>
      </c>
      <c r="O253" s="25" t="str">
        <f aca="false">IF(AND(TRIM(B253)="",TRIM(C253)=""),"",TRIM(B253)&amp;"|"&amp;TRIM(C253))</f>
        <v/>
      </c>
      <c r="P253" s="25" t="str">
        <f aca="false">IF(O253="","",IF(TRIM(C253)="",TRIM(B253),IF(TRIM(B253)="",TRIM(C253),TRIM(B253)&amp;", "&amp;TRIM(C253))))</f>
        <v/>
      </c>
      <c r="Q253" s="25" t="str">
        <f aca="false">IF(O253="","",TRIM(TRIM(C253)&amp;" "&amp;TRIM(B253)))</f>
        <v/>
      </c>
      <c r="R253" s="25" t="str">
        <f aca="false">IF(P253="","",COUNTIFS($P$2:$P$1000,"&lt;"&amp;P253,$P$2:$P$1000,"?*")+COUNTIF($P$2:P253,P253))</f>
        <v/>
      </c>
    </row>
    <row r="254" customFormat="false" ht="14.25" hidden="false" customHeight="true" outlineLevel="0" collapsed="false">
      <c r="A254" s="25" t="s">
        <v>452</v>
      </c>
      <c r="B254" s="25"/>
      <c r="C254" s="25"/>
      <c r="D254" s="26"/>
      <c r="E254" s="25"/>
      <c r="F254" s="25"/>
      <c r="G254" s="27"/>
      <c r="H254" s="28" t="str">
        <f aca="true">IF(G254="","",DATEDIF(G254,TODAY(),"Y"))</f>
        <v/>
      </c>
      <c r="I254" s="28" t="n">
        <f aca="false">IF($A254="","",COUNTIFS('🤸 Ingresos Pole'!$W$2:$W$1000,$A254,'🤸 Ingresos Pole'!$L$2:$L$1000,"Paquete"))</f>
        <v>0</v>
      </c>
      <c r="J254" s="28" t="n">
        <f aca="false">IF($A254="","",COUNTIF('🤸 Ingresos Pole'!$W$2:$W$1000,$A254))</f>
        <v>0</v>
      </c>
      <c r="K254" s="29" t="n">
        <f aca="false">IF($A254="","",SUMIF('🤸 Ingresos Pole'!$W$2:$W$1000,$A254,'🤸 Ingresos Pole'!$P$2:$P$1000))</f>
        <v>0</v>
      </c>
      <c r="L254" s="30" t="str">
        <f aca="false">IF(OR($A254="",J254=0),"",_xlfn.MINIFS('🤸 Ingresos Pole'!$B$2:$B$1000,'🤸 Ingresos Pole'!$W$2:$W$1000,$A254))</f>
        <v/>
      </c>
      <c r="M254" s="30" t="str">
        <f aca="false">IF(OR($A254="",J254=0),"",_xlfn.MAXIFS('🤸 Ingresos Pole'!$B$2:$B$1000,'🤸 Ingresos Pole'!$W$2:$W$1000,$A254))</f>
        <v/>
      </c>
      <c r="N254" s="28" t="str">
        <f aca="false">IF(OR($A254="",J254=0),"",IF(I254=0,"Sin paquete",IF(I254=1,"Nueva","Recurrente")))</f>
        <v/>
      </c>
      <c r="O254" s="25" t="str">
        <f aca="false">IF(AND(TRIM(B254)="",TRIM(C254)=""),"",TRIM(B254)&amp;"|"&amp;TRIM(C254))</f>
        <v/>
      </c>
      <c r="P254" s="25" t="str">
        <f aca="false">IF(O254="","",IF(TRIM(C254)="",TRIM(B254),IF(TRIM(B254)="",TRIM(C254),TRIM(B254)&amp;", "&amp;TRIM(C254))))</f>
        <v/>
      </c>
      <c r="Q254" s="25" t="str">
        <f aca="false">IF(O254="","",TRIM(TRIM(C254)&amp;" "&amp;TRIM(B254)))</f>
        <v/>
      </c>
      <c r="R254" s="25" t="str">
        <f aca="false">IF(P254="","",COUNTIFS($P$2:$P$1000,"&lt;"&amp;P254,$P$2:$P$1000,"?*")+COUNTIF($P$2:P254,P254))</f>
        <v/>
      </c>
    </row>
    <row r="255" customFormat="false" ht="14.25" hidden="false" customHeight="true" outlineLevel="0" collapsed="false">
      <c r="A255" s="25" t="s">
        <v>453</v>
      </c>
      <c r="B255" s="25"/>
      <c r="C255" s="25"/>
      <c r="D255" s="26"/>
      <c r="E255" s="25"/>
      <c r="F255" s="25"/>
      <c r="G255" s="27"/>
      <c r="H255" s="28" t="str">
        <f aca="true">IF(G255="","",DATEDIF(G255,TODAY(),"Y"))</f>
        <v/>
      </c>
      <c r="I255" s="28" t="n">
        <f aca="false">IF($A255="","",COUNTIFS('🤸 Ingresos Pole'!$W$2:$W$1000,$A255,'🤸 Ingresos Pole'!$L$2:$L$1000,"Paquete"))</f>
        <v>0</v>
      </c>
      <c r="J255" s="28" t="n">
        <f aca="false">IF($A255="","",COUNTIF('🤸 Ingresos Pole'!$W$2:$W$1000,$A255))</f>
        <v>0</v>
      </c>
      <c r="K255" s="29" t="n">
        <f aca="false">IF($A255="","",SUMIF('🤸 Ingresos Pole'!$W$2:$W$1000,$A255,'🤸 Ingresos Pole'!$P$2:$P$1000))</f>
        <v>0</v>
      </c>
      <c r="L255" s="30" t="str">
        <f aca="false">IF(OR($A255="",J255=0),"",_xlfn.MINIFS('🤸 Ingresos Pole'!$B$2:$B$1000,'🤸 Ingresos Pole'!$W$2:$W$1000,$A255))</f>
        <v/>
      </c>
      <c r="M255" s="30" t="str">
        <f aca="false">IF(OR($A255="",J255=0),"",_xlfn.MAXIFS('🤸 Ingresos Pole'!$B$2:$B$1000,'🤸 Ingresos Pole'!$W$2:$W$1000,$A255))</f>
        <v/>
      </c>
      <c r="N255" s="28" t="str">
        <f aca="false">IF(OR($A255="",J255=0),"",IF(I255=0,"Sin paquete",IF(I255=1,"Nueva","Recurrente")))</f>
        <v/>
      </c>
      <c r="O255" s="25" t="str">
        <f aca="false">IF(AND(TRIM(B255)="",TRIM(C255)=""),"",TRIM(B255)&amp;"|"&amp;TRIM(C255))</f>
        <v/>
      </c>
      <c r="P255" s="25" t="str">
        <f aca="false">IF(O255="","",IF(TRIM(C255)="",TRIM(B255),IF(TRIM(B255)="",TRIM(C255),TRIM(B255)&amp;", "&amp;TRIM(C255))))</f>
        <v/>
      </c>
      <c r="Q255" s="25" t="str">
        <f aca="false">IF(O255="","",TRIM(TRIM(C255)&amp;" "&amp;TRIM(B255)))</f>
        <v/>
      </c>
      <c r="R255" s="25" t="str">
        <f aca="false">IF(P255="","",COUNTIFS($P$2:$P$1000,"&lt;"&amp;P255,$P$2:$P$1000,"?*")+COUNTIF($P$2:P255,P255))</f>
        <v/>
      </c>
    </row>
    <row r="256" customFormat="false" ht="14.25" hidden="false" customHeight="true" outlineLevel="0" collapsed="false">
      <c r="A256" s="25" t="s">
        <v>454</v>
      </c>
      <c r="B256" s="25"/>
      <c r="C256" s="25"/>
      <c r="D256" s="26"/>
      <c r="E256" s="25"/>
      <c r="F256" s="25"/>
      <c r="G256" s="27"/>
      <c r="H256" s="28" t="str">
        <f aca="true">IF(G256="","",DATEDIF(G256,TODAY(),"Y"))</f>
        <v/>
      </c>
      <c r="I256" s="28" t="n">
        <f aca="false">IF($A256="","",COUNTIFS('🤸 Ingresos Pole'!$W$2:$W$1000,$A256,'🤸 Ingresos Pole'!$L$2:$L$1000,"Paquete"))</f>
        <v>0</v>
      </c>
      <c r="J256" s="28" t="n">
        <f aca="false">IF($A256="","",COUNTIF('🤸 Ingresos Pole'!$W$2:$W$1000,$A256))</f>
        <v>0</v>
      </c>
      <c r="K256" s="29" t="n">
        <f aca="false">IF($A256="","",SUMIF('🤸 Ingresos Pole'!$W$2:$W$1000,$A256,'🤸 Ingresos Pole'!$P$2:$P$1000))</f>
        <v>0</v>
      </c>
      <c r="L256" s="30" t="str">
        <f aca="false">IF(OR($A256="",J256=0),"",_xlfn.MINIFS('🤸 Ingresos Pole'!$B$2:$B$1000,'🤸 Ingresos Pole'!$W$2:$W$1000,$A256))</f>
        <v/>
      </c>
      <c r="M256" s="30" t="str">
        <f aca="false">IF(OR($A256="",J256=0),"",_xlfn.MAXIFS('🤸 Ingresos Pole'!$B$2:$B$1000,'🤸 Ingresos Pole'!$W$2:$W$1000,$A256))</f>
        <v/>
      </c>
      <c r="N256" s="28" t="str">
        <f aca="false">IF(OR($A256="",J256=0),"",IF(I256=0,"Sin paquete",IF(I256=1,"Nueva","Recurrente")))</f>
        <v/>
      </c>
      <c r="O256" s="25" t="str">
        <f aca="false">IF(AND(TRIM(B256)="",TRIM(C256)=""),"",TRIM(B256)&amp;"|"&amp;TRIM(C256))</f>
        <v/>
      </c>
      <c r="P256" s="25" t="str">
        <f aca="false">IF(O256="","",IF(TRIM(C256)="",TRIM(B256),IF(TRIM(B256)="",TRIM(C256),TRIM(B256)&amp;", "&amp;TRIM(C256))))</f>
        <v/>
      </c>
      <c r="Q256" s="25" t="str">
        <f aca="false">IF(O256="","",TRIM(TRIM(C256)&amp;" "&amp;TRIM(B256)))</f>
        <v/>
      </c>
      <c r="R256" s="25" t="str">
        <f aca="false">IF(P256="","",COUNTIFS($P$2:$P$1000,"&lt;"&amp;P256,$P$2:$P$1000,"?*")+COUNTIF($P$2:P256,P256))</f>
        <v/>
      </c>
    </row>
    <row r="257" customFormat="false" ht="14.25" hidden="false" customHeight="true" outlineLevel="0" collapsed="false">
      <c r="A257" s="25" t="s">
        <v>455</v>
      </c>
      <c r="B257" s="25"/>
      <c r="C257" s="25"/>
      <c r="D257" s="26"/>
      <c r="E257" s="25"/>
      <c r="F257" s="25"/>
      <c r="G257" s="27"/>
      <c r="H257" s="28" t="str">
        <f aca="true">IF(G257="","",DATEDIF(G257,TODAY(),"Y"))</f>
        <v/>
      </c>
      <c r="I257" s="28" t="n">
        <f aca="false">IF($A257="","",COUNTIFS('🤸 Ingresos Pole'!$W$2:$W$1000,$A257,'🤸 Ingresos Pole'!$L$2:$L$1000,"Paquete"))</f>
        <v>0</v>
      </c>
      <c r="J257" s="28" t="n">
        <f aca="false">IF($A257="","",COUNTIF('🤸 Ingresos Pole'!$W$2:$W$1000,$A257))</f>
        <v>0</v>
      </c>
      <c r="K257" s="29" t="n">
        <f aca="false">IF($A257="","",SUMIF('🤸 Ingresos Pole'!$W$2:$W$1000,$A257,'🤸 Ingresos Pole'!$P$2:$P$1000))</f>
        <v>0</v>
      </c>
      <c r="L257" s="30" t="str">
        <f aca="false">IF(OR($A257="",J257=0),"",_xlfn.MINIFS('🤸 Ingresos Pole'!$B$2:$B$1000,'🤸 Ingresos Pole'!$W$2:$W$1000,$A257))</f>
        <v/>
      </c>
      <c r="M257" s="30" t="str">
        <f aca="false">IF(OR($A257="",J257=0),"",_xlfn.MAXIFS('🤸 Ingresos Pole'!$B$2:$B$1000,'🤸 Ingresos Pole'!$W$2:$W$1000,$A257))</f>
        <v/>
      </c>
      <c r="N257" s="28" t="str">
        <f aca="false">IF(OR($A257="",J257=0),"",IF(I257=0,"Sin paquete",IF(I257=1,"Nueva","Recurrente")))</f>
        <v/>
      </c>
      <c r="O257" s="25" t="str">
        <f aca="false">IF(AND(TRIM(B257)="",TRIM(C257)=""),"",TRIM(B257)&amp;"|"&amp;TRIM(C257))</f>
        <v/>
      </c>
      <c r="P257" s="25" t="str">
        <f aca="false">IF(O257="","",IF(TRIM(C257)="",TRIM(B257),IF(TRIM(B257)="",TRIM(C257),TRIM(B257)&amp;", "&amp;TRIM(C257))))</f>
        <v/>
      </c>
      <c r="Q257" s="25" t="str">
        <f aca="false">IF(O257="","",TRIM(TRIM(C257)&amp;" "&amp;TRIM(B257)))</f>
        <v/>
      </c>
      <c r="R257" s="25" t="str">
        <f aca="false">IF(P257="","",COUNTIFS($P$2:$P$1000,"&lt;"&amp;P257,$P$2:$P$1000,"?*")+COUNTIF($P$2:P257,P257))</f>
        <v/>
      </c>
    </row>
    <row r="258" customFormat="false" ht="14.25" hidden="false" customHeight="true" outlineLevel="0" collapsed="false">
      <c r="A258" s="25" t="s">
        <v>456</v>
      </c>
      <c r="B258" s="25"/>
      <c r="C258" s="25"/>
      <c r="D258" s="26"/>
      <c r="E258" s="25"/>
      <c r="F258" s="25"/>
      <c r="G258" s="27"/>
      <c r="H258" s="28" t="str">
        <f aca="true">IF(G258="","",DATEDIF(G258,TODAY(),"Y"))</f>
        <v/>
      </c>
      <c r="I258" s="28" t="n">
        <f aca="false">IF($A258="","",COUNTIFS('🤸 Ingresos Pole'!$W$2:$W$1000,$A258,'🤸 Ingresos Pole'!$L$2:$L$1000,"Paquete"))</f>
        <v>0</v>
      </c>
      <c r="J258" s="28" t="n">
        <f aca="false">IF($A258="","",COUNTIF('🤸 Ingresos Pole'!$W$2:$W$1000,$A258))</f>
        <v>0</v>
      </c>
      <c r="K258" s="29" t="n">
        <f aca="false">IF($A258="","",SUMIF('🤸 Ingresos Pole'!$W$2:$W$1000,$A258,'🤸 Ingresos Pole'!$P$2:$P$1000))</f>
        <v>0</v>
      </c>
      <c r="L258" s="30" t="str">
        <f aca="false">IF(OR($A258="",J258=0),"",_xlfn.MINIFS('🤸 Ingresos Pole'!$B$2:$B$1000,'🤸 Ingresos Pole'!$W$2:$W$1000,$A258))</f>
        <v/>
      </c>
      <c r="M258" s="30" t="str">
        <f aca="false">IF(OR($A258="",J258=0),"",_xlfn.MAXIFS('🤸 Ingresos Pole'!$B$2:$B$1000,'🤸 Ingresos Pole'!$W$2:$W$1000,$A258))</f>
        <v/>
      </c>
      <c r="N258" s="28" t="str">
        <f aca="false">IF(OR($A258="",J258=0),"",IF(I258=0,"Sin paquete",IF(I258=1,"Nueva","Recurrente")))</f>
        <v/>
      </c>
      <c r="O258" s="25" t="str">
        <f aca="false">IF(AND(TRIM(B258)="",TRIM(C258)=""),"",TRIM(B258)&amp;"|"&amp;TRIM(C258))</f>
        <v/>
      </c>
      <c r="P258" s="25" t="str">
        <f aca="false">IF(O258="","",IF(TRIM(C258)="",TRIM(B258),IF(TRIM(B258)="",TRIM(C258),TRIM(B258)&amp;", "&amp;TRIM(C258))))</f>
        <v/>
      </c>
      <c r="Q258" s="25" t="str">
        <f aca="false">IF(O258="","",TRIM(TRIM(C258)&amp;" "&amp;TRIM(B258)))</f>
        <v/>
      </c>
      <c r="R258" s="25" t="str">
        <f aca="false">IF(P258="","",COUNTIFS($P$2:$P$1000,"&lt;"&amp;P258,$P$2:$P$1000,"?*")+COUNTIF($P$2:P258,P258))</f>
        <v/>
      </c>
    </row>
    <row r="259" customFormat="false" ht="14.25" hidden="false" customHeight="true" outlineLevel="0" collapsed="false">
      <c r="A259" s="25" t="s">
        <v>457</v>
      </c>
      <c r="B259" s="25"/>
      <c r="C259" s="25"/>
      <c r="D259" s="26"/>
      <c r="E259" s="25"/>
      <c r="F259" s="25"/>
      <c r="G259" s="27"/>
      <c r="H259" s="28" t="str">
        <f aca="true">IF(G259="","",DATEDIF(G259,TODAY(),"Y"))</f>
        <v/>
      </c>
      <c r="I259" s="28" t="n">
        <f aca="false">IF($A259="","",COUNTIFS('🤸 Ingresos Pole'!$W$2:$W$1000,$A259,'🤸 Ingresos Pole'!$L$2:$L$1000,"Paquete"))</f>
        <v>0</v>
      </c>
      <c r="J259" s="28" t="n">
        <f aca="false">IF($A259="","",COUNTIF('🤸 Ingresos Pole'!$W$2:$W$1000,$A259))</f>
        <v>0</v>
      </c>
      <c r="K259" s="29" t="n">
        <f aca="false">IF($A259="","",SUMIF('🤸 Ingresos Pole'!$W$2:$W$1000,$A259,'🤸 Ingresos Pole'!$P$2:$P$1000))</f>
        <v>0</v>
      </c>
      <c r="L259" s="30" t="str">
        <f aca="false">IF(OR($A259="",J259=0),"",_xlfn.MINIFS('🤸 Ingresos Pole'!$B$2:$B$1000,'🤸 Ingresos Pole'!$W$2:$W$1000,$A259))</f>
        <v/>
      </c>
      <c r="M259" s="30" t="str">
        <f aca="false">IF(OR($A259="",J259=0),"",_xlfn.MAXIFS('🤸 Ingresos Pole'!$B$2:$B$1000,'🤸 Ingresos Pole'!$W$2:$W$1000,$A259))</f>
        <v/>
      </c>
      <c r="N259" s="28" t="str">
        <f aca="false">IF(OR($A259="",J259=0),"",IF(I259=0,"Sin paquete",IF(I259=1,"Nueva","Recurrente")))</f>
        <v/>
      </c>
      <c r="O259" s="25" t="str">
        <f aca="false">IF(AND(TRIM(B259)="",TRIM(C259)=""),"",TRIM(B259)&amp;"|"&amp;TRIM(C259))</f>
        <v/>
      </c>
      <c r="P259" s="25" t="str">
        <f aca="false">IF(O259="","",IF(TRIM(C259)="",TRIM(B259),IF(TRIM(B259)="",TRIM(C259),TRIM(B259)&amp;", "&amp;TRIM(C259))))</f>
        <v/>
      </c>
      <c r="Q259" s="25" t="str">
        <f aca="false">IF(O259="","",TRIM(TRIM(C259)&amp;" "&amp;TRIM(B259)))</f>
        <v/>
      </c>
      <c r="R259" s="25" t="str">
        <f aca="false">IF(P259="","",COUNTIFS($P$2:$P$1000,"&lt;"&amp;P259,$P$2:$P$1000,"?*")+COUNTIF($P$2:P259,P259))</f>
        <v/>
      </c>
    </row>
    <row r="260" customFormat="false" ht="14.25" hidden="false" customHeight="true" outlineLevel="0" collapsed="false">
      <c r="A260" s="25" t="s">
        <v>458</v>
      </c>
      <c r="B260" s="25"/>
      <c r="C260" s="25"/>
      <c r="D260" s="26"/>
      <c r="E260" s="25"/>
      <c r="F260" s="25"/>
      <c r="G260" s="27"/>
      <c r="H260" s="28" t="str">
        <f aca="true">IF(G260="","",DATEDIF(G260,TODAY(),"Y"))</f>
        <v/>
      </c>
      <c r="I260" s="28" t="n">
        <f aca="false">IF($A260="","",COUNTIFS('🤸 Ingresos Pole'!$W$2:$W$1000,$A260,'🤸 Ingresos Pole'!$L$2:$L$1000,"Paquete"))</f>
        <v>0</v>
      </c>
      <c r="J260" s="28" t="n">
        <f aca="false">IF($A260="","",COUNTIF('🤸 Ingresos Pole'!$W$2:$W$1000,$A260))</f>
        <v>0</v>
      </c>
      <c r="K260" s="29" t="n">
        <f aca="false">IF($A260="","",SUMIF('🤸 Ingresos Pole'!$W$2:$W$1000,$A260,'🤸 Ingresos Pole'!$P$2:$P$1000))</f>
        <v>0</v>
      </c>
      <c r="L260" s="30" t="str">
        <f aca="false">IF(OR($A260="",J260=0),"",_xlfn.MINIFS('🤸 Ingresos Pole'!$B$2:$B$1000,'🤸 Ingresos Pole'!$W$2:$W$1000,$A260))</f>
        <v/>
      </c>
      <c r="M260" s="30" t="str">
        <f aca="false">IF(OR($A260="",J260=0),"",_xlfn.MAXIFS('🤸 Ingresos Pole'!$B$2:$B$1000,'🤸 Ingresos Pole'!$W$2:$W$1000,$A260))</f>
        <v/>
      </c>
      <c r="N260" s="28" t="str">
        <f aca="false">IF(OR($A260="",J260=0),"",IF(I260=0,"Sin paquete",IF(I260=1,"Nueva","Recurrente")))</f>
        <v/>
      </c>
      <c r="O260" s="25" t="str">
        <f aca="false">IF(AND(TRIM(B260)="",TRIM(C260)=""),"",TRIM(B260)&amp;"|"&amp;TRIM(C260))</f>
        <v/>
      </c>
      <c r="P260" s="25" t="str">
        <f aca="false">IF(O260="","",IF(TRIM(C260)="",TRIM(B260),IF(TRIM(B260)="",TRIM(C260),TRIM(B260)&amp;", "&amp;TRIM(C260))))</f>
        <v/>
      </c>
      <c r="Q260" s="25" t="str">
        <f aca="false">IF(O260="","",TRIM(TRIM(C260)&amp;" "&amp;TRIM(B260)))</f>
        <v/>
      </c>
      <c r="R260" s="25" t="str">
        <f aca="false">IF(P260="","",COUNTIFS($P$2:$P$1000,"&lt;"&amp;P260,$P$2:$P$1000,"?*")+COUNTIF($P$2:P260,P260))</f>
        <v/>
      </c>
    </row>
    <row r="261" customFormat="false" ht="14.25" hidden="false" customHeight="true" outlineLevel="0" collapsed="false">
      <c r="A261" s="25" t="s">
        <v>459</v>
      </c>
      <c r="B261" s="25"/>
      <c r="C261" s="25"/>
      <c r="D261" s="26"/>
      <c r="E261" s="25"/>
      <c r="F261" s="25"/>
      <c r="G261" s="27"/>
      <c r="H261" s="28" t="str">
        <f aca="true">IF(G261="","",DATEDIF(G261,TODAY(),"Y"))</f>
        <v/>
      </c>
      <c r="I261" s="28" t="n">
        <f aca="false">IF($A261="","",COUNTIFS('🤸 Ingresos Pole'!$W$2:$W$1000,$A261,'🤸 Ingresos Pole'!$L$2:$L$1000,"Paquete"))</f>
        <v>0</v>
      </c>
      <c r="J261" s="28" t="n">
        <f aca="false">IF($A261="","",COUNTIF('🤸 Ingresos Pole'!$W$2:$W$1000,$A261))</f>
        <v>0</v>
      </c>
      <c r="K261" s="29" t="n">
        <f aca="false">IF($A261="","",SUMIF('🤸 Ingresos Pole'!$W$2:$W$1000,$A261,'🤸 Ingresos Pole'!$P$2:$P$1000))</f>
        <v>0</v>
      </c>
      <c r="L261" s="30" t="str">
        <f aca="false">IF(OR($A261="",J261=0),"",_xlfn.MINIFS('🤸 Ingresos Pole'!$B$2:$B$1000,'🤸 Ingresos Pole'!$W$2:$W$1000,$A261))</f>
        <v/>
      </c>
      <c r="M261" s="30" t="str">
        <f aca="false">IF(OR($A261="",J261=0),"",_xlfn.MAXIFS('🤸 Ingresos Pole'!$B$2:$B$1000,'🤸 Ingresos Pole'!$W$2:$W$1000,$A261))</f>
        <v/>
      </c>
      <c r="N261" s="28" t="str">
        <f aca="false">IF(OR($A261="",J261=0),"",IF(I261=0,"Sin paquete",IF(I261=1,"Nueva","Recurrente")))</f>
        <v/>
      </c>
      <c r="O261" s="25" t="str">
        <f aca="false">IF(AND(TRIM(B261)="",TRIM(C261)=""),"",TRIM(B261)&amp;"|"&amp;TRIM(C261))</f>
        <v/>
      </c>
      <c r="P261" s="25" t="str">
        <f aca="false">IF(O261="","",IF(TRIM(C261)="",TRIM(B261),IF(TRIM(B261)="",TRIM(C261),TRIM(B261)&amp;", "&amp;TRIM(C261))))</f>
        <v/>
      </c>
      <c r="Q261" s="25" t="str">
        <f aca="false">IF(O261="","",TRIM(TRIM(C261)&amp;" "&amp;TRIM(B261)))</f>
        <v/>
      </c>
      <c r="R261" s="25" t="str">
        <f aca="false">IF(P261="","",COUNTIFS($P$2:$P$1000,"&lt;"&amp;P261,$P$2:$P$1000,"?*")+COUNTIF($P$2:P261,P261))</f>
        <v/>
      </c>
    </row>
    <row r="262" customFormat="false" ht="14.25" hidden="false" customHeight="true" outlineLevel="0" collapsed="false">
      <c r="A262" s="25" t="s">
        <v>460</v>
      </c>
      <c r="B262" s="25"/>
      <c r="C262" s="25"/>
      <c r="D262" s="26"/>
      <c r="E262" s="25"/>
      <c r="F262" s="25"/>
      <c r="G262" s="27"/>
      <c r="H262" s="28" t="str">
        <f aca="true">IF(G262="","",DATEDIF(G262,TODAY(),"Y"))</f>
        <v/>
      </c>
      <c r="I262" s="28" t="n">
        <f aca="false">IF($A262="","",COUNTIFS('🤸 Ingresos Pole'!$W$2:$W$1000,$A262,'🤸 Ingresos Pole'!$L$2:$L$1000,"Paquete"))</f>
        <v>0</v>
      </c>
      <c r="J262" s="28" t="n">
        <f aca="false">IF($A262="","",COUNTIF('🤸 Ingresos Pole'!$W$2:$W$1000,$A262))</f>
        <v>0</v>
      </c>
      <c r="K262" s="29" t="n">
        <f aca="false">IF($A262="","",SUMIF('🤸 Ingresos Pole'!$W$2:$W$1000,$A262,'🤸 Ingresos Pole'!$P$2:$P$1000))</f>
        <v>0</v>
      </c>
      <c r="L262" s="30" t="str">
        <f aca="false">IF(OR($A262="",J262=0),"",_xlfn.MINIFS('🤸 Ingresos Pole'!$B$2:$B$1000,'🤸 Ingresos Pole'!$W$2:$W$1000,$A262))</f>
        <v/>
      </c>
      <c r="M262" s="30" t="str">
        <f aca="false">IF(OR($A262="",J262=0),"",_xlfn.MAXIFS('🤸 Ingresos Pole'!$B$2:$B$1000,'🤸 Ingresos Pole'!$W$2:$W$1000,$A262))</f>
        <v/>
      </c>
      <c r="N262" s="28" t="str">
        <f aca="false">IF(OR($A262="",J262=0),"",IF(I262=0,"Sin paquete",IF(I262=1,"Nueva","Recurrente")))</f>
        <v/>
      </c>
      <c r="O262" s="25" t="str">
        <f aca="false">IF(AND(TRIM(B262)="",TRIM(C262)=""),"",TRIM(B262)&amp;"|"&amp;TRIM(C262))</f>
        <v/>
      </c>
      <c r="P262" s="25" t="str">
        <f aca="false">IF(O262="","",IF(TRIM(C262)="",TRIM(B262),IF(TRIM(B262)="",TRIM(C262),TRIM(B262)&amp;", "&amp;TRIM(C262))))</f>
        <v/>
      </c>
      <c r="Q262" s="25" t="str">
        <f aca="false">IF(O262="","",TRIM(TRIM(C262)&amp;" "&amp;TRIM(B262)))</f>
        <v/>
      </c>
      <c r="R262" s="25" t="str">
        <f aca="false">IF(P262="","",COUNTIFS($P$2:$P$1000,"&lt;"&amp;P262,$P$2:$P$1000,"?*")+COUNTIF($P$2:P262,P262))</f>
        <v/>
      </c>
    </row>
    <row r="263" customFormat="false" ht="14.25" hidden="false" customHeight="true" outlineLevel="0" collapsed="false">
      <c r="A263" s="25" t="s">
        <v>461</v>
      </c>
      <c r="B263" s="25"/>
      <c r="C263" s="25"/>
      <c r="D263" s="26"/>
      <c r="E263" s="25"/>
      <c r="F263" s="25"/>
      <c r="G263" s="27"/>
      <c r="H263" s="28" t="str">
        <f aca="true">IF(G263="","",DATEDIF(G263,TODAY(),"Y"))</f>
        <v/>
      </c>
      <c r="I263" s="28" t="n">
        <f aca="false">IF($A263="","",COUNTIFS('🤸 Ingresos Pole'!$W$2:$W$1000,$A263,'🤸 Ingresos Pole'!$L$2:$L$1000,"Paquete"))</f>
        <v>0</v>
      </c>
      <c r="J263" s="28" t="n">
        <f aca="false">IF($A263="","",COUNTIF('🤸 Ingresos Pole'!$W$2:$W$1000,$A263))</f>
        <v>0</v>
      </c>
      <c r="K263" s="29" t="n">
        <f aca="false">IF($A263="","",SUMIF('🤸 Ingresos Pole'!$W$2:$W$1000,$A263,'🤸 Ingresos Pole'!$P$2:$P$1000))</f>
        <v>0</v>
      </c>
      <c r="L263" s="30" t="str">
        <f aca="false">IF(OR($A263="",J263=0),"",_xlfn.MINIFS('🤸 Ingresos Pole'!$B$2:$B$1000,'🤸 Ingresos Pole'!$W$2:$W$1000,$A263))</f>
        <v/>
      </c>
      <c r="M263" s="30" t="str">
        <f aca="false">IF(OR($A263="",J263=0),"",_xlfn.MAXIFS('🤸 Ingresos Pole'!$B$2:$B$1000,'🤸 Ingresos Pole'!$W$2:$W$1000,$A263))</f>
        <v/>
      </c>
      <c r="N263" s="28" t="str">
        <f aca="false">IF(OR($A263="",J263=0),"",IF(I263=0,"Sin paquete",IF(I263=1,"Nueva","Recurrente")))</f>
        <v/>
      </c>
      <c r="O263" s="25" t="str">
        <f aca="false">IF(AND(TRIM(B263)="",TRIM(C263)=""),"",TRIM(B263)&amp;"|"&amp;TRIM(C263))</f>
        <v/>
      </c>
      <c r="P263" s="25" t="str">
        <f aca="false">IF(O263="","",IF(TRIM(C263)="",TRIM(B263),IF(TRIM(B263)="",TRIM(C263),TRIM(B263)&amp;", "&amp;TRIM(C263))))</f>
        <v/>
      </c>
      <c r="Q263" s="25" t="str">
        <f aca="false">IF(O263="","",TRIM(TRIM(C263)&amp;" "&amp;TRIM(B263)))</f>
        <v/>
      </c>
      <c r="R263" s="25" t="str">
        <f aca="false">IF(P263="","",COUNTIFS($P$2:$P$1000,"&lt;"&amp;P263,$P$2:$P$1000,"?*")+COUNTIF($P$2:P263,P263))</f>
        <v/>
      </c>
    </row>
    <row r="264" customFormat="false" ht="14.25" hidden="false" customHeight="true" outlineLevel="0" collapsed="false">
      <c r="A264" s="25" t="s">
        <v>462</v>
      </c>
      <c r="B264" s="25"/>
      <c r="C264" s="25"/>
      <c r="D264" s="26"/>
      <c r="E264" s="25"/>
      <c r="F264" s="25"/>
      <c r="G264" s="27"/>
      <c r="H264" s="28" t="str">
        <f aca="true">IF(G264="","",DATEDIF(G264,TODAY(),"Y"))</f>
        <v/>
      </c>
      <c r="I264" s="28" t="n">
        <f aca="false">IF($A264="","",COUNTIFS('🤸 Ingresos Pole'!$W$2:$W$1000,$A264,'🤸 Ingresos Pole'!$L$2:$L$1000,"Paquete"))</f>
        <v>0</v>
      </c>
      <c r="J264" s="28" t="n">
        <f aca="false">IF($A264="","",COUNTIF('🤸 Ingresos Pole'!$W$2:$W$1000,$A264))</f>
        <v>0</v>
      </c>
      <c r="K264" s="29" t="n">
        <f aca="false">IF($A264="","",SUMIF('🤸 Ingresos Pole'!$W$2:$W$1000,$A264,'🤸 Ingresos Pole'!$P$2:$P$1000))</f>
        <v>0</v>
      </c>
      <c r="L264" s="30" t="str">
        <f aca="false">IF(OR($A264="",J264=0),"",_xlfn.MINIFS('🤸 Ingresos Pole'!$B$2:$B$1000,'🤸 Ingresos Pole'!$W$2:$W$1000,$A264))</f>
        <v/>
      </c>
      <c r="M264" s="30" t="str">
        <f aca="false">IF(OR($A264="",J264=0),"",_xlfn.MAXIFS('🤸 Ingresos Pole'!$B$2:$B$1000,'🤸 Ingresos Pole'!$W$2:$W$1000,$A264))</f>
        <v/>
      </c>
      <c r="N264" s="28" t="str">
        <f aca="false">IF(OR($A264="",J264=0),"",IF(I264=0,"Sin paquete",IF(I264=1,"Nueva","Recurrente")))</f>
        <v/>
      </c>
      <c r="O264" s="25" t="str">
        <f aca="false">IF(AND(TRIM(B264)="",TRIM(C264)=""),"",TRIM(B264)&amp;"|"&amp;TRIM(C264))</f>
        <v/>
      </c>
      <c r="P264" s="25" t="str">
        <f aca="false">IF(O264="","",IF(TRIM(C264)="",TRIM(B264),IF(TRIM(B264)="",TRIM(C264),TRIM(B264)&amp;", "&amp;TRIM(C264))))</f>
        <v/>
      </c>
      <c r="Q264" s="25" t="str">
        <f aca="false">IF(O264="","",TRIM(TRIM(C264)&amp;" "&amp;TRIM(B264)))</f>
        <v/>
      </c>
      <c r="R264" s="25" t="str">
        <f aca="false">IF(P264="","",COUNTIFS($P$2:$P$1000,"&lt;"&amp;P264,$P$2:$P$1000,"?*")+COUNTIF($P$2:P264,P264))</f>
        <v/>
      </c>
    </row>
    <row r="265" customFormat="false" ht="14.25" hidden="false" customHeight="true" outlineLevel="0" collapsed="false">
      <c r="A265" s="25" t="s">
        <v>463</v>
      </c>
      <c r="B265" s="25"/>
      <c r="C265" s="25"/>
      <c r="D265" s="26"/>
      <c r="E265" s="25"/>
      <c r="F265" s="25"/>
      <c r="G265" s="27"/>
      <c r="H265" s="28" t="str">
        <f aca="true">IF(G265="","",DATEDIF(G265,TODAY(),"Y"))</f>
        <v/>
      </c>
      <c r="I265" s="28" t="n">
        <f aca="false">IF($A265="","",COUNTIFS('🤸 Ingresos Pole'!$W$2:$W$1000,$A265,'🤸 Ingresos Pole'!$L$2:$L$1000,"Paquete"))</f>
        <v>0</v>
      </c>
      <c r="J265" s="28" t="n">
        <f aca="false">IF($A265="","",COUNTIF('🤸 Ingresos Pole'!$W$2:$W$1000,$A265))</f>
        <v>0</v>
      </c>
      <c r="K265" s="29" t="n">
        <f aca="false">IF($A265="","",SUMIF('🤸 Ingresos Pole'!$W$2:$W$1000,$A265,'🤸 Ingresos Pole'!$P$2:$P$1000))</f>
        <v>0</v>
      </c>
      <c r="L265" s="30" t="str">
        <f aca="false">IF(OR($A265="",J265=0),"",_xlfn.MINIFS('🤸 Ingresos Pole'!$B$2:$B$1000,'🤸 Ingresos Pole'!$W$2:$W$1000,$A265))</f>
        <v/>
      </c>
      <c r="M265" s="30" t="str">
        <f aca="false">IF(OR($A265="",J265=0),"",_xlfn.MAXIFS('🤸 Ingresos Pole'!$B$2:$B$1000,'🤸 Ingresos Pole'!$W$2:$W$1000,$A265))</f>
        <v/>
      </c>
      <c r="N265" s="28" t="str">
        <f aca="false">IF(OR($A265="",J265=0),"",IF(I265=0,"Sin paquete",IF(I265=1,"Nueva","Recurrente")))</f>
        <v/>
      </c>
      <c r="O265" s="25" t="str">
        <f aca="false">IF(AND(TRIM(B265)="",TRIM(C265)=""),"",TRIM(B265)&amp;"|"&amp;TRIM(C265))</f>
        <v/>
      </c>
      <c r="P265" s="25" t="str">
        <f aca="false">IF(O265="","",IF(TRIM(C265)="",TRIM(B265),IF(TRIM(B265)="",TRIM(C265),TRIM(B265)&amp;", "&amp;TRIM(C265))))</f>
        <v/>
      </c>
      <c r="Q265" s="25" t="str">
        <f aca="false">IF(O265="","",TRIM(TRIM(C265)&amp;" "&amp;TRIM(B265)))</f>
        <v/>
      </c>
      <c r="R265" s="25" t="str">
        <f aca="false">IF(P265="","",COUNTIFS($P$2:$P$1000,"&lt;"&amp;P265,$P$2:$P$1000,"?*")+COUNTIF($P$2:P265,P265))</f>
        <v/>
      </c>
    </row>
    <row r="266" customFormat="false" ht="14.25" hidden="false" customHeight="true" outlineLevel="0" collapsed="false">
      <c r="A266" s="25" t="s">
        <v>464</v>
      </c>
      <c r="B266" s="25"/>
      <c r="C266" s="25"/>
      <c r="D266" s="26"/>
      <c r="E266" s="25"/>
      <c r="F266" s="25"/>
      <c r="G266" s="27"/>
      <c r="H266" s="28" t="str">
        <f aca="true">IF(G266="","",DATEDIF(G266,TODAY(),"Y"))</f>
        <v/>
      </c>
      <c r="I266" s="28" t="n">
        <f aca="false">IF($A266="","",COUNTIFS('🤸 Ingresos Pole'!$W$2:$W$1000,$A266,'🤸 Ingresos Pole'!$L$2:$L$1000,"Paquete"))</f>
        <v>0</v>
      </c>
      <c r="J266" s="28" t="n">
        <f aca="false">IF($A266="","",COUNTIF('🤸 Ingresos Pole'!$W$2:$W$1000,$A266))</f>
        <v>0</v>
      </c>
      <c r="K266" s="29" t="n">
        <f aca="false">IF($A266="","",SUMIF('🤸 Ingresos Pole'!$W$2:$W$1000,$A266,'🤸 Ingresos Pole'!$P$2:$P$1000))</f>
        <v>0</v>
      </c>
      <c r="L266" s="30" t="str">
        <f aca="false">IF(OR($A266="",J266=0),"",_xlfn.MINIFS('🤸 Ingresos Pole'!$B$2:$B$1000,'🤸 Ingresos Pole'!$W$2:$W$1000,$A266))</f>
        <v/>
      </c>
      <c r="M266" s="30" t="str">
        <f aca="false">IF(OR($A266="",J266=0),"",_xlfn.MAXIFS('🤸 Ingresos Pole'!$B$2:$B$1000,'🤸 Ingresos Pole'!$W$2:$W$1000,$A266))</f>
        <v/>
      </c>
      <c r="N266" s="28" t="str">
        <f aca="false">IF(OR($A266="",J266=0),"",IF(I266=0,"Sin paquete",IF(I266=1,"Nueva","Recurrente")))</f>
        <v/>
      </c>
      <c r="O266" s="25" t="str">
        <f aca="false">IF(AND(TRIM(B266)="",TRIM(C266)=""),"",TRIM(B266)&amp;"|"&amp;TRIM(C266))</f>
        <v/>
      </c>
      <c r="P266" s="25" t="str">
        <f aca="false">IF(O266="","",IF(TRIM(C266)="",TRIM(B266),IF(TRIM(B266)="",TRIM(C266),TRIM(B266)&amp;", "&amp;TRIM(C266))))</f>
        <v/>
      </c>
      <c r="Q266" s="25" t="str">
        <f aca="false">IF(O266="","",TRIM(TRIM(C266)&amp;" "&amp;TRIM(B266)))</f>
        <v/>
      </c>
      <c r="R266" s="25" t="str">
        <f aca="false">IF(P266="","",COUNTIFS($P$2:$P$1000,"&lt;"&amp;P266,$P$2:$P$1000,"?*")+COUNTIF($P$2:P266,P266))</f>
        <v/>
      </c>
    </row>
    <row r="267" customFormat="false" ht="14.25" hidden="false" customHeight="true" outlineLevel="0" collapsed="false">
      <c r="A267" s="25" t="s">
        <v>465</v>
      </c>
      <c r="B267" s="25"/>
      <c r="C267" s="25"/>
      <c r="D267" s="26"/>
      <c r="E267" s="25"/>
      <c r="F267" s="25"/>
      <c r="G267" s="27"/>
      <c r="H267" s="28" t="str">
        <f aca="true">IF(G267="","",DATEDIF(G267,TODAY(),"Y"))</f>
        <v/>
      </c>
      <c r="I267" s="28" t="n">
        <f aca="false">IF($A267="","",COUNTIFS('🤸 Ingresos Pole'!$W$2:$W$1000,$A267,'🤸 Ingresos Pole'!$L$2:$L$1000,"Paquete"))</f>
        <v>0</v>
      </c>
      <c r="J267" s="28" t="n">
        <f aca="false">IF($A267="","",COUNTIF('🤸 Ingresos Pole'!$W$2:$W$1000,$A267))</f>
        <v>0</v>
      </c>
      <c r="K267" s="29" t="n">
        <f aca="false">IF($A267="","",SUMIF('🤸 Ingresos Pole'!$W$2:$W$1000,$A267,'🤸 Ingresos Pole'!$P$2:$P$1000))</f>
        <v>0</v>
      </c>
      <c r="L267" s="30" t="str">
        <f aca="false">IF(OR($A267="",J267=0),"",_xlfn.MINIFS('🤸 Ingresos Pole'!$B$2:$B$1000,'🤸 Ingresos Pole'!$W$2:$W$1000,$A267))</f>
        <v/>
      </c>
      <c r="M267" s="30" t="str">
        <f aca="false">IF(OR($A267="",J267=0),"",_xlfn.MAXIFS('🤸 Ingresos Pole'!$B$2:$B$1000,'🤸 Ingresos Pole'!$W$2:$W$1000,$A267))</f>
        <v/>
      </c>
      <c r="N267" s="28" t="str">
        <f aca="false">IF(OR($A267="",J267=0),"",IF(I267=0,"Sin paquete",IF(I267=1,"Nueva","Recurrente")))</f>
        <v/>
      </c>
      <c r="O267" s="25" t="str">
        <f aca="false">IF(AND(TRIM(B267)="",TRIM(C267)=""),"",TRIM(B267)&amp;"|"&amp;TRIM(C267))</f>
        <v/>
      </c>
      <c r="P267" s="25" t="str">
        <f aca="false">IF(O267="","",IF(TRIM(C267)="",TRIM(B267),IF(TRIM(B267)="",TRIM(C267),TRIM(B267)&amp;", "&amp;TRIM(C267))))</f>
        <v/>
      </c>
      <c r="Q267" s="25" t="str">
        <f aca="false">IF(O267="","",TRIM(TRIM(C267)&amp;" "&amp;TRIM(B267)))</f>
        <v/>
      </c>
      <c r="R267" s="25" t="str">
        <f aca="false">IF(P267="","",COUNTIFS($P$2:$P$1000,"&lt;"&amp;P267,$P$2:$P$1000,"?*")+COUNTIF($P$2:P267,P267))</f>
        <v/>
      </c>
    </row>
    <row r="268" customFormat="false" ht="14.25" hidden="false" customHeight="true" outlineLevel="0" collapsed="false">
      <c r="A268" s="25" t="s">
        <v>466</v>
      </c>
      <c r="B268" s="25"/>
      <c r="C268" s="25"/>
      <c r="D268" s="26"/>
      <c r="E268" s="25"/>
      <c r="F268" s="25"/>
      <c r="G268" s="27"/>
      <c r="H268" s="28" t="str">
        <f aca="true">IF(G268="","",DATEDIF(G268,TODAY(),"Y"))</f>
        <v/>
      </c>
      <c r="I268" s="28" t="n">
        <f aca="false">IF($A268="","",COUNTIFS('🤸 Ingresos Pole'!$W$2:$W$1000,$A268,'🤸 Ingresos Pole'!$L$2:$L$1000,"Paquete"))</f>
        <v>0</v>
      </c>
      <c r="J268" s="28" t="n">
        <f aca="false">IF($A268="","",COUNTIF('🤸 Ingresos Pole'!$W$2:$W$1000,$A268))</f>
        <v>0</v>
      </c>
      <c r="K268" s="29" t="n">
        <f aca="false">IF($A268="","",SUMIF('🤸 Ingresos Pole'!$W$2:$W$1000,$A268,'🤸 Ingresos Pole'!$P$2:$P$1000))</f>
        <v>0</v>
      </c>
      <c r="L268" s="30" t="str">
        <f aca="false">IF(OR($A268="",J268=0),"",_xlfn.MINIFS('🤸 Ingresos Pole'!$B$2:$B$1000,'🤸 Ingresos Pole'!$W$2:$W$1000,$A268))</f>
        <v/>
      </c>
      <c r="M268" s="30" t="str">
        <f aca="false">IF(OR($A268="",J268=0),"",_xlfn.MAXIFS('🤸 Ingresos Pole'!$B$2:$B$1000,'🤸 Ingresos Pole'!$W$2:$W$1000,$A268))</f>
        <v/>
      </c>
      <c r="N268" s="28" t="str">
        <f aca="false">IF(OR($A268="",J268=0),"",IF(I268=0,"Sin paquete",IF(I268=1,"Nueva","Recurrente")))</f>
        <v/>
      </c>
      <c r="O268" s="25" t="str">
        <f aca="false">IF(AND(TRIM(B268)="",TRIM(C268)=""),"",TRIM(B268)&amp;"|"&amp;TRIM(C268))</f>
        <v/>
      </c>
      <c r="P268" s="25" t="str">
        <f aca="false">IF(O268="","",IF(TRIM(C268)="",TRIM(B268),IF(TRIM(B268)="",TRIM(C268),TRIM(B268)&amp;", "&amp;TRIM(C268))))</f>
        <v/>
      </c>
      <c r="Q268" s="25" t="str">
        <f aca="false">IF(O268="","",TRIM(TRIM(C268)&amp;" "&amp;TRIM(B268)))</f>
        <v/>
      </c>
      <c r="R268" s="25" t="str">
        <f aca="false">IF(P268="","",COUNTIFS($P$2:$P$1000,"&lt;"&amp;P268,$P$2:$P$1000,"?*")+COUNTIF($P$2:P268,P268))</f>
        <v/>
      </c>
    </row>
    <row r="269" customFormat="false" ht="14.25" hidden="false" customHeight="true" outlineLevel="0" collapsed="false">
      <c r="A269" s="25" t="s">
        <v>467</v>
      </c>
      <c r="B269" s="25"/>
      <c r="C269" s="25"/>
      <c r="D269" s="26"/>
      <c r="E269" s="25"/>
      <c r="F269" s="25"/>
      <c r="G269" s="27"/>
      <c r="H269" s="28" t="str">
        <f aca="true">IF(G269="","",DATEDIF(G269,TODAY(),"Y"))</f>
        <v/>
      </c>
      <c r="I269" s="28" t="n">
        <f aca="false">IF($A269="","",COUNTIFS('🤸 Ingresos Pole'!$W$2:$W$1000,$A269,'🤸 Ingresos Pole'!$L$2:$L$1000,"Paquete"))</f>
        <v>0</v>
      </c>
      <c r="J269" s="28" t="n">
        <f aca="false">IF($A269="","",COUNTIF('🤸 Ingresos Pole'!$W$2:$W$1000,$A269))</f>
        <v>0</v>
      </c>
      <c r="K269" s="29" t="n">
        <f aca="false">IF($A269="","",SUMIF('🤸 Ingresos Pole'!$W$2:$W$1000,$A269,'🤸 Ingresos Pole'!$P$2:$P$1000))</f>
        <v>0</v>
      </c>
      <c r="L269" s="30" t="str">
        <f aca="false">IF(OR($A269="",J269=0),"",_xlfn.MINIFS('🤸 Ingresos Pole'!$B$2:$B$1000,'🤸 Ingresos Pole'!$W$2:$W$1000,$A269))</f>
        <v/>
      </c>
      <c r="M269" s="30" t="str">
        <f aca="false">IF(OR($A269="",J269=0),"",_xlfn.MAXIFS('🤸 Ingresos Pole'!$B$2:$B$1000,'🤸 Ingresos Pole'!$W$2:$W$1000,$A269))</f>
        <v/>
      </c>
      <c r="N269" s="28" t="str">
        <f aca="false">IF(OR($A269="",J269=0),"",IF(I269=0,"Sin paquete",IF(I269=1,"Nueva","Recurrente")))</f>
        <v/>
      </c>
      <c r="O269" s="25" t="str">
        <f aca="false">IF(AND(TRIM(B269)="",TRIM(C269)=""),"",TRIM(B269)&amp;"|"&amp;TRIM(C269))</f>
        <v/>
      </c>
      <c r="P269" s="25" t="str">
        <f aca="false">IF(O269="","",IF(TRIM(C269)="",TRIM(B269),IF(TRIM(B269)="",TRIM(C269),TRIM(B269)&amp;", "&amp;TRIM(C269))))</f>
        <v/>
      </c>
      <c r="Q269" s="25" t="str">
        <f aca="false">IF(O269="","",TRIM(TRIM(C269)&amp;" "&amp;TRIM(B269)))</f>
        <v/>
      </c>
      <c r="R269" s="25" t="str">
        <f aca="false">IF(P269="","",COUNTIFS($P$2:$P$1000,"&lt;"&amp;P269,$P$2:$P$1000,"?*")+COUNTIF($P$2:P269,P269))</f>
        <v/>
      </c>
    </row>
    <row r="270" customFormat="false" ht="14.25" hidden="false" customHeight="true" outlineLevel="0" collapsed="false">
      <c r="A270" s="25" t="s">
        <v>468</v>
      </c>
      <c r="B270" s="25"/>
      <c r="C270" s="25"/>
      <c r="D270" s="26"/>
      <c r="E270" s="25"/>
      <c r="F270" s="25"/>
      <c r="G270" s="27"/>
      <c r="H270" s="28" t="str">
        <f aca="true">IF(G270="","",DATEDIF(G270,TODAY(),"Y"))</f>
        <v/>
      </c>
      <c r="I270" s="28" t="n">
        <f aca="false">IF($A270="","",COUNTIFS('🤸 Ingresos Pole'!$W$2:$W$1000,$A270,'🤸 Ingresos Pole'!$L$2:$L$1000,"Paquete"))</f>
        <v>0</v>
      </c>
      <c r="J270" s="28" t="n">
        <f aca="false">IF($A270="","",COUNTIF('🤸 Ingresos Pole'!$W$2:$W$1000,$A270))</f>
        <v>0</v>
      </c>
      <c r="K270" s="29" t="n">
        <f aca="false">IF($A270="","",SUMIF('🤸 Ingresos Pole'!$W$2:$W$1000,$A270,'🤸 Ingresos Pole'!$P$2:$P$1000))</f>
        <v>0</v>
      </c>
      <c r="L270" s="30" t="str">
        <f aca="false">IF(OR($A270="",J270=0),"",_xlfn.MINIFS('🤸 Ingresos Pole'!$B$2:$B$1000,'🤸 Ingresos Pole'!$W$2:$W$1000,$A270))</f>
        <v/>
      </c>
      <c r="M270" s="30" t="str">
        <f aca="false">IF(OR($A270="",J270=0),"",_xlfn.MAXIFS('🤸 Ingresos Pole'!$B$2:$B$1000,'🤸 Ingresos Pole'!$W$2:$W$1000,$A270))</f>
        <v/>
      </c>
      <c r="N270" s="28" t="str">
        <f aca="false">IF(OR($A270="",J270=0),"",IF(I270=0,"Sin paquete",IF(I270=1,"Nueva","Recurrente")))</f>
        <v/>
      </c>
      <c r="O270" s="25" t="str">
        <f aca="false">IF(AND(TRIM(B270)="",TRIM(C270)=""),"",TRIM(B270)&amp;"|"&amp;TRIM(C270))</f>
        <v/>
      </c>
      <c r="P270" s="25" t="str">
        <f aca="false">IF(O270="","",IF(TRIM(C270)="",TRIM(B270),IF(TRIM(B270)="",TRIM(C270),TRIM(B270)&amp;", "&amp;TRIM(C270))))</f>
        <v/>
      </c>
      <c r="Q270" s="25" t="str">
        <f aca="false">IF(O270="","",TRIM(TRIM(C270)&amp;" "&amp;TRIM(B270)))</f>
        <v/>
      </c>
      <c r="R270" s="25" t="str">
        <f aca="false">IF(P270="","",COUNTIFS($P$2:$P$1000,"&lt;"&amp;P270,$P$2:$P$1000,"?*")+COUNTIF($P$2:P270,P270))</f>
        <v/>
      </c>
    </row>
    <row r="271" customFormat="false" ht="14.25" hidden="false" customHeight="true" outlineLevel="0" collapsed="false">
      <c r="A271" s="25" t="s">
        <v>469</v>
      </c>
      <c r="B271" s="25"/>
      <c r="C271" s="25"/>
      <c r="D271" s="26"/>
      <c r="E271" s="25"/>
      <c r="F271" s="25"/>
      <c r="G271" s="27"/>
      <c r="H271" s="28" t="str">
        <f aca="true">IF(G271="","",DATEDIF(G271,TODAY(),"Y"))</f>
        <v/>
      </c>
      <c r="I271" s="28" t="n">
        <f aca="false">IF($A271="","",COUNTIFS('🤸 Ingresos Pole'!$W$2:$W$1000,$A271,'🤸 Ingresos Pole'!$L$2:$L$1000,"Paquete"))</f>
        <v>0</v>
      </c>
      <c r="J271" s="28" t="n">
        <f aca="false">IF($A271="","",COUNTIF('🤸 Ingresos Pole'!$W$2:$W$1000,$A271))</f>
        <v>0</v>
      </c>
      <c r="K271" s="29" t="n">
        <f aca="false">IF($A271="","",SUMIF('🤸 Ingresos Pole'!$W$2:$W$1000,$A271,'🤸 Ingresos Pole'!$P$2:$P$1000))</f>
        <v>0</v>
      </c>
      <c r="L271" s="30" t="str">
        <f aca="false">IF(OR($A271="",J271=0),"",_xlfn.MINIFS('🤸 Ingresos Pole'!$B$2:$B$1000,'🤸 Ingresos Pole'!$W$2:$W$1000,$A271))</f>
        <v/>
      </c>
      <c r="M271" s="30" t="str">
        <f aca="false">IF(OR($A271="",J271=0),"",_xlfn.MAXIFS('🤸 Ingresos Pole'!$B$2:$B$1000,'🤸 Ingresos Pole'!$W$2:$W$1000,$A271))</f>
        <v/>
      </c>
      <c r="N271" s="28" t="str">
        <f aca="false">IF(OR($A271="",J271=0),"",IF(I271=0,"Sin paquete",IF(I271=1,"Nueva","Recurrente")))</f>
        <v/>
      </c>
      <c r="O271" s="25" t="str">
        <f aca="false">IF(AND(TRIM(B271)="",TRIM(C271)=""),"",TRIM(B271)&amp;"|"&amp;TRIM(C271))</f>
        <v/>
      </c>
      <c r="P271" s="25" t="str">
        <f aca="false">IF(O271="","",IF(TRIM(C271)="",TRIM(B271),IF(TRIM(B271)="",TRIM(C271),TRIM(B271)&amp;", "&amp;TRIM(C271))))</f>
        <v/>
      </c>
      <c r="Q271" s="25" t="str">
        <f aca="false">IF(O271="","",TRIM(TRIM(C271)&amp;" "&amp;TRIM(B271)))</f>
        <v/>
      </c>
      <c r="R271" s="25" t="str">
        <f aca="false">IF(P271="","",COUNTIFS($P$2:$P$1000,"&lt;"&amp;P271,$P$2:$P$1000,"?*")+COUNTIF($P$2:P271,P271))</f>
        <v/>
      </c>
    </row>
    <row r="272" customFormat="false" ht="14.25" hidden="false" customHeight="true" outlineLevel="0" collapsed="false">
      <c r="A272" s="25" t="s">
        <v>470</v>
      </c>
      <c r="B272" s="25"/>
      <c r="C272" s="25"/>
      <c r="D272" s="26"/>
      <c r="E272" s="25"/>
      <c r="F272" s="25"/>
      <c r="G272" s="27"/>
      <c r="H272" s="28" t="str">
        <f aca="true">IF(G272="","",DATEDIF(G272,TODAY(),"Y"))</f>
        <v/>
      </c>
      <c r="I272" s="28" t="n">
        <f aca="false">IF($A272="","",COUNTIFS('🤸 Ingresos Pole'!$W$2:$W$1000,$A272,'🤸 Ingresos Pole'!$L$2:$L$1000,"Paquete"))</f>
        <v>0</v>
      </c>
      <c r="J272" s="28" t="n">
        <f aca="false">IF($A272="","",COUNTIF('🤸 Ingresos Pole'!$W$2:$W$1000,$A272))</f>
        <v>0</v>
      </c>
      <c r="K272" s="29" t="n">
        <f aca="false">IF($A272="","",SUMIF('🤸 Ingresos Pole'!$W$2:$W$1000,$A272,'🤸 Ingresos Pole'!$P$2:$P$1000))</f>
        <v>0</v>
      </c>
      <c r="L272" s="30" t="str">
        <f aca="false">IF(OR($A272="",J272=0),"",_xlfn.MINIFS('🤸 Ingresos Pole'!$B$2:$B$1000,'🤸 Ingresos Pole'!$W$2:$W$1000,$A272))</f>
        <v/>
      </c>
      <c r="M272" s="30" t="str">
        <f aca="false">IF(OR($A272="",J272=0),"",_xlfn.MAXIFS('🤸 Ingresos Pole'!$B$2:$B$1000,'🤸 Ingresos Pole'!$W$2:$W$1000,$A272))</f>
        <v/>
      </c>
      <c r="N272" s="28" t="str">
        <f aca="false">IF(OR($A272="",J272=0),"",IF(I272=0,"Sin paquete",IF(I272=1,"Nueva","Recurrente")))</f>
        <v/>
      </c>
      <c r="O272" s="25" t="str">
        <f aca="false">IF(AND(TRIM(B272)="",TRIM(C272)=""),"",TRIM(B272)&amp;"|"&amp;TRIM(C272))</f>
        <v/>
      </c>
      <c r="P272" s="25" t="str">
        <f aca="false">IF(O272="","",IF(TRIM(C272)="",TRIM(B272),IF(TRIM(B272)="",TRIM(C272),TRIM(B272)&amp;", "&amp;TRIM(C272))))</f>
        <v/>
      </c>
      <c r="Q272" s="25" t="str">
        <f aca="false">IF(O272="","",TRIM(TRIM(C272)&amp;" "&amp;TRIM(B272)))</f>
        <v/>
      </c>
      <c r="R272" s="25" t="str">
        <f aca="false">IF(P272="","",COUNTIFS($P$2:$P$1000,"&lt;"&amp;P272,$P$2:$P$1000,"?*")+COUNTIF($P$2:P272,P272))</f>
        <v/>
      </c>
    </row>
    <row r="273" customFormat="false" ht="14.25" hidden="false" customHeight="true" outlineLevel="0" collapsed="false">
      <c r="A273" s="25" t="s">
        <v>471</v>
      </c>
      <c r="B273" s="25"/>
      <c r="C273" s="25"/>
      <c r="D273" s="26"/>
      <c r="E273" s="25"/>
      <c r="F273" s="25"/>
      <c r="G273" s="27"/>
      <c r="H273" s="28" t="str">
        <f aca="true">IF(G273="","",DATEDIF(G273,TODAY(),"Y"))</f>
        <v/>
      </c>
      <c r="I273" s="28" t="n">
        <f aca="false">IF($A273="","",COUNTIFS('🤸 Ingresos Pole'!$W$2:$W$1000,$A273,'🤸 Ingresos Pole'!$L$2:$L$1000,"Paquete"))</f>
        <v>0</v>
      </c>
      <c r="J273" s="28" t="n">
        <f aca="false">IF($A273="","",COUNTIF('🤸 Ingresos Pole'!$W$2:$W$1000,$A273))</f>
        <v>0</v>
      </c>
      <c r="K273" s="29" t="n">
        <f aca="false">IF($A273="","",SUMIF('🤸 Ingresos Pole'!$W$2:$W$1000,$A273,'🤸 Ingresos Pole'!$P$2:$P$1000))</f>
        <v>0</v>
      </c>
      <c r="L273" s="30" t="str">
        <f aca="false">IF(OR($A273="",J273=0),"",_xlfn.MINIFS('🤸 Ingresos Pole'!$B$2:$B$1000,'🤸 Ingresos Pole'!$W$2:$W$1000,$A273))</f>
        <v/>
      </c>
      <c r="M273" s="30" t="str">
        <f aca="false">IF(OR($A273="",J273=0),"",_xlfn.MAXIFS('🤸 Ingresos Pole'!$B$2:$B$1000,'🤸 Ingresos Pole'!$W$2:$W$1000,$A273))</f>
        <v/>
      </c>
      <c r="N273" s="28" t="str">
        <f aca="false">IF(OR($A273="",J273=0),"",IF(I273=0,"Sin paquete",IF(I273=1,"Nueva","Recurrente")))</f>
        <v/>
      </c>
      <c r="O273" s="25" t="str">
        <f aca="false">IF(AND(TRIM(B273)="",TRIM(C273)=""),"",TRIM(B273)&amp;"|"&amp;TRIM(C273))</f>
        <v/>
      </c>
      <c r="P273" s="25" t="str">
        <f aca="false">IF(O273="","",IF(TRIM(C273)="",TRIM(B273),IF(TRIM(B273)="",TRIM(C273),TRIM(B273)&amp;", "&amp;TRIM(C273))))</f>
        <v/>
      </c>
      <c r="Q273" s="25" t="str">
        <f aca="false">IF(O273="","",TRIM(TRIM(C273)&amp;" "&amp;TRIM(B273)))</f>
        <v/>
      </c>
      <c r="R273" s="25" t="str">
        <f aca="false">IF(P273="","",COUNTIFS($P$2:$P$1000,"&lt;"&amp;P273,$P$2:$P$1000,"?*")+COUNTIF($P$2:P273,P273))</f>
        <v/>
      </c>
    </row>
    <row r="274" customFormat="false" ht="14.25" hidden="false" customHeight="true" outlineLevel="0" collapsed="false">
      <c r="A274" s="25" t="s">
        <v>472</v>
      </c>
      <c r="B274" s="25"/>
      <c r="C274" s="25"/>
      <c r="D274" s="26"/>
      <c r="E274" s="25"/>
      <c r="F274" s="25"/>
      <c r="G274" s="27"/>
      <c r="H274" s="28" t="str">
        <f aca="true">IF(G274="","",DATEDIF(G274,TODAY(),"Y"))</f>
        <v/>
      </c>
      <c r="I274" s="28" t="n">
        <f aca="false">IF($A274="","",COUNTIFS('🤸 Ingresos Pole'!$W$2:$W$1000,$A274,'🤸 Ingresos Pole'!$L$2:$L$1000,"Paquete"))</f>
        <v>0</v>
      </c>
      <c r="J274" s="28" t="n">
        <f aca="false">IF($A274="","",COUNTIF('🤸 Ingresos Pole'!$W$2:$W$1000,$A274))</f>
        <v>0</v>
      </c>
      <c r="K274" s="29" t="n">
        <f aca="false">IF($A274="","",SUMIF('🤸 Ingresos Pole'!$W$2:$W$1000,$A274,'🤸 Ingresos Pole'!$P$2:$P$1000))</f>
        <v>0</v>
      </c>
      <c r="L274" s="30" t="str">
        <f aca="false">IF(OR($A274="",J274=0),"",_xlfn.MINIFS('🤸 Ingresos Pole'!$B$2:$B$1000,'🤸 Ingresos Pole'!$W$2:$W$1000,$A274))</f>
        <v/>
      </c>
      <c r="M274" s="30" t="str">
        <f aca="false">IF(OR($A274="",J274=0),"",_xlfn.MAXIFS('🤸 Ingresos Pole'!$B$2:$B$1000,'🤸 Ingresos Pole'!$W$2:$W$1000,$A274))</f>
        <v/>
      </c>
      <c r="N274" s="28" t="str">
        <f aca="false">IF(OR($A274="",J274=0),"",IF(I274=0,"Sin paquete",IF(I274=1,"Nueva","Recurrente")))</f>
        <v/>
      </c>
      <c r="O274" s="25" t="str">
        <f aca="false">IF(AND(TRIM(B274)="",TRIM(C274)=""),"",TRIM(B274)&amp;"|"&amp;TRIM(C274))</f>
        <v/>
      </c>
      <c r="P274" s="25" t="str">
        <f aca="false">IF(O274="","",IF(TRIM(C274)="",TRIM(B274),IF(TRIM(B274)="",TRIM(C274),TRIM(B274)&amp;", "&amp;TRIM(C274))))</f>
        <v/>
      </c>
      <c r="Q274" s="25" t="str">
        <f aca="false">IF(O274="","",TRIM(TRIM(C274)&amp;" "&amp;TRIM(B274)))</f>
        <v/>
      </c>
      <c r="R274" s="25" t="str">
        <f aca="false">IF(P274="","",COUNTIFS($P$2:$P$1000,"&lt;"&amp;P274,$P$2:$P$1000,"?*")+COUNTIF($P$2:P274,P274))</f>
        <v/>
      </c>
    </row>
    <row r="275" customFormat="false" ht="14.25" hidden="false" customHeight="true" outlineLevel="0" collapsed="false">
      <c r="A275" s="25" t="s">
        <v>473</v>
      </c>
      <c r="B275" s="25"/>
      <c r="C275" s="25"/>
      <c r="D275" s="26"/>
      <c r="E275" s="25"/>
      <c r="F275" s="25"/>
      <c r="G275" s="27"/>
      <c r="H275" s="28" t="str">
        <f aca="true">IF(G275="","",DATEDIF(G275,TODAY(),"Y"))</f>
        <v/>
      </c>
      <c r="I275" s="28" t="n">
        <f aca="false">IF($A275="","",COUNTIFS('🤸 Ingresos Pole'!$W$2:$W$1000,$A275,'🤸 Ingresos Pole'!$L$2:$L$1000,"Paquete"))</f>
        <v>0</v>
      </c>
      <c r="J275" s="28" t="n">
        <f aca="false">IF($A275="","",COUNTIF('🤸 Ingresos Pole'!$W$2:$W$1000,$A275))</f>
        <v>0</v>
      </c>
      <c r="K275" s="29" t="n">
        <f aca="false">IF($A275="","",SUMIF('🤸 Ingresos Pole'!$W$2:$W$1000,$A275,'🤸 Ingresos Pole'!$P$2:$P$1000))</f>
        <v>0</v>
      </c>
      <c r="L275" s="30" t="str">
        <f aca="false">IF(OR($A275="",J275=0),"",_xlfn.MINIFS('🤸 Ingresos Pole'!$B$2:$B$1000,'🤸 Ingresos Pole'!$W$2:$W$1000,$A275))</f>
        <v/>
      </c>
      <c r="M275" s="30" t="str">
        <f aca="false">IF(OR($A275="",J275=0),"",_xlfn.MAXIFS('🤸 Ingresos Pole'!$B$2:$B$1000,'🤸 Ingresos Pole'!$W$2:$W$1000,$A275))</f>
        <v/>
      </c>
      <c r="N275" s="28" t="str">
        <f aca="false">IF(OR($A275="",J275=0),"",IF(I275=0,"Sin paquete",IF(I275=1,"Nueva","Recurrente")))</f>
        <v/>
      </c>
      <c r="O275" s="25" t="str">
        <f aca="false">IF(AND(TRIM(B275)="",TRIM(C275)=""),"",TRIM(B275)&amp;"|"&amp;TRIM(C275))</f>
        <v/>
      </c>
      <c r="P275" s="25" t="str">
        <f aca="false">IF(O275="","",IF(TRIM(C275)="",TRIM(B275),IF(TRIM(B275)="",TRIM(C275),TRIM(B275)&amp;", "&amp;TRIM(C275))))</f>
        <v/>
      </c>
      <c r="Q275" s="25" t="str">
        <f aca="false">IF(O275="","",TRIM(TRIM(C275)&amp;" "&amp;TRIM(B275)))</f>
        <v/>
      </c>
      <c r="R275" s="25" t="str">
        <f aca="false">IF(P275="","",COUNTIFS($P$2:$P$1000,"&lt;"&amp;P275,$P$2:$P$1000,"?*")+COUNTIF($P$2:P275,P275))</f>
        <v/>
      </c>
    </row>
    <row r="276" customFormat="false" ht="14.25" hidden="false" customHeight="true" outlineLevel="0" collapsed="false">
      <c r="A276" s="25" t="s">
        <v>474</v>
      </c>
      <c r="B276" s="25"/>
      <c r="C276" s="25"/>
      <c r="D276" s="26"/>
      <c r="E276" s="25"/>
      <c r="F276" s="25"/>
      <c r="G276" s="27"/>
      <c r="H276" s="28" t="str">
        <f aca="true">IF(G276="","",DATEDIF(G276,TODAY(),"Y"))</f>
        <v/>
      </c>
      <c r="I276" s="28" t="n">
        <f aca="false">IF($A276="","",COUNTIFS('🤸 Ingresos Pole'!$W$2:$W$1000,$A276,'🤸 Ingresos Pole'!$L$2:$L$1000,"Paquete"))</f>
        <v>0</v>
      </c>
      <c r="J276" s="28" t="n">
        <f aca="false">IF($A276="","",COUNTIF('🤸 Ingresos Pole'!$W$2:$W$1000,$A276))</f>
        <v>0</v>
      </c>
      <c r="K276" s="29" t="n">
        <f aca="false">IF($A276="","",SUMIF('🤸 Ingresos Pole'!$W$2:$W$1000,$A276,'🤸 Ingresos Pole'!$P$2:$P$1000))</f>
        <v>0</v>
      </c>
      <c r="L276" s="30" t="str">
        <f aca="false">IF(OR($A276="",J276=0),"",_xlfn.MINIFS('🤸 Ingresos Pole'!$B$2:$B$1000,'🤸 Ingresos Pole'!$W$2:$W$1000,$A276))</f>
        <v/>
      </c>
      <c r="M276" s="30" t="str">
        <f aca="false">IF(OR($A276="",J276=0),"",_xlfn.MAXIFS('🤸 Ingresos Pole'!$B$2:$B$1000,'🤸 Ingresos Pole'!$W$2:$W$1000,$A276))</f>
        <v/>
      </c>
      <c r="N276" s="28" t="str">
        <f aca="false">IF(OR($A276="",J276=0),"",IF(I276=0,"Sin paquete",IF(I276=1,"Nueva","Recurrente")))</f>
        <v/>
      </c>
      <c r="O276" s="25" t="str">
        <f aca="false">IF(AND(TRIM(B276)="",TRIM(C276)=""),"",TRIM(B276)&amp;"|"&amp;TRIM(C276))</f>
        <v/>
      </c>
      <c r="P276" s="25" t="str">
        <f aca="false">IF(O276="","",IF(TRIM(C276)="",TRIM(B276),IF(TRIM(B276)="",TRIM(C276),TRIM(B276)&amp;", "&amp;TRIM(C276))))</f>
        <v/>
      </c>
      <c r="Q276" s="25" t="str">
        <f aca="false">IF(O276="","",TRIM(TRIM(C276)&amp;" "&amp;TRIM(B276)))</f>
        <v/>
      </c>
      <c r="R276" s="25" t="str">
        <f aca="false">IF(P276="","",COUNTIFS($P$2:$P$1000,"&lt;"&amp;P276,$P$2:$P$1000,"?*")+COUNTIF($P$2:P276,P276))</f>
        <v/>
      </c>
    </row>
    <row r="277" customFormat="false" ht="14.25" hidden="false" customHeight="true" outlineLevel="0" collapsed="false">
      <c r="A277" s="25" t="s">
        <v>475</v>
      </c>
      <c r="B277" s="25"/>
      <c r="C277" s="25"/>
      <c r="D277" s="26"/>
      <c r="E277" s="25"/>
      <c r="F277" s="25"/>
      <c r="G277" s="27"/>
      <c r="H277" s="28" t="str">
        <f aca="true">IF(G277="","",DATEDIF(G277,TODAY(),"Y"))</f>
        <v/>
      </c>
      <c r="I277" s="28" t="n">
        <f aca="false">IF($A277="","",COUNTIFS('🤸 Ingresos Pole'!$W$2:$W$1000,$A277,'🤸 Ingresos Pole'!$L$2:$L$1000,"Paquete"))</f>
        <v>0</v>
      </c>
      <c r="J277" s="28" t="n">
        <f aca="false">IF($A277="","",COUNTIF('🤸 Ingresos Pole'!$W$2:$W$1000,$A277))</f>
        <v>0</v>
      </c>
      <c r="K277" s="29" t="n">
        <f aca="false">IF($A277="","",SUMIF('🤸 Ingresos Pole'!$W$2:$W$1000,$A277,'🤸 Ingresos Pole'!$P$2:$P$1000))</f>
        <v>0</v>
      </c>
      <c r="L277" s="30" t="str">
        <f aca="false">IF(OR($A277="",J277=0),"",_xlfn.MINIFS('🤸 Ingresos Pole'!$B$2:$B$1000,'🤸 Ingresos Pole'!$W$2:$W$1000,$A277))</f>
        <v/>
      </c>
      <c r="M277" s="30" t="str">
        <f aca="false">IF(OR($A277="",J277=0),"",_xlfn.MAXIFS('🤸 Ingresos Pole'!$B$2:$B$1000,'🤸 Ingresos Pole'!$W$2:$W$1000,$A277))</f>
        <v/>
      </c>
      <c r="N277" s="28" t="str">
        <f aca="false">IF(OR($A277="",J277=0),"",IF(I277=0,"Sin paquete",IF(I277=1,"Nueva","Recurrente")))</f>
        <v/>
      </c>
      <c r="O277" s="25" t="str">
        <f aca="false">IF(AND(TRIM(B277)="",TRIM(C277)=""),"",TRIM(B277)&amp;"|"&amp;TRIM(C277))</f>
        <v/>
      </c>
      <c r="P277" s="25" t="str">
        <f aca="false">IF(O277="","",IF(TRIM(C277)="",TRIM(B277),IF(TRIM(B277)="",TRIM(C277),TRIM(B277)&amp;", "&amp;TRIM(C277))))</f>
        <v/>
      </c>
      <c r="Q277" s="25" t="str">
        <f aca="false">IF(O277="","",TRIM(TRIM(C277)&amp;" "&amp;TRIM(B277)))</f>
        <v/>
      </c>
      <c r="R277" s="25" t="str">
        <f aca="false">IF(P277="","",COUNTIFS($P$2:$P$1000,"&lt;"&amp;P277,$P$2:$P$1000,"?*")+COUNTIF($P$2:P277,P277))</f>
        <v/>
      </c>
    </row>
    <row r="278" customFormat="false" ht="14.25" hidden="false" customHeight="true" outlineLevel="0" collapsed="false">
      <c r="A278" s="25" t="s">
        <v>476</v>
      </c>
      <c r="B278" s="25"/>
      <c r="C278" s="25"/>
      <c r="D278" s="26"/>
      <c r="E278" s="25"/>
      <c r="F278" s="25"/>
      <c r="G278" s="27"/>
      <c r="H278" s="28" t="str">
        <f aca="true">IF(G278="","",DATEDIF(G278,TODAY(),"Y"))</f>
        <v/>
      </c>
      <c r="I278" s="28" t="n">
        <f aca="false">IF($A278="","",COUNTIFS('🤸 Ingresos Pole'!$W$2:$W$1000,$A278,'🤸 Ingresos Pole'!$L$2:$L$1000,"Paquete"))</f>
        <v>0</v>
      </c>
      <c r="J278" s="28" t="n">
        <f aca="false">IF($A278="","",COUNTIF('🤸 Ingresos Pole'!$W$2:$W$1000,$A278))</f>
        <v>0</v>
      </c>
      <c r="K278" s="29" t="n">
        <f aca="false">IF($A278="","",SUMIF('🤸 Ingresos Pole'!$W$2:$W$1000,$A278,'🤸 Ingresos Pole'!$P$2:$P$1000))</f>
        <v>0</v>
      </c>
      <c r="L278" s="30" t="str">
        <f aca="false">IF(OR($A278="",J278=0),"",_xlfn.MINIFS('🤸 Ingresos Pole'!$B$2:$B$1000,'🤸 Ingresos Pole'!$W$2:$W$1000,$A278))</f>
        <v/>
      </c>
      <c r="M278" s="30" t="str">
        <f aca="false">IF(OR($A278="",J278=0),"",_xlfn.MAXIFS('🤸 Ingresos Pole'!$B$2:$B$1000,'🤸 Ingresos Pole'!$W$2:$W$1000,$A278))</f>
        <v/>
      </c>
      <c r="N278" s="28" t="str">
        <f aca="false">IF(OR($A278="",J278=0),"",IF(I278=0,"Sin paquete",IF(I278=1,"Nueva","Recurrente")))</f>
        <v/>
      </c>
      <c r="O278" s="25" t="str">
        <f aca="false">IF(AND(TRIM(B278)="",TRIM(C278)=""),"",TRIM(B278)&amp;"|"&amp;TRIM(C278))</f>
        <v/>
      </c>
      <c r="P278" s="25" t="str">
        <f aca="false">IF(O278="","",IF(TRIM(C278)="",TRIM(B278),IF(TRIM(B278)="",TRIM(C278),TRIM(B278)&amp;", "&amp;TRIM(C278))))</f>
        <v/>
      </c>
      <c r="Q278" s="25" t="str">
        <f aca="false">IF(O278="","",TRIM(TRIM(C278)&amp;" "&amp;TRIM(B278)))</f>
        <v/>
      </c>
      <c r="R278" s="25" t="str">
        <f aca="false">IF(P278="","",COUNTIFS($P$2:$P$1000,"&lt;"&amp;P278,$P$2:$P$1000,"?*")+COUNTIF($P$2:P278,P278))</f>
        <v/>
      </c>
    </row>
    <row r="279" customFormat="false" ht="14.25" hidden="false" customHeight="true" outlineLevel="0" collapsed="false">
      <c r="A279" s="25" t="s">
        <v>477</v>
      </c>
      <c r="B279" s="25"/>
      <c r="C279" s="25"/>
      <c r="D279" s="26"/>
      <c r="E279" s="25"/>
      <c r="F279" s="25"/>
      <c r="G279" s="27"/>
      <c r="H279" s="28" t="str">
        <f aca="true">IF(G279="","",DATEDIF(G279,TODAY(),"Y"))</f>
        <v/>
      </c>
      <c r="I279" s="28" t="n">
        <f aca="false">IF($A279="","",COUNTIFS('🤸 Ingresos Pole'!$W$2:$W$1000,$A279,'🤸 Ingresos Pole'!$L$2:$L$1000,"Paquete"))</f>
        <v>0</v>
      </c>
      <c r="J279" s="28" t="n">
        <f aca="false">IF($A279="","",COUNTIF('🤸 Ingresos Pole'!$W$2:$W$1000,$A279))</f>
        <v>0</v>
      </c>
      <c r="K279" s="29" t="n">
        <f aca="false">IF($A279="","",SUMIF('🤸 Ingresos Pole'!$W$2:$W$1000,$A279,'🤸 Ingresos Pole'!$P$2:$P$1000))</f>
        <v>0</v>
      </c>
      <c r="L279" s="30" t="str">
        <f aca="false">IF(OR($A279="",J279=0),"",_xlfn.MINIFS('🤸 Ingresos Pole'!$B$2:$B$1000,'🤸 Ingresos Pole'!$W$2:$W$1000,$A279))</f>
        <v/>
      </c>
      <c r="M279" s="30" t="str">
        <f aca="false">IF(OR($A279="",J279=0),"",_xlfn.MAXIFS('🤸 Ingresos Pole'!$B$2:$B$1000,'🤸 Ingresos Pole'!$W$2:$W$1000,$A279))</f>
        <v/>
      </c>
      <c r="N279" s="28" t="str">
        <f aca="false">IF(OR($A279="",J279=0),"",IF(I279=0,"Sin paquete",IF(I279=1,"Nueva","Recurrente")))</f>
        <v/>
      </c>
      <c r="O279" s="25" t="str">
        <f aca="false">IF(AND(TRIM(B279)="",TRIM(C279)=""),"",TRIM(B279)&amp;"|"&amp;TRIM(C279))</f>
        <v/>
      </c>
      <c r="P279" s="25" t="str">
        <f aca="false">IF(O279="","",IF(TRIM(C279)="",TRIM(B279),IF(TRIM(B279)="",TRIM(C279),TRIM(B279)&amp;", "&amp;TRIM(C279))))</f>
        <v/>
      </c>
      <c r="Q279" s="25" t="str">
        <f aca="false">IF(O279="","",TRIM(TRIM(C279)&amp;" "&amp;TRIM(B279)))</f>
        <v/>
      </c>
      <c r="R279" s="25" t="str">
        <f aca="false">IF(P279="","",COUNTIFS($P$2:$P$1000,"&lt;"&amp;P279,$P$2:$P$1000,"?*")+COUNTIF($P$2:P279,P279))</f>
        <v/>
      </c>
    </row>
    <row r="280" customFormat="false" ht="14.25" hidden="false" customHeight="true" outlineLevel="0" collapsed="false">
      <c r="A280" s="25" t="s">
        <v>478</v>
      </c>
      <c r="B280" s="25"/>
      <c r="C280" s="25"/>
      <c r="D280" s="26"/>
      <c r="E280" s="25"/>
      <c r="F280" s="25"/>
      <c r="G280" s="27"/>
      <c r="H280" s="28" t="str">
        <f aca="true">IF(G280="","",DATEDIF(G280,TODAY(),"Y"))</f>
        <v/>
      </c>
      <c r="I280" s="28" t="n">
        <f aca="false">IF($A280="","",COUNTIFS('🤸 Ingresos Pole'!$W$2:$W$1000,$A280,'🤸 Ingresos Pole'!$L$2:$L$1000,"Paquete"))</f>
        <v>0</v>
      </c>
      <c r="J280" s="28" t="n">
        <f aca="false">IF($A280="","",COUNTIF('🤸 Ingresos Pole'!$W$2:$W$1000,$A280))</f>
        <v>0</v>
      </c>
      <c r="K280" s="29" t="n">
        <f aca="false">IF($A280="","",SUMIF('🤸 Ingresos Pole'!$W$2:$W$1000,$A280,'🤸 Ingresos Pole'!$P$2:$P$1000))</f>
        <v>0</v>
      </c>
      <c r="L280" s="30" t="str">
        <f aca="false">IF(OR($A280="",J280=0),"",_xlfn.MINIFS('🤸 Ingresos Pole'!$B$2:$B$1000,'🤸 Ingresos Pole'!$W$2:$W$1000,$A280))</f>
        <v/>
      </c>
      <c r="M280" s="30" t="str">
        <f aca="false">IF(OR($A280="",J280=0),"",_xlfn.MAXIFS('🤸 Ingresos Pole'!$B$2:$B$1000,'🤸 Ingresos Pole'!$W$2:$W$1000,$A280))</f>
        <v/>
      </c>
      <c r="N280" s="28" t="str">
        <f aca="false">IF(OR($A280="",J280=0),"",IF(I280=0,"Sin paquete",IF(I280=1,"Nueva","Recurrente")))</f>
        <v/>
      </c>
      <c r="O280" s="25" t="str">
        <f aca="false">IF(AND(TRIM(B280)="",TRIM(C280)=""),"",TRIM(B280)&amp;"|"&amp;TRIM(C280))</f>
        <v/>
      </c>
      <c r="P280" s="25" t="str">
        <f aca="false">IF(O280="","",IF(TRIM(C280)="",TRIM(B280),IF(TRIM(B280)="",TRIM(C280),TRIM(B280)&amp;", "&amp;TRIM(C280))))</f>
        <v/>
      </c>
      <c r="Q280" s="25" t="str">
        <f aca="false">IF(O280="","",TRIM(TRIM(C280)&amp;" "&amp;TRIM(B280)))</f>
        <v/>
      </c>
      <c r="R280" s="25" t="str">
        <f aca="false">IF(P280="","",COUNTIFS($P$2:$P$1000,"&lt;"&amp;P280,$P$2:$P$1000,"?*")+COUNTIF($P$2:P280,P280))</f>
        <v/>
      </c>
    </row>
    <row r="281" customFormat="false" ht="14.25" hidden="false" customHeight="true" outlineLevel="0" collapsed="false">
      <c r="A281" s="25" t="s">
        <v>479</v>
      </c>
      <c r="B281" s="25"/>
      <c r="C281" s="25"/>
      <c r="D281" s="26"/>
      <c r="E281" s="25"/>
      <c r="F281" s="25"/>
      <c r="G281" s="27"/>
      <c r="H281" s="28" t="str">
        <f aca="true">IF(G281="","",DATEDIF(G281,TODAY(),"Y"))</f>
        <v/>
      </c>
      <c r="I281" s="28" t="n">
        <f aca="false">IF($A281="","",COUNTIFS('🤸 Ingresos Pole'!$W$2:$W$1000,$A281,'🤸 Ingresos Pole'!$L$2:$L$1000,"Paquete"))</f>
        <v>0</v>
      </c>
      <c r="J281" s="28" t="n">
        <f aca="false">IF($A281="","",COUNTIF('🤸 Ingresos Pole'!$W$2:$W$1000,$A281))</f>
        <v>0</v>
      </c>
      <c r="K281" s="29" t="n">
        <f aca="false">IF($A281="","",SUMIF('🤸 Ingresos Pole'!$W$2:$W$1000,$A281,'🤸 Ingresos Pole'!$P$2:$P$1000))</f>
        <v>0</v>
      </c>
      <c r="L281" s="30" t="str">
        <f aca="false">IF(OR($A281="",J281=0),"",_xlfn.MINIFS('🤸 Ingresos Pole'!$B$2:$B$1000,'🤸 Ingresos Pole'!$W$2:$W$1000,$A281))</f>
        <v/>
      </c>
      <c r="M281" s="30" t="str">
        <f aca="false">IF(OR($A281="",J281=0),"",_xlfn.MAXIFS('🤸 Ingresos Pole'!$B$2:$B$1000,'🤸 Ingresos Pole'!$W$2:$W$1000,$A281))</f>
        <v/>
      </c>
      <c r="N281" s="28" t="str">
        <f aca="false">IF(OR($A281="",J281=0),"",IF(I281=0,"Sin paquete",IF(I281=1,"Nueva","Recurrente")))</f>
        <v/>
      </c>
      <c r="O281" s="25" t="str">
        <f aca="false">IF(AND(TRIM(B281)="",TRIM(C281)=""),"",TRIM(B281)&amp;"|"&amp;TRIM(C281))</f>
        <v/>
      </c>
      <c r="P281" s="25" t="str">
        <f aca="false">IF(O281="","",IF(TRIM(C281)="",TRIM(B281),IF(TRIM(B281)="",TRIM(C281),TRIM(B281)&amp;", "&amp;TRIM(C281))))</f>
        <v/>
      </c>
      <c r="Q281" s="25" t="str">
        <f aca="false">IF(O281="","",TRIM(TRIM(C281)&amp;" "&amp;TRIM(B281)))</f>
        <v/>
      </c>
      <c r="R281" s="25" t="str">
        <f aca="false">IF(P281="","",COUNTIFS($P$2:$P$1000,"&lt;"&amp;P281,$P$2:$P$1000,"?*")+COUNTIF($P$2:P281,P281))</f>
        <v/>
      </c>
    </row>
    <row r="282" customFormat="false" ht="14.25" hidden="false" customHeight="true" outlineLevel="0" collapsed="false">
      <c r="A282" s="25" t="s">
        <v>480</v>
      </c>
      <c r="B282" s="25"/>
      <c r="C282" s="25"/>
      <c r="D282" s="26"/>
      <c r="E282" s="25"/>
      <c r="F282" s="25"/>
      <c r="G282" s="27"/>
      <c r="H282" s="28" t="str">
        <f aca="true">IF(G282="","",DATEDIF(G282,TODAY(),"Y"))</f>
        <v/>
      </c>
      <c r="I282" s="28" t="n">
        <f aca="false">IF($A282="","",COUNTIFS('🤸 Ingresos Pole'!$W$2:$W$1000,$A282,'🤸 Ingresos Pole'!$L$2:$L$1000,"Paquete"))</f>
        <v>0</v>
      </c>
      <c r="J282" s="28" t="n">
        <f aca="false">IF($A282="","",COUNTIF('🤸 Ingresos Pole'!$W$2:$W$1000,$A282))</f>
        <v>0</v>
      </c>
      <c r="K282" s="29" t="n">
        <f aca="false">IF($A282="","",SUMIF('🤸 Ingresos Pole'!$W$2:$W$1000,$A282,'🤸 Ingresos Pole'!$P$2:$P$1000))</f>
        <v>0</v>
      </c>
      <c r="L282" s="30" t="str">
        <f aca="false">IF(OR($A282="",J282=0),"",_xlfn.MINIFS('🤸 Ingresos Pole'!$B$2:$B$1000,'🤸 Ingresos Pole'!$W$2:$W$1000,$A282))</f>
        <v/>
      </c>
      <c r="M282" s="30" t="str">
        <f aca="false">IF(OR($A282="",J282=0),"",_xlfn.MAXIFS('🤸 Ingresos Pole'!$B$2:$B$1000,'🤸 Ingresos Pole'!$W$2:$W$1000,$A282))</f>
        <v/>
      </c>
      <c r="N282" s="28" t="str">
        <f aca="false">IF(OR($A282="",J282=0),"",IF(I282=0,"Sin paquete",IF(I282=1,"Nueva","Recurrente")))</f>
        <v/>
      </c>
      <c r="O282" s="25" t="str">
        <f aca="false">IF(AND(TRIM(B282)="",TRIM(C282)=""),"",TRIM(B282)&amp;"|"&amp;TRIM(C282))</f>
        <v/>
      </c>
      <c r="P282" s="25" t="str">
        <f aca="false">IF(O282="","",IF(TRIM(C282)="",TRIM(B282),IF(TRIM(B282)="",TRIM(C282),TRIM(B282)&amp;", "&amp;TRIM(C282))))</f>
        <v/>
      </c>
      <c r="Q282" s="25" t="str">
        <f aca="false">IF(O282="","",TRIM(TRIM(C282)&amp;" "&amp;TRIM(B282)))</f>
        <v/>
      </c>
      <c r="R282" s="25" t="str">
        <f aca="false">IF(P282="","",COUNTIFS($P$2:$P$1000,"&lt;"&amp;P282,$P$2:$P$1000,"?*")+COUNTIF($P$2:P282,P282))</f>
        <v/>
      </c>
    </row>
    <row r="283" customFormat="false" ht="14.25" hidden="false" customHeight="true" outlineLevel="0" collapsed="false">
      <c r="A283" s="25" t="s">
        <v>481</v>
      </c>
      <c r="B283" s="25"/>
      <c r="C283" s="25"/>
      <c r="D283" s="26"/>
      <c r="E283" s="25"/>
      <c r="F283" s="25"/>
      <c r="G283" s="27"/>
      <c r="H283" s="28" t="str">
        <f aca="true">IF(G283="","",DATEDIF(G283,TODAY(),"Y"))</f>
        <v/>
      </c>
      <c r="I283" s="28" t="n">
        <f aca="false">IF($A283="","",COUNTIFS('🤸 Ingresos Pole'!$W$2:$W$1000,$A283,'🤸 Ingresos Pole'!$L$2:$L$1000,"Paquete"))</f>
        <v>0</v>
      </c>
      <c r="J283" s="28" t="n">
        <f aca="false">IF($A283="","",COUNTIF('🤸 Ingresos Pole'!$W$2:$W$1000,$A283))</f>
        <v>0</v>
      </c>
      <c r="K283" s="29" t="n">
        <f aca="false">IF($A283="","",SUMIF('🤸 Ingresos Pole'!$W$2:$W$1000,$A283,'🤸 Ingresos Pole'!$P$2:$P$1000))</f>
        <v>0</v>
      </c>
      <c r="L283" s="30" t="str">
        <f aca="false">IF(OR($A283="",J283=0),"",_xlfn.MINIFS('🤸 Ingresos Pole'!$B$2:$B$1000,'🤸 Ingresos Pole'!$W$2:$W$1000,$A283))</f>
        <v/>
      </c>
      <c r="M283" s="30" t="str">
        <f aca="false">IF(OR($A283="",J283=0),"",_xlfn.MAXIFS('🤸 Ingresos Pole'!$B$2:$B$1000,'🤸 Ingresos Pole'!$W$2:$W$1000,$A283))</f>
        <v/>
      </c>
      <c r="N283" s="28" t="str">
        <f aca="false">IF(OR($A283="",J283=0),"",IF(I283=0,"Sin paquete",IF(I283=1,"Nueva","Recurrente")))</f>
        <v/>
      </c>
      <c r="O283" s="25" t="str">
        <f aca="false">IF(AND(TRIM(B283)="",TRIM(C283)=""),"",TRIM(B283)&amp;"|"&amp;TRIM(C283))</f>
        <v/>
      </c>
      <c r="P283" s="25" t="str">
        <f aca="false">IF(O283="","",IF(TRIM(C283)="",TRIM(B283),IF(TRIM(B283)="",TRIM(C283),TRIM(B283)&amp;", "&amp;TRIM(C283))))</f>
        <v/>
      </c>
      <c r="Q283" s="25" t="str">
        <f aca="false">IF(O283="","",TRIM(TRIM(C283)&amp;" "&amp;TRIM(B283)))</f>
        <v/>
      </c>
      <c r="R283" s="25" t="str">
        <f aca="false">IF(P283="","",COUNTIFS($P$2:$P$1000,"&lt;"&amp;P283,$P$2:$P$1000,"?*")+COUNTIF($P$2:P283,P283))</f>
        <v/>
      </c>
    </row>
    <row r="284" customFormat="false" ht="14.25" hidden="false" customHeight="true" outlineLevel="0" collapsed="false">
      <c r="A284" s="25" t="s">
        <v>482</v>
      </c>
      <c r="B284" s="25"/>
      <c r="C284" s="25"/>
      <c r="D284" s="26"/>
      <c r="E284" s="25"/>
      <c r="F284" s="25"/>
      <c r="G284" s="27"/>
      <c r="H284" s="28" t="str">
        <f aca="true">IF(G284="","",DATEDIF(G284,TODAY(),"Y"))</f>
        <v/>
      </c>
      <c r="I284" s="28" t="n">
        <f aca="false">IF($A284="","",COUNTIFS('🤸 Ingresos Pole'!$W$2:$W$1000,$A284,'🤸 Ingresos Pole'!$L$2:$L$1000,"Paquete"))</f>
        <v>0</v>
      </c>
      <c r="J284" s="28" t="n">
        <f aca="false">IF($A284="","",COUNTIF('🤸 Ingresos Pole'!$W$2:$W$1000,$A284))</f>
        <v>0</v>
      </c>
      <c r="K284" s="29" t="n">
        <f aca="false">IF($A284="","",SUMIF('🤸 Ingresos Pole'!$W$2:$W$1000,$A284,'🤸 Ingresos Pole'!$P$2:$P$1000))</f>
        <v>0</v>
      </c>
      <c r="L284" s="30" t="str">
        <f aca="false">IF(OR($A284="",J284=0),"",_xlfn.MINIFS('🤸 Ingresos Pole'!$B$2:$B$1000,'🤸 Ingresos Pole'!$W$2:$W$1000,$A284))</f>
        <v/>
      </c>
      <c r="M284" s="30" t="str">
        <f aca="false">IF(OR($A284="",J284=0),"",_xlfn.MAXIFS('🤸 Ingresos Pole'!$B$2:$B$1000,'🤸 Ingresos Pole'!$W$2:$W$1000,$A284))</f>
        <v/>
      </c>
      <c r="N284" s="28" t="str">
        <f aca="false">IF(OR($A284="",J284=0),"",IF(I284=0,"Sin paquete",IF(I284=1,"Nueva","Recurrente")))</f>
        <v/>
      </c>
      <c r="O284" s="25" t="str">
        <f aca="false">IF(AND(TRIM(B284)="",TRIM(C284)=""),"",TRIM(B284)&amp;"|"&amp;TRIM(C284))</f>
        <v/>
      </c>
      <c r="P284" s="25" t="str">
        <f aca="false">IF(O284="","",IF(TRIM(C284)="",TRIM(B284),IF(TRIM(B284)="",TRIM(C284),TRIM(B284)&amp;", "&amp;TRIM(C284))))</f>
        <v/>
      </c>
      <c r="Q284" s="25" t="str">
        <f aca="false">IF(O284="","",TRIM(TRIM(C284)&amp;" "&amp;TRIM(B284)))</f>
        <v/>
      </c>
      <c r="R284" s="25" t="str">
        <f aca="false">IF(P284="","",COUNTIFS($P$2:$P$1000,"&lt;"&amp;P284,$P$2:$P$1000,"?*")+COUNTIF($P$2:P284,P284))</f>
        <v/>
      </c>
    </row>
    <row r="285" customFormat="false" ht="14.25" hidden="false" customHeight="true" outlineLevel="0" collapsed="false">
      <c r="A285" s="25" t="s">
        <v>483</v>
      </c>
      <c r="B285" s="25"/>
      <c r="C285" s="25"/>
      <c r="D285" s="26"/>
      <c r="E285" s="25"/>
      <c r="F285" s="25"/>
      <c r="G285" s="27"/>
      <c r="H285" s="28" t="str">
        <f aca="true">IF(G285="","",DATEDIF(G285,TODAY(),"Y"))</f>
        <v/>
      </c>
      <c r="I285" s="28" t="n">
        <f aca="false">IF($A285="","",COUNTIFS('🤸 Ingresos Pole'!$W$2:$W$1000,$A285,'🤸 Ingresos Pole'!$L$2:$L$1000,"Paquete"))</f>
        <v>0</v>
      </c>
      <c r="J285" s="28" t="n">
        <f aca="false">IF($A285="","",COUNTIF('🤸 Ingresos Pole'!$W$2:$W$1000,$A285))</f>
        <v>0</v>
      </c>
      <c r="K285" s="29" t="n">
        <f aca="false">IF($A285="","",SUMIF('🤸 Ingresos Pole'!$W$2:$W$1000,$A285,'🤸 Ingresos Pole'!$P$2:$P$1000))</f>
        <v>0</v>
      </c>
      <c r="L285" s="30" t="str">
        <f aca="false">IF(OR($A285="",J285=0),"",_xlfn.MINIFS('🤸 Ingresos Pole'!$B$2:$B$1000,'🤸 Ingresos Pole'!$W$2:$W$1000,$A285))</f>
        <v/>
      </c>
      <c r="M285" s="30" t="str">
        <f aca="false">IF(OR($A285="",J285=0),"",_xlfn.MAXIFS('🤸 Ingresos Pole'!$B$2:$B$1000,'🤸 Ingresos Pole'!$W$2:$W$1000,$A285))</f>
        <v/>
      </c>
      <c r="N285" s="28" t="str">
        <f aca="false">IF(OR($A285="",J285=0),"",IF(I285=0,"Sin paquete",IF(I285=1,"Nueva","Recurrente")))</f>
        <v/>
      </c>
      <c r="O285" s="25" t="str">
        <f aca="false">IF(AND(TRIM(B285)="",TRIM(C285)=""),"",TRIM(B285)&amp;"|"&amp;TRIM(C285))</f>
        <v/>
      </c>
      <c r="P285" s="25" t="str">
        <f aca="false">IF(O285="","",IF(TRIM(C285)="",TRIM(B285),IF(TRIM(B285)="",TRIM(C285),TRIM(B285)&amp;", "&amp;TRIM(C285))))</f>
        <v/>
      </c>
      <c r="Q285" s="25" t="str">
        <f aca="false">IF(O285="","",TRIM(TRIM(C285)&amp;" "&amp;TRIM(B285)))</f>
        <v/>
      </c>
      <c r="R285" s="25" t="str">
        <f aca="false">IF(P285="","",COUNTIFS($P$2:$P$1000,"&lt;"&amp;P285,$P$2:$P$1000,"?*")+COUNTIF($P$2:P285,P285))</f>
        <v/>
      </c>
    </row>
    <row r="286" customFormat="false" ht="14.25" hidden="false" customHeight="true" outlineLevel="0" collapsed="false">
      <c r="A286" s="25" t="s">
        <v>484</v>
      </c>
      <c r="B286" s="25"/>
      <c r="C286" s="25"/>
      <c r="D286" s="26"/>
      <c r="E286" s="25"/>
      <c r="F286" s="25"/>
      <c r="G286" s="27"/>
      <c r="H286" s="28" t="str">
        <f aca="true">IF(G286="","",DATEDIF(G286,TODAY(),"Y"))</f>
        <v/>
      </c>
      <c r="I286" s="28" t="n">
        <f aca="false">IF($A286="","",COUNTIFS('🤸 Ingresos Pole'!$W$2:$W$1000,$A286,'🤸 Ingresos Pole'!$L$2:$L$1000,"Paquete"))</f>
        <v>0</v>
      </c>
      <c r="J286" s="28" t="n">
        <f aca="false">IF($A286="","",COUNTIF('🤸 Ingresos Pole'!$W$2:$W$1000,$A286))</f>
        <v>0</v>
      </c>
      <c r="K286" s="29" t="n">
        <f aca="false">IF($A286="","",SUMIF('🤸 Ingresos Pole'!$W$2:$W$1000,$A286,'🤸 Ingresos Pole'!$P$2:$P$1000))</f>
        <v>0</v>
      </c>
      <c r="L286" s="30" t="str">
        <f aca="false">IF(OR($A286="",J286=0),"",_xlfn.MINIFS('🤸 Ingresos Pole'!$B$2:$B$1000,'🤸 Ingresos Pole'!$W$2:$W$1000,$A286))</f>
        <v/>
      </c>
      <c r="M286" s="30" t="str">
        <f aca="false">IF(OR($A286="",J286=0),"",_xlfn.MAXIFS('🤸 Ingresos Pole'!$B$2:$B$1000,'🤸 Ingresos Pole'!$W$2:$W$1000,$A286))</f>
        <v/>
      </c>
      <c r="N286" s="28" t="str">
        <f aca="false">IF(OR($A286="",J286=0),"",IF(I286=0,"Sin paquete",IF(I286=1,"Nueva","Recurrente")))</f>
        <v/>
      </c>
      <c r="O286" s="25" t="str">
        <f aca="false">IF(AND(TRIM(B286)="",TRIM(C286)=""),"",TRIM(B286)&amp;"|"&amp;TRIM(C286))</f>
        <v/>
      </c>
      <c r="P286" s="25" t="str">
        <f aca="false">IF(O286="","",IF(TRIM(C286)="",TRIM(B286),IF(TRIM(B286)="",TRIM(C286),TRIM(B286)&amp;", "&amp;TRIM(C286))))</f>
        <v/>
      </c>
      <c r="Q286" s="25" t="str">
        <f aca="false">IF(O286="","",TRIM(TRIM(C286)&amp;" "&amp;TRIM(B286)))</f>
        <v/>
      </c>
      <c r="R286" s="25" t="str">
        <f aca="false">IF(P286="","",COUNTIFS($P$2:$P$1000,"&lt;"&amp;P286,$P$2:$P$1000,"?*")+COUNTIF($P$2:P286,P286))</f>
        <v/>
      </c>
    </row>
    <row r="287" customFormat="false" ht="14.25" hidden="false" customHeight="true" outlineLevel="0" collapsed="false">
      <c r="A287" s="25" t="s">
        <v>485</v>
      </c>
      <c r="B287" s="25"/>
      <c r="C287" s="25"/>
      <c r="D287" s="26"/>
      <c r="E287" s="25"/>
      <c r="F287" s="25"/>
      <c r="G287" s="27"/>
      <c r="H287" s="28" t="str">
        <f aca="true">IF(G287="","",DATEDIF(G287,TODAY(),"Y"))</f>
        <v/>
      </c>
      <c r="I287" s="28" t="n">
        <f aca="false">IF($A287="","",COUNTIFS('🤸 Ingresos Pole'!$W$2:$W$1000,$A287,'🤸 Ingresos Pole'!$L$2:$L$1000,"Paquete"))</f>
        <v>0</v>
      </c>
      <c r="J287" s="28" t="n">
        <f aca="false">IF($A287="","",COUNTIF('🤸 Ingresos Pole'!$W$2:$W$1000,$A287))</f>
        <v>0</v>
      </c>
      <c r="K287" s="29" t="n">
        <f aca="false">IF($A287="","",SUMIF('🤸 Ingresos Pole'!$W$2:$W$1000,$A287,'🤸 Ingresos Pole'!$P$2:$P$1000))</f>
        <v>0</v>
      </c>
      <c r="L287" s="30" t="str">
        <f aca="false">IF(OR($A287="",J287=0),"",_xlfn.MINIFS('🤸 Ingresos Pole'!$B$2:$B$1000,'🤸 Ingresos Pole'!$W$2:$W$1000,$A287))</f>
        <v/>
      </c>
      <c r="M287" s="30" t="str">
        <f aca="false">IF(OR($A287="",J287=0),"",_xlfn.MAXIFS('🤸 Ingresos Pole'!$B$2:$B$1000,'🤸 Ingresos Pole'!$W$2:$W$1000,$A287))</f>
        <v/>
      </c>
      <c r="N287" s="28" t="str">
        <f aca="false">IF(OR($A287="",J287=0),"",IF(I287=0,"Sin paquete",IF(I287=1,"Nueva","Recurrente")))</f>
        <v/>
      </c>
      <c r="O287" s="25" t="str">
        <f aca="false">IF(AND(TRIM(B287)="",TRIM(C287)=""),"",TRIM(B287)&amp;"|"&amp;TRIM(C287))</f>
        <v/>
      </c>
      <c r="P287" s="25" t="str">
        <f aca="false">IF(O287="","",IF(TRIM(C287)="",TRIM(B287),IF(TRIM(B287)="",TRIM(C287),TRIM(B287)&amp;", "&amp;TRIM(C287))))</f>
        <v/>
      </c>
      <c r="Q287" s="25" t="str">
        <f aca="false">IF(O287="","",TRIM(TRIM(C287)&amp;" "&amp;TRIM(B287)))</f>
        <v/>
      </c>
      <c r="R287" s="25" t="str">
        <f aca="false">IF(P287="","",COUNTIFS($P$2:$P$1000,"&lt;"&amp;P287,$P$2:$P$1000,"?*")+COUNTIF($P$2:P287,P287))</f>
        <v/>
      </c>
    </row>
    <row r="288" customFormat="false" ht="14.25" hidden="false" customHeight="true" outlineLevel="0" collapsed="false">
      <c r="A288" s="25" t="s">
        <v>486</v>
      </c>
      <c r="B288" s="25"/>
      <c r="C288" s="25"/>
      <c r="D288" s="26"/>
      <c r="E288" s="25"/>
      <c r="F288" s="25"/>
      <c r="G288" s="27"/>
      <c r="H288" s="28" t="str">
        <f aca="true">IF(G288="","",DATEDIF(G288,TODAY(),"Y"))</f>
        <v/>
      </c>
      <c r="I288" s="28" t="n">
        <f aca="false">IF($A288="","",COUNTIFS('🤸 Ingresos Pole'!$W$2:$W$1000,$A288,'🤸 Ingresos Pole'!$L$2:$L$1000,"Paquete"))</f>
        <v>0</v>
      </c>
      <c r="J288" s="28" t="n">
        <f aca="false">IF($A288="","",COUNTIF('🤸 Ingresos Pole'!$W$2:$W$1000,$A288))</f>
        <v>0</v>
      </c>
      <c r="K288" s="29" t="n">
        <f aca="false">IF($A288="","",SUMIF('🤸 Ingresos Pole'!$W$2:$W$1000,$A288,'🤸 Ingresos Pole'!$P$2:$P$1000))</f>
        <v>0</v>
      </c>
      <c r="L288" s="30" t="str">
        <f aca="false">IF(OR($A288="",J288=0),"",_xlfn.MINIFS('🤸 Ingresos Pole'!$B$2:$B$1000,'🤸 Ingresos Pole'!$W$2:$W$1000,$A288))</f>
        <v/>
      </c>
      <c r="M288" s="30" t="str">
        <f aca="false">IF(OR($A288="",J288=0),"",_xlfn.MAXIFS('🤸 Ingresos Pole'!$B$2:$B$1000,'🤸 Ingresos Pole'!$W$2:$W$1000,$A288))</f>
        <v/>
      </c>
      <c r="N288" s="28" t="str">
        <f aca="false">IF(OR($A288="",J288=0),"",IF(I288=0,"Sin paquete",IF(I288=1,"Nueva","Recurrente")))</f>
        <v/>
      </c>
      <c r="O288" s="25" t="str">
        <f aca="false">IF(AND(TRIM(B288)="",TRIM(C288)=""),"",TRIM(B288)&amp;"|"&amp;TRIM(C288))</f>
        <v/>
      </c>
      <c r="P288" s="25" t="str">
        <f aca="false">IF(O288="","",IF(TRIM(C288)="",TRIM(B288),IF(TRIM(B288)="",TRIM(C288),TRIM(B288)&amp;", "&amp;TRIM(C288))))</f>
        <v/>
      </c>
      <c r="Q288" s="25" t="str">
        <f aca="false">IF(O288="","",TRIM(TRIM(C288)&amp;" "&amp;TRIM(B288)))</f>
        <v/>
      </c>
      <c r="R288" s="25" t="str">
        <f aca="false">IF(P288="","",COUNTIFS($P$2:$P$1000,"&lt;"&amp;P288,$P$2:$P$1000,"?*")+COUNTIF($P$2:P288,P288))</f>
        <v/>
      </c>
    </row>
    <row r="289" customFormat="false" ht="14.25" hidden="false" customHeight="true" outlineLevel="0" collapsed="false">
      <c r="A289" s="25" t="s">
        <v>487</v>
      </c>
      <c r="B289" s="25"/>
      <c r="C289" s="25"/>
      <c r="D289" s="26"/>
      <c r="E289" s="25"/>
      <c r="F289" s="25"/>
      <c r="G289" s="27"/>
      <c r="H289" s="28" t="str">
        <f aca="true">IF(G289="","",DATEDIF(G289,TODAY(),"Y"))</f>
        <v/>
      </c>
      <c r="I289" s="28" t="n">
        <f aca="false">IF($A289="","",COUNTIFS('🤸 Ingresos Pole'!$W$2:$W$1000,$A289,'🤸 Ingresos Pole'!$L$2:$L$1000,"Paquete"))</f>
        <v>0</v>
      </c>
      <c r="J289" s="28" t="n">
        <f aca="false">IF($A289="","",COUNTIF('🤸 Ingresos Pole'!$W$2:$W$1000,$A289))</f>
        <v>0</v>
      </c>
      <c r="K289" s="29" t="n">
        <f aca="false">IF($A289="","",SUMIF('🤸 Ingresos Pole'!$W$2:$W$1000,$A289,'🤸 Ingresos Pole'!$P$2:$P$1000))</f>
        <v>0</v>
      </c>
      <c r="L289" s="30" t="str">
        <f aca="false">IF(OR($A289="",J289=0),"",_xlfn.MINIFS('🤸 Ingresos Pole'!$B$2:$B$1000,'🤸 Ingresos Pole'!$W$2:$W$1000,$A289))</f>
        <v/>
      </c>
      <c r="M289" s="30" t="str">
        <f aca="false">IF(OR($A289="",J289=0),"",_xlfn.MAXIFS('🤸 Ingresos Pole'!$B$2:$B$1000,'🤸 Ingresos Pole'!$W$2:$W$1000,$A289))</f>
        <v/>
      </c>
      <c r="N289" s="28" t="str">
        <f aca="false">IF(OR($A289="",J289=0),"",IF(I289=0,"Sin paquete",IF(I289=1,"Nueva","Recurrente")))</f>
        <v/>
      </c>
      <c r="O289" s="25" t="str">
        <f aca="false">IF(AND(TRIM(B289)="",TRIM(C289)=""),"",TRIM(B289)&amp;"|"&amp;TRIM(C289))</f>
        <v/>
      </c>
      <c r="P289" s="25" t="str">
        <f aca="false">IF(O289="","",IF(TRIM(C289)="",TRIM(B289),IF(TRIM(B289)="",TRIM(C289),TRIM(B289)&amp;", "&amp;TRIM(C289))))</f>
        <v/>
      </c>
      <c r="Q289" s="25" t="str">
        <f aca="false">IF(O289="","",TRIM(TRIM(C289)&amp;" "&amp;TRIM(B289)))</f>
        <v/>
      </c>
      <c r="R289" s="25" t="str">
        <f aca="false">IF(P289="","",COUNTIFS($P$2:$P$1000,"&lt;"&amp;P289,$P$2:$P$1000,"?*")+COUNTIF($P$2:P289,P289))</f>
        <v/>
      </c>
    </row>
    <row r="290" customFormat="false" ht="14.25" hidden="false" customHeight="true" outlineLevel="0" collapsed="false">
      <c r="A290" s="25" t="s">
        <v>488</v>
      </c>
      <c r="B290" s="25"/>
      <c r="C290" s="25"/>
      <c r="D290" s="26"/>
      <c r="E290" s="25"/>
      <c r="F290" s="25"/>
      <c r="G290" s="27"/>
      <c r="H290" s="28" t="str">
        <f aca="true">IF(G290="","",DATEDIF(G290,TODAY(),"Y"))</f>
        <v/>
      </c>
      <c r="I290" s="28" t="n">
        <f aca="false">IF($A290="","",COUNTIFS('🤸 Ingresos Pole'!$W$2:$W$1000,$A290,'🤸 Ingresos Pole'!$L$2:$L$1000,"Paquete"))</f>
        <v>0</v>
      </c>
      <c r="J290" s="28" t="n">
        <f aca="false">IF($A290="","",COUNTIF('🤸 Ingresos Pole'!$W$2:$W$1000,$A290))</f>
        <v>0</v>
      </c>
      <c r="K290" s="29" t="n">
        <f aca="false">IF($A290="","",SUMIF('🤸 Ingresos Pole'!$W$2:$W$1000,$A290,'🤸 Ingresos Pole'!$P$2:$P$1000))</f>
        <v>0</v>
      </c>
      <c r="L290" s="30" t="str">
        <f aca="false">IF(OR($A290="",J290=0),"",_xlfn.MINIFS('🤸 Ingresos Pole'!$B$2:$B$1000,'🤸 Ingresos Pole'!$W$2:$W$1000,$A290))</f>
        <v/>
      </c>
      <c r="M290" s="30" t="str">
        <f aca="false">IF(OR($A290="",J290=0),"",_xlfn.MAXIFS('🤸 Ingresos Pole'!$B$2:$B$1000,'🤸 Ingresos Pole'!$W$2:$W$1000,$A290))</f>
        <v/>
      </c>
      <c r="N290" s="28" t="str">
        <f aca="false">IF(OR($A290="",J290=0),"",IF(I290=0,"Sin paquete",IF(I290=1,"Nueva","Recurrente")))</f>
        <v/>
      </c>
      <c r="O290" s="25" t="str">
        <f aca="false">IF(AND(TRIM(B290)="",TRIM(C290)=""),"",TRIM(B290)&amp;"|"&amp;TRIM(C290))</f>
        <v/>
      </c>
      <c r="P290" s="25" t="str">
        <f aca="false">IF(O290="","",IF(TRIM(C290)="",TRIM(B290),IF(TRIM(B290)="",TRIM(C290),TRIM(B290)&amp;", "&amp;TRIM(C290))))</f>
        <v/>
      </c>
      <c r="Q290" s="25" t="str">
        <f aca="false">IF(O290="","",TRIM(TRIM(C290)&amp;" "&amp;TRIM(B290)))</f>
        <v/>
      </c>
      <c r="R290" s="25" t="str">
        <f aca="false">IF(P290="","",COUNTIFS($P$2:$P$1000,"&lt;"&amp;P290,$P$2:$P$1000,"?*")+COUNTIF($P$2:P290,P290))</f>
        <v/>
      </c>
    </row>
    <row r="291" customFormat="false" ht="14.25" hidden="false" customHeight="true" outlineLevel="0" collapsed="false">
      <c r="A291" s="25" t="s">
        <v>489</v>
      </c>
      <c r="B291" s="25"/>
      <c r="C291" s="25"/>
      <c r="D291" s="26"/>
      <c r="E291" s="25"/>
      <c r="F291" s="25"/>
      <c r="G291" s="27"/>
      <c r="H291" s="28" t="str">
        <f aca="true">IF(G291="","",DATEDIF(G291,TODAY(),"Y"))</f>
        <v/>
      </c>
      <c r="I291" s="28" t="n">
        <f aca="false">IF($A291="","",COUNTIFS('🤸 Ingresos Pole'!$W$2:$W$1000,$A291,'🤸 Ingresos Pole'!$L$2:$L$1000,"Paquete"))</f>
        <v>0</v>
      </c>
      <c r="J291" s="28" t="n">
        <f aca="false">IF($A291="","",COUNTIF('🤸 Ingresos Pole'!$W$2:$W$1000,$A291))</f>
        <v>0</v>
      </c>
      <c r="K291" s="29" t="n">
        <f aca="false">IF($A291="","",SUMIF('🤸 Ingresos Pole'!$W$2:$W$1000,$A291,'🤸 Ingresos Pole'!$P$2:$P$1000))</f>
        <v>0</v>
      </c>
      <c r="L291" s="30" t="str">
        <f aca="false">IF(OR($A291="",J291=0),"",_xlfn.MINIFS('🤸 Ingresos Pole'!$B$2:$B$1000,'🤸 Ingresos Pole'!$W$2:$W$1000,$A291))</f>
        <v/>
      </c>
      <c r="M291" s="30" t="str">
        <f aca="false">IF(OR($A291="",J291=0),"",_xlfn.MAXIFS('🤸 Ingresos Pole'!$B$2:$B$1000,'🤸 Ingresos Pole'!$W$2:$W$1000,$A291))</f>
        <v/>
      </c>
      <c r="N291" s="28" t="str">
        <f aca="false">IF(OR($A291="",J291=0),"",IF(I291=0,"Sin paquete",IF(I291=1,"Nueva","Recurrente")))</f>
        <v/>
      </c>
      <c r="O291" s="25" t="str">
        <f aca="false">IF(AND(TRIM(B291)="",TRIM(C291)=""),"",TRIM(B291)&amp;"|"&amp;TRIM(C291))</f>
        <v/>
      </c>
      <c r="P291" s="25" t="str">
        <f aca="false">IF(O291="","",IF(TRIM(C291)="",TRIM(B291),IF(TRIM(B291)="",TRIM(C291),TRIM(B291)&amp;", "&amp;TRIM(C291))))</f>
        <v/>
      </c>
      <c r="Q291" s="25" t="str">
        <f aca="false">IF(O291="","",TRIM(TRIM(C291)&amp;" "&amp;TRIM(B291)))</f>
        <v/>
      </c>
      <c r="R291" s="25" t="str">
        <f aca="false">IF(P291="","",COUNTIFS($P$2:$P$1000,"&lt;"&amp;P291,$P$2:$P$1000,"?*")+COUNTIF($P$2:P291,P291))</f>
        <v/>
      </c>
    </row>
    <row r="292" customFormat="false" ht="14.25" hidden="false" customHeight="true" outlineLevel="0" collapsed="false">
      <c r="A292" s="25" t="s">
        <v>490</v>
      </c>
      <c r="B292" s="25"/>
      <c r="C292" s="25"/>
      <c r="D292" s="26"/>
      <c r="E292" s="25"/>
      <c r="F292" s="25"/>
      <c r="G292" s="27"/>
      <c r="H292" s="28" t="str">
        <f aca="true">IF(G292="","",DATEDIF(G292,TODAY(),"Y"))</f>
        <v/>
      </c>
      <c r="I292" s="28" t="n">
        <f aca="false">IF($A292="","",COUNTIFS('🤸 Ingresos Pole'!$W$2:$W$1000,$A292,'🤸 Ingresos Pole'!$L$2:$L$1000,"Paquete"))</f>
        <v>0</v>
      </c>
      <c r="J292" s="28" t="n">
        <f aca="false">IF($A292="","",COUNTIF('🤸 Ingresos Pole'!$W$2:$W$1000,$A292))</f>
        <v>0</v>
      </c>
      <c r="K292" s="29" t="n">
        <f aca="false">IF($A292="","",SUMIF('🤸 Ingresos Pole'!$W$2:$W$1000,$A292,'🤸 Ingresos Pole'!$P$2:$P$1000))</f>
        <v>0</v>
      </c>
      <c r="L292" s="30" t="str">
        <f aca="false">IF(OR($A292="",J292=0),"",_xlfn.MINIFS('🤸 Ingresos Pole'!$B$2:$B$1000,'🤸 Ingresos Pole'!$W$2:$W$1000,$A292))</f>
        <v/>
      </c>
      <c r="M292" s="30" t="str">
        <f aca="false">IF(OR($A292="",J292=0),"",_xlfn.MAXIFS('🤸 Ingresos Pole'!$B$2:$B$1000,'🤸 Ingresos Pole'!$W$2:$W$1000,$A292))</f>
        <v/>
      </c>
      <c r="N292" s="28" t="str">
        <f aca="false">IF(OR($A292="",J292=0),"",IF(I292=0,"Sin paquete",IF(I292=1,"Nueva","Recurrente")))</f>
        <v/>
      </c>
      <c r="O292" s="25" t="str">
        <f aca="false">IF(AND(TRIM(B292)="",TRIM(C292)=""),"",TRIM(B292)&amp;"|"&amp;TRIM(C292))</f>
        <v/>
      </c>
      <c r="P292" s="25" t="str">
        <f aca="false">IF(O292="","",IF(TRIM(C292)="",TRIM(B292),IF(TRIM(B292)="",TRIM(C292),TRIM(B292)&amp;", "&amp;TRIM(C292))))</f>
        <v/>
      </c>
      <c r="Q292" s="25" t="str">
        <f aca="false">IF(O292="","",TRIM(TRIM(C292)&amp;" "&amp;TRIM(B292)))</f>
        <v/>
      </c>
      <c r="R292" s="25" t="str">
        <f aca="false">IF(P292="","",COUNTIFS($P$2:$P$1000,"&lt;"&amp;P292,$P$2:$P$1000,"?*")+COUNTIF($P$2:P292,P292))</f>
        <v/>
      </c>
    </row>
    <row r="293" customFormat="false" ht="14.25" hidden="false" customHeight="true" outlineLevel="0" collapsed="false">
      <c r="A293" s="25" t="s">
        <v>491</v>
      </c>
      <c r="B293" s="25"/>
      <c r="C293" s="25"/>
      <c r="D293" s="26"/>
      <c r="E293" s="25"/>
      <c r="F293" s="25"/>
      <c r="G293" s="27"/>
      <c r="H293" s="28" t="str">
        <f aca="true">IF(G293="","",DATEDIF(G293,TODAY(),"Y"))</f>
        <v/>
      </c>
      <c r="I293" s="28" t="n">
        <f aca="false">IF($A293="","",COUNTIFS('🤸 Ingresos Pole'!$W$2:$W$1000,$A293,'🤸 Ingresos Pole'!$L$2:$L$1000,"Paquete"))</f>
        <v>0</v>
      </c>
      <c r="J293" s="28" t="n">
        <f aca="false">IF($A293="","",COUNTIF('🤸 Ingresos Pole'!$W$2:$W$1000,$A293))</f>
        <v>0</v>
      </c>
      <c r="K293" s="29" t="n">
        <f aca="false">IF($A293="","",SUMIF('🤸 Ingresos Pole'!$W$2:$W$1000,$A293,'🤸 Ingresos Pole'!$P$2:$P$1000))</f>
        <v>0</v>
      </c>
      <c r="L293" s="30" t="str">
        <f aca="false">IF(OR($A293="",J293=0),"",_xlfn.MINIFS('🤸 Ingresos Pole'!$B$2:$B$1000,'🤸 Ingresos Pole'!$W$2:$W$1000,$A293))</f>
        <v/>
      </c>
      <c r="M293" s="30" t="str">
        <f aca="false">IF(OR($A293="",J293=0),"",_xlfn.MAXIFS('🤸 Ingresos Pole'!$B$2:$B$1000,'🤸 Ingresos Pole'!$W$2:$W$1000,$A293))</f>
        <v/>
      </c>
      <c r="N293" s="28" t="str">
        <f aca="false">IF(OR($A293="",J293=0),"",IF(I293=0,"Sin paquete",IF(I293=1,"Nueva","Recurrente")))</f>
        <v/>
      </c>
      <c r="O293" s="25" t="str">
        <f aca="false">IF(AND(TRIM(B293)="",TRIM(C293)=""),"",TRIM(B293)&amp;"|"&amp;TRIM(C293))</f>
        <v/>
      </c>
      <c r="P293" s="25" t="str">
        <f aca="false">IF(O293="","",IF(TRIM(C293)="",TRIM(B293),IF(TRIM(B293)="",TRIM(C293),TRIM(B293)&amp;", "&amp;TRIM(C293))))</f>
        <v/>
      </c>
      <c r="Q293" s="25" t="str">
        <f aca="false">IF(O293="","",TRIM(TRIM(C293)&amp;" "&amp;TRIM(B293)))</f>
        <v/>
      </c>
      <c r="R293" s="25" t="str">
        <f aca="false">IF(P293="","",COUNTIFS($P$2:$P$1000,"&lt;"&amp;P293,$P$2:$P$1000,"?*")+COUNTIF($P$2:P293,P293))</f>
        <v/>
      </c>
    </row>
    <row r="294" customFormat="false" ht="14.25" hidden="false" customHeight="true" outlineLevel="0" collapsed="false">
      <c r="A294" s="25" t="s">
        <v>492</v>
      </c>
      <c r="B294" s="25"/>
      <c r="C294" s="25"/>
      <c r="D294" s="26"/>
      <c r="E294" s="25"/>
      <c r="F294" s="25"/>
      <c r="G294" s="27"/>
      <c r="H294" s="28" t="str">
        <f aca="true">IF(G294="","",DATEDIF(G294,TODAY(),"Y"))</f>
        <v/>
      </c>
      <c r="I294" s="28" t="n">
        <f aca="false">IF($A294="","",COUNTIFS('🤸 Ingresos Pole'!$W$2:$W$1000,$A294,'🤸 Ingresos Pole'!$L$2:$L$1000,"Paquete"))</f>
        <v>0</v>
      </c>
      <c r="J294" s="28" t="n">
        <f aca="false">IF($A294="","",COUNTIF('🤸 Ingresos Pole'!$W$2:$W$1000,$A294))</f>
        <v>0</v>
      </c>
      <c r="K294" s="29" t="n">
        <f aca="false">IF($A294="","",SUMIF('🤸 Ingresos Pole'!$W$2:$W$1000,$A294,'🤸 Ingresos Pole'!$P$2:$P$1000))</f>
        <v>0</v>
      </c>
      <c r="L294" s="30" t="str">
        <f aca="false">IF(OR($A294="",J294=0),"",_xlfn.MINIFS('🤸 Ingresos Pole'!$B$2:$B$1000,'🤸 Ingresos Pole'!$W$2:$W$1000,$A294))</f>
        <v/>
      </c>
      <c r="M294" s="30" t="str">
        <f aca="false">IF(OR($A294="",J294=0),"",_xlfn.MAXIFS('🤸 Ingresos Pole'!$B$2:$B$1000,'🤸 Ingresos Pole'!$W$2:$W$1000,$A294))</f>
        <v/>
      </c>
      <c r="N294" s="28" t="str">
        <f aca="false">IF(OR($A294="",J294=0),"",IF(I294=0,"Sin paquete",IF(I294=1,"Nueva","Recurrente")))</f>
        <v/>
      </c>
      <c r="O294" s="25" t="str">
        <f aca="false">IF(AND(TRIM(B294)="",TRIM(C294)=""),"",TRIM(B294)&amp;"|"&amp;TRIM(C294))</f>
        <v/>
      </c>
      <c r="P294" s="25" t="str">
        <f aca="false">IF(O294="","",IF(TRIM(C294)="",TRIM(B294),IF(TRIM(B294)="",TRIM(C294),TRIM(B294)&amp;", "&amp;TRIM(C294))))</f>
        <v/>
      </c>
      <c r="Q294" s="25" t="str">
        <f aca="false">IF(O294="","",TRIM(TRIM(C294)&amp;" "&amp;TRIM(B294)))</f>
        <v/>
      </c>
      <c r="R294" s="25" t="str">
        <f aca="false">IF(P294="","",COUNTIFS($P$2:$P$1000,"&lt;"&amp;P294,$P$2:$P$1000,"?*")+COUNTIF($P$2:P294,P294))</f>
        <v/>
      </c>
    </row>
    <row r="295" customFormat="false" ht="14.25" hidden="false" customHeight="true" outlineLevel="0" collapsed="false">
      <c r="A295" s="25" t="s">
        <v>493</v>
      </c>
      <c r="B295" s="25"/>
      <c r="C295" s="25"/>
      <c r="D295" s="26"/>
      <c r="E295" s="25"/>
      <c r="F295" s="25"/>
      <c r="G295" s="27"/>
      <c r="H295" s="28" t="str">
        <f aca="true">IF(G295="","",DATEDIF(G295,TODAY(),"Y"))</f>
        <v/>
      </c>
      <c r="I295" s="28" t="n">
        <f aca="false">IF($A295="","",COUNTIFS('🤸 Ingresos Pole'!$W$2:$W$1000,$A295,'🤸 Ingresos Pole'!$L$2:$L$1000,"Paquete"))</f>
        <v>0</v>
      </c>
      <c r="J295" s="28" t="n">
        <f aca="false">IF($A295="","",COUNTIF('🤸 Ingresos Pole'!$W$2:$W$1000,$A295))</f>
        <v>0</v>
      </c>
      <c r="K295" s="29" t="n">
        <f aca="false">IF($A295="","",SUMIF('🤸 Ingresos Pole'!$W$2:$W$1000,$A295,'🤸 Ingresos Pole'!$P$2:$P$1000))</f>
        <v>0</v>
      </c>
      <c r="L295" s="30" t="str">
        <f aca="false">IF(OR($A295="",J295=0),"",_xlfn.MINIFS('🤸 Ingresos Pole'!$B$2:$B$1000,'🤸 Ingresos Pole'!$W$2:$W$1000,$A295))</f>
        <v/>
      </c>
      <c r="M295" s="30" t="str">
        <f aca="false">IF(OR($A295="",J295=0),"",_xlfn.MAXIFS('🤸 Ingresos Pole'!$B$2:$B$1000,'🤸 Ingresos Pole'!$W$2:$W$1000,$A295))</f>
        <v/>
      </c>
      <c r="N295" s="28" t="str">
        <f aca="false">IF(OR($A295="",J295=0),"",IF(I295=0,"Sin paquete",IF(I295=1,"Nueva","Recurrente")))</f>
        <v/>
      </c>
      <c r="O295" s="25" t="str">
        <f aca="false">IF(AND(TRIM(B295)="",TRIM(C295)=""),"",TRIM(B295)&amp;"|"&amp;TRIM(C295))</f>
        <v/>
      </c>
      <c r="P295" s="25" t="str">
        <f aca="false">IF(O295="","",IF(TRIM(C295)="",TRIM(B295),IF(TRIM(B295)="",TRIM(C295),TRIM(B295)&amp;", "&amp;TRIM(C295))))</f>
        <v/>
      </c>
      <c r="Q295" s="25" t="str">
        <f aca="false">IF(O295="","",TRIM(TRIM(C295)&amp;" "&amp;TRIM(B295)))</f>
        <v/>
      </c>
      <c r="R295" s="25" t="str">
        <f aca="false">IF(P295="","",COUNTIFS($P$2:$P$1000,"&lt;"&amp;P295,$P$2:$P$1000,"?*")+COUNTIF($P$2:P295,P295))</f>
        <v/>
      </c>
    </row>
    <row r="296" customFormat="false" ht="14.25" hidden="false" customHeight="true" outlineLevel="0" collapsed="false">
      <c r="A296" s="25" t="s">
        <v>494</v>
      </c>
      <c r="B296" s="25"/>
      <c r="C296" s="25"/>
      <c r="D296" s="26"/>
      <c r="E296" s="25"/>
      <c r="F296" s="25"/>
      <c r="G296" s="27"/>
      <c r="H296" s="28" t="str">
        <f aca="true">IF(G296="","",DATEDIF(G296,TODAY(),"Y"))</f>
        <v/>
      </c>
      <c r="I296" s="28" t="n">
        <f aca="false">IF($A296="","",COUNTIFS('🤸 Ingresos Pole'!$W$2:$W$1000,$A296,'🤸 Ingresos Pole'!$L$2:$L$1000,"Paquete"))</f>
        <v>0</v>
      </c>
      <c r="J296" s="28" t="n">
        <f aca="false">IF($A296="","",COUNTIF('🤸 Ingresos Pole'!$W$2:$W$1000,$A296))</f>
        <v>0</v>
      </c>
      <c r="K296" s="29" t="n">
        <f aca="false">IF($A296="","",SUMIF('🤸 Ingresos Pole'!$W$2:$W$1000,$A296,'🤸 Ingresos Pole'!$P$2:$P$1000))</f>
        <v>0</v>
      </c>
      <c r="L296" s="30" t="str">
        <f aca="false">IF(OR($A296="",J296=0),"",_xlfn.MINIFS('🤸 Ingresos Pole'!$B$2:$B$1000,'🤸 Ingresos Pole'!$W$2:$W$1000,$A296))</f>
        <v/>
      </c>
      <c r="M296" s="30" t="str">
        <f aca="false">IF(OR($A296="",J296=0),"",_xlfn.MAXIFS('🤸 Ingresos Pole'!$B$2:$B$1000,'🤸 Ingresos Pole'!$W$2:$W$1000,$A296))</f>
        <v/>
      </c>
      <c r="N296" s="28" t="str">
        <f aca="false">IF(OR($A296="",J296=0),"",IF(I296=0,"Sin paquete",IF(I296=1,"Nueva","Recurrente")))</f>
        <v/>
      </c>
      <c r="O296" s="25" t="str">
        <f aca="false">IF(AND(TRIM(B296)="",TRIM(C296)=""),"",TRIM(B296)&amp;"|"&amp;TRIM(C296))</f>
        <v/>
      </c>
      <c r="P296" s="25" t="str">
        <f aca="false">IF(O296="","",IF(TRIM(C296)="",TRIM(B296),IF(TRIM(B296)="",TRIM(C296),TRIM(B296)&amp;", "&amp;TRIM(C296))))</f>
        <v/>
      </c>
      <c r="Q296" s="25" t="str">
        <f aca="false">IF(O296="","",TRIM(TRIM(C296)&amp;" "&amp;TRIM(B296)))</f>
        <v/>
      </c>
      <c r="R296" s="25" t="str">
        <f aca="false">IF(P296="","",COUNTIFS($P$2:$P$1000,"&lt;"&amp;P296,$P$2:$P$1000,"?*")+COUNTIF($P$2:P296,P296))</f>
        <v/>
      </c>
    </row>
    <row r="297" customFormat="false" ht="14.25" hidden="false" customHeight="true" outlineLevel="0" collapsed="false">
      <c r="A297" s="25" t="s">
        <v>495</v>
      </c>
      <c r="B297" s="25"/>
      <c r="C297" s="25"/>
      <c r="D297" s="26"/>
      <c r="E297" s="25"/>
      <c r="F297" s="25"/>
      <c r="G297" s="27"/>
      <c r="H297" s="28" t="str">
        <f aca="true">IF(G297="","",DATEDIF(G297,TODAY(),"Y"))</f>
        <v/>
      </c>
      <c r="I297" s="28" t="n">
        <f aca="false">IF($A297="","",COUNTIFS('🤸 Ingresos Pole'!$W$2:$W$1000,$A297,'🤸 Ingresos Pole'!$L$2:$L$1000,"Paquete"))</f>
        <v>0</v>
      </c>
      <c r="J297" s="28" t="n">
        <f aca="false">IF($A297="","",COUNTIF('🤸 Ingresos Pole'!$W$2:$W$1000,$A297))</f>
        <v>0</v>
      </c>
      <c r="K297" s="29" t="n">
        <f aca="false">IF($A297="","",SUMIF('🤸 Ingresos Pole'!$W$2:$W$1000,$A297,'🤸 Ingresos Pole'!$P$2:$P$1000))</f>
        <v>0</v>
      </c>
      <c r="L297" s="30" t="str">
        <f aca="false">IF(OR($A297="",J297=0),"",_xlfn.MINIFS('🤸 Ingresos Pole'!$B$2:$B$1000,'🤸 Ingresos Pole'!$W$2:$W$1000,$A297))</f>
        <v/>
      </c>
      <c r="M297" s="30" t="str">
        <f aca="false">IF(OR($A297="",J297=0),"",_xlfn.MAXIFS('🤸 Ingresos Pole'!$B$2:$B$1000,'🤸 Ingresos Pole'!$W$2:$W$1000,$A297))</f>
        <v/>
      </c>
      <c r="N297" s="28" t="str">
        <f aca="false">IF(OR($A297="",J297=0),"",IF(I297=0,"Sin paquete",IF(I297=1,"Nueva","Recurrente")))</f>
        <v/>
      </c>
      <c r="O297" s="25" t="str">
        <f aca="false">IF(AND(TRIM(B297)="",TRIM(C297)=""),"",TRIM(B297)&amp;"|"&amp;TRIM(C297))</f>
        <v/>
      </c>
      <c r="P297" s="25" t="str">
        <f aca="false">IF(O297="","",IF(TRIM(C297)="",TRIM(B297),IF(TRIM(B297)="",TRIM(C297),TRIM(B297)&amp;", "&amp;TRIM(C297))))</f>
        <v/>
      </c>
      <c r="Q297" s="25" t="str">
        <f aca="false">IF(O297="","",TRIM(TRIM(C297)&amp;" "&amp;TRIM(B297)))</f>
        <v/>
      </c>
      <c r="R297" s="25" t="str">
        <f aca="false">IF(P297="","",COUNTIFS($P$2:$P$1000,"&lt;"&amp;P297,$P$2:$P$1000,"?*")+COUNTIF($P$2:P297,P297))</f>
        <v/>
      </c>
    </row>
    <row r="298" customFormat="false" ht="14.25" hidden="false" customHeight="true" outlineLevel="0" collapsed="false">
      <c r="A298" s="25" t="s">
        <v>496</v>
      </c>
      <c r="B298" s="25"/>
      <c r="C298" s="25"/>
      <c r="D298" s="26"/>
      <c r="E298" s="25"/>
      <c r="F298" s="25"/>
      <c r="G298" s="27"/>
      <c r="H298" s="28" t="str">
        <f aca="true">IF(G298="","",DATEDIF(G298,TODAY(),"Y"))</f>
        <v/>
      </c>
      <c r="I298" s="28" t="n">
        <f aca="false">IF($A298="","",COUNTIFS('🤸 Ingresos Pole'!$W$2:$W$1000,$A298,'🤸 Ingresos Pole'!$L$2:$L$1000,"Paquete"))</f>
        <v>0</v>
      </c>
      <c r="J298" s="28" t="n">
        <f aca="false">IF($A298="","",COUNTIF('🤸 Ingresos Pole'!$W$2:$W$1000,$A298))</f>
        <v>0</v>
      </c>
      <c r="K298" s="29" t="n">
        <f aca="false">IF($A298="","",SUMIF('🤸 Ingresos Pole'!$W$2:$W$1000,$A298,'🤸 Ingresos Pole'!$P$2:$P$1000))</f>
        <v>0</v>
      </c>
      <c r="L298" s="30" t="str">
        <f aca="false">IF(OR($A298="",J298=0),"",_xlfn.MINIFS('🤸 Ingresos Pole'!$B$2:$B$1000,'🤸 Ingresos Pole'!$W$2:$W$1000,$A298))</f>
        <v/>
      </c>
      <c r="M298" s="30" t="str">
        <f aca="false">IF(OR($A298="",J298=0),"",_xlfn.MAXIFS('🤸 Ingresos Pole'!$B$2:$B$1000,'🤸 Ingresos Pole'!$W$2:$W$1000,$A298))</f>
        <v/>
      </c>
      <c r="N298" s="28" t="str">
        <f aca="false">IF(OR($A298="",J298=0),"",IF(I298=0,"Sin paquete",IF(I298=1,"Nueva","Recurrente")))</f>
        <v/>
      </c>
      <c r="O298" s="25" t="str">
        <f aca="false">IF(AND(TRIM(B298)="",TRIM(C298)=""),"",TRIM(B298)&amp;"|"&amp;TRIM(C298))</f>
        <v/>
      </c>
      <c r="P298" s="25" t="str">
        <f aca="false">IF(O298="","",IF(TRIM(C298)="",TRIM(B298),IF(TRIM(B298)="",TRIM(C298),TRIM(B298)&amp;", "&amp;TRIM(C298))))</f>
        <v/>
      </c>
      <c r="Q298" s="25" t="str">
        <f aca="false">IF(O298="","",TRIM(TRIM(C298)&amp;" "&amp;TRIM(B298)))</f>
        <v/>
      </c>
      <c r="R298" s="25" t="str">
        <f aca="false">IF(P298="","",COUNTIFS($P$2:$P$1000,"&lt;"&amp;P298,$P$2:$P$1000,"?*")+COUNTIF($P$2:P298,P298))</f>
        <v/>
      </c>
    </row>
  </sheetData>
  <autoFilter ref="A1:R298">
    <sortState ref="A2:R298">
      <sortCondition ref="A2:A298" customList=""/>
    </sortState>
  </autoFilter>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B7" activeCellId="0" sqref="B7"/>
    </sheetView>
  </sheetViews>
  <sheetFormatPr defaultColWidth="8.6328125" defaultRowHeight="14.2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34"/>
    <col collapsed="false" customWidth="true" hidden="false" outlineLevel="0" max="4" min="4" style="1" width="20"/>
    <col collapsed="false" customWidth="true" hidden="false" outlineLevel="0" max="5" min="5" style="1" width="22"/>
    <col collapsed="false" customWidth="true" hidden="false" outlineLevel="0" max="6" min="6" style="1" width="13"/>
    <col collapsed="false" customWidth="true" hidden="false" outlineLevel="0" max="7" min="7" style="1" width="28"/>
    <col collapsed="false" customWidth="true" hidden="false" outlineLevel="0" max="8" min="8" style="1" width="24"/>
    <col collapsed="false" customWidth="true" hidden="false" outlineLevel="0" max="9" min="9" style="1" width="14"/>
    <col collapsed="false" customWidth="true" hidden="false" outlineLevel="0" max="10" min="10" style="1" width="7"/>
    <col collapsed="false" customWidth="true" hidden="false" outlineLevel="0" max="11" min="11" style="1" width="40"/>
    <col collapsed="false" customWidth="true" hidden="false" outlineLevel="0" max="12" min="12" style="1" width="13"/>
    <col collapsed="false" customWidth="true" hidden="false" outlineLevel="0" max="13" min="13" style="1" width="14"/>
    <col collapsed="false" customWidth="true" hidden="false" outlineLevel="0" max="14" min="14" style="1" width="9"/>
    <col collapsed="false" customWidth="true" hidden="false" outlineLevel="0" max="15" min="15" style="1" width="14"/>
    <col collapsed="false" customWidth="true" hidden="false" outlineLevel="0" max="16" min="16" style="1" width="13"/>
    <col collapsed="false" customWidth="true" hidden="false" outlineLevel="0" max="17" min="17" style="1" width="11"/>
    <col collapsed="false" customWidth="true" hidden="false" outlineLevel="0" max="20" min="18" style="1" width="22"/>
    <col collapsed="false" customWidth="true" hidden="false" outlineLevel="0" max="21" min="21" style="1" width="13"/>
    <col collapsed="false" customWidth="true" hidden="false" outlineLevel="0" max="22" min="22" style="1" width="26"/>
    <col collapsed="false" customWidth="true" hidden="false" outlineLevel="0" max="23" min="23" style="1" width="16"/>
  </cols>
  <sheetData>
    <row r="1" customFormat="false" ht="31.5" hidden="false" customHeight="true" outlineLevel="0" collapsed="false">
      <c r="A1" s="32" t="s">
        <v>497</v>
      </c>
      <c r="B1" s="32" t="s">
        <v>498</v>
      </c>
      <c r="C1" s="32" t="s">
        <v>499</v>
      </c>
      <c r="D1" s="33" t="s">
        <v>500</v>
      </c>
      <c r="E1" s="33" t="s">
        <v>501</v>
      </c>
      <c r="F1" s="33" t="s">
        <v>64</v>
      </c>
      <c r="G1" s="33" t="s">
        <v>65</v>
      </c>
      <c r="H1" s="33" t="s">
        <v>66</v>
      </c>
      <c r="I1" s="33" t="s">
        <v>67</v>
      </c>
      <c r="J1" s="33" t="s">
        <v>68</v>
      </c>
      <c r="K1" s="32" t="s">
        <v>502</v>
      </c>
      <c r="L1" s="33" t="s">
        <v>503</v>
      </c>
      <c r="M1" s="32" t="s">
        <v>504</v>
      </c>
      <c r="N1" s="32" t="s">
        <v>505</v>
      </c>
      <c r="O1" s="32" t="s">
        <v>506</v>
      </c>
      <c r="P1" s="33" t="s">
        <v>24</v>
      </c>
      <c r="Q1" s="32" t="s">
        <v>507</v>
      </c>
      <c r="R1" s="32" t="s">
        <v>508</v>
      </c>
      <c r="S1" s="32" t="s">
        <v>509</v>
      </c>
      <c r="T1" s="33" t="s">
        <v>510</v>
      </c>
      <c r="U1" s="33" t="s">
        <v>511</v>
      </c>
      <c r="V1" s="32" t="s">
        <v>512</v>
      </c>
      <c r="W1" s="33" t="s">
        <v>513</v>
      </c>
    </row>
    <row r="2" customFormat="false" ht="14.25" hidden="false" customHeight="true" outlineLevel="0" collapsed="false">
      <c r="A2" s="25" t="s">
        <v>514</v>
      </c>
      <c r="B2" s="27" t="n">
        <v>46264</v>
      </c>
      <c r="C2" s="25" t="s">
        <v>515</v>
      </c>
      <c r="D2" s="34" t="str">
        <f aca="false">IF($W2="","",IFERROR(TRIM(INDEX('🎓 Alumnas'!$B$2:$B$1000,MATCH($W2,'🎓 Alumnas'!$A$2:$A$1000,0))),""))</f>
        <v>López Galván</v>
      </c>
      <c r="E2" s="34" t="str">
        <f aca="false">IF($W2="","",IFERROR(TRIM(INDEX('🎓 Alumnas'!$C$2:$C$1000,MATCH($W2,'🎓 Alumnas'!$A$2:$A$1000,0))),""))</f>
        <v>Ana Carolina</v>
      </c>
      <c r="F2" s="34" t="str">
        <f aca="false">IF($W2="","",IFERROR(IF(INDEX('🎓 Alumnas'!$D$2:$D$1000,MATCH($W2,'🎓 Alumnas'!$A$2:$A$1000,0))="","",INDEX('🎓 Alumnas'!$D$2:$D$1000,MATCH($W2,'🎓 Alumnas'!$A$2:$A$1000,0))),""))</f>
        <v>3229015452</v>
      </c>
      <c r="G2" s="28" t="str">
        <f aca="false">IF($W2="","",IFERROR(IF(INDEX('🎓 Alumnas'!$E$2:$E$1000,MATCH($W2,'🎓 Alumnas'!$A$2:$A$1000,0))="","",INDEX('🎓 Alumnas'!$E$2:$E$1000,MATCH($W2,'🎓 Alumnas'!$A$2:$A$1000,0))),""))</f>
        <v>anacaloga88@gmail.com</v>
      </c>
      <c r="H2" s="28" t="str">
        <f aca="false">IF($W2="","",IFERROR(IF(INDEX('🎓 Alumnas'!$F$2:$F$1000,MATCH($W2,'🎓 Alumnas'!$A$2:$A$1000,0))="","",INDEX('🎓 Alumnas'!$F$2:$F$1000,MATCH($W2,'🎓 Alumnas'!$A$2:$A$1000,0))),""))</f>
        <v>Cra. 79a # 16F-8, Fontibón, Bogotá, D.C., Bogotá, Bogotá, D.C., Colombia</v>
      </c>
      <c r="I2" s="30" t="n">
        <f aca="false">IF($W2="","",IFERROR(IF(INDEX('🎓 Alumnas'!$G$2:$G$1000,MATCH($W2,'🎓 Alumnas'!$A$2:$A$1000,0))="","",INDEX('🎓 Alumnas'!$G$2:$G$1000,MATCH($W2,'🎓 Alumnas'!$A$2:$A$1000,0))),""))</f>
        <v>32232</v>
      </c>
      <c r="J2" s="28" t="n">
        <f aca="true">IF(I2="","",DATEDIF(I2,TODAY(),"Y"))</f>
        <v>38</v>
      </c>
      <c r="K2" s="25" t="s">
        <v>516</v>
      </c>
      <c r="L2" s="28" t="str">
        <f aca="false">IF(K2="","",IF(LEFT(K2,6)="1 Pole","Alquiler",IF(LEFT(K2,7)="1 Clase","Clase suelta","Paquete")))</f>
        <v>Paquete</v>
      </c>
      <c r="M2" s="25"/>
      <c r="N2" s="25" t="n">
        <v>1</v>
      </c>
      <c r="O2" s="35" t="n">
        <v>200000</v>
      </c>
      <c r="P2" s="29" t="n">
        <f aca="false">IF(O2="","",N2*O2)</f>
        <v>200000</v>
      </c>
      <c r="Q2" s="36" t="n">
        <v>1</v>
      </c>
      <c r="R2" s="25" t="s">
        <v>32</v>
      </c>
      <c r="S2" s="25" t="s">
        <v>517</v>
      </c>
      <c r="T2" s="28" t="str">
        <f aca="false">IF(OR(LEFT(W2,2)&lt;&gt;"A-",ISERROR(MATCH(W2,'🎓 Alumnas'!$A$2:$A$1000,0))),"",IF(COUNTIF($W$2:W2,W2)=1,"Nueva","Recurrente"))</f>
        <v>Nueva</v>
      </c>
      <c r="U2" s="28" t="n">
        <f aca="false">IF(OR(T2="",L2&lt;&gt;"Paquete"),"",COUNTIFS($W$2:W2,W2,$L$2:L2,"Paquete"))</f>
        <v>1</v>
      </c>
      <c r="V2" s="25"/>
      <c r="W2" s="34" t="str">
        <f aca="false">IF(TRIM($C2)="","",IF(COUNTIF('🎓 Alumnas'!$P$2:$P$1000,TRIM($C2))&gt;0,INDEX('🎓 Alumnas'!$A$2:$A$1000,MATCH(TRIM($C2),'🎓 Alumnas'!$P$2:$P$1000,0)),IF(COUNTIF('🎓 Alumnas'!$O$2:$O$1000,TRIM($C2)&amp;"|*")=1,INDEX('🎓 Alumnas'!$A$2:$A$1000,MATCH(TRIM($C2)&amp;"|*",'🎓 Alumnas'!$O$2:$O$1000,0)),IF(COUNTIF('🎓 Alumnas'!$O$2:$O$1000,"*|"&amp;TRIM($C2))=1,INDEX('🎓 Alumnas'!$A$2:$A$1000,MATCH("*|"&amp;TRIM($C2),'🎓 Alumnas'!$O$2:$O$1000,0)),IF(COUNTIF('🎓 Alumnas'!$Q$2:$Q$1000,TRIM($C2))=1,INDEX('🎓 Alumnas'!$A$2:$A$1000,MATCH(TRIM($C2),'🎓 Alumnas'!$Q$2:$Q$1000,0)),IF(COUNTIF('🎓 Alumnas'!$P$2:$P$1000,"*"&amp;TRIM($C2)&amp;"*")=1,INDEX('🎓 Alumnas'!$A$2:$A$1000,MATCH("*"&amp;TRIM($C2)&amp;"*",'🎓 Alumnas'!$P$2:$P$1000,0)),IF(COUNTIF('🎓 Alumnas'!$Q$2:$Q$1000,"*"&amp;TRIM($C2)&amp;"*")=1,INDEX('🎓 Alumnas'!$A$2:$A$1000,MATCH("*"&amp;TRIM($C2)&amp;"*",'🎓 Alumnas'!$Q$2:$Q$1000,0)),IF(COUNTIF('🎓 Alumnas'!$P$2:$P$1000,"*"&amp;TRIM($C2)&amp;"*")+COUNTIF('🎓 Alumnas'!$Q$2:$Q$1000,"*"&amp;TRIM($C2)&amp;"*")&gt;1,"Varias: elige de la lista","No encontrada"))))))))</f>
        <v>A-001</v>
      </c>
    </row>
    <row r="3" customFormat="false" ht="14.25" hidden="false" customHeight="true" outlineLevel="0" collapsed="false">
      <c r="A3" s="25" t="s">
        <v>518</v>
      </c>
      <c r="B3" s="27" t="n">
        <v>46265</v>
      </c>
      <c r="C3" s="25" t="s">
        <v>519</v>
      </c>
      <c r="D3" s="34" t="str">
        <f aca="false">IF($W3="","",IFERROR(TRIM(INDEX('🎓 Alumnas'!$B$2:$B$1000,MATCH($W3,'🎓 Alumnas'!$A$2:$A$1000,0))),""))</f>
        <v>Arias Ospitia</v>
      </c>
      <c r="E3" s="34" t="str">
        <f aca="false">IF($W3="","",IFERROR(TRIM(INDEX('🎓 Alumnas'!$C$2:$C$1000,MATCH($W3,'🎓 Alumnas'!$A$2:$A$1000,0))),""))</f>
        <v>Francya Damaris</v>
      </c>
      <c r="F3" s="34" t="str">
        <f aca="false">IF($W3="","",IFERROR(IF(INDEX('🎓 Alumnas'!$D$2:$D$1000,MATCH($W3,'🎓 Alumnas'!$A$2:$A$1000,0))="","",INDEX('🎓 Alumnas'!$D$2:$D$1000,MATCH($W3,'🎓 Alumnas'!$A$2:$A$1000,0))),""))</f>
        <v>3142183412</v>
      </c>
      <c r="G3" s="28" t="str">
        <f aca="false">IF($W3="","",IFERROR(IF(INDEX('🎓 Alumnas'!$E$2:$E$1000,MATCH($W3,'🎓 Alumnas'!$A$2:$A$1000,0))="","",INDEX('🎓 Alumnas'!$E$2:$E$1000,MATCH($W3,'🎓 Alumnas'!$A$2:$A$1000,0))),""))</f>
        <v>fraariaspi@hotmail.com</v>
      </c>
      <c r="H3" s="28" t="str">
        <f aca="false">IF($W3="","",IFERROR(IF(INDEX('🎓 Alumnas'!$F$2:$F$1000,MATCH($W3,'🎓 Alumnas'!$A$2:$A$1000,0))="","",INDEX('🎓 Alumnas'!$F$2:$F$1000,MATCH($W3,'🎓 Alumnas'!$A$2:$A$1000,0))),""))</f>
        <v>Cra. 73 #7f-7, Bogotá, Colombia</v>
      </c>
      <c r="I3" s="30" t="n">
        <f aca="false">IF($W3="","",IFERROR(IF(INDEX('🎓 Alumnas'!$G$2:$G$1000,MATCH($W3,'🎓 Alumnas'!$A$2:$A$1000,0))="","",INDEX('🎓 Alumnas'!$G$2:$G$1000,MATCH($W3,'🎓 Alumnas'!$A$2:$A$1000,0))),""))</f>
        <v>27887</v>
      </c>
      <c r="J3" s="28" t="n">
        <f aca="true">IF(I3="","",DATEDIF(I3,TODAY(),"Y"))</f>
        <v>50</v>
      </c>
      <c r="K3" s="25" t="s">
        <v>520</v>
      </c>
      <c r="L3" s="28" t="str">
        <f aca="false">IF(K3="","",IF(LEFT(K3,6)="1 Pole","Alquiler",IF(LEFT(K3,7)="1 Clase","Clase suelta","Paquete")))</f>
        <v>Paquete</v>
      </c>
      <c r="M3" s="25"/>
      <c r="N3" s="25" t="n">
        <v>1</v>
      </c>
      <c r="O3" s="35" t="n">
        <v>350000</v>
      </c>
      <c r="P3" s="29" t="n">
        <f aca="false">IF(O3="","",N3*O3)</f>
        <v>350000</v>
      </c>
      <c r="Q3" s="36" t="n">
        <v>1</v>
      </c>
      <c r="R3" s="25" t="s">
        <v>30</v>
      </c>
      <c r="S3" s="25" t="s">
        <v>521</v>
      </c>
      <c r="T3" s="28" t="str">
        <f aca="false">IF(OR(LEFT(W3,2)&lt;&gt;"A-",ISERROR(MATCH(W3,'🎓 Alumnas'!$A$2:$A$1000,0))),"",IF(COUNTIF($W$2:W3,W3)=1,"Nueva","Recurrente"))</f>
        <v>Nueva</v>
      </c>
      <c r="U3" s="28" t="n">
        <f aca="false">IF(OR(T3="",L3&lt;&gt;"Paquete"),"",COUNTIFS($W$2:W3,W3,$L$2:L3,"Paquete"))</f>
        <v>1</v>
      </c>
      <c r="V3" s="25"/>
      <c r="W3" s="34" t="str">
        <f aca="false">IF(TRIM($C3)="","",IF(COUNTIF('🎓 Alumnas'!$P$2:$P$1000,TRIM($C3))&gt;0,INDEX('🎓 Alumnas'!$A$2:$A$1000,MATCH(TRIM($C3),'🎓 Alumnas'!$P$2:$P$1000,0)),IF(COUNTIF('🎓 Alumnas'!$O$2:$O$1000,TRIM($C3)&amp;"|*")=1,INDEX('🎓 Alumnas'!$A$2:$A$1000,MATCH(TRIM($C3)&amp;"|*",'🎓 Alumnas'!$O$2:$O$1000,0)),IF(COUNTIF('🎓 Alumnas'!$O$2:$O$1000,"*|"&amp;TRIM($C3))=1,INDEX('🎓 Alumnas'!$A$2:$A$1000,MATCH("*|"&amp;TRIM($C3),'🎓 Alumnas'!$O$2:$O$1000,0)),IF(COUNTIF('🎓 Alumnas'!$Q$2:$Q$1000,TRIM($C3))=1,INDEX('🎓 Alumnas'!$A$2:$A$1000,MATCH(TRIM($C3),'🎓 Alumnas'!$Q$2:$Q$1000,0)),IF(COUNTIF('🎓 Alumnas'!$P$2:$P$1000,"*"&amp;TRIM($C3)&amp;"*")=1,INDEX('🎓 Alumnas'!$A$2:$A$1000,MATCH("*"&amp;TRIM($C3)&amp;"*",'🎓 Alumnas'!$P$2:$P$1000,0)),IF(COUNTIF('🎓 Alumnas'!$Q$2:$Q$1000,"*"&amp;TRIM($C3)&amp;"*")=1,INDEX('🎓 Alumnas'!$A$2:$A$1000,MATCH("*"&amp;TRIM($C3)&amp;"*",'🎓 Alumnas'!$Q$2:$Q$1000,0)),IF(COUNTIF('🎓 Alumnas'!$P$2:$P$1000,"*"&amp;TRIM($C3)&amp;"*")+COUNTIF('🎓 Alumnas'!$Q$2:$Q$1000,"*"&amp;TRIM($C3)&amp;"*")&gt;1,"Varias: elige de la lista","No encontrada"))))))))</f>
        <v>A-002</v>
      </c>
    </row>
    <row r="4" customFormat="false" ht="14.25" hidden="false" customHeight="true" outlineLevel="0" collapsed="false">
      <c r="A4" s="25" t="s">
        <v>522</v>
      </c>
      <c r="B4" s="27" t="n">
        <v>46264</v>
      </c>
      <c r="C4" s="25" t="s">
        <v>523</v>
      </c>
      <c r="D4" s="34" t="str">
        <f aca="false">IF($W4="","",IFERROR(TRIM(INDEX('🎓 Alumnas'!$B$2:$B$1000,MATCH($W4,'🎓 Alumnas'!$A$2:$A$1000,0))),""))</f>
        <v>Bermúdez Cardona</v>
      </c>
      <c r="E4" s="34" t="str">
        <f aca="false">IF($W4="","",IFERROR(TRIM(INDEX('🎓 Alumnas'!$C$2:$C$1000,MATCH($W4,'🎓 Alumnas'!$A$2:$A$1000,0))),""))</f>
        <v>Diana</v>
      </c>
      <c r="F4" s="34" t="str">
        <f aca="false">IF($W4="","",IFERROR(IF(INDEX('🎓 Alumnas'!$D$2:$D$1000,MATCH($W4,'🎓 Alumnas'!$A$2:$A$1000,0))="","",INDEX('🎓 Alumnas'!$D$2:$D$1000,MATCH($W4,'🎓 Alumnas'!$A$2:$A$1000,0))),""))</f>
        <v>3196364084</v>
      </c>
      <c r="G4" s="28" t="str">
        <f aca="false">IF($W4="","",IFERROR(IF(INDEX('🎓 Alumnas'!$E$2:$E$1000,MATCH($W4,'🎓 Alumnas'!$A$2:$A$1000,0))="","",INDEX('🎓 Alumnas'!$E$2:$E$1000,MATCH($W4,'🎓 Alumnas'!$A$2:$A$1000,0))),""))</f>
        <v>diana0.bermudez@gmail.com</v>
      </c>
      <c r="H4" s="28" t="str">
        <f aca="false">IF($W4="","",IFERROR(IF(INDEX('🎓 Alumnas'!$F$2:$F$1000,MATCH($W4,'🎓 Alumnas'!$A$2:$A$1000,0))="","",INDEX('🎓 Alumnas'!$F$2:$F$1000,MATCH($W4,'🎓 Alumnas'!$A$2:$A$1000,0))),""))</f>
        <v>Cra. 72k #39a Sur-96, Bogotá, Colombia</v>
      </c>
      <c r="I4" s="30" t="n">
        <f aca="false">IF($W4="","",IFERROR(IF(INDEX('🎓 Alumnas'!$G$2:$G$1000,MATCH($W4,'🎓 Alumnas'!$A$2:$A$1000,0))="","",INDEX('🎓 Alumnas'!$G$2:$G$1000,MATCH($W4,'🎓 Alumnas'!$A$2:$A$1000,0))),""))</f>
        <v>33374</v>
      </c>
      <c r="J4" s="28" t="n">
        <f aca="true">IF(I4="","",DATEDIF(I4,TODAY(),"Y"))</f>
        <v>35</v>
      </c>
      <c r="K4" s="25" t="s">
        <v>524</v>
      </c>
      <c r="L4" s="28" t="str">
        <f aca="false">IF(K4="","",IF(LEFT(K4,6)="1 Pole","Alquiler",IF(LEFT(K4,7)="1 Clase","Clase suelta","Paquete")))</f>
        <v>Paquete</v>
      </c>
      <c r="M4" s="25" t="s">
        <v>525</v>
      </c>
      <c r="N4" s="25" t="n">
        <v>1</v>
      </c>
      <c r="O4" s="35" t="n">
        <v>480000</v>
      </c>
      <c r="P4" s="29" t="n">
        <f aca="false">IF(O4="","",N4*O4)</f>
        <v>480000</v>
      </c>
      <c r="Q4" s="36" t="n">
        <v>1</v>
      </c>
      <c r="R4" s="25" t="s">
        <v>32</v>
      </c>
      <c r="S4" s="25" t="s">
        <v>517</v>
      </c>
      <c r="T4" s="28" t="str">
        <f aca="false">IF(OR(LEFT(W4,2)&lt;&gt;"A-",ISERROR(MATCH(W4,'🎓 Alumnas'!$A$2:$A$1000,0))),"",IF(COUNTIF($W$2:W4,W4)=1,"Nueva","Recurrente"))</f>
        <v>Nueva</v>
      </c>
      <c r="U4" s="28" t="n">
        <f aca="false">IF(OR(T4="",L4&lt;&gt;"Paquete"),"",COUNTIFS($W$2:W4,W4,$L$2:L4,"Paquete"))</f>
        <v>1</v>
      </c>
      <c r="V4" s="25"/>
      <c r="W4" s="34" t="str">
        <f aca="false">IF(TRIM($C4)="","",IF(COUNTIF('🎓 Alumnas'!$P$2:$P$1000,TRIM($C4))&gt;0,INDEX('🎓 Alumnas'!$A$2:$A$1000,MATCH(TRIM($C4),'🎓 Alumnas'!$P$2:$P$1000,0)),IF(COUNTIF('🎓 Alumnas'!$O$2:$O$1000,TRIM($C4)&amp;"|*")=1,INDEX('🎓 Alumnas'!$A$2:$A$1000,MATCH(TRIM($C4)&amp;"|*",'🎓 Alumnas'!$O$2:$O$1000,0)),IF(COUNTIF('🎓 Alumnas'!$O$2:$O$1000,"*|"&amp;TRIM($C4))=1,INDEX('🎓 Alumnas'!$A$2:$A$1000,MATCH("*|"&amp;TRIM($C4),'🎓 Alumnas'!$O$2:$O$1000,0)),IF(COUNTIF('🎓 Alumnas'!$Q$2:$Q$1000,TRIM($C4))=1,INDEX('🎓 Alumnas'!$A$2:$A$1000,MATCH(TRIM($C4),'🎓 Alumnas'!$Q$2:$Q$1000,0)),IF(COUNTIF('🎓 Alumnas'!$P$2:$P$1000,"*"&amp;TRIM($C4)&amp;"*")=1,INDEX('🎓 Alumnas'!$A$2:$A$1000,MATCH("*"&amp;TRIM($C4)&amp;"*",'🎓 Alumnas'!$P$2:$P$1000,0)),IF(COUNTIF('🎓 Alumnas'!$Q$2:$Q$1000,"*"&amp;TRIM($C4)&amp;"*")=1,INDEX('🎓 Alumnas'!$A$2:$A$1000,MATCH("*"&amp;TRIM($C4)&amp;"*",'🎓 Alumnas'!$Q$2:$Q$1000,0)),IF(COUNTIF('🎓 Alumnas'!$P$2:$P$1000,"*"&amp;TRIM($C4)&amp;"*")+COUNTIF('🎓 Alumnas'!$Q$2:$Q$1000,"*"&amp;TRIM($C4)&amp;"*")&gt;1,"Varias: elige de la lista","No encontrada"))))))))</f>
        <v>A-003</v>
      </c>
    </row>
    <row r="5" customFormat="false" ht="14.25" hidden="false" customHeight="true" outlineLevel="0" collapsed="false">
      <c r="A5" s="25" t="s">
        <v>526</v>
      </c>
      <c r="B5" s="27" t="n">
        <v>46264</v>
      </c>
      <c r="C5" s="25" t="s">
        <v>527</v>
      </c>
      <c r="D5" s="34" t="str">
        <f aca="false">IF($W5="","",IFERROR(TRIM(INDEX('🎓 Alumnas'!$B$2:$B$1000,MATCH($W5,'🎓 Alumnas'!$A$2:$A$1000,0))),""))</f>
        <v>Torres Olarte</v>
      </c>
      <c r="E5" s="34" t="str">
        <f aca="false">IF($W5="","",IFERROR(TRIM(INDEX('🎓 Alumnas'!$C$2:$C$1000,MATCH($W5,'🎓 Alumnas'!$A$2:$A$1000,0))),""))</f>
        <v>Jessica</v>
      </c>
      <c r="F5" s="34" t="str">
        <f aca="false">IF($W5="","",IFERROR(IF(INDEX('🎓 Alumnas'!$D$2:$D$1000,MATCH($W5,'🎓 Alumnas'!$A$2:$A$1000,0))="","",INDEX('🎓 Alumnas'!$D$2:$D$1000,MATCH($W5,'🎓 Alumnas'!$A$2:$A$1000,0))),""))</f>
        <v>3104775381</v>
      </c>
      <c r="G5" s="28" t="str">
        <f aca="false">IF($W5="","",IFERROR(IF(INDEX('🎓 Alumnas'!$E$2:$E$1000,MATCH($W5,'🎓 Alumnas'!$A$2:$A$1000,0))="","",INDEX('🎓 Alumnas'!$E$2:$E$1000,MATCH($W5,'🎓 Alumnas'!$A$2:$A$1000,0))),""))</f>
        <v>jessicatorresolarte@gmail.com</v>
      </c>
      <c r="H5" s="28" t="str">
        <f aca="false">IF($W5="","",IFERROR(IF(INDEX('🎓 Alumnas'!$F$2:$F$1000,MATCH($W5,'🎓 Alumnas'!$A$2:$A$1000,0))="","",INDEX('🎓 Alumnas'!$F$2:$F$1000,MATCH($W5,'🎓 Alumnas'!$A$2:$A$1000,0))),""))</f>
        <v>Cl. 6b #80b85, Bogotá, Colombia</v>
      </c>
      <c r="I5" s="30" t="n">
        <f aca="false">IF($W5="","",IFERROR(IF(INDEX('🎓 Alumnas'!$G$2:$G$1000,MATCH($W5,'🎓 Alumnas'!$A$2:$A$1000,0))="","",INDEX('🎓 Alumnas'!$G$2:$G$1000,MATCH($W5,'🎓 Alumnas'!$A$2:$A$1000,0))),""))</f>
        <v>31592</v>
      </c>
      <c r="J5" s="28" t="n">
        <f aca="true">IF(I5="","",DATEDIF(I5,TODAY(),"Y"))</f>
        <v>40</v>
      </c>
      <c r="K5" s="25" t="s">
        <v>524</v>
      </c>
      <c r="L5" s="28" t="str">
        <f aca="false">IF(K5="","",IF(LEFT(K5,6)="1 Pole","Alquiler",IF(LEFT(K5,7)="1 Clase","Clase suelta","Paquete")))</f>
        <v>Paquete</v>
      </c>
      <c r="M5" s="25" t="s">
        <v>525</v>
      </c>
      <c r="N5" s="25" t="n">
        <v>1</v>
      </c>
      <c r="O5" s="35" t="n">
        <v>0</v>
      </c>
      <c r="P5" s="29" t="n">
        <f aca="false">IF(O5="","",N5*O5)</f>
        <v>0</v>
      </c>
      <c r="Q5" s="36" t="n">
        <v>0</v>
      </c>
      <c r="R5" s="25"/>
      <c r="S5" s="25"/>
      <c r="T5" s="28" t="str">
        <f aca="false">IF(OR(LEFT(W5,2)&lt;&gt;"A-",ISERROR(MATCH(W5,'🎓 Alumnas'!$A$2:$A$1000,0))),"",IF(COUNTIF($W$2:W5,W5)=1,"Nueva","Recurrente"))</f>
        <v>Nueva</v>
      </c>
      <c r="U5" s="28" t="n">
        <f aca="false">IF(OR(T5="",L5&lt;&gt;"Paquete"),"",COUNTIFS($W$2:W5,W5,$L$2:L5,"Paquete"))</f>
        <v>1</v>
      </c>
      <c r="V5" s="25"/>
      <c r="W5" s="34" t="str">
        <f aca="false">IF(TRIM($C5)="","",IF(COUNTIF('🎓 Alumnas'!$P$2:$P$1000,TRIM($C5))&gt;0,INDEX('🎓 Alumnas'!$A$2:$A$1000,MATCH(TRIM($C5),'🎓 Alumnas'!$P$2:$P$1000,0)),IF(COUNTIF('🎓 Alumnas'!$O$2:$O$1000,TRIM($C5)&amp;"|*")=1,INDEX('🎓 Alumnas'!$A$2:$A$1000,MATCH(TRIM($C5)&amp;"|*",'🎓 Alumnas'!$O$2:$O$1000,0)),IF(COUNTIF('🎓 Alumnas'!$O$2:$O$1000,"*|"&amp;TRIM($C5))=1,INDEX('🎓 Alumnas'!$A$2:$A$1000,MATCH("*|"&amp;TRIM($C5),'🎓 Alumnas'!$O$2:$O$1000,0)),IF(COUNTIF('🎓 Alumnas'!$Q$2:$Q$1000,TRIM($C5))=1,INDEX('🎓 Alumnas'!$A$2:$A$1000,MATCH(TRIM($C5),'🎓 Alumnas'!$Q$2:$Q$1000,0)),IF(COUNTIF('🎓 Alumnas'!$P$2:$P$1000,"*"&amp;TRIM($C5)&amp;"*")=1,INDEX('🎓 Alumnas'!$A$2:$A$1000,MATCH("*"&amp;TRIM($C5)&amp;"*",'🎓 Alumnas'!$P$2:$P$1000,0)),IF(COUNTIF('🎓 Alumnas'!$Q$2:$Q$1000,"*"&amp;TRIM($C5)&amp;"*")=1,INDEX('🎓 Alumnas'!$A$2:$A$1000,MATCH("*"&amp;TRIM($C5)&amp;"*",'🎓 Alumnas'!$Q$2:$Q$1000,0)),IF(COUNTIF('🎓 Alumnas'!$P$2:$P$1000,"*"&amp;TRIM($C5)&amp;"*")+COUNTIF('🎓 Alumnas'!$Q$2:$Q$1000,"*"&amp;TRIM($C5)&amp;"*")&gt;1,"Varias: elige de la lista","No encontrada"))))))))</f>
        <v>A-004</v>
      </c>
    </row>
    <row r="6" customFormat="false" ht="14.25" hidden="false" customHeight="true" outlineLevel="0" collapsed="false">
      <c r="A6" s="25" t="s">
        <v>528</v>
      </c>
      <c r="B6" s="27" t="n">
        <v>46265</v>
      </c>
      <c r="C6" s="25" t="s">
        <v>529</v>
      </c>
      <c r="D6" s="34" t="str">
        <f aca="false">IF($W6="","",IFERROR(TRIM(INDEX('🎓 Alumnas'!$B$2:$B$1000,MATCH($W6,'🎓 Alumnas'!$A$2:$A$1000,0))),""))</f>
        <v>Ramírez Galvis</v>
      </c>
      <c r="E6" s="34" t="str">
        <f aca="false">IF($W6="","",IFERROR(TRIM(INDEX('🎓 Alumnas'!$C$2:$C$1000,MATCH($W6,'🎓 Alumnas'!$A$2:$A$1000,0))),""))</f>
        <v>Laura Camila</v>
      </c>
      <c r="F6" s="34" t="str">
        <f aca="false">IF($W6="","",IFERROR(IF(INDEX('🎓 Alumnas'!$D$2:$D$1000,MATCH($W6,'🎓 Alumnas'!$A$2:$A$1000,0))="","",INDEX('🎓 Alumnas'!$D$2:$D$1000,MATCH($W6,'🎓 Alumnas'!$A$2:$A$1000,0))),""))</f>
        <v>3057941612</v>
      </c>
      <c r="G6" s="28" t="str">
        <f aca="false">IF($W6="","",IFERROR(IF(INDEX('🎓 Alumnas'!$E$2:$E$1000,MATCH($W6,'🎓 Alumnas'!$A$2:$A$1000,0))="","",INDEX('🎓 Alumnas'!$E$2:$E$1000,MATCH($W6,'🎓 Alumnas'!$A$2:$A$1000,0))),""))</f>
        <v>lauracamilaramirez13@gmail.com</v>
      </c>
      <c r="H6" s="28" t="str">
        <f aca="false">IF($W6="","",IFERROR(IF(INDEX('🎓 Alumnas'!$F$2:$F$1000,MATCH($W6,'🎓 Alumnas'!$A$2:$A$1000,0))="","",INDEX('🎓 Alumnas'!$F$2:$F$1000,MATCH($W6,'🎓 Alumnas'!$A$2:$A$1000,0))),""))</f>
        <v>Cl. 57d Sur # 84C-44, Bosa, Bogotá, D.C., Bogotá, Bogotá, D.C., Colombia</v>
      </c>
      <c r="I6" s="30" t="n">
        <f aca="false">IF($W6="","",IFERROR(IF(INDEX('🎓 Alumnas'!$G$2:$G$1000,MATCH($W6,'🎓 Alumnas'!$A$2:$A$1000,0))="","",INDEX('🎓 Alumnas'!$G$2:$G$1000,MATCH($W6,'🎓 Alumnas'!$A$2:$A$1000,0))),""))</f>
        <v>36998</v>
      </c>
      <c r="J6" s="28" t="n">
        <f aca="true">IF(I6="","",DATEDIF(I6,TODAY(),"Y"))</f>
        <v>25</v>
      </c>
      <c r="K6" s="25" t="s">
        <v>524</v>
      </c>
      <c r="L6" s="28" t="str">
        <f aca="false">IF(K6="","",IF(LEFT(K6,6)="1 Pole","Alquiler",IF(LEFT(K6,7)="1 Clase","Clase suelta","Paquete")))</f>
        <v>Paquete</v>
      </c>
      <c r="M6" s="25" t="s">
        <v>525</v>
      </c>
      <c r="N6" s="25" t="n">
        <v>1</v>
      </c>
      <c r="O6" s="35" t="n">
        <v>480000</v>
      </c>
      <c r="P6" s="29" t="n">
        <f aca="false">IF(O6="","",N6*O6)</f>
        <v>480000</v>
      </c>
      <c r="Q6" s="36" t="n">
        <v>1</v>
      </c>
      <c r="R6" s="25" t="s">
        <v>32</v>
      </c>
      <c r="S6" s="25"/>
      <c r="T6" s="28" t="str">
        <f aca="false">IF(OR(LEFT(W6,2)&lt;&gt;"A-",ISERROR(MATCH(W6,'🎓 Alumnas'!$A$2:$A$1000,0))),"",IF(COUNTIF($W$2:W6,W6)=1,"Nueva","Recurrente"))</f>
        <v>Nueva</v>
      </c>
      <c r="U6" s="28" t="n">
        <f aca="false">IF(OR(T6="",L6&lt;&gt;"Paquete"),"",COUNTIFS($W$2:W6,W6,$L$2:L6,"Paquete"))</f>
        <v>1</v>
      </c>
      <c r="V6" s="25"/>
      <c r="W6" s="34" t="str">
        <f aca="false">IF(TRIM($C6)="","",IF(COUNTIF('🎓 Alumnas'!$P$2:$P$1000,TRIM($C6))&gt;0,INDEX('🎓 Alumnas'!$A$2:$A$1000,MATCH(TRIM($C6),'🎓 Alumnas'!$P$2:$P$1000,0)),IF(COUNTIF('🎓 Alumnas'!$O$2:$O$1000,TRIM($C6)&amp;"|*")=1,INDEX('🎓 Alumnas'!$A$2:$A$1000,MATCH(TRIM($C6)&amp;"|*",'🎓 Alumnas'!$O$2:$O$1000,0)),IF(COUNTIF('🎓 Alumnas'!$O$2:$O$1000,"*|"&amp;TRIM($C6))=1,INDEX('🎓 Alumnas'!$A$2:$A$1000,MATCH("*|"&amp;TRIM($C6),'🎓 Alumnas'!$O$2:$O$1000,0)),IF(COUNTIF('🎓 Alumnas'!$Q$2:$Q$1000,TRIM($C6))=1,INDEX('🎓 Alumnas'!$A$2:$A$1000,MATCH(TRIM($C6),'🎓 Alumnas'!$Q$2:$Q$1000,0)),IF(COUNTIF('🎓 Alumnas'!$P$2:$P$1000,"*"&amp;TRIM($C6)&amp;"*")=1,INDEX('🎓 Alumnas'!$A$2:$A$1000,MATCH("*"&amp;TRIM($C6)&amp;"*",'🎓 Alumnas'!$P$2:$P$1000,0)),IF(COUNTIF('🎓 Alumnas'!$Q$2:$Q$1000,"*"&amp;TRIM($C6)&amp;"*")=1,INDEX('🎓 Alumnas'!$A$2:$A$1000,MATCH("*"&amp;TRIM($C6)&amp;"*",'🎓 Alumnas'!$Q$2:$Q$1000,0)),IF(COUNTIF('🎓 Alumnas'!$P$2:$P$1000,"*"&amp;TRIM($C6)&amp;"*")+COUNTIF('🎓 Alumnas'!$Q$2:$Q$1000,"*"&amp;TRIM($C6)&amp;"*")&gt;1,"Varias: elige de la lista","No encontrada"))))))))</f>
        <v>A-005</v>
      </c>
    </row>
    <row r="7" customFormat="false" ht="14.25" hidden="false" customHeight="true" outlineLevel="0" collapsed="false">
      <c r="A7" s="25" t="s">
        <v>530</v>
      </c>
      <c r="B7" s="27" t="n">
        <v>46267</v>
      </c>
      <c r="C7" s="25" t="s">
        <v>531</v>
      </c>
      <c r="D7" s="34" t="str">
        <f aca="false">IF($W7="","",IFERROR(TRIM(INDEX('🎓 Alumnas'!$B$2:$B$1000,MATCH($W7,'🎓 Alumnas'!$A$2:$A$1000,0))),""))</f>
        <v>Bossa</v>
      </c>
      <c r="E7" s="34" t="str">
        <f aca="false">IF($W7="","",IFERROR(TRIM(INDEX('🎓 Alumnas'!$C$2:$C$1000,MATCH($W7,'🎓 Alumnas'!$A$2:$A$1000,0))),""))</f>
        <v>Juliana</v>
      </c>
      <c r="F7" s="34" t="n">
        <f aca="false">IF($W7="","",IFERROR(IF(INDEX('🎓 Alumnas'!$D$2:$D$1000,MATCH($W7,'🎓 Alumnas'!$A$2:$A$1000,0))="","",INDEX('🎓 Alumnas'!$D$2:$D$1000,MATCH($W7,'🎓 Alumnas'!$A$2:$A$1000,0))),""))</f>
        <v>3185937737</v>
      </c>
      <c r="G7" s="28" t="str">
        <f aca="false">IF($W7="","",IFERROR(IF(INDEX('🎓 Alumnas'!$E$2:$E$1000,MATCH($W7,'🎓 Alumnas'!$A$2:$A$1000,0))="","",INDEX('🎓 Alumnas'!$E$2:$E$1000,MATCH($W7,'🎓 Alumnas'!$A$2:$A$1000,0))),""))</f>
        <v/>
      </c>
      <c r="H7" s="28" t="str">
        <f aca="false">IF($W7="","",IFERROR(IF(INDEX('🎓 Alumnas'!$F$2:$F$1000,MATCH($W7,'🎓 Alumnas'!$A$2:$A$1000,0))="","",INDEX('🎓 Alumnas'!$F$2:$F$1000,MATCH($W7,'🎓 Alumnas'!$A$2:$A$1000,0))),""))</f>
        <v/>
      </c>
      <c r="I7" s="30" t="str">
        <f aca="false">IF($W7="","",IFERROR(IF(INDEX('🎓 Alumnas'!$G$2:$G$1000,MATCH($W7,'🎓 Alumnas'!$A$2:$A$1000,0))="","",INDEX('🎓 Alumnas'!$G$2:$G$1000,MATCH($W7,'🎓 Alumnas'!$A$2:$A$1000,0))),""))</f>
        <v/>
      </c>
      <c r="J7" s="28" t="str">
        <f aca="true">IF(I7="","",DATEDIF(I7,TODAY(),"Y"))</f>
        <v/>
      </c>
      <c r="K7" s="25" t="s">
        <v>532</v>
      </c>
      <c r="L7" s="28" t="str">
        <f aca="false">IF(K7="","",IF(LEFT(K7,6)="1 Pole","Alquiler",IF(LEFT(K7,7)="1 Clase","Clase suelta","Paquete")))</f>
        <v>Alquiler</v>
      </c>
      <c r="M7" s="25"/>
      <c r="N7" s="25" t="n">
        <v>1</v>
      </c>
      <c r="O7" s="35" t="n">
        <v>22000</v>
      </c>
      <c r="P7" s="29" t="n">
        <f aca="false">IF(O7="","",N7*O7)</f>
        <v>22000</v>
      </c>
      <c r="Q7" s="36" t="n">
        <v>1</v>
      </c>
      <c r="R7" s="25" t="s">
        <v>26</v>
      </c>
      <c r="S7" s="25"/>
      <c r="T7" s="28" t="str">
        <f aca="false">IF(OR(LEFT(W7,2)&lt;&gt;"A-",ISERROR(MATCH(W7,'🎓 Alumnas'!$A$2:$A$1000,0))),"",IF(COUNTIF($W$2:W7,W7)=1,"Nueva","Recurrente"))</f>
        <v>Nueva</v>
      </c>
      <c r="U7" s="28" t="str">
        <f aca="false">IF(OR(T7="",L7&lt;&gt;"Paquete"),"",COUNTIFS($W$2:W7,W7,$L$2:L7,"Paquete"))</f>
        <v/>
      </c>
      <c r="V7" s="25"/>
      <c r="W7" s="34" t="str">
        <f aca="false">IF(TRIM($C7)="","",IF(COUNTIF('🎓 Alumnas'!$P$2:$P$1000,TRIM($C7))&gt;0,INDEX('🎓 Alumnas'!$A$2:$A$1000,MATCH(TRIM($C7),'🎓 Alumnas'!$P$2:$P$1000,0)),IF(COUNTIF('🎓 Alumnas'!$O$2:$O$1000,TRIM($C7)&amp;"|*")=1,INDEX('🎓 Alumnas'!$A$2:$A$1000,MATCH(TRIM($C7)&amp;"|*",'🎓 Alumnas'!$O$2:$O$1000,0)),IF(COUNTIF('🎓 Alumnas'!$O$2:$O$1000,"*|"&amp;TRIM($C7))=1,INDEX('🎓 Alumnas'!$A$2:$A$1000,MATCH("*|"&amp;TRIM($C7),'🎓 Alumnas'!$O$2:$O$1000,0)),IF(COUNTIF('🎓 Alumnas'!$Q$2:$Q$1000,TRIM($C7))=1,INDEX('🎓 Alumnas'!$A$2:$A$1000,MATCH(TRIM($C7),'🎓 Alumnas'!$Q$2:$Q$1000,0)),IF(COUNTIF('🎓 Alumnas'!$P$2:$P$1000,"*"&amp;TRIM($C7)&amp;"*")=1,INDEX('🎓 Alumnas'!$A$2:$A$1000,MATCH("*"&amp;TRIM($C7)&amp;"*",'🎓 Alumnas'!$P$2:$P$1000,0)),IF(COUNTIF('🎓 Alumnas'!$Q$2:$Q$1000,"*"&amp;TRIM($C7)&amp;"*")=1,INDEX('🎓 Alumnas'!$A$2:$A$1000,MATCH("*"&amp;TRIM($C7)&amp;"*",'🎓 Alumnas'!$Q$2:$Q$1000,0)),IF(COUNTIF('🎓 Alumnas'!$P$2:$P$1000,"*"&amp;TRIM($C7)&amp;"*")+COUNTIF('🎓 Alumnas'!$Q$2:$Q$1000,"*"&amp;TRIM($C7)&amp;"*")&gt;1,"Varias: elige de la lista","No encontrada"))))))))</f>
        <v>A-006</v>
      </c>
    </row>
    <row r="8" customFormat="false" ht="14.25" hidden="false" customHeight="true" outlineLevel="0" collapsed="false">
      <c r="A8" s="25" t="s">
        <v>533</v>
      </c>
      <c r="B8" s="27" t="n">
        <v>46267</v>
      </c>
      <c r="C8" s="25" t="s">
        <v>534</v>
      </c>
      <c r="D8" s="34" t="str">
        <f aca="false">IF($W8="","",IFERROR(TRIM(INDEX('🎓 Alumnas'!$B$2:$B$1000,MATCH($W8,'🎓 Alumnas'!$A$2:$A$1000,0))),""))</f>
        <v>Guerra Aguilar</v>
      </c>
      <c r="E8" s="34" t="str">
        <f aca="false">IF($W8="","",IFERROR(TRIM(INDEX('🎓 Alumnas'!$C$2:$C$1000,MATCH($W8,'🎓 Alumnas'!$A$2:$A$1000,0))),""))</f>
        <v>Laura Vanessa</v>
      </c>
      <c r="F8" s="34" t="str">
        <f aca="false">IF($W8="","",IFERROR(IF(INDEX('🎓 Alumnas'!$D$2:$D$1000,MATCH($W8,'🎓 Alumnas'!$A$2:$A$1000,0))="","",INDEX('🎓 Alumnas'!$D$2:$D$1000,MATCH($W8,'🎓 Alumnas'!$A$2:$A$1000,0))),""))</f>
        <v>3196332220</v>
      </c>
      <c r="G8" s="28" t="str">
        <f aca="false">IF($W8="","",IFERROR(IF(INDEX('🎓 Alumnas'!$E$2:$E$1000,MATCH($W8,'🎓 Alumnas'!$A$2:$A$1000,0))="","",INDEX('🎓 Alumnas'!$E$2:$E$1000,MATCH($W8,'🎓 Alumnas'!$A$2:$A$1000,0))),""))</f>
        <v>laura.guerra16@hotmail.com</v>
      </c>
      <c r="H8" s="28" t="str">
        <f aca="false">IF($W8="","",IFERROR(IF(INDEX('🎓 Alumnas'!$F$2:$F$1000,MATCH($W8,'🎓 Alumnas'!$A$2:$A$1000,0))="","",INDEX('🎓 Alumnas'!$F$2:$F$1000,MATCH($W8,'🎓 Alumnas'!$A$2:$A$1000,0))),""))</f>
        <v>Parques de Castilla 3, Cra. 79 #10d-59, Bogotá, Colombia</v>
      </c>
      <c r="I8" s="30" t="n">
        <f aca="false">IF($W8="","",IFERROR(IF(INDEX('🎓 Alumnas'!$G$2:$G$1000,MATCH($W8,'🎓 Alumnas'!$A$2:$A$1000,0))="","",INDEX('🎓 Alumnas'!$G$2:$G$1000,MATCH($W8,'🎓 Alumnas'!$A$2:$A$1000,0))),""))</f>
        <v>34407</v>
      </c>
      <c r="J8" s="28" t="n">
        <f aca="true">IF(I8="","",DATEDIF(I8,TODAY(),"Y"))</f>
        <v>32</v>
      </c>
      <c r="K8" s="25" t="s">
        <v>524</v>
      </c>
      <c r="L8" s="28" t="str">
        <f aca="false">IF(K8="","",IF(LEFT(K8,6)="1 Pole","Alquiler",IF(LEFT(K8,7)="1 Clase","Clase suelta","Paquete")))</f>
        <v>Paquete</v>
      </c>
      <c r="M8" s="25" t="s">
        <v>525</v>
      </c>
      <c r="N8" s="25" t="n">
        <v>1</v>
      </c>
      <c r="O8" s="35" t="n">
        <v>240000</v>
      </c>
      <c r="P8" s="29" t="n">
        <f aca="false">IF(O8="","",N8*O8)</f>
        <v>240000</v>
      </c>
      <c r="Q8" s="36" t="n">
        <v>0.5</v>
      </c>
      <c r="R8" s="25" t="s">
        <v>32</v>
      </c>
      <c r="S8" s="25"/>
      <c r="T8" s="28" t="str">
        <f aca="false">IF(OR(LEFT(W8,2)&lt;&gt;"A-",ISERROR(MATCH(W8,'🎓 Alumnas'!$A$2:$A$1000,0))),"",IF(COUNTIF($W$2:W8,W8)=1,"Nueva","Recurrente"))</f>
        <v>Nueva</v>
      </c>
      <c r="U8" s="28" t="n">
        <f aca="false">IF(OR(T8="",L8&lt;&gt;"Paquete"),"",COUNTIFS($W$2:W8,W8,$L$2:L8,"Paquete"))</f>
        <v>1</v>
      </c>
      <c r="V8" s="25"/>
      <c r="W8" s="34" t="str">
        <f aca="false">IF(TRIM($C8)="","",IF(COUNTIF('🎓 Alumnas'!$P$2:$P$1000,TRIM($C8))&gt;0,INDEX('🎓 Alumnas'!$A$2:$A$1000,MATCH(TRIM($C8),'🎓 Alumnas'!$P$2:$P$1000,0)),IF(COUNTIF('🎓 Alumnas'!$O$2:$O$1000,TRIM($C8)&amp;"|*")=1,INDEX('🎓 Alumnas'!$A$2:$A$1000,MATCH(TRIM($C8)&amp;"|*",'🎓 Alumnas'!$O$2:$O$1000,0)),IF(COUNTIF('🎓 Alumnas'!$O$2:$O$1000,"*|"&amp;TRIM($C8))=1,INDEX('🎓 Alumnas'!$A$2:$A$1000,MATCH("*|"&amp;TRIM($C8),'🎓 Alumnas'!$O$2:$O$1000,0)),IF(COUNTIF('🎓 Alumnas'!$Q$2:$Q$1000,TRIM($C8))=1,INDEX('🎓 Alumnas'!$A$2:$A$1000,MATCH(TRIM($C8),'🎓 Alumnas'!$Q$2:$Q$1000,0)),IF(COUNTIF('🎓 Alumnas'!$P$2:$P$1000,"*"&amp;TRIM($C8)&amp;"*")=1,INDEX('🎓 Alumnas'!$A$2:$A$1000,MATCH("*"&amp;TRIM($C8)&amp;"*",'🎓 Alumnas'!$P$2:$P$1000,0)),IF(COUNTIF('🎓 Alumnas'!$Q$2:$Q$1000,"*"&amp;TRIM($C8)&amp;"*")=1,INDEX('🎓 Alumnas'!$A$2:$A$1000,MATCH("*"&amp;TRIM($C8)&amp;"*",'🎓 Alumnas'!$Q$2:$Q$1000,0)),IF(COUNTIF('🎓 Alumnas'!$P$2:$P$1000,"*"&amp;TRIM($C8)&amp;"*")+COUNTIF('🎓 Alumnas'!$Q$2:$Q$1000,"*"&amp;TRIM($C8)&amp;"*")&gt;1,"Varias: elige de la lista","No encontrada"))))))))</f>
        <v>A-007</v>
      </c>
    </row>
    <row r="9" customFormat="false" ht="14.25" hidden="false" customHeight="true" outlineLevel="0" collapsed="false">
      <c r="A9" s="25" t="s">
        <v>535</v>
      </c>
      <c r="B9" s="27" t="n">
        <v>46267</v>
      </c>
      <c r="C9" s="25" t="s">
        <v>536</v>
      </c>
      <c r="D9" s="34" t="str">
        <f aca="false">IF($W9="","",IFERROR(TRIM(INDEX('🎓 Alumnas'!$B$2:$B$1000,MATCH($W9,'🎓 Alumnas'!$A$2:$A$1000,0))),""))</f>
        <v>Chavarro Jiménez</v>
      </c>
      <c r="E9" s="34" t="str">
        <f aca="false">IF($W9="","",IFERROR(TRIM(INDEX('🎓 Alumnas'!$C$2:$C$1000,MATCH($W9,'🎓 Alumnas'!$A$2:$A$1000,0))),""))</f>
        <v>Shirley Dayanna</v>
      </c>
      <c r="F9" s="34" t="str">
        <f aca="false">IF($W9="","",IFERROR(IF(INDEX('🎓 Alumnas'!$D$2:$D$1000,MATCH($W9,'🎓 Alumnas'!$A$2:$A$1000,0))="","",INDEX('🎓 Alumnas'!$D$2:$D$1000,MATCH($W9,'🎓 Alumnas'!$A$2:$A$1000,0))),""))</f>
        <v>3003445355</v>
      </c>
      <c r="G9" s="28" t="str">
        <f aca="false">IF($W9="","",IFERROR(IF(INDEX('🎓 Alumnas'!$E$2:$E$1000,MATCH($W9,'🎓 Alumnas'!$A$2:$A$1000,0))="","",INDEX('🎓 Alumnas'!$E$2:$E$1000,MATCH($W9,'🎓 Alumnas'!$A$2:$A$1000,0))),""))</f>
        <v>dayannajimenez4@gmail.com</v>
      </c>
      <c r="H9" s="28" t="str">
        <f aca="false">IF($W9="","",IFERROR(IF(INDEX('🎓 Alumnas'!$F$2:$F$1000,MATCH($W9,'🎓 Alumnas'!$A$2:$A$1000,0))="","",INDEX('🎓 Alumnas'!$F$2:$F$1000,MATCH($W9,'🎓 Alumnas'!$A$2:$A$1000,0))),""))</f>
        <v>Cl. 8c #87b-15, Kennedy, Bogotá, Cundinamarca, Colombia</v>
      </c>
      <c r="I9" s="30" t="n">
        <f aca="false">IF($W9="","",IFERROR(IF(INDEX('🎓 Alumnas'!$G$2:$G$1000,MATCH($W9,'🎓 Alumnas'!$A$2:$A$1000,0))="","",INDEX('🎓 Alumnas'!$G$2:$G$1000,MATCH($W9,'🎓 Alumnas'!$A$2:$A$1000,0))),""))</f>
        <v>34817</v>
      </c>
      <c r="J9" s="28" t="n">
        <f aca="true">IF(I9="","",DATEDIF(I9,TODAY(),"Y"))</f>
        <v>31</v>
      </c>
      <c r="K9" s="25" t="s">
        <v>524</v>
      </c>
      <c r="L9" s="28" t="str">
        <f aca="false">IF(K9="","",IF(LEFT(K9,6)="1 Pole","Alquiler",IF(LEFT(K9,7)="1 Clase","Clase suelta","Paquete")))</f>
        <v>Paquete</v>
      </c>
      <c r="M9" s="25" t="s">
        <v>525</v>
      </c>
      <c r="N9" s="25" t="n">
        <v>1</v>
      </c>
      <c r="O9" s="35" t="n">
        <v>240000</v>
      </c>
      <c r="P9" s="29" t="n">
        <f aca="false">IF(O9="","",N9*O9)</f>
        <v>240000</v>
      </c>
      <c r="Q9" s="36" t="n">
        <v>0.5</v>
      </c>
      <c r="R9" s="25" t="s">
        <v>26</v>
      </c>
      <c r="S9" s="25"/>
      <c r="T9" s="28" t="str">
        <f aca="false">IF(OR(LEFT(W9,2)&lt;&gt;"A-",ISERROR(MATCH(W9,'🎓 Alumnas'!$A$2:$A$1000,0))),"",IF(COUNTIF($W$2:W9,W9)=1,"Nueva","Recurrente"))</f>
        <v>Nueva</v>
      </c>
      <c r="U9" s="28" t="n">
        <f aca="false">IF(OR(T9="",L9&lt;&gt;"Paquete"),"",COUNTIFS($W$2:W9,W9,$L$2:L9,"Paquete"))</f>
        <v>1</v>
      </c>
      <c r="V9" s="25"/>
      <c r="W9" s="34" t="str">
        <f aca="false">IF(TRIM($C9)="","",IF(COUNTIF('🎓 Alumnas'!$P$2:$P$1000,TRIM($C9))&gt;0,INDEX('🎓 Alumnas'!$A$2:$A$1000,MATCH(TRIM($C9),'🎓 Alumnas'!$P$2:$P$1000,0)),IF(COUNTIF('🎓 Alumnas'!$O$2:$O$1000,TRIM($C9)&amp;"|*")=1,INDEX('🎓 Alumnas'!$A$2:$A$1000,MATCH(TRIM($C9)&amp;"|*",'🎓 Alumnas'!$O$2:$O$1000,0)),IF(COUNTIF('🎓 Alumnas'!$O$2:$O$1000,"*|"&amp;TRIM($C9))=1,INDEX('🎓 Alumnas'!$A$2:$A$1000,MATCH("*|"&amp;TRIM($C9),'🎓 Alumnas'!$O$2:$O$1000,0)),IF(COUNTIF('🎓 Alumnas'!$Q$2:$Q$1000,TRIM($C9))=1,INDEX('🎓 Alumnas'!$A$2:$A$1000,MATCH(TRIM($C9),'🎓 Alumnas'!$Q$2:$Q$1000,0)),IF(COUNTIF('🎓 Alumnas'!$P$2:$P$1000,"*"&amp;TRIM($C9)&amp;"*")=1,INDEX('🎓 Alumnas'!$A$2:$A$1000,MATCH("*"&amp;TRIM($C9)&amp;"*",'🎓 Alumnas'!$P$2:$P$1000,0)),IF(COUNTIF('🎓 Alumnas'!$Q$2:$Q$1000,"*"&amp;TRIM($C9)&amp;"*")=1,INDEX('🎓 Alumnas'!$A$2:$A$1000,MATCH("*"&amp;TRIM($C9)&amp;"*",'🎓 Alumnas'!$Q$2:$Q$1000,0)),IF(COUNTIF('🎓 Alumnas'!$P$2:$P$1000,"*"&amp;TRIM($C9)&amp;"*")+COUNTIF('🎓 Alumnas'!$Q$2:$Q$1000,"*"&amp;TRIM($C9)&amp;"*")&gt;1,"Varias: elige de la lista","No encontrada"))))))))</f>
        <v>A-008</v>
      </c>
    </row>
    <row r="10" customFormat="false" ht="14.25" hidden="false" customHeight="true" outlineLevel="0" collapsed="false">
      <c r="A10" s="25" t="s">
        <v>537</v>
      </c>
      <c r="B10" s="27" t="n">
        <v>46267</v>
      </c>
      <c r="C10" s="25" t="s">
        <v>538</v>
      </c>
      <c r="D10" s="34" t="str">
        <f aca="false">IF($W10="","",IFERROR(TRIM(INDEX('🎓 Alumnas'!$B$2:$B$1000,MATCH($W10,'🎓 Alumnas'!$A$2:$A$1000,0))),""))</f>
        <v>León González</v>
      </c>
      <c r="E10" s="34" t="str">
        <f aca="false">IF($W10="","",IFERROR(TRIM(INDEX('🎓 Alumnas'!$C$2:$C$1000,MATCH($W10,'🎓 Alumnas'!$A$2:$A$1000,0))),""))</f>
        <v>María Paula</v>
      </c>
      <c r="F10" s="34" t="str">
        <f aca="false">IF($W10="","",IFERROR(IF(INDEX('🎓 Alumnas'!$D$2:$D$1000,MATCH($W10,'🎓 Alumnas'!$A$2:$A$1000,0))="","",INDEX('🎓 Alumnas'!$D$2:$D$1000,MATCH($W10,'🎓 Alumnas'!$A$2:$A$1000,0))),""))</f>
        <v>3057112045</v>
      </c>
      <c r="G10" s="28" t="str">
        <f aca="false">IF($W10="","",IFERROR(IF(INDEX('🎓 Alumnas'!$E$2:$E$1000,MATCH($W10,'🎓 Alumnas'!$A$2:$A$1000,0))="","",INDEX('🎓 Alumnas'!$E$2:$E$1000,MATCH($W10,'🎓 Alumnas'!$A$2:$A$1000,0))),""))</f>
        <v>m.paulaleon@gmail.com</v>
      </c>
      <c r="H10" s="28" t="str">
        <f aca="false">IF($W10="","",IFERROR(IF(INDEX('🎓 Alumnas'!$F$2:$F$1000,MATCH($W10,'🎓 Alumnas'!$A$2:$A$1000,0))="","",INDEX('🎓 Alumnas'!$F$2:$F$1000,MATCH($W10,'🎓 Alumnas'!$A$2:$A$1000,0))),""))</f>
        <v>Parques de Castilla 3, Cra. 79 #10d-59, Bogotá, Colombia</v>
      </c>
      <c r="I10" s="30" t="n">
        <f aca="false">IF($W10="","",IFERROR(IF(INDEX('🎓 Alumnas'!$G$2:$G$1000,MATCH($W10,'🎓 Alumnas'!$A$2:$A$1000,0))="","",INDEX('🎓 Alumnas'!$G$2:$G$1000,MATCH($W10,'🎓 Alumnas'!$A$2:$A$1000,0))),""))</f>
        <v>35421</v>
      </c>
      <c r="J10" s="28" t="n">
        <f aca="true">IF(I10="","",DATEDIF(I10,TODAY(),"Y"))</f>
        <v>29</v>
      </c>
      <c r="K10" s="25" t="s">
        <v>524</v>
      </c>
      <c r="L10" s="28" t="str">
        <f aca="false">IF(K10="","",IF(LEFT(K10,6)="1 Pole","Alquiler",IF(LEFT(K10,7)="1 Clase","Clase suelta","Paquete")))</f>
        <v>Paquete</v>
      </c>
      <c r="M10" s="25" t="s">
        <v>525</v>
      </c>
      <c r="N10" s="25" t="n">
        <v>1</v>
      </c>
      <c r="O10" s="35" t="n">
        <v>240000</v>
      </c>
      <c r="P10" s="29" t="n">
        <f aca="false">IF(O10="","",N10*O10)</f>
        <v>240000</v>
      </c>
      <c r="Q10" s="36" t="n">
        <v>0.5</v>
      </c>
      <c r="R10" s="25" t="s">
        <v>32</v>
      </c>
      <c r="S10" s="25"/>
      <c r="T10" s="28" t="str">
        <f aca="false">IF(OR(LEFT(W10,2)&lt;&gt;"A-",ISERROR(MATCH(W10,'🎓 Alumnas'!$A$2:$A$1000,0))),"",IF(COUNTIF($W$2:W10,W10)=1,"Nueva","Recurrente"))</f>
        <v>Nueva</v>
      </c>
      <c r="U10" s="28" t="n">
        <f aca="false">IF(OR(T10="",L10&lt;&gt;"Paquete"),"",COUNTIFS($W$2:W10,W10,$L$2:L10,"Paquete"))</f>
        <v>1</v>
      </c>
      <c r="V10" s="25"/>
      <c r="W10" s="34" t="str">
        <f aca="false">IF(TRIM($C10)="","",IF(COUNTIF('🎓 Alumnas'!$P$2:$P$1000,TRIM($C10))&gt;0,INDEX('🎓 Alumnas'!$A$2:$A$1000,MATCH(TRIM($C10),'🎓 Alumnas'!$P$2:$P$1000,0)),IF(COUNTIF('🎓 Alumnas'!$O$2:$O$1000,TRIM($C10)&amp;"|*")=1,INDEX('🎓 Alumnas'!$A$2:$A$1000,MATCH(TRIM($C10)&amp;"|*",'🎓 Alumnas'!$O$2:$O$1000,0)),IF(COUNTIF('🎓 Alumnas'!$O$2:$O$1000,"*|"&amp;TRIM($C10))=1,INDEX('🎓 Alumnas'!$A$2:$A$1000,MATCH("*|"&amp;TRIM($C10),'🎓 Alumnas'!$O$2:$O$1000,0)),IF(COUNTIF('🎓 Alumnas'!$Q$2:$Q$1000,TRIM($C10))=1,INDEX('🎓 Alumnas'!$A$2:$A$1000,MATCH(TRIM($C10),'🎓 Alumnas'!$Q$2:$Q$1000,0)),IF(COUNTIF('🎓 Alumnas'!$P$2:$P$1000,"*"&amp;TRIM($C10)&amp;"*")=1,INDEX('🎓 Alumnas'!$A$2:$A$1000,MATCH("*"&amp;TRIM($C10)&amp;"*",'🎓 Alumnas'!$P$2:$P$1000,0)),IF(COUNTIF('🎓 Alumnas'!$Q$2:$Q$1000,"*"&amp;TRIM($C10)&amp;"*")=1,INDEX('🎓 Alumnas'!$A$2:$A$1000,MATCH("*"&amp;TRIM($C10)&amp;"*",'🎓 Alumnas'!$Q$2:$Q$1000,0)),IF(COUNTIF('🎓 Alumnas'!$P$2:$P$1000,"*"&amp;TRIM($C10)&amp;"*")+COUNTIF('🎓 Alumnas'!$Q$2:$Q$1000,"*"&amp;TRIM($C10)&amp;"*")&gt;1,"Varias: elige de la lista","No encontrada"))))))))</f>
        <v>A-009</v>
      </c>
    </row>
    <row r="11" customFormat="false" ht="14.25" hidden="false" customHeight="true" outlineLevel="0" collapsed="false">
      <c r="A11" s="25" t="s">
        <v>539</v>
      </c>
      <c r="B11" s="27" t="n">
        <v>46272</v>
      </c>
      <c r="C11" s="25" t="s">
        <v>540</v>
      </c>
      <c r="D11" s="34" t="str">
        <f aca="false">IF($W11="","",IFERROR(TRIM(INDEX('🎓 Alumnas'!$B$2:$B$1000,MATCH($W11,'🎓 Alumnas'!$A$2:$A$1000,0))),""))</f>
        <v>Luna Méndez</v>
      </c>
      <c r="E11" s="34" t="str">
        <f aca="false">IF($W11="","",IFERROR(TRIM(INDEX('🎓 Alumnas'!$C$2:$C$1000,MATCH($W11,'🎓 Alumnas'!$A$2:$A$1000,0))),""))</f>
        <v>Natalia Alejandra</v>
      </c>
      <c r="F11" s="34" t="str">
        <f aca="false">IF($W11="","",IFERROR(IF(INDEX('🎓 Alumnas'!$D$2:$D$1000,MATCH($W11,'🎓 Alumnas'!$A$2:$A$1000,0))="","",INDEX('🎓 Alumnas'!$D$2:$D$1000,MATCH($W11,'🎓 Alumnas'!$A$2:$A$1000,0))),""))</f>
        <v>3232763285</v>
      </c>
      <c r="G11" s="28" t="str">
        <f aca="false">IF($W11="","",IFERROR(IF(INDEX('🎓 Alumnas'!$E$2:$E$1000,MATCH($W11,'🎓 Alumnas'!$A$2:$A$1000,0))="","",INDEX('🎓 Alumnas'!$E$2:$E$1000,MATCH($W11,'🎓 Alumnas'!$A$2:$A$1000,0))),""))</f>
        <v>nataliasluto@gmail.com</v>
      </c>
      <c r="H11" s="28" t="str">
        <f aca="false">IF($W11="","",IFERROR(IF(INDEX('🎓 Alumnas'!$F$2:$F$1000,MATCH($W11,'🎓 Alumnas'!$A$2:$A$1000,0))="","",INDEX('🎓 Alumnas'!$F$2:$F$1000,MATCH($W11,'🎓 Alumnas'!$A$2:$A$1000,0))),""))</f>
        <v>Cl. 10 #81a-20, Bogotá, Colombia</v>
      </c>
      <c r="I11" s="30" t="n">
        <f aca="false">IF($W11="","",IFERROR(IF(INDEX('🎓 Alumnas'!$G$2:$G$1000,MATCH($W11,'🎓 Alumnas'!$A$2:$A$1000,0))="","",INDEX('🎓 Alumnas'!$G$2:$G$1000,MATCH($W11,'🎓 Alumnas'!$A$2:$A$1000,0))),""))</f>
        <v>36947</v>
      </c>
      <c r="J11" s="28" t="n">
        <f aca="true">IF(I11="","",DATEDIF(I11,TODAY(),"Y"))</f>
        <v>25</v>
      </c>
      <c r="K11" s="25" t="s">
        <v>524</v>
      </c>
      <c r="L11" s="28" t="str">
        <f aca="false">IF(K11="","",IF(LEFT(K11,6)="1 Pole","Alquiler",IF(LEFT(K11,7)="1 Clase","Clase suelta","Paquete")))</f>
        <v>Paquete</v>
      </c>
      <c r="M11" s="25" t="s">
        <v>525</v>
      </c>
      <c r="N11" s="25" t="n">
        <v>1</v>
      </c>
      <c r="O11" s="35" t="n">
        <v>240000</v>
      </c>
      <c r="P11" s="29" t="n">
        <f aca="false">IF(O11="","",N11*O11)</f>
        <v>240000</v>
      </c>
      <c r="Q11" s="36" t="n">
        <v>0.5</v>
      </c>
      <c r="R11" s="25" t="s">
        <v>32</v>
      </c>
      <c r="S11" s="25"/>
      <c r="T11" s="28" t="str">
        <f aca="false">IF(OR(LEFT(W11,2)&lt;&gt;"A-",ISERROR(MATCH(W11,'🎓 Alumnas'!$A$2:$A$1000,0))),"",IF(COUNTIF($W$2:W11,W11)=1,"Nueva","Recurrente"))</f>
        <v>Nueva</v>
      </c>
      <c r="U11" s="28" t="n">
        <f aca="false">IF(OR(T11="",L11&lt;&gt;"Paquete"),"",COUNTIFS($W$2:W11,W11,$L$2:L11,"Paquete"))</f>
        <v>1</v>
      </c>
      <c r="V11" s="25"/>
      <c r="W11" s="34" t="str">
        <f aca="false">IF(TRIM($C11)="","",IF(COUNTIF('🎓 Alumnas'!$P$2:$P$1000,TRIM($C11))&gt;0,INDEX('🎓 Alumnas'!$A$2:$A$1000,MATCH(TRIM($C11),'🎓 Alumnas'!$P$2:$P$1000,0)),IF(COUNTIF('🎓 Alumnas'!$O$2:$O$1000,TRIM($C11)&amp;"|*")=1,INDEX('🎓 Alumnas'!$A$2:$A$1000,MATCH(TRIM($C11)&amp;"|*",'🎓 Alumnas'!$O$2:$O$1000,0)),IF(COUNTIF('🎓 Alumnas'!$O$2:$O$1000,"*|"&amp;TRIM($C11))=1,INDEX('🎓 Alumnas'!$A$2:$A$1000,MATCH("*|"&amp;TRIM($C11),'🎓 Alumnas'!$O$2:$O$1000,0)),IF(COUNTIF('🎓 Alumnas'!$Q$2:$Q$1000,TRIM($C11))=1,INDEX('🎓 Alumnas'!$A$2:$A$1000,MATCH(TRIM($C11),'🎓 Alumnas'!$Q$2:$Q$1000,0)),IF(COUNTIF('🎓 Alumnas'!$P$2:$P$1000,"*"&amp;TRIM($C11)&amp;"*")=1,INDEX('🎓 Alumnas'!$A$2:$A$1000,MATCH("*"&amp;TRIM($C11)&amp;"*",'🎓 Alumnas'!$P$2:$P$1000,0)),IF(COUNTIF('🎓 Alumnas'!$Q$2:$Q$1000,"*"&amp;TRIM($C11)&amp;"*")=1,INDEX('🎓 Alumnas'!$A$2:$A$1000,MATCH("*"&amp;TRIM($C11)&amp;"*",'🎓 Alumnas'!$Q$2:$Q$1000,0)),IF(COUNTIF('🎓 Alumnas'!$P$2:$P$1000,"*"&amp;TRIM($C11)&amp;"*")+COUNTIF('🎓 Alumnas'!$Q$2:$Q$1000,"*"&amp;TRIM($C11)&amp;"*")&gt;1,"Varias: elige de la lista","No encontrada"))))))))</f>
        <v>A-010</v>
      </c>
    </row>
    <row r="12" customFormat="false" ht="14.25" hidden="false" customHeight="true" outlineLevel="0" collapsed="false">
      <c r="A12" s="25" t="s">
        <v>541</v>
      </c>
      <c r="B12" s="27" t="n">
        <v>46272</v>
      </c>
      <c r="C12" s="25" t="s">
        <v>542</v>
      </c>
      <c r="D12" s="34" t="str">
        <f aca="false">IF($W12="","",IFERROR(TRIM(INDEX('🎓 Alumnas'!$B$2:$B$1000,MATCH($W12,'🎓 Alumnas'!$A$2:$A$1000,0))),""))</f>
        <v>Cuellar Galvira</v>
      </c>
      <c r="E12" s="34" t="str">
        <f aca="false">IF($W12="","",IFERROR(TRIM(INDEX('🎓 Alumnas'!$C$2:$C$1000,MATCH($W12,'🎓 Alumnas'!$A$2:$A$1000,0))),""))</f>
        <v>Deisy Marcela</v>
      </c>
      <c r="F12" s="34" t="str">
        <f aca="false">IF($W12="","",IFERROR(IF(INDEX('🎓 Alumnas'!$D$2:$D$1000,MATCH($W12,'🎓 Alumnas'!$A$2:$A$1000,0))="","",INDEX('🎓 Alumnas'!$D$2:$D$1000,MATCH($W12,'🎓 Alumnas'!$A$2:$A$1000,0))),""))</f>
        <v>3003463615</v>
      </c>
      <c r="G12" s="28" t="str">
        <f aca="false">IF($W12="","",IFERROR(IF(INDEX('🎓 Alumnas'!$E$2:$E$1000,MATCH($W12,'🎓 Alumnas'!$A$2:$A$1000,0))="","",INDEX('🎓 Alumnas'!$E$2:$E$1000,MATCH($W12,'🎓 Alumnas'!$A$2:$A$1000,0))),""))</f>
        <v>deisycuellarg@gmail.com</v>
      </c>
      <c r="H12" s="28" t="str">
        <f aca="false">IF($W12="","",IFERROR(IF(INDEX('🎓 Alumnas'!$F$2:$F$1000,MATCH($W12,'🎓 Alumnas'!$A$2:$A$1000,0))="","",INDEX('🎓 Alumnas'!$F$2:$F$1000,MATCH($W12,'🎓 Alumnas'!$A$2:$A$1000,0))),""))</f>
        <v>Cl. 74b #70D-3, Bogotá, D.C, Bogotá, Colombia</v>
      </c>
      <c r="I12" s="30" t="n">
        <f aca="false">IF($W12="","",IFERROR(IF(INDEX('🎓 Alumnas'!$G$2:$G$1000,MATCH($W12,'🎓 Alumnas'!$A$2:$A$1000,0))="","",INDEX('🎓 Alumnas'!$G$2:$G$1000,MATCH($W12,'🎓 Alumnas'!$A$2:$A$1000,0))),""))</f>
        <v>34586</v>
      </c>
      <c r="J12" s="28" t="n">
        <f aca="true">IF(I12="","",DATEDIF(I12,TODAY(),"Y"))</f>
        <v>32</v>
      </c>
      <c r="K12" s="25" t="s">
        <v>524</v>
      </c>
      <c r="L12" s="28" t="str">
        <f aca="false">IF(K12="","",IF(LEFT(K12,6)="1 Pole","Alquiler",IF(LEFT(K12,7)="1 Clase","Clase suelta","Paquete")))</f>
        <v>Paquete</v>
      </c>
      <c r="M12" s="25" t="s">
        <v>525</v>
      </c>
      <c r="N12" s="25" t="n">
        <v>1</v>
      </c>
      <c r="O12" s="35" t="n">
        <v>240000</v>
      </c>
      <c r="P12" s="29" t="n">
        <f aca="false">IF(O12="","",N12*O12)</f>
        <v>240000</v>
      </c>
      <c r="Q12" s="36" t="n">
        <v>0.5</v>
      </c>
      <c r="R12" s="25" t="s">
        <v>32</v>
      </c>
      <c r="S12" s="25"/>
      <c r="T12" s="28" t="str">
        <f aca="false">IF(OR(LEFT(W12,2)&lt;&gt;"A-",ISERROR(MATCH(W12,'🎓 Alumnas'!$A$2:$A$1000,0))),"",IF(COUNTIF($W$2:W12,W12)=1,"Nueva","Recurrente"))</f>
        <v>Nueva</v>
      </c>
      <c r="U12" s="28" t="n">
        <f aca="false">IF(OR(T12="",L12&lt;&gt;"Paquete"),"",COUNTIFS($W$2:W12,W12,$L$2:L12,"Paquete"))</f>
        <v>1</v>
      </c>
      <c r="V12" s="25"/>
      <c r="W12" s="34" t="str">
        <f aca="false">IF(TRIM($C12)="","",IF(COUNTIF('🎓 Alumnas'!$P$2:$P$1000,TRIM($C12))&gt;0,INDEX('🎓 Alumnas'!$A$2:$A$1000,MATCH(TRIM($C12),'🎓 Alumnas'!$P$2:$P$1000,0)),IF(COUNTIF('🎓 Alumnas'!$O$2:$O$1000,TRIM($C12)&amp;"|*")=1,INDEX('🎓 Alumnas'!$A$2:$A$1000,MATCH(TRIM($C12)&amp;"|*",'🎓 Alumnas'!$O$2:$O$1000,0)),IF(COUNTIF('🎓 Alumnas'!$O$2:$O$1000,"*|"&amp;TRIM($C12))=1,INDEX('🎓 Alumnas'!$A$2:$A$1000,MATCH("*|"&amp;TRIM($C12),'🎓 Alumnas'!$O$2:$O$1000,0)),IF(COUNTIF('🎓 Alumnas'!$Q$2:$Q$1000,TRIM($C12))=1,INDEX('🎓 Alumnas'!$A$2:$A$1000,MATCH(TRIM($C12),'🎓 Alumnas'!$Q$2:$Q$1000,0)),IF(COUNTIF('🎓 Alumnas'!$P$2:$P$1000,"*"&amp;TRIM($C12)&amp;"*")=1,INDEX('🎓 Alumnas'!$A$2:$A$1000,MATCH("*"&amp;TRIM($C12)&amp;"*",'🎓 Alumnas'!$P$2:$P$1000,0)),IF(COUNTIF('🎓 Alumnas'!$Q$2:$Q$1000,"*"&amp;TRIM($C12)&amp;"*")=1,INDEX('🎓 Alumnas'!$A$2:$A$1000,MATCH("*"&amp;TRIM($C12)&amp;"*",'🎓 Alumnas'!$Q$2:$Q$1000,0)),IF(COUNTIF('🎓 Alumnas'!$P$2:$P$1000,"*"&amp;TRIM($C12)&amp;"*")+COUNTIF('🎓 Alumnas'!$Q$2:$Q$1000,"*"&amp;TRIM($C12)&amp;"*")&gt;1,"Varias: elige de la lista","No encontrada"))))))))</f>
        <v>A-011</v>
      </c>
    </row>
    <row r="13" customFormat="false" ht="14.25" hidden="false" customHeight="true" outlineLevel="0" collapsed="false">
      <c r="A13" s="25" t="s">
        <v>543</v>
      </c>
      <c r="B13" s="27" t="n">
        <v>46274</v>
      </c>
      <c r="C13" s="25" t="s">
        <v>544</v>
      </c>
      <c r="D13" s="34" t="str">
        <f aca="false">IF($W13="","",IFERROR(TRIM(INDEX('🎓 Alumnas'!$B$2:$B$1000,MATCH($W13,'🎓 Alumnas'!$A$2:$A$1000,0))),""))</f>
        <v>Avila</v>
      </c>
      <c r="E13" s="34" t="str">
        <f aca="false">IF($W13="","",IFERROR(TRIM(INDEX('🎓 Alumnas'!$C$2:$C$1000,MATCH($W13,'🎓 Alumnas'!$A$2:$A$1000,0))),""))</f>
        <v>Daniel</v>
      </c>
      <c r="F13" s="34" t="str">
        <f aca="false">IF($W13="","",IFERROR(IF(INDEX('🎓 Alumnas'!$D$2:$D$1000,MATCH($W13,'🎓 Alumnas'!$A$2:$A$1000,0))="","",INDEX('🎓 Alumnas'!$D$2:$D$1000,MATCH($W13,'🎓 Alumnas'!$A$2:$A$1000,0))),""))</f>
        <v/>
      </c>
      <c r="G13" s="28" t="str">
        <f aca="false">IF($W13="","",IFERROR(IF(INDEX('🎓 Alumnas'!$E$2:$E$1000,MATCH($W13,'🎓 Alumnas'!$A$2:$A$1000,0))="","",INDEX('🎓 Alumnas'!$E$2:$E$1000,MATCH($W13,'🎓 Alumnas'!$A$2:$A$1000,0))),""))</f>
        <v/>
      </c>
      <c r="H13" s="28" t="str">
        <f aca="false">IF($W13="","",IFERROR(IF(INDEX('🎓 Alumnas'!$F$2:$F$1000,MATCH($W13,'🎓 Alumnas'!$A$2:$A$1000,0))="","",INDEX('🎓 Alumnas'!$F$2:$F$1000,MATCH($W13,'🎓 Alumnas'!$A$2:$A$1000,0))),""))</f>
        <v/>
      </c>
      <c r="I13" s="30" t="str">
        <f aca="false">IF($W13="","",IFERROR(IF(INDEX('🎓 Alumnas'!$G$2:$G$1000,MATCH($W13,'🎓 Alumnas'!$A$2:$A$1000,0))="","",INDEX('🎓 Alumnas'!$G$2:$G$1000,MATCH($W13,'🎓 Alumnas'!$A$2:$A$1000,0))),""))</f>
        <v/>
      </c>
      <c r="J13" s="28" t="str">
        <f aca="true">IF(I13="","",DATEDIF(I13,TODAY(),"Y"))</f>
        <v/>
      </c>
      <c r="K13" s="25" t="s">
        <v>532</v>
      </c>
      <c r="L13" s="28" t="str">
        <f aca="false">IF(K13="","",IF(LEFT(K13,6)="1 Pole","Alquiler",IF(LEFT(K13,7)="1 Clase","Clase suelta","Paquete")))</f>
        <v>Alquiler</v>
      </c>
      <c r="M13" s="25"/>
      <c r="N13" s="25" t="n">
        <v>1</v>
      </c>
      <c r="O13" s="35" t="n">
        <v>22000</v>
      </c>
      <c r="P13" s="29" t="n">
        <f aca="false">IF(O13="","",N13*O13)</f>
        <v>22000</v>
      </c>
      <c r="Q13" s="36" t="n">
        <v>1</v>
      </c>
      <c r="R13" s="25" t="s">
        <v>32</v>
      </c>
      <c r="S13" s="25"/>
      <c r="T13" s="28" t="str">
        <f aca="false">IF(OR(LEFT(W13,2)&lt;&gt;"A-",ISERROR(MATCH(W13,'🎓 Alumnas'!$A$2:$A$1000,0))),"",IF(COUNTIF($W$2:W13,W13)=1,"Nueva","Recurrente"))</f>
        <v>Nueva</v>
      </c>
      <c r="U13" s="28" t="str">
        <f aca="false">IF(OR(T13="",L13&lt;&gt;"Paquete"),"",COUNTIFS($W$2:W13,W13,$L$2:L13,"Paquete"))</f>
        <v/>
      </c>
      <c r="V13" s="25"/>
      <c r="W13" s="34" t="str">
        <f aca="false">IF(TRIM($C13)="","",IF(COUNTIF('🎓 Alumnas'!$P$2:$P$1000,TRIM($C13))&gt;0,INDEX('🎓 Alumnas'!$A$2:$A$1000,MATCH(TRIM($C13),'🎓 Alumnas'!$P$2:$P$1000,0)),IF(COUNTIF('🎓 Alumnas'!$O$2:$O$1000,TRIM($C13)&amp;"|*")=1,INDEX('🎓 Alumnas'!$A$2:$A$1000,MATCH(TRIM($C13)&amp;"|*",'🎓 Alumnas'!$O$2:$O$1000,0)),IF(COUNTIF('🎓 Alumnas'!$O$2:$O$1000,"*|"&amp;TRIM($C13))=1,INDEX('🎓 Alumnas'!$A$2:$A$1000,MATCH("*|"&amp;TRIM($C13),'🎓 Alumnas'!$O$2:$O$1000,0)),IF(COUNTIF('🎓 Alumnas'!$Q$2:$Q$1000,TRIM($C13))=1,INDEX('🎓 Alumnas'!$A$2:$A$1000,MATCH(TRIM($C13),'🎓 Alumnas'!$Q$2:$Q$1000,0)),IF(COUNTIF('🎓 Alumnas'!$P$2:$P$1000,"*"&amp;TRIM($C13)&amp;"*")=1,INDEX('🎓 Alumnas'!$A$2:$A$1000,MATCH("*"&amp;TRIM($C13)&amp;"*",'🎓 Alumnas'!$P$2:$P$1000,0)),IF(COUNTIF('🎓 Alumnas'!$Q$2:$Q$1000,"*"&amp;TRIM($C13)&amp;"*")=1,INDEX('🎓 Alumnas'!$A$2:$A$1000,MATCH("*"&amp;TRIM($C13)&amp;"*",'🎓 Alumnas'!$Q$2:$Q$1000,0)),IF(COUNTIF('🎓 Alumnas'!$P$2:$P$1000,"*"&amp;TRIM($C13)&amp;"*")+COUNTIF('🎓 Alumnas'!$Q$2:$Q$1000,"*"&amp;TRIM($C13)&amp;"*")&gt;1,"Varias: elige de la lista","No encontrada"))))))))</f>
        <v>A-012</v>
      </c>
    </row>
    <row r="14" customFormat="false" ht="14.25" hidden="false" customHeight="true" outlineLevel="0" collapsed="false">
      <c r="A14" s="25" t="s">
        <v>545</v>
      </c>
      <c r="B14" s="27" t="n">
        <v>46274</v>
      </c>
      <c r="C14" s="25" t="s">
        <v>546</v>
      </c>
      <c r="D14" s="34" t="str">
        <f aca="false">IF($W14="","",IFERROR(TRIM(INDEX('🎓 Alumnas'!$B$2:$B$1000,MATCH($W14,'🎓 Alumnas'!$A$2:$A$1000,0))),""))</f>
        <v>Sierra</v>
      </c>
      <c r="E14" s="34" t="str">
        <f aca="false">IF($W14="","",IFERROR(TRIM(INDEX('🎓 Alumnas'!$C$2:$C$1000,MATCH($W14,'🎓 Alumnas'!$A$2:$A$1000,0))),""))</f>
        <v>Karol</v>
      </c>
      <c r="F14" s="34" t="str">
        <f aca="false">IF($W14="","",IFERROR(IF(INDEX('🎓 Alumnas'!$D$2:$D$1000,MATCH($W14,'🎓 Alumnas'!$A$2:$A$1000,0))="","",INDEX('🎓 Alumnas'!$D$2:$D$1000,MATCH($W14,'🎓 Alumnas'!$A$2:$A$1000,0))),""))</f>
        <v/>
      </c>
      <c r="G14" s="28" t="str">
        <f aca="false">IF($W14="","",IFERROR(IF(INDEX('🎓 Alumnas'!$E$2:$E$1000,MATCH($W14,'🎓 Alumnas'!$A$2:$A$1000,0))="","",INDEX('🎓 Alumnas'!$E$2:$E$1000,MATCH($W14,'🎓 Alumnas'!$A$2:$A$1000,0))),""))</f>
        <v/>
      </c>
      <c r="H14" s="28" t="str">
        <f aca="false">IF($W14="","",IFERROR(IF(INDEX('🎓 Alumnas'!$F$2:$F$1000,MATCH($W14,'🎓 Alumnas'!$A$2:$A$1000,0))="","",INDEX('🎓 Alumnas'!$F$2:$F$1000,MATCH($W14,'🎓 Alumnas'!$A$2:$A$1000,0))),""))</f>
        <v/>
      </c>
      <c r="I14" s="30" t="str">
        <f aca="false">IF($W14="","",IFERROR(IF(INDEX('🎓 Alumnas'!$G$2:$G$1000,MATCH($W14,'🎓 Alumnas'!$A$2:$A$1000,0))="","",INDEX('🎓 Alumnas'!$G$2:$G$1000,MATCH($W14,'🎓 Alumnas'!$A$2:$A$1000,0))),""))</f>
        <v/>
      </c>
      <c r="J14" s="28" t="str">
        <f aca="true">IF(I14="","",DATEDIF(I14,TODAY(),"Y"))</f>
        <v/>
      </c>
      <c r="K14" s="25" t="s">
        <v>532</v>
      </c>
      <c r="L14" s="28" t="str">
        <f aca="false">IF(K14="","",IF(LEFT(K14,6)="1 Pole","Alquiler",IF(LEFT(K14,7)="1 Clase","Clase suelta","Paquete")))</f>
        <v>Alquiler</v>
      </c>
      <c r="M14" s="25"/>
      <c r="N14" s="25" t="n">
        <v>1</v>
      </c>
      <c r="O14" s="35" t="n">
        <v>22000</v>
      </c>
      <c r="P14" s="29" t="n">
        <f aca="false">IF(O14="","",N14*O14)</f>
        <v>22000</v>
      </c>
      <c r="Q14" s="36" t="n">
        <v>1</v>
      </c>
      <c r="R14" s="25" t="s">
        <v>32</v>
      </c>
      <c r="S14" s="25"/>
      <c r="T14" s="28" t="str">
        <f aca="false">IF(OR(LEFT(W14,2)&lt;&gt;"A-",ISERROR(MATCH(W14,'🎓 Alumnas'!$A$2:$A$1000,0))),"",IF(COUNTIF($W$2:W14,W14)=1,"Nueva","Recurrente"))</f>
        <v>Nueva</v>
      </c>
      <c r="U14" s="28" t="str">
        <f aca="false">IF(OR(T14="",L14&lt;&gt;"Paquete"),"",COUNTIFS($W$2:W14,W14,$L$2:L14,"Paquete"))</f>
        <v/>
      </c>
      <c r="V14" s="25"/>
      <c r="W14" s="34" t="str">
        <f aca="false">IF(TRIM($C14)="","",IF(COUNTIF('🎓 Alumnas'!$P$2:$P$1000,TRIM($C14))&gt;0,INDEX('🎓 Alumnas'!$A$2:$A$1000,MATCH(TRIM($C14),'🎓 Alumnas'!$P$2:$P$1000,0)),IF(COUNTIF('🎓 Alumnas'!$O$2:$O$1000,TRIM($C14)&amp;"|*")=1,INDEX('🎓 Alumnas'!$A$2:$A$1000,MATCH(TRIM($C14)&amp;"|*",'🎓 Alumnas'!$O$2:$O$1000,0)),IF(COUNTIF('🎓 Alumnas'!$O$2:$O$1000,"*|"&amp;TRIM($C14))=1,INDEX('🎓 Alumnas'!$A$2:$A$1000,MATCH("*|"&amp;TRIM($C14),'🎓 Alumnas'!$O$2:$O$1000,0)),IF(COUNTIF('🎓 Alumnas'!$Q$2:$Q$1000,TRIM($C14))=1,INDEX('🎓 Alumnas'!$A$2:$A$1000,MATCH(TRIM($C14),'🎓 Alumnas'!$Q$2:$Q$1000,0)),IF(COUNTIF('🎓 Alumnas'!$P$2:$P$1000,"*"&amp;TRIM($C14)&amp;"*")=1,INDEX('🎓 Alumnas'!$A$2:$A$1000,MATCH("*"&amp;TRIM($C14)&amp;"*",'🎓 Alumnas'!$P$2:$P$1000,0)),IF(COUNTIF('🎓 Alumnas'!$Q$2:$Q$1000,"*"&amp;TRIM($C14)&amp;"*")=1,INDEX('🎓 Alumnas'!$A$2:$A$1000,MATCH("*"&amp;TRIM($C14)&amp;"*",'🎓 Alumnas'!$Q$2:$Q$1000,0)),IF(COUNTIF('🎓 Alumnas'!$P$2:$P$1000,"*"&amp;TRIM($C14)&amp;"*")+COUNTIF('🎓 Alumnas'!$Q$2:$Q$1000,"*"&amp;TRIM($C14)&amp;"*")&gt;1,"Varias: elige de la lista","No encontrada"))))))))</f>
        <v>A-013</v>
      </c>
    </row>
    <row r="15" customFormat="false" ht="14.25" hidden="false" customHeight="true" outlineLevel="0" collapsed="false">
      <c r="A15" s="25" t="s">
        <v>547</v>
      </c>
      <c r="B15" s="27" t="n">
        <v>46276</v>
      </c>
      <c r="C15" s="25" t="s">
        <v>548</v>
      </c>
      <c r="D15" s="34" t="str">
        <f aca="false">IF($W15="","",IFERROR(TRIM(INDEX('🎓 Alumnas'!$B$2:$B$1000,MATCH($W15,'🎓 Alumnas'!$A$2:$A$1000,0))),""))</f>
        <v>Vergara Hernández</v>
      </c>
      <c r="E15" s="34" t="str">
        <f aca="false">IF($W15="","",IFERROR(TRIM(INDEX('🎓 Alumnas'!$C$2:$C$1000,MATCH($W15,'🎓 Alumnas'!$A$2:$A$1000,0))),""))</f>
        <v>Maira Alejandra</v>
      </c>
      <c r="F15" s="34" t="str">
        <f aca="false">IF($W15="","",IFERROR(IF(INDEX('🎓 Alumnas'!$D$2:$D$1000,MATCH($W15,'🎓 Alumnas'!$A$2:$A$1000,0))="","",INDEX('🎓 Alumnas'!$D$2:$D$1000,MATCH($W15,'🎓 Alumnas'!$A$2:$A$1000,0))),""))</f>
        <v>300 300 0010</v>
      </c>
      <c r="G15" s="28" t="str">
        <f aca="false">IF($W15="","",IFERROR(IF(INDEX('🎓 Alumnas'!$E$2:$E$1000,MATCH($W15,'🎓 Alumnas'!$A$2:$A$1000,0))="","",INDEX('🎓 Alumnas'!$E$2:$E$1000,MATCH($W15,'🎓 Alumnas'!$A$2:$A$1000,0))),""))</f>
        <v>mairalejandravh93@gmail.com</v>
      </c>
      <c r="H15" s="28" t="str">
        <f aca="false">IF($W15="","",IFERROR(IF(INDEX('🎓 Alumnas'!$F$2:$F$1000,MATCH($W15,'🎓 Alumnas'!$A$2:$A$1000,0))="","",INDEX('🎓 Alumnas'!$F$2:$F$1000,MATCH($W15,'🎓 Alumnas'!$A$2:$A$1000,0))),""))</f>
        <v>Cra. 78 #11c-21, Bogotá, Colombia</v>
      </c>
      <c r="I15" s="30" t="str">
        <f aca="false">IF($W15="","",IFERROR(IF(INDEX('🎓 Alumnas'!$G$2:$G$1000,MATCH($W15,'🎓 Alumnas'!$A$2:$A$1000,0))="","",INDEX('🎓 Alumnas'!$G$2:$G$1000,MATCH($W15,'🎓 Alumnas'!$A$2:$A$1000,0))),""))</f>
        <v/>
      </c>
      <c r="J15" s="28" t="str">
        <f aca="true">IF(I15="","",DATEDIF(I15,TODAY(),"Y"))</f>
        <v/>
      </c>
      <c r="K15" s="25" t="s">
        <v>520</v>
      </c>
      <c r="L15" s="28" t="str">
        <f aca="false">IF(K15="","",IF(LEFT(K15,6)="1 Pole","Alquiler",IF(LEFT(K15,7)="1 Clase","Clase suelta","Paquete")))</f>
        <v>Paquete</v>
      </c>
      <c r="M15" s="25"/>
      <c r="N15" s="25" t="n">
        <v>1</v>
      </c>
      <c r="O15" s="35" t="n">
        <v>350000</v>
      </c>
      <c r="P15" s="29" t="n">
        <f aca="false">IF(O15="","",N15*O15)</f>
        <v>350000</v>
      </c>
      <c r="Q15" s="36" t="n">
        <v>1</v>
      </c>
      <c r="R15" s="25" t="s">
        <v>32</v>
      </c>
      <c r="S15" s="25"/>
      <c r="T15" s="28" t="str">
        <f aca="false">IF(OR(LEFT(W15,2)&lt;&gt;"A-",ISERROR(MATCH(W15,'🎓 Alumnas'!$A$2:$A$1000,0))),"",IF(COUNTIF($W$2:W15,W15)=1,"Nueva","Recurrente"))</f>
        <v>Nueva</v>
      </c>
      <c r="U15" s="28" t="n">
        <f aca="false">IF(OR(T15="",L15&lt;&gt;"Paquete"),"",COUNTIFS($W$2:W15,W15,$L$2:L15,"Paquete"))</f>
        <v>1</v>
      </c>
      <c r="V15" s="25"/>
      <c r="W15" s="34" t="str">
        <f aca="false">IF(TRIM($C15)="","",IF(COUNTIF('🎓 Alumnas'!$P$2:$P$1000,TRIM($C15))&gt;0,INDEX('🎓 Alumnas'!$A$2:$A$1000,MATCH(TRIM($C15),'🎓 Alumnas'!$P$2:$P$1000,0)),IF(COUNTIF('🎓 Alumnas'!$O$2:$O$1000,TRIM($C15)&amp;"|*")=1,INDEX('🎓 Alumnas'!$A$2:$A$1000,MATCH(TRIM($C15)&amp;"|*",'🎓 Alumnas'!$O$2:$O$1000,0)),IF(COUNTIF('🎓 Alumnas'!$O$2:$O$1000,"*|"&amp;TRIM($C15))=1,INDEX('🎓 Alumnas'!$A$2:$A$1000,MATCH("*|"&amp;TRIM($C15),'🎓 Alumnas'!$O$2:$O$1000,0)),IF(COUNTIF('🎓 Alumnas'!$Q$2:$Q$1000,TRIM($C15))=1,INDEX('🎓 Alumnas'!$A$2:$A$1000,MATCH(TRIM($C15),'🎓 Alumnas'!$Q$2:$Q$1000,0)),IF(COUNTIF('🎓 Alumnas'!$P$2:$P$1000,"*"&amp;TRIM($C15)&amp;"*")=1,INDEX('🎓 Alumnas'!$A$2:$A$1000,MATCH("*"&amp;TRIM($C15)&amp;"*",'🎓 Alumnas'!$P$2:$P$1000,0)),IF(COUNTIF('🎓 Alumnas'!$Q$2:$Q$1000,"*"&amp;TRIM($C15)&amp;"*")=1,INDEX('🎓 Alumnas'!$A$2:$A$1000,MATCH("*"&amp;TRIM($C15)&amp;"*",'🎓 Alumnas'!$Q$2:$Q$1000,0)),IF(COUNTIF('🎓 Alumnas'!$P$2:$P$1000,"*"&amp;TRIM($C15)&amp;"*")+COUNTIF('🎓 Alumnas'!$Q$2:$Q$1000,"*"&amp;TRIM($C15)&amp;"*")&gt;1,"Varias: elige de la lista","No encontrada"))))))))</f>
        <v>A-014</v>
      </c>
    </row>
    <row r="16" customFormat="false" ht="14.25" hidden="false" customHeight="true" outlineLevel="0" collapsed="false">
      <c r="A16" s="25" t="s">
        <v>549</v>
      </c>
      <c r="B16" s="27" t="n">
        <v>46280</v>
      </c>
      <c r="C16" s="25" t="s">
        <v>550</v>
      </c>
      <c r="D16" s="34" t="str">
        <f aca="false">IF($W16="","",IFERROR(TRIM(INDEX('🎓 Alumnas'!$B$2:$B$1000,MATCH($W16,'🎓 Alumnas'!$A$2:$A$1000,0))),""))</f>
        <v>Rojas</v>
      </c>
      <c r="E16" s="34" t="str">
        <f aca="false">IF($W16="","",IFERROR(TRIM(INDEX('🎓 Alumnas'!$C$2:$C$1000,MATCH($W16,'🎓 Alumnas'!$A$2:$A$1000,0))),""))</f>
        <v>Jose Alberto</v>
      </c>
      <c r="F16" s="34" t="str">
        <f aca="false">IF($W16="","",IFERROR(IF(INDEX('🎓 Alumnas'!$D$2:$D$1000,MATCH($W16,'🎓 Alumnas'!$A$2:$A$1000,0))="","",INDEX('🎓 Alumnas'!$D$2:$D$1000,MATCH($W16,'🎓 Alumnas'!$A$2:$A$1000,0))),""))</f>
        <v>3209390563</v>
      </c>
      <c r="G16" s="28" t="str">
        <f aca="false">IF($W16="","",IFERROR(IF(INDEX('🎓 Alumnas'!$E$2:$E$1000,MATCH($W16,'🎓 Alumnas'!$A$2:$A$1000,0))="","",INDEX('🎓 Alumnas'!$E$2:$E$1000,MATCH($W16,'🎓 Alumnas'!$A$2:$A$1000,0))),""))</f>
        <v>j.rojas.ve@gmail.com</v>
      </c>
      <c r="H16" s="28" t="str">
        <f aca="false">IF($W16="","",IFERROR(IF(INDEX('🎓 Alumnas'!$F$2:$F$1000,MATCH($W16,'🎓 Alumnas'!$A$2:$A$1000,0))="","",INDEX('🎓 Alumnas'!$F$2:$F$1000,MATCH($W16,'🎓 Alumnas'!$A$2:$A$1000,0))),""))</f>
        <v/>
      </c>
      <c r="I16" s="30" t="n">
        <f aca="false">IF($W16="","",IFERROR(IF(INDEX('🎓 Alumnas'!$G$2:$G$1000,MATCH($W16,'🎓 Alumnas'!$A$2:$A$1000,0))="","",INDEX('🎓 Alumnas'!$G$2:$G$1000,MATCH($W16,'🎓 Alumnas'!$A$2:$A$1000,0))),""))</f>
        <v>30415</v>
      </c>
      <c r="J16" s="28" t="n">
        <f aca="true">IF(I16="","",DATEDIF(I16,TODAY(),"Y"))</f>
        <v>43</v>
      </c>
      <c r="K16" s="25" t="s">
        <v>532</v>
      </c>
      <c r="L16" s="28" t="str">
        <f aca="false">IF(K16="","",IF(LEFT(K16,6)="1 Pole","Alquiler",IF(LEFT(K16,7)="1 Clase","Clase suelta","Paquete")))</f>
        <v>Alquiler</v>
      </c>
      <c r="M16" s="25"/>
      <c r="N16" s="25" t="n">
        <v>2</v>
      </c>
      <c r="O16" s="35" t="n">
        <v>22000</v>
      </c>
      <c r="P16" s="29" t="n">
        <f aca="false">IF(O16="","",N16*O16)</f>
        <v>44000</v>
      </c>
      <c r="Q16" s="36" t="n">
        <v>1</v>
      </c>
      <c r="R16" s="25" t="s">
        <v>32</v>
      </c>
      <c r="S16" s="25"/>
      <c r="T16" s="28" t="str">
        <f aca="false">IF(OR(LEFT(W16,2)&lt;&gt;"A-",ISERROR(MATCH(W16,'🎓 Alumnas'!$A$2:$A$1000,0))),"",IF(COUNTIF($W$2:W16,W16)=1,"Nueva","Recurrente"))</f>
        <v>Nueva</v>
      </c>
      <c r="U16" s="28" t="str">
        <f aca="false">IF(OR(T16="",L16&lt;&gt;"Paquete"),"",COUNTIFS($W$2:W16,W16,$L$2:L16,"Paquete"))</f>
        <v/>
      </c>
      <c r="V16" s="25"/>
      <c r="W16" s="34" t="str">
        <f aca="false">IF(TRIM($C16)="","",IF(COUNTIF('🎓 Alumnas'!$P$2:$P$1000,TRIM($C16))&gt;0,INDEX('🎓 Alumnas'!$A$2:$A$1000,MATCH(TRIM($C16),'🎓 Alumnas'!$P$2:$P$1000,0)),IF(COUNTIF('🎓 Alumnas'!$O$2:$O$1000,TRIM($C16)&amp;"|*")=1,INDEX('🎓 Alumnas'!$A$2:$A$1000,MATCH(TRIM($C16)&amp;"|*",'🎓 Alumnas'!$O$2:$O$1000,0)),IF(COUNTIF('🎓 Alumnas'!$O$2:$O$1000,"*|"&amp;TRIM($C16))=1,INDEX('🎓 Alumnas'!$A$2:$A$1000,MATCH("*|"&amp;TRIM($C16),'🎓 Alumnas'!$O$2:$O$1000,0)),IF(COUNTIF('🎓 Alumnas'!$Q$2:$Q$1000,TRIM($C16))=1,INDEX('🎓 Alumnas'!$A$2:$A$1000,MATCH(TRIM($C16),'🎓 Alumnas'!$Q$2:$Q$1000,0)),IF(COUNTIF('🎓 Alumnas'!$P$2:$P$1000,"*"&amp;TRIM($C16)&amp;"*")=1,INDEX('🎓 Alumnas'!$A$2:$A$1000,MATCH("*"&amp;TRIM($C16)&amp;"*",'🎓 Alumnas'!$P$2:$P$1000,0)),IF(COUNTIF('🎓 Alumnas'!$Q$2:$Q$1000,"*"&amp;TRIM($C16)&amp;"*")=1,INDEX('🎓 Alumnas'!$A$2:$A$1000,MATCH("*"&amp;TRIM($C16)&amp;"*",'🎓 Alumnas'!$Q$2:$Q$1000,0)),IF(COUNTIF('🎓 Alumnas'!$P$2:$P$1000,"*"&amp;TRIM($C16)&amp;"*")+COUNTIF('🎓 Alumnas'!$Q$2:$Q$1000,"*"&amp;TRIM($C16)&amp;"*")&gt;1,"Varias: elige de la lista","No encontrada"))))))))</f>
        <v>A-015</v>
      </c>
    </row>
    <row r="17" customFormat="false" ht="14.25" hidden="false" customHeight="true" outlineLevel="0" collapsed="false">
      <c r="A17" s="25" t="s">
        <v>551</v>
      </c>
      <c r="B17" s="27" t="n">
        <v>46281</v>
      </c>
      <c r="C17" s="25" t="s">
        <v>544</v>
      </c>
      <c r="D17" s="34" t="str">
        <f aca="false">IF($W17="","",IFERROR(TRIM(INDEX('🎓 Alumnas'!$B$2:$B$1000,MATCH($W17,'🎓 Alumnas'!$A$2:$A$1000,0))),""))</f>
        <v>Avila</v>
      </c>
      <c r="E17" s="34" t="str">
        <f aca="false">IF($W17="","",IFERROR(TRIM(INDEX('🎓 Alumnas'!$C$2:$C$1000,MATCH($W17,'🎓 Alumnas'!$A$2:$A$1000,0))),""))</f>
        <v>Daniel</v>
      </c>
      <c r="F17" s="34" t="str">
        <f aca="false">IF($W17="","",IFERROR(IF(INDEX('🎓 Alumnas'!$D$2:$D$1000,MATCH($W17,'🎓 Alumnas'!$A$2:$A$1000,0))="","",INDEX('🎓 Alumnas'!$D$2:$D$1000,MATCH($W17,'🎓 Alumnas'!$A$2:$A$1000,0))),""))</f>
        <v/>
      </c>
      <c r="G17" s="28" t="str">
        <f aca="false">IF($W17="","",IFERROR(IF(INDEX('🎓 Alumnas'!$E$2:$E$1000,MATCH($W17,'🎓 Alumnas'!$A$2:$A$1000,0))="","",INDEX('🎓 Alumnas'!$E$2:$E$1000,MATCH($W17,'🎓 Alumnas'!$A$2:$A$1000,0))),""))</f>
        <v/>
      </c>
      <c r="H17" s="28" t="str">
        <f aca="false">IF($W17="","",IFERROR(IF(INDEX('🎓 Alumnas'!$F$2:$F$1000,MATCH($W17,'🎓 Alumnas'!$A$2:$A$1000,0))="","",INDEX('🎓 Alumnas'!$F$2:$F$1000,MATCH($W17,'🎓 Alumnas'!$A$2:$A$1000,0))),""))</f>
        <v/>
      </c>
      <c r="I17" s="30" t="str">
        <f aca="false">IF($W17="","",IFERROR(IF(INDEX('🎓 Alumnas'!$G$2:$G$1000,MATCH($W17,'🎓 Alumnas'!$A$2:$A$1000,0))="","",INDEX('🎓 Alumnas'!$G$2:$G$1000,MATCH($W17,'🎓 Alumnas'!$A$2:$A$1000,0))),""))</f>
        <v/>
      </c>
      <c r="J17" s="28" t="str">
        <f aca="true">IF(I17="","",DATEDIF(I17,TODAY(),"Y"))</f>
        <v/>
      </c>
      <c r="K17" s="25" t="s">
        <v>532</v>
      </c>
      <c r="L17" s="28" t="str">
        <f aca="false">IF(K17="","",IF(LEFT(K17,6)="1 Pole","Alquiler",IF(LEFT(K17,7)="1 Clase","Clase suelta","Paquete")))</f>
        <v>Alquiler</v>
      </c>
      <c r="M17" s="25"/>
      <c r="N17" s="25" t="n">
        <v>1</v>
      </c>
      <c r="O17" s="35" t="n">
        <v>22000</v>
      </c>
      <c r="P17" s="29" t="n">
        <f aca="false">IF(O17="","",N17*O17)</f>
        <v>22000</v>
      </c>
      <c r="Q17" s="36" t="n">
        <v>1</v>
      </c>
      <c r="R17" s="25" t="s">
        <v>32</v>
      </c>
      <c r="S17" s="25"/>
      <c r="T17" s="28" t="str">
        <f aca="false">IF(OR(LEFT(W17,2)&lt;&gt;"A-",ISERROR(MATCH(W17,'🎓 Alumnas'!$A$2:$A$1000,0))),"",IF(COUNTIF($W$2:W17,W17)=1,"Nueva","Recurrente"))</f>
        <v>Recurrente</v>
      </c>
      <c r="U17" s="28" t="str">
        <f aca="false">IF(OR(T17="",L17&lt;&gt;"Paquete"),"",COUNTIFS($W$2:W17,W17,$L$2:L17,"Paquete"))</f>
        <v/>
      </c>
      <c r="V17" s="25"/>
      <c r="W17" s="34" t="str">
        <f aca="false">IF(TRIM($C17)="","",IF(COUNTIF('🎓 Alumnas'!$P$2:$P$1000,TRIM($C17))&gt;0,INDEX('🎓 Alumnas'!$A$2:$A$1000,MATCH(TRIM($C17),'🎓 Alumnas'!$P$2:$P$1000,0)),IF(COUNTIF('🎓 Alumnas'!$O$2:$O$1000,TRIM($C17)&amp;"|*")=1,INDEX('🎓 Alumnas'!$A$2:$A$1000,MATCH(TRIM($C17)&amp;"|*",'🎓 Alumnas'!$O$2:$O$1000,0)),IF(COUNTIF('🎓 Alumnas'!$O$2:$O$1000,"*|"&amp;TRIM($C17))=1,INDEX('🎓 Alumnas'!$A$2:$A$1000,MATCH("*|"&amp;TRIM($C17),'🎓 Alumnas'!$O$2:$O$1000,0)),IF(COUNTIF('🎓 Alumnas'!$Q$2:$Q$1000,TRIM($C17))=1,INDEX('🎓 Alumnas'!$A$2:$A$1000,MATCH(TRIM($C17),'🎓 Alumnas'!$Q$2:$Q$1000,0)),IF(COUNTIF('🎓 Alumnas'!$P$2:$P$1000,"*"&amp;TRIM($C17)&amp;"*")=1,INDEX('🎓 Alumnas'!$A$2:$A$1000,MATCH("*"&amp;TRIM($C17)&amp;"*",'🎓 Alumnas'!$P$2:$P$1000,0)),IF(COUNTIF('🎓 Alumnas'!$Q$2:$Q$1000,"*"&amp;TRIM($C17)&amp;"*")=1,INDEX('🎓 Alumnas'!$A$2:$A$1000,MATCH("*"&amp;TRIM($C17)&amp;"*",'🎓 Alumnas'!$Q$2:$Q$1000,0)),IF(COUNTIF('🎓 Alumnas'!$P$2:$P$1000,"*"&amp;TRIM($C17)&amp;"*")+COUNTIF('🎓 Alumnas'!$Q$2:$Q$1000,"*"&amp;TRIM($C17)&amp;"*")&gt;1,"Varias: elige de la lista","No encontrada"))))))))</f>
        <v>A-012</v>
      </c>
    </row>
    <row r="18" customFormat="false" ht="14.25" hidden="false" customHeight="true" outlineLevel="0" collapsed="false">
      <c r="A18" s="25" t="s">
        <v>552</v>
      </c>
      <c r="B18" s="27" t="n">
        <v>46281</v>
      </c>
      <c r="C18" s="25" t="s">
        <v>553</v>
      </c>
      <c r="D18" s="34" t="str">
        <f aca="false">IF($W18="","",IFERROR(TRIM(INDEX('🎓 Alumnas'!$B$2:$B$1000,MATCH($W18,'🎓 Alumnas'!$A$2:$A$1000,0))),""))</f>
        <v>Hilarión Abril</v>
      </c>
      <c r="E18" s="34" t="str">
        <f aca="false">IF($W18="","",IFERROR(TRIM(INDEX('🎓 Alumnas'!$C$2:$C$1000,MATCH($W18,'🎓 Alumnas'!$A$2:$A$1000,0))),""))</f>
        <v>Laura Sofia</v>
      </c>
      <c r="F18" s="34" t="str">
        <f aca="false">IF($W18="","",IFERROR(IF(INDEX('🎓 Alumnas'!$D$2:$D$1000,MATCH($W18,'🎓 Alumnas'!$A$2:$A$1000,0))="","",INDEX('🎓 Alumnas'!$D$2:$D$1000,MATCH($W18,'🎓 Alumnas'!$A$2:$A$1000,0))),""))</f>
        <v>3204479014</v>
      </c>
      <c r="G18" s="28" t="str">
        <f aca="false">IF($W18="","",IFERROR(IF(INDEX('🎓 Alumnas'!$E$2:$E$1000,MATCH($W18,'🎓 Alumnas'!$A$2:$A$1000,0))="","",INDEX('🎓 Alumnas'!$E$2:$E$1000,MATCH($W18,'🎓 Alumnas'!$A$2:$A$1000,0))),""))</f>
        <v>laura.hilarion.1003@gmail.com</v>
      </c>
      <c r="H18" s="28" t="str">
        <f aca="false">IF($W18="","",IFERROR(IF(INDEX('🎓 Alumnas'!$F$2:$F$1000,MATCH($W18,'🎓 Alumnas'!$A$2:$A$1000,0))="","",INDEX('🎓 Alumnas'!$F$2:$F$1000,MATCH($W18,'🎓 Alumnas'!$A$2:$A$1000,0))),""))</f>
        <v>Cl. 4b #39b-90, Puente Aranda, Bogotá, Cundinamarca, Colombia</v>
      </c>
      <c r="I18" s="30" t="n">
        <f aca="false">IF($W18="","",IFERROR(IF(INDEX('🎓 Alumnas'!$G$2:$G$1000,MATCH($W18,'🎓 Alumnas'!$A$2:$A$1000,0))="","",INDEX('🎓 Alumnas'!$G$2:$G$1000,MATCH($W18,'🎓 Alumnas'!$A$2:$A$1000,0))),""))</f>
        <v>38993</v>
      </c>
      <c r="J18" s="28" t="n">
        <f aca="true">IF(I18="","",DATEDIF(I18,TODAY(),"Y"))</f>
        <v>20</v>
      </c>
      <c r="K18" s="25" t="s">
        <v>524</v>
      </c>
      <c r="L18" s="28" t="str">
        <f aca="false">IF(K18="","",IF(LEFT(K18,6)="1 Pole","Alquiler",IF(LEFT(K18,7)="1 Clase","Clase suelta","Paquete")))</f>
        <v>Paquete</v>
      </c>
      <c r="M18" s="25"/>
      <c r="N18" s="25" t="n">
        <v>1</v>
      </c>
      <c r="O18" s="35" t="n">
        <v>480000</v>
      </c>
      <c r="P18" s="29" t="n">
        <f aca="false">IF(O18="","",N18*O18)</f>
        <v>480000</v>
      </c>
      <c r="Q18" s="36" t="n">
        <v>1</v>
      </c>
      <c r="R18" s="25" t="s">
        <v>26</v>
      </c>
      <c r="S18" s="25"/>
      <c r="T18" s="28" t="str">
        <f aca="false">IF(OR(LEFT(W18,2)&lt;&gt;"A-",ISERROR(MATCH(W18,'🎓 Alumnas'!$A$2:$A$1000,0))),"",IF(COUNTIF($W$2:W18,W18)=1,"Nueva","Recurrente"))</f>
        <v>Nueva</v>
      </c>
      <c r="U18" s="28" t="n">
        <f aca="false">IF(OR(T18="",L18&lt;&gt;"Paquete"),"",COUNTIFS($W$2:W18,W18,$L$2:L18,"Paquete"))</f>
        <v>1</v>
      </c>
      <c r="V18" s="25"/>
      <c r="W18" s="34" t="str">
        <f aca="false">IF(TRIM($C18)="","",IF(COUNTIF('🎓 Alumnas'!$P$2:$P$1000,TRIM($C18))&gt;0,INDEX('🎓 Alumnas'!$A$2:$A$1000,MATCH(TRIM($C18),'🎓 Alumnas'!$P$2:$P$1000,0)),IF(COUNTIF('🎓 Alumnas'!$O$2:$O$1000,TRIM($C18)&amp;"|*")=1,INDEX('🎓 Alumnas'!$A$2:$A$1000,MATCH(TRIM($C18)&amp;"|*",'🎓 Alumnas'!$O$2:$O$1000,0)),IF(COUNTIF('🎓 Alumnas'!$O$2:$O$1000,"*|"&amp;TRIM($C18))=1,INDEX('🎓 Alumnas'!$A$2:$A$1000,MATCH("*|"&amp;TRIM($C18),'🎓 Alumnas'!$O$2:$O$1000,0)),IF(COUNTIF('🎓 Alumnas'!$Q$2:$Q$1000,TRIM($C18))=1,INDEX('🎓 Alumnas'!$A$2:$A$1000,MATCH(TRIM($C18),'🎓 Alumnas'!$Q$2:$Q$1000,0)),IF(COUNTIF('🎓 Alumnas'!$P$2:$P$1000,"*"&amp;TRIM($C18)&amp;"*")=1,INDEX('🎓 Alumnas'!$A$2:$A$1000,MATCH("*"&amp;TRIM($C18)&amp;"*",'🎓 Alumnas'!$P$2:$P$1000,0)),IF(COUNTIF('🎓 Alumnas'!$Q$2:$Q$1000,"*"&amp;TRIM($C18)&amp;"*")=1,INDEX('🎓 Alumnas'!$A$2:$A$1000,MATCH("*"&amp;TRIM($C18)&amp;"*",'🎓 Alumnas'!$Q$2:$Q$1000,0)),IF(COUNTIF('🎓 Alumnas'!$P$2:$P$1000,"*"&amp;TRIM($C18)&amp;"*")+COUNTIF('🎓 Alumnas'!$Q$2:$Q$1000,"*"&amp;TRIM($C18)&amp;"*")&gt;1,"Varias: elige de la lista","No encontrada"))))))))</f>
        <v>A-016</v>
      </c>
    </row>
    <row r="19" customFormat="false" ht="14.25" hidden="false" customHeight="true" outlineLevel="0" collapsed="false">
      <c r="A19" s="25" t="s">
        <v>554</v>
      </c>
      <c r="B19" s="27" t="n">
        <v>46283</v>
      </c>
      <c r="C19" s="25" t="s">
        <v>555</v>
      </c>
      <c r="D19" s="34" t="str">
        <f aca="false">IF($W19="","",IFERROR(TRIM(INDEX('🎓 Alumnas'!$B$2:$B$1000,MATCH($W19,'🎓 Alumnas'!$A$2:$A$1000,0))),""))</f>
        <v>Ortega Agudelo</v>
      </c>
      <c r="E19" s="34" t="str">
        <f aca="false">IF($W19="","",IFERROR(TRIM(INDEX('🎓 Alumnas'!$C$2:$C$1000,MATCH($W19,'🎓 Alumnas'!$A$2:$A$1000,0))),""))</f>
        <v>María Alejandra</v>
      </c>
      <c r="F19" s="34" t="str">
        <f aca="false">IF($W19="","",IFERROR(IF(INDEX('🎓 Alumnas'!$D$2:$D$1000,MATCH($W19,'🎓 Alumnas'!$A$2:$A$1000,0))="","",INDEX('🎓 Alumnas'!$D$2:$D$1000,MATCH($W19,'🎓 Alumnas'!$A$2:$A$1000,0))),""))</f>
        <v>3114401669</v>
      </c>
      <c r="G19" s="28" t="str">
        <f aca="false">IF($W19="","",IFERROR(IF(INDEX('🎓 Alumnas'!$E$2:$E$1000,MATCH($W19,'🎓 Alumnas'!$A$2:$A$1000,0))="","",INDEX('🎓 Alumnas'!$E$2:$E$1000,MATCH($W19,'🎓 Alumnas'!$A$2:$A$1000,0))),""))</f>
        <v>malejandra94@hotmail.es</v>
      </c>
      <c r="H19" s="28" t="str">
        <f aca="false">IF($W19="","",IFERROR(IF(INDEX('🎓 Alumnas'!$F$2:$F$1000,MATCH($W19,'🎓 Alumnas'!$A$2:$A$1000,0))="","",INDEX('🎓 Alumnas'!$F$2:$F$1000,MATCH($W19,'🎓 Alumnas'!$A$2:$A$1000,0))),""))</f>
        <v>Cl. 47a Sur #2 a 50, Bogotá, Colombia</v>
      </c>
      <c r="I19" s="30" t="n">
        <f aca="false">IF($W19="","",IFERROR(IF(INDEX('🎓 Alumnas'!$G$2:$G$1000,MATCH($W19,'🎓 Alumnas'!$A$2:$A$1000,0))="","",INDEX('🎓 Alumnas'!$G$2:$G$1000,MATCH($W19,'🎓 Alumnas'!$A$2:$A$1000,0))),""))</f>
        <v>34388</v>
      </c>
      <c r="J19" s="28" t="n">
        <f aca="true">IF(I19="","",DATEDIF(I19,TODAY(),"Y"))</f>
        <v>32</v>
      </c>
      <c r="K19" s="25" t="s">
        <v>524</v>
      </c>
      <c r="L19" s="28" t="str">
        <f aca="false">IF(K19="","",IF(LEFT(K19,6)="1 Pole","Alquiler",IF(LEFT(K19,7)="1 Clase","Clase suelta","Paquete")))</f>
        <v>Paquete</v>
      </c>
      <c r="M19" s="25" t="s">
        <v>525</v>
      </c>
      <c r="N19" s="25" t="n">
        <v>1</v>
      </c>
      <c r="O19" s="35" t="n">
        <v>240000</v>
      </c>
      <c r="P19" s="29" t="n">
        <f aca="false">IF(O19="","",N19*O19)</f>
        <v>240000</v>
      </c>
      <c r="Q19" s="36" t="n">
        <v>0.5</v>
      </c>
      <c r="R19" s="25" t="s">
        <v>26</v>
      </c>
      <c r="S19" s="25"/>
      <c r="T19" s="28" t="str">
        <f aca="false">IF(OR(LEFT(W19,2)&lt;&gt;"A-",ISERROR(MATCH(W19,'🎓 Alumnas'!$A$2:$A$1000,0))),"",IF(COUNTIF($W$2:W19,W19)=1,"Nueva","Recurrente"))</f>
        <v>Nueva</v>
      </c>
      <c r="U19" s="28" t="n">
        <f aca="false">IF(OR(T19="",L19&lt;&gt;"Paquete"),"",COUNTIFS($W$2:W19,W19,$L$2:L19,"Paquete"))</f>
        <v>1</v>
      </c>
      <c r="V19" s="25"/>
      <c r="W19" s="34" t="str">
        <f aca="false">IF(TRIM($C19)="","",IF(COUNTIF('🎓 Alumnas'!$P$2:$P$1000,TRIM($C19))&gt;0,INDEX('🎓 Alumnas'!$A$2:$A$1000,MATCH(TRIM($C19),'🎓 Alumnas'!$P$2:$P$1000,0)),IF(COUNTIF('🎓 Alumnas'!$O$2:$O$1000,TRIM($C19)&amp;"|*")=1,INDEX('🎓 Alumnas'!$A$2:$A$1000,MATCH(TRIM($C19)&amp;"|*",'🎓 Alumnas'!$O$2:$O$1000,0)),IF(COUNTIF('🎓 Alumnas'!$O$2:$O$1000,"*|"&amp;TRIM($C19))=1,INDEX('🎓 Alumnas'!$A$2:$A$1000,MATCH("*|"&amp;TRIM($C19),'🎓 Alumnas'!$O$2:$O$1000,0)),IF(COUNTIF('🎓 Alumnas'!$Q$2:$Q$1000,TRIM($C19))=1,INDEX('🎓 Alumnas'!$A$2:$A$1000,MATCH(TRIM($C19),'🎓 Alumnas'!$Q$2:$Q$1000,0)),IF(COUNTIF('🎓 Alumnas'!$P$2:$P$1000,"*"&amp;TRIM($C19)&amp;"*")=1,INDEX('🎓 Alumnas'!$A$2:$A$1000,MATCH("*"&amp;TRIM($C19)&amp;"*",'🎓 Alumnas'!$P$2:$P$1000,0)),IF(COUNTIF('🎓 Alumnas'!$Q$2:$Q$1000,"*"&amp;TRIM($C19)&amp;"*")=1,INDEX('🎓 Alumnas'!$A$2:$A$1000,MATCH("*"&amp;TRIM($C19)&amp;"*",'🎓 Alumnas'!$Q$2:$Q$1000,0)),IF(COUNTIF('🎓 Alumnas'!$P$2:$P$1000,"*"&amp;TRIM($C19)&amp;"*")+COUNTIF('🎓 Alumnas'!$Q$2:$Q$1000,"*"&amp;TRIM($C19)&amp;"*")&gt;1,"Varias: elige de la lista","No encontrada"))))))))</f>
        <v>A-017</v>
      </c>
    </row>
    <row r="20" customFormat="false" ht="14.25" hidden="false" customHeight="true" outlineLevel="0" collapsed="false">
      <c r="A20" s="25" t="s">
        <v>556</v>
      </c>
      <c r="B20" s="27" t="n">
        <v>46283</v>
      </c>
      <c r="C20" s="25" t="s">
        <v>531</v>
      </c>
      <c r="D20" s="34" t="str">
        <f aca="false">IF($W20="","",IFERROR(TRIM(INDEX('🎓 Alumnas'!$B$2:$B$1000,MATCH($W20,'🎓 Alumnas'!$A$2:$A$1000,0))),""))</f>
        <v>Bossa</v>
      </c>
      <c r="E20" s="34" t="str">
        <f aca="false">IF($W20="","",IFERROR(TRIM(INDEX('🎓 Alumnas'!$C$2:$C$1000,MATCH($W20,'🎓 Alumnas'!$A$2:$A$1000,0))),""))</f>
        <v>Juliana</v>
      </c>
      <c r="F20" s="34" t="n">
        <f aca="false">IF($W20="","",IFERROR(IF(INDEX('🎓 Alumnas'!$D$2:$D$1000,MATCH($W20,'🎓 Alumnas'!$A$2:$A$1000,0))="","",INDEX('🎓 Alumnas'!$D$2:$D$1000,MATCH($W20,'🎓 Alumnas'!$A$2:$A$1000,0))),""))</f>
        <v>3185937737</v>
      </c>
      <c r="G20" s="28" t="str">
        <f aca="false">IF($W20="","",IFERROR(IF(INDEX('🎓 Alumnas'!$E$2:$E$1000,MATCH($W20,'🎓 Alumnas'!$A$2:$A$1000,0))="","",INDEX('🎓 Alumnas'!$E$2:$E$1000,MATCH($W20,'🎓 Alumnas'!$A$2:$A$1000,0))),""))</f>
        <v/>
      </c>
      <c r="H20" s="28" t="str">
        <f aca="false">IF($W20="","",IFERROR(IF(INDEX('🎓 Alumnas'!$F$2:$F$1000,MATCH($W20,'🎓 Alumnas'!$A$2:$A$1000,0))="","",INDEX('🎓 Alumnas'!$F$2:$F$1000,MATCH($W20,'🎓 Alumnas'!$A$2:$A$1000,0))),""))</f>
        <v/>
      </c>
      <c r="I20" s="30" t="str">
        <f aca="false">IF($W20="","",IFERROR(IF(INDEX('🎓 Alumnas'!$G$2:$G$1000,MATCH($W20,'🎓 Alumnas'!$A$2:$A$1000,0))="","",INDEX('🎓 Alumnas'!$G$2:$G$1000,MATCH($W20,'🎓 Alumnas'!$A$2:$A$1000,0))),""))</f>
        <v/>
      </c>
      <c r="J20" s="28" t="str">
        <f aca="true">IF(I20="","",DATEDIF(I20,TODAY(),"Y"))</f>
        <v/>
      </c>
      <c r="K20" s="25" t="s">
        <v>532</v>
      </c>
      <c r="L20" s="28" t="str">
        <f aca="false">IF(K20="","",IF(LEFT(K20,6)="1 Pole","Alquiler",IF(LEFT(K20,7)="1 Clase","Clase suelta","Paquete")))</f>
        <v>Alquiler</v>
      </c>
      <c r="M20" s="25"/>
      <c r="N20" s="25" t="n">
        <v>1</v>
      </c>
      <c r="O20" s="35" t="n">
        <v>22000</v>
      </c>
      <c r="P20" s="29" t="n">
        <f aca="false">IF(O20="","",N20*O20)</f>
        <v>22000</v>
      </c>
      <c r="Q20" s="36" t="n">
        <v>1</v>
      </c>
      <c r="R20" s="25" t="s">
        <v>32</v>
      </c>
      <c r="S20" s="25"/>
      <c r="T20" s="28" t="str">
        <f aca="false">IF(OR(LEFT(W20,2)&lt;&gt;"A-",ISERROR(MATCH(W20,'🎓 Alumnas'!$A$2:$A$1000,0))),"",IF(COUNTIF($W$2:W20,W20)=1,"Nueva","Recurrente"))</f>
        <v>Recurrente</v>
      </c>
      <c r="U20" s="28" t="str">
        <f aca="false">IF(OR(T20="",L20&lt;&gt;"Paquete"),"",COUNTIFS($W$2:W20,W20,$L$2:L20,"Paquete"))</f>
        <v/>
      </c>
      <c r="V20" s="25"/>
      <c r="W20" s="34" t="str">
        <f aca="false">IF(TRIM($C20)="","",IF(COUNTIF('🎓 Alumnas'!$P$2:$P$1000,TRIM($C20))&gt;0,INDEX('🎓 Alumnas'!$A$2:$A$1000,MATCH(TRIM($C20),'🎓 Alumnas'!$P$2:$P$1000,0)),IF(COUNTIF('🎓 Alumnas'!$O$2:$O$1000,TRIM($C20)&amp;"|*")=1,INDEX('🎓 Alumnas'!$A$2:$A$1000,MATCH(TRIM($C20)&amp;"|*",'🎓 Alumnas'!$O$2:$O$1000,0)),IF(COUNTIF('🎓 Alumnas'!$O$2:$O$1000,"*|"&amp;TRIM($C20))=1,INDEX('🎓 Alumnas'!$A$2:$A$1000,MATCH("*|"&amp;TRIM($C20),'🎓 Alumnas'!$O$2:$O$1000,0)),IF(COUNTIF('🎓 Alumnas'!$Q$2:$Q$1000,TRIM($C20))=1,INDEX('🎓 Alumnas'!$A$2:$A$1000,MATCH(TRIM($C20),'🎓 Alumnas'!$Q$2:$Q$1000,0)),IF(COUNTIF('🎓 Alumnas'!$P$2:$P$1000,"*"&amp;TRIM($C20)&amp;"*")=1,INDEX('🎓 Alumnas'!$A$2:$A$1000,MATCH("*"&amp;TRIM($C20)&amp;"*",'🎓 Alumnas'!$P$2:$P$1000,0)),IF(COUNTIF('🎓 Alumnas'!$Q$2:$Q$1000,"*"&amp;TRIM($C20)&amp;"*")=1,INDEX('🎓 Alumnas'!$A$2:$A$1000,MATCH("*"&amp;TRIM($C20)&amp;"*",'🎓 Alumnas'!$Q$2:$Q$1000,0)),IF(COUNTIF('🎓 Alumnas'!$P$2:$P$1000,"*"&amp;TRIM($C20)&amp;"*")+COUNTIF('🎓 Alumnas'!$Q$2:$Q$1000,"*"&amp;TRIM($C20)&amp;"*")&gt;1,"Varias: elige de la lista","No encontrada"))))))))</f>
        <v>A-006</v>
      </c>
    </row>
    <row r="21" customFormat="false" ht="14.25" hidden="false" customHeight="true" outlineLevel="0" collapsed="false">
      <c r="A21" s="25" t="s">
        <v>557</v>
      </c>
      <c r="B21" s="27" t="n">
        <v>46283</v>
      </c>
      <c r="C21" s="25" t="s">
        <v>558</v>
      </c>
      <c r="D21" s="34" t="str">
        <f aca="false">IF($W21="","",IFERROR(TRIM(INDEX('🎓 Alumnas'!$B$2:$B$1000,MATCH($W21,'🎓 Alumnas'!$A$2:$A$1000,0))),""))</f>
        <v>Osorio Álvarez</v>
      </c>
      <c r="E21" s="34" t="str">
        <f aca="false">IF($W21="","",IFERROR(TRIM(INDEX('🎓 Alumnas'!$C$2:$C$1000,MATCH($W21,'🎓 Alumnas'!$A$2:$A$1000,0))),""))</f>
        <v>Mary Aurora</v>
      </c>
      <c r="F21" s="34" t="str">
        <f aca="false">IF($W21="","",IFERROR(IF(INDEX('🎓 Alumnas'!$D$2:$D$1000,MATCH($W21,'🎓 Alumnas'!$A$2:$A$1000,0))="","",INDEX('🎓 Alumnas'!$D$2:$D$1000,MATCH($W21,'🎓 Alumnas'!$A$2:$A$1000,0))),""))</f>
        <v>3186650375</v>
      </c>
      <c r="G21" s="28" t="str">
        <f aca="false">IF($W21="","",IFERROR(IF(INDEX('🎓 Alumnas'!$E$2:$E$1000,MATCH($W21,'🎓 Alumnas'!$A$2:$A$1000,0))="","",INDEX('🎓 Alumnas'!$E$2:$E$1000,MATCH($W21,'🎓 Alumnas'!$A$2:$A$1000,0))),""))</f>
        <v>ojoslindos256@hotmail.com</v>
      </c>
      <c r="H21" s="28" t="str">
        <f aca="false">IF($W21="","",IFERROR(IF(INDEX('🎓 Alumnas'!$F$2:$F$1000,MATCH($W21,'🎓 Alumnas'!$A$2:$A$1000,0))="","",INDEX('🎓 Alumnas'!$F$2:$F$1000,MATCH($W21,'🎓 Alumnas'!$A$2:$A$1000,0))),""))</f>
        <v>Cl. 51b Sur #80a-8, Bogotá, Colombia</v>
      </c>
      <c r="I21" s="30" t="n">
        <f aca="false">IF($W21="","",IFERROR(IF(INDEX('🎓 Alumnas'!$G$2:$G$1000,MATCH($W21,'🎓 Alumnas'!$A$2:$A$1000,0))="","",INDEX('🎓 Alumnas'!$G$2:$G$1000,MATCH($W21,'🎓 Alumnas'!$A$2:$A$1000,0))),""))</f>
        <v>31279</v>
      </c>
      <c r="J21" s="28" t="n">
        <f aca="true">IF(I21="","",DATEDIF(I21,TODAY(),"Y"))</f>
        <v>41</v>
      </c>
      <c r="K21" s="25" t="s">
        <v>559</v>
      </c>
      <c r="L21" s="28" t="str">
        <f aca="false">IF(K21="","",IF(LEFT(K21,6)="1 Pole","Alquiler",IF(LEFT(K21,7)="1 Clase","Clase suelta","Paquete")))</f>
        <v>Clase suelta</v>
      </c>
      <c r="M21" s="25"/>
      <c r="N21" s="25" t="n">
        <v>1</v>
      </c>
      <c r="O21" s="35" t="n">
        <v>50000</v>
      </c>
      <c r="P21" s="29" t="n">
        <f aca="false">IF(O21="","",N21*O21)</f>
        <v>50000</v>
      </c>
      <c r="Q21" s="36" t="n">
        <v>1</v>
      </c>
      <c r="R21" s="25" t="s">
        <v>26</v>
      </c>
      <c r="S21" s="25"/>
      <c r="T21" s="28" t="str">
        <f aca="false">IF(OR(LEFT(W21,2)&lt;&gt;"A-",ISERROR(MATCH(W21,'🎓 Alumnas'!$A$2:$A$1000,0))),"",IF(COUNTIF($W$2:W21,W21)=1,"Nueva","Recurrente"))</f>
        <v>Nueva</v>
      </c>
      <c r="U21" s="28" t="str">
        <f aca="false">IF(OR(T21="",L21&lt;&gt;"Paquete"),"",COUNTIFS($W$2:W21,W21,$L$2:L21,"Paquete"))</f>
        <v/>
      </c>
      <c r="V21" s="25"/>
      <c r="W21" s="34" t="str">
        <f aca="false">IF(TRIM($C21)="","",IF(COUNTIF('🎓 Alumnas'!$P$2:$P$1000,TRIM($C21))&gt;0,INDEX('🎓 Alumnas'!$A$2:$A$1000,MATCH(TRIM($C21),'🎓 Alumnas'!$P$2:$P$1000,0)),IF(COUNTIF('🎓 Alumnas'!$O$2:$O$1000,TRIM($C21)&amp;"|*")=1,INDEX('🎓 Alumnas'!$A$2:$A$1000,MATCH(TRIM($C21)&amp;"|*",'🎓 Alumnas'!$O$2:$O$1000,0)),IF(COUNTIF('🎓 Alumnas'!$O$2:$O$1000,"*|"&amp;TRIM($C21))=1,INDEX('🎓 Alumnas'!$A$2:$A$1000,MATCH("*|"&amp;TRIM($C21),'🎓 Alumnas'!$O$2:$O$1000,0)),IF(COUNTIF('🎓 Alumnas'!$Q$2:$Q$1000,TRIM($C21))=1,INDEX('🎓 Alumnas'!$A$2:$A$1000,MATCH(TRIM($C21),'🎓 Alumnas'!$Q$2:$Q$1000,0)),IF(COUNTIF('🎓 Alumnas'!$P$2:$P$1000,"*"&amp;TRIM($C21)&amp;"*")=1,INDEX('🎓 Alumnas'!$A$2:$A$1000,MATCH("*"&amp;TRIM($C21)&amp;"*",'🎓 Alumnas'!$P$2:$P$1000,0)),IF(COUNTIF('🎓 Alumnas'!$Q$2:$Q$1000,"*"&amp;TRIM($C21)&amp;"*")=1,INDEX('🎓 Alumnas'!$A$2:$A$1000,MATCH("*"&amp;TRIM($C21)&amp;"*",'🎓 Alumnas'!$Q$2:$Q$1000,0)),IF(COUNTIF('🎓 Alumnas'!$P$2:$P$1000,"*"&amp;TRIM($C21)&amp;"*")+COUNTIF('🎓 Alumnas'!$Q$2:$Q$1000,"*"&amp;TRIM($C21)&amp;"*")&gt;1,"Varias: elige de la lista","No encontrada"))))))))</f>
        <v>A-018</v>
      </c>
    </row>
    <row r="22" customFormat="false" ht="14.25" hidden="false" customHeight="true" outlineLevel="0" collapsed="false">
      <c r="A22" s="25" t="s">
        <v>560</v>
      </c>
      <c r="B22" s="27" t="n">
        <v>46283</v>
      </c>
      <c r="C22" s="25" t="s">
        <v>561</v>
      </c>
      <c r="D22" s="34" t="str">
        <f aca="false">IF($W22="","",IFERROR(TRIM(INDEX('🎓 Alumnas'!$B$2:$B$1000,MATCH($W22,'🎓 Alumnas'!$A$2:$A$1000,0))),""))</f>
        <v>Lopez Salamanca</v>
      </c>
      <c r="E22" s="34" t="str">
        <f aca="false">IF($W22="","",IFERROR(TRIM(INDEX('🎓 Alumnas'!$C$2:$C$1000,MATCH($W22,'🎓 Alumnas'!$A$2:$A$1000,0))),""))</f>
        <v>Elizabeth</v>
      </c>
      <c r="F22" s="34" t="str">
        <f aca="false">IF($W22="","",IFERROR(IF(INDEX('🎓 Alumnas'!$D$2:$D$1000,MATCH($W22,'🎓 Alumnas'!$A$2:$A$1000,0))="","",INDEX('🎓 Alumnas'!$D$2:$D$1000,MATCH($W22,'🎓 Alumnas'!$A$2:$A$1000,0))),""))</f>
        <v>3197067161</v>
      </c>
      <c r="G22" s="28" t="str">
        <f aca="false">IF($W22="","",IFERROR(IF(INDEX('🎓 Alumnas'!$E$2:$E$1000,MATCH($W22,'🎓 Alumnas'!$A$2:$A$1000,0))="","",INDEX('🎓 Alumnas'!$E$2:$E$1000,MATCH($W22,'🎓 Alumnas'!$A$2:$A$1000,0))),""))</f>
        <v>elizabethlopez2698@gmail.com</v>
      </c>
      <c r="H22" s="28" t="str">
        <f aca="false">IF($W22="","",IFERROR(IF(INDEX('🎓 Alumnas'!$F$2:$F$1000,MATCH($W22,'🎓 Alumnas'!$A$2:$A$1000,0))="","",INDEX('🎓 Alumnas'!$F$2:$F$1000,MATCH($W22,'🎓 Alumnas'!$A$2:$A$1000,0))),""))</f>
        <v>Cra. 74f #76-88, Soacha, Bogotá, Colombia</v>
      </c>
      <c r="I22" s="30" t="n">
        <f aca="false">IF($W22="","",IFERROR(IF(INDEX('🎓 Alumnas'!$G$2:$G$1000,MATCH($W22,'🎓 Alumnas'!$A$2:$A$1000,0))="","",INDEX('🎓 Alumnas'!$G$2:$G$1000,MATCH($W22,'🎓 Alumnas'!$A$2:$A$1000,0))),""))</f>
        <v>29745</v>
      </c>
      <c r="J22" s="28" t="n">
        <f aca="true">IF(I22="","",DATEDIF(I22,TODAY(),"Y"))</f>
        <v>45</v>
      </c>
      <c r="K22" s="25" t="s">
        <v>559</v>
      </c>
      <c r="L22" s="28" t="str">
        <f aca="false">IF(K22="","",IF(LEFT(K22,6)="1 Pole","Alquiler",IF(LEFT(K22,7)="1 Clase","Clase suelta","Paquete")))</f>
        <v>Clase suelta</v>
      </c>
      <c r="M22" s="25"/>
      <c r="N22" s="25" t="n">
        <v>1</v>
      </c>
      <c r="O22" s="35" t="n">
        <v>50000</v>
      </c>
      <c r="P22" s="29" t="n">
        <f aca="false">IF(O22="","",N22*O22)</f>
        <v>50000</v>
      </c>
      <c r="Q22" s="36" t="n">
        <v>1</v>
      </c>
      <c r="R22" s="25" t="s">
        <v>26</v>
      </c>
      <c r="S22" s="25"/>
      <c r="T22" s="28" t="str">
        <f aca="false">IF(OR(LEFT(W22,2)&lt;&gt;"A-",ISERROR(MATCH(W22,'🎓 Alumnas'!$A$2:$A$1000,0))),"",IF(COUNTIF($W$2:W22,W22)=1,"Nueva","Recurrente"))</f>
        <v>Nueva</v>
      </c>
      <c r="U22" s="28" t="str">
        <f aca="false">IF(OR(T22="",L22&lt;&gt;"Paquete"),"",COUNTIFS($W$2:W22,W22,$L$2:L22,"Paquete"))</f>
        <v/>
      </c>
      <c r="V22" s="25"/>
      <c r="W22" s="34" t="str">
        <f aca="false">IF(TRIM($C22)="","",IF(COUNTIF('🎓 Alumnas'!$P$2:$P$1000,TRIM($C22))&gt;0,INDEX('🎓 Alumnas'!$A$2:$A$1000,MATCH(TRIM($C22),'🎓 Alumnas'!$P$2:$P$1000,0)),IF(COUNTIF('🎓 Alumnas'!$O$2:$O$1000,TRIM($C22)&amp;"|*")=1,INDEX('🎓 Alumnas'!$A$2:$A$1000,MATCH(TRIM($C22)&amp;"|*",'🎓 Alumnas'!$O$2:$O$1000,0)),IF(COUNTIF('🎓 Alumnas'!$O$2:$O$1000,"*|"&amp;TRIM($C22))=1,INDEX('🎓 Alumnas'!$A$2:$A$1000,MATCH("*|"&amp;TRIM($C22),'🎓 Alumnas'!$O$2:$O$1000,0)),IF(COUNTIF('🎓 Alumnas'!$Q$2:$Q$1000,TRIM($C22))=1,INDEX('🎓 Alumnas'!$A$2:$A$1000,MATCH(TRIM($C22),'🎓 Alumnas'!$Q$2:$Q$1000,0)),IF(COUNTIF('🎓 Alumnas'!$P$2:$P$1000,"*"&amp;TRIM($C22)&amp;"*")=1,INDEX('🎓 Alumnas'!$A$2:$A$1000,MATCH("*"&amp;TRIM($C22)&amp;"*",'🎓 Alumnas'!$P$2:$P$1000,0)),IF(COUNTIF('🎓 Alumnas'!$Q$2:$Q$1000,"*"&amp;TRIM($C22)&amp;"*")=1,INDEX('🎓 Alumnas'!$A$2:$A$1000,MATCH("*"&amp;TRIM($C22)&amp;"*",'🎓 Alumnas'!$Q$2:$Q$1000,0)),IF(COUNTIF('🎓 Alumnas'!$P$2:$P$1000,"*"&amp;TRIM($C22)&amp;"*")+COUNTIF('🎓 Alumnas'!$Q$2:$Q$1000,"*"&amp;TRIM($C22)&amp;"*")&gt;1,"Varias: elige de la lista","No encontrada"))))))))</f>
        <v>A-019</v>
      </c>
    </row>
    <row r="23" customFormat="false" ht="14.25" hidden="false" customHeight="true" outlineLevel="0" collapsed="false">
      <c r="A23" s="25" t="s">
        <v>562</v>
      </c>
      <c r="B23" s="27" t="n">
        <v>46286</v>
      </c>
      <c r="C23" s="25" t="s">
        <v>546</v>
      </c>
      <c r="D23" s="34" t="str">
        <f aca="false">IF($W23="","",IFERROR(TRIM(INDEX('🎓 Alumnas'!$B$2:$B$1000,MATCH($W23,'🎓 Alumnas'!$A$2:$A$1000,0))),""))</f>
        <v>Sierra</v>
      </c>
      <c r="E23" s="34" t="str">
        <f aca="false">IF($W23="","",IFERROR(TRIM(INDEX('🎓 Alumnas'!$C$2:$C$1000,MATCH($W23,'🎓 Alumnas'!$A$2:$A$1000,0))),""))</f>
        <v>Karol</v>
      </c>
      <c r="F23" s="34" t="str">
        <f aca="false">IF($W23="","",IFERROR(IF(INDEX('🎓 Alumnas'!$D$2:$D$1000,MATCH($W23,'🎓 Alumnas'!$A$2:$A$1000,0))="","",INDEX('🎓 Alumnas'!$D$2:$D$1000,MATCH($W23,'🎓 Alumnas'!$A$2:$A$1000,0))),""))</f>
        <v/>
      </c>
      <c r="G23" s="28" t="str">
        <f aca="false">IF($W23="","",IFERROR(IF(INDEX('🎓 Alumnas'!$E$2:$E$1000,MATCH($W23,'🎓 Alumnas'!$A$2:$A$1000,0))="","",INDEX('🎓 Alumnas'!$E$2:$E$1000,MATCH($W23,'🎓 Alumnas'!$A$2:$A$1000,0))),""))</f>
        <v/>
      </c>
      <c r="H23" s="28" t="str">
        <f aca="false">IF($W23="","",IFERROR(IF(INDEX('🎓 Alumnas'!$F$2:$F$1000,MATCH($W23,'🎓 Alumnas'!$A$2:$A$1000,0))="","",INDEX('🎓 Alumnas'!$F$2:$F$1000,MATCH($W23,'🎓 Alumnas'!$A$2:$A$1000,0))),""))</f>
        <v/>
      </c>
      <c r="I23" s="30" t="str">
        <f aca="false">IF($W23="","",IFERROR(IF(INDEX('🎓 Alumnas'!$G$2:$G$1000,MATCH($W23,'🎓 Alumnas'!$A$2:$A$1000,0))="","",INDEX('🎓 Alumnas'!$G$2:$G$1000,MATCH($W23,'🎓 Alumnas'!$A$2:$A$1000,0))),""))</f>
        <v/>
      </c>
      <c r="J23" s="28" t="str">
        <f aca="true">IF(I23="","",DATEDIF(I23,TODAY(),"Y"))</f>
        <v/>
      </c>
      <c r="K23" s="25" t="s">
        <v>532</v>
      </c>
      <c r="L23" s="28" t="str">
        <f aca="false">IF(K23="","",IF(LEFT(K23,6)="1 Pole","Alquiler",IF(LEFT(K23,7)="1 Clase","Clase suelta","Paquete")))</f>
        <v>Alquiler</v>
      </c>
      <c r="M23" s="25"/>
      <c r="N23" s="25" t="n">
        <v>2</v>
      </c>
      <c r="O23" s="35" t="n">
        <v>22000</v>
      </c>
      <c r="P23" s="29" t="n">
        <f aca="false">IF(O23="","",N23*O23)</f>
        <v>44000</v>
      </c>
      <c r="Q23" s="36" t="n">
        <v>1</v>
      </c>
      <c r="R23" s="25" t="s">
        <v>32</v>
      </c>
      <c r="S23" s="25"/>
      <c r="T23" s="28" t="str">
        <f aca="false">IF(OR(LEFT(W23,2)&lt;&gt;"A-",ISERROR(MATCH(W23,'🎓 Alumnas'!$A$2:$A$1000,0))),"",IF(COUNTIF($W$2:W23,W23)=1,"Nueva","Recurrente"))</f>
        <v>Recurrente</v>
      </c>
      <c r="U23" s="28" t="str">
        <f aca="false">IF(OR(T23="",L23&lt;&gt;"Paquete"),"",COUNTIFS($W$2:W23,W23,$L$2:L23,"Paquete"))</f>
        <v/>
      </c>
      <c r="V23" s="25"/>
      <c r="W23" s="34" t="str">
        <f aca="false">IF(TRIM($C23)="","",IF(COUNTIF('🎓 Alumnas'!$P$2:$P$1000,TRIM($C23))&gt;0,INDEX('🎓 Alumnas'!$A$2:$A$1000,MATCH(TRIM($C23),'🎓 Alumnas'!$P$2:$P$1000,0)),IF(COUNTIF('🎓 Alumnas'!$O$2:$O$1000,TRIM($C23)&amp;"|*")=1,INDEX('🎓 Alumnas'!$A$2:$A$1000,MATCH(TRIM($C23)&amp;"|*",'🎓 Alumnas'!$O$2:$O$1000,0)),IF(COUNTIF('🎓 Alumnas'!$O$2:$O$1000,"*|"&amp;TRIM($C23))=1,INDEX('🎓 Alumnas'!$A$2:$A$1000,MATCH("*|"&amp;TRIM($C23),'🎓 Alumnas'!$O$2:$O$1000,0)),IF(COUNTIF('🎓 Alumnas'!$Q$2:$Q$1000,TRIM($C23))=1,INDEX('🎓 Alumnas'!$A$2:$A$1000,MATCH(TRIM($C23),'🎓 Alumnas'!$Q$2:$Q$1000,0)),IF(COUNTIF('🎓 Alumnas'!$P$2:$P$1000,"*"&amp;TRIM($C23)&amp;"*")=1,INDEX('🎓 Alumnas'!$A$2:$A$1000,MATCH("*"&amp;TRIM($C23)&amp;"*",'🎓 Alumnas'!$P$2:$P$1000,0)),IF(COUNTIF('🎓 Alumnas'!$Q$2:$Q$1000,"*"&amp;TRIM($C23)&amp;"*")=1,INDEX('🎓 Alumnas'!$A$2:$A$1000,MATCH("*"&amp;TRIM($C23)&amp;"*",'🎓 Alumnas'!$Q$2:$Q$1000,0)),IF(COUNTIF('🎓 Alumnas'!$P$2:$P$1000,"*"&amp;TRIM($C23)&amp;"*")+COUNTIF('🎓 Alumnas'!$Q$2:$Q$1000,"*"&amp;TRIM($C23)&amp;"*")&gt;1,"Varias: elige de la lista","No encontrada"))))))))</f>
        <v>A-013</v>
      </c>
    </row>
    <row r="24" customFormat="false" ht="14.25" hidden="false" customHeight="true" outlineLevel="0" collapsed="false">
      <c r="A24" s="25" t="s">
        <v>563</v>
      </c>
      <c r="B24" s="27" t="n">
        <v>46287</v>
      </c>
      <c r="C24" s="25" t="s">
        <v>564</v>
      </c>
      <c r="D24" s="34" t="str">
        <f aca="false">IF($W24="","",IFERROR(TRIM(INDEX('🎓 Alumnas'!$B$2:$B$1000,MATCH($W24,'🎓 Alumnas'!$A$2:$A$1000,0))),""))</f>
        <v>Pinzón Ayala</v>
      </c>
      <c r="E24" s="34" t="str">
        <f aca="false">IF($W24="","",IFERROR(TRIM(INDEX('🎓 Alumnas'!$C$2:$C$1000,MATCH($W24,'🎓 Alumnas'!$A$2:$A$1000,0))),""))</f>
        <v>Paula Andrea</v>
      </c>
      <c r="F24" s="34" t="str">
        <f aca="false">IF($W24="","",IFERROR(IF(INDEX('🎓 Alumnas'!$D$2:$D$1000,MATCH($W24,'🎓 Alumnas'!$A$2:$A$1000,0))="","",INDEX('🎓 Alumnas'!$D$2:$D$1000,MATCH($W24,'🎓 Alumnas'!$A$2:$A$1000,0))),""))</f>
        <v>3045662127</v>
      </c>
      <c r="G24" s="28" t="str">
        <f aca="false">IF($W24="","",IFERROR(IF(INDEX('🎓 Alumnas'!$E$2:$E$1000,MATCH($W24,'🎓 Alumnas'!$A$2:$A$1000,0))="","",INDEX('🎓 Alumnas'!$E$2:$E$1000,MATCH($W24,'🎓 Alumnas'!$A$2:$A$1000,0))),""))</f>
        <v>paulitaandrea333@gmail.com</v>
      </c>
      <c r="H24" s="28" t="str">
        <f aca="false">IF($W24="","",IFERROR(IF(INDEX('🎓 Alumnas'!$F$2:$F$1000,MATCH($W24,'🎓 Alumnas'!$A$2:$A$1000,0))="","",INDEX('🎓 Alumnas'!$F$2:$F$1000,MATCH($W24,'🎓 Alumnas'!$A$2:$A$1000,0))),""))</f>
        <v>Cra. 99a #26-27 SUR, Bogotá, Colombia</v>
      </c>
      <c r="I24" s="30" t="n">
        <f aca="false">IF($W24="","",IFERROR(IF(INDEX('🎓 Alumnas'!$G$2:$G$1000,MATCH($W24,'🎓 Alumnas'!$A$2:$A$1000,0))="","",INDEX('🎓 Alumnas'!$G$2:$G$1000,MATCH($W24,'🎓 Alumnas'!$A$2:$A$1000,0))),""))</f>
        <v>38020</v>
      </c>
      <c r="J24" s="28" t="n">
        <f aca="true">IF(I24="","",DATEDIF(I24,TODAY(),"Y"))</f>
        <v>22</v>
      </c>
      <c r="K24" s="25" t="s">
        <v>559</v>
      </c>
      <c r="L24" s="28" t="str">
        <f aca="false">IF(K24="","",IF(LEFT(K24,6)="1 Pole","Alquiler",IF(LEFT(K24,7)="1 Clase","Clase suelta","Paquete")))</f>
        <v>Clase suelta</v>
      </c>
      <c r="M24" s="25"/>
      <c r="N24" s="25" t="n">
        <v>1</v>
      </c>
      <c r="O24" s="35" t="n">
        <v>50000</v>
      </c>
      <c r="P24" s="29" t="n">
        <f aca="false">IF(O24="","",N24*O24)</f>
        <v>50000</v>
      </c>
      <c r="Q24" s="36" t="n">
        <v>1</v>
      </c>
      <c r="R24" s="25" t="s">
        <v>32</v>
      </c>
      <c r="S24" s="25"/>
      <c r="T24" s="28" t="str">
        <f aca="false">IF(OR(LEFT(W24,2)&lt;&gt;"A-",ISERROR(MATCH(W24,'🎓 Alumnas'!$A$2:$A$1000,0))),"",IF(COUNTIF($W$2:W24,W24)=1,"Nueva","Recurrente"))</f>
        <v>Nueva</v>
      </c>
      <c r="U24" s="28" t="str">
        <f aca="false">IF(OR(T24="",L24&lt;&gt;"Paquete"),"",COUNTIFS($W$2:W24,W24,$L$2:L24,"Paquete"))</f>
        <v/>
      </c>
      <c r="V24" s="25"/>
      <c r="W24" s="34" t="str">
        <f aca="false">IF(TRIM($C24)="","",IF(COUNTIF('🎓 Alumnas'!$P$2:$P$1000,TRIM($C24))&gt;0,INDEX('🎓 Alumnas'!$A$2:$A$1000,MATCH(TRIM($C24),'🎓 Alumnas'!$P$2:$P$1000,0)),IF(COUNTIF('🎓 Alumnas'!$O$2:$O$1000,TRIM($C24)&amp;"|*")=1,INDEX('🎓 Alumnas'!$A$2:$A$1000,MATCH(TRIM($C24)&amp;"|*",'🎓 Alumnas'!$O$2:$O$1000,0)),IF(COUNTIF('🎓 Alumnas'!$O$2:$O$1000,"*|"&amp;TRIM($C24))=1,INDEX('🎓 Alumnas'!$A$2:$A$1000,MATCH("*|"&amp;TRIM($C24),'🎓 Alumnas'!$O$2:$O$1000,0)),IF(COUNTIF('🎓 Alumnas'!$Q$2:$Q$1000,TRIM($C24))=1,INDEX('🎓 Alumnas'!$A$2:$A$1000,MATCH(TRIM($C24),'🎓 Alumnas'!$Q$2:$Q$1000,0)),IF(COUNTIF('🎓 Alumnas'!$P$2:$P$1000,"*"&amp;TRIM($C24)&amp;"*")=1,INDEX('🎓 Alumnas'!$A$2:$A$1000,MATCH("*"&amp;TRIM($C24)&amp;"*",'🎓 Alumnas'!$P$2:$P$1000,0)),IF(COUNTIF('🎓 Alumnas'!$Q$2:$Q$1000,"*"&amp;TRIM($C24)&amp;"*")=1,INDEX('🎓 Alumnas'!$A$2:$A$1000,MATCH("*"&amp;TRIM($C24)&amp;"*",'🎓 Alumnas'!$Q$2:$Q$1000,0)),IF(COUNTIF('🎓 Alumnas'!$P$2:$P$1000,"*"&amp;TRIM($C24)&amp;"*")+COUNTIF('🎓 Alumnas'!$Q$2:$Q$1000,"*"&amp;TRIM($C24)&amp;"*")&gt;1,"Varias: elige de la lista","No encontrada"))))))))</f>
        <v>A-020</v>
      </c>
    </row>
    <row r="25" customFormat="false" ht="14.25" hidden="false" customHeight="true" outlineLevel="0" collapsed="false">
      <c r="A25" s="25" t="s">
        <v>565</v>
      </c>
      <c r="B25" s="27" t="n">
        <v>46291</v>
      </c>
      <c r="C25" s="25" t="s">
        <v>566</v>
      </c>
      <c r="D25" s="34" t="str">
        <f aca="false">IF($W25="","",IFERROR(TRIM(INDEX('🎓 Alumnas'!$B$2:$B$1000,MATCH($W25,'🎓 Alumnas'!$A$2:$A$1000,0))),""))</f>
        <v>García Sanabria</v>
      </c>
      <c r="E25" s="34" t="str">
        <f aca="false">IF($W25="","",IFERROR(TRIM(INDEX('🎓 Alumnas'!$C$2:$C$1000,MATCH($W25,'🎓 Alumnas'!$A$2:$A$1000,0))),""))</f>
        <v>Marcela</v>
      </c>
      <c r="F25" s="34" t="str">
        <f aca="false">IF($W25="","",IFERROR(IF(INDEX('🎓 Alumnas'!$D$2:$D$1000,MATCH($W25,'🎓 Alumnas'!$A$2:$A$1000,0))="","",INDEX('🎓 Alumnas'!$D$2:$D$1000,MATCH($W25,'🎓 Alumnas'!$A$2:$A$1000,0))),""))</f>
        <v>3102674123</v>
      </c>
      <c r="G25" s="28" t="str">
        <f aca="false">IF($W25="","",IFERROR(IF(INDEX('🎓 Alumnas'!$E$2:$E$1000,MATCH($W25,'🎓 Alumnas'!$A$2:$A$1000,0))="","",INDEX('🎓 Alumnas'!$E$2:$E$1000,MATCH($W25,'🎓 Alumnas'!$A$2:$A$1000,0))),""))</f>
        <v>laumargs@hotmail.com</v>
      </c>
      <c r="H25" s="28" t="str">
        <f aca="false">IF($W25="","",IFERROR(IF(INDEX('🎓 Alumnas'!$F$2:$F$1000,MATCH($W25,'🎓 Alumnas'!$A$2:$A$1000,0))="","",INDEX('🎓 Alumnas'!$F$2:$F$1000,MATCH($W25,'🎓 Alumnas'!$A$2:$A$1000,0))),""))</f>
        <v>Cra. 68m #38d Sur-17, Bogotá, Colombia</v>
      </c>
      <c r="I25" s="30" t="n">
        <f aca="false">IF($W25="","",IFERROR(IF(INDEX('🎓 Alumnas'!$G$2:$G$1000,MATCH($W25,'🎓 Alumnas'!$A$2:$A$1000,0))="","",INDEX('🎓 Alumnas'!$G$2:$G$1000,MATCH($W25,'🎓 Alumnas'!$A$2:$A$1000,0))),""))</f>
        <v>37473</v>
      </c>
      <c r="J25" s="28" t="n">
        <f aca="true">IF(I25="","",DATEDIF(I25,TODAY(),"Y"))</f>
        <v>24</v>
      </c>
      <c r="K25" s="25" t="s">
        <v>520</v>
      </c>
      <c r="L25" s="28" t="str">
        <f aca="false">IF(K25="","",IF(LEFT(K25,6)="1 Pole","Alquiler",IF(LEFT(K25,7)="1 Clase","Clase suelta","Paquete")))</f>
        <v>Paquete</v>
      </c>
      <c r="M25" s="25"/>
      <c r="N25" s="25" t="n">
        <v>1</v>
      </c>
      <c r="O25" s="35" t="n">
        <v>350000</v>
      </c>
      <c r="P25" s="29" t="n">
        <f aca="false">IF(O25="","",N25*O25)</f>
        <v>350000</v>
      </c>
      <c r="Q25" s="36" t="n">
        <v>1</v>
      </c>
      <c r="R25" s="25" t="s">
        <v>26</v>
      </c>
      <c r="S25" s="25"/>
      <c r="T25" s="28" t="str">
        <f aca="false">IF(OR(LEFT(W25,2)&lt;&gt;"A-",ISERROR(MATCH(W25,'🎓 Alumnas'!$A$2:$A$1000,0))),"",IF(COUNTIF($W$2:W25,W25)=1,"Nueva","Recurrente"))</f>
        <v>Nueva</v>
      </c>
      <c r="U25" s="28" t="n">
        <f aca="false">IF(OR(T25="",L25&lt;&gt;"Paquete"),"",COUNTIFS($W$2:W25,W25,$L$2:L25,"Paquete"))</f>
        <v>1</v>
      </c>
      <c r="V25" s="25"/>
      <c r="W25" s="34" t="str">
        <f aca="false">IF(TRIM($C25)="","",IF(COUNTIF('🎓 Alumnas'!$P$2:$P$1000,TRIM($C25))&gt;0,INDEX('🎓 Alumnas'!$A$2:$A$1000,MATCH(TRIM($C25),'🎓 Alumnas'!$P$2:$P$1000,0)),IF(COUNTIF('🎓 Alumnas'!$O$2:$O$1000,TRIM($C25)&amp;"|*")=1,INDEX('🎓 Alumnas'!$A$2:$A$1000,MATCH(TRIM($C25)&amp;"|*",'🎓 Alumnas'!$O$2:$O$1000,0)),IF(COUNTIF('🎓 Alumnas'!$O$2:$O$1000,"*|"&amp;TRIM($C25))=1,INDEX('🎓 Alumnas'!$A$2:$A$1000,MATCH("*|"&amp;TRIM($C25),'🎓 Alumnas'!$O$2:$O$1000,0)),IF(COUNTIF('🎓 Alumnas'!$Q$2:$Q$1000,TRIM($C25))=1,INDEX('🎓 Alumnas'!$A$2:$A$1000,MATCH(TRIM($C25),'🎓 Alumnas'!$Q$2:$Q$1000,0)),IF(COUNTIF('🎓 Alumnas'!$P$2:$P$1000,"*"&amp;TRIM($C25)&amp;"*")=1,INDEX('🎓 Alumnas'!$A$2:$A$1000,MATCH("*"&amp;TRIM($C25)&amp;"*",'🎓 Alumnas'!$P$2:$P$1000,0)),IF(COUNTIF('🎓 Alumnas'!$Q$2:$Q$1000,"*"&amp;TRIM($C25)&amp;"*")=1,INDEX('🎓 Alumnas'!$A$2:$A$1000,MATCH("*"&amp;TRIM($C25)&amp;"*",'🎓 Alumnas'!$Q$2:$Q$1000,0)),IF(COUNTIF('🎓 Alumnas'!$P$2:$P$1000,"*"&amp;TRIM($C25)&amp;"*")+COUNTIF('🎓 Alumnas'!$Q$2:$Q$1000,"*"&amp;TRIM($C25)&amp;"*")&gt;1,"Varias: elige de la lista","No encontrada"))))))))</f>
        <v>A-021</v>
      </c>
    </row>
    <row r="26" customFormat="false" ht="14.25" hidden="false" customHeight="true" outlineLevel="0" collapsed="false">
      <c r="A26" s="25" t="s">
        <v>567</v>
      </c>
      <c r="B26" s="27" t="n">
        <v>46291</v>
      </c>
      <c r="C26" s="25" t="s">
        <v>564</v>
      </c>
      <c r="D26" s="34" t="str">
        <f aca="false">IF($W26="","",IFERROR(TRIM(INDEX('🎓 Alumnas'!$B$2:$B$1000,MATCH($W26,'🎓 Alumnas'!$A$2:$A$1000,0))),""))</f>
        <v>Pinzón Ayala</v>
      </c>
      <c r="E26" s="34" t="str">
        <f aca="false">IF($W26="","",IFERROR(TRIM(INDEX('🎓 Alumnas'!$C$2:$C$1000,MATCH($W26,'🎓 Alumnas'!$A$2:$A$1000,0))),""))</f>
        <v>Paula Andrea</v>
      </c>
      <c r="F26" s="34" t="str">
        <f aca="false">IF($W26="","",IFERROR(IF(INDEX('🎓 Alumnas'!$D$2:$D$1000,MATCH($W26,'🎓 Alumnas'!$A$2:$A$1000,0))="","",INDEX('🎓 Alumnas'!$D$2:$D$1000,MATCH($W26,'🎓 Alumnas'!$A$2:$A$1000,0))),""))</f>
        <v>3045662127</v>
      </c>
      <c r="G26" s="28" t="str">
        <f aca="false">IF($W26="","",IFERROR(IF(INDEX('🎓 Alumnas'!$E$2:$E$1000,MATCH($W26,'🎓 Alumnas'!$A$2:$A$1000,0))="","",INDEX('🎓 Alumnas'!$E$2:$E$1000,MATCH($W26,'🎓 Alumnas'!$A$2:$A$1000,0))),""))</f>
        <v>paulitaandrea333@gmail.com</v>
      </c>
      <c r="H26" s="28" t="str">
        <f aca="false">IF($W26="","",IFERROR(IF(INDEX('🎓 Alumnas'!$F$2:$F$1000,MATCH($W26,'🎓 Alumnas'!$A$2:$A$1000,0))="","",INDEX('🎓 Alumnas'!$F$2:$F$1000,MATCH($W26,'🎓 Alumnas'!$A$2:$A$1000,0))),""))</f>
        <v>Cra. 99a #26-27 SUR, Bogotá, Colombia</v>
      </c>
      <c r="I26" s="30" t="n">
        <f aca="false">IF($W26="","",IFERROR(IF(INDEX('🎓 Alumnas'!$G$2:$G$1000,MATCH($W26,'🎓 Alumnas'!$A$2:$A$1000,0))="","",INDEX('🎓 Alumnas'!$G$2:$G$1000,MATCH($W26,'🎓 Alumnas'!$A$2:$A$1000,0))),""))</f>
        <v>38020</v>
      </c>
      <c r="J26" s="28" t="n">
        <f aca="true">IF(I26="","",DATEDIF(I26,TODAY(),"Y"))</f>
        <v>22</v>
      </c>
      <c r="K26" s="25" t="s">
        <v>516</v>
      </c>
      <c r="L26" s="28" t="str">
        <f aca="false">IF(K26="","",IF(LEFT(K26,6)="1 Pole","Alquiler",IF(LEFT(K26,7)="1 Clase","Clase suelta","Paquete")))</f>
        <v>Paquete</v>
      </c>
      <c r="M26" s="25"/>
      <c r="N26" s="25" t="n">
        <v>1</v>
      </c>
      <c r="O26" s="35" t="n">
        <v>150000</v>
      </c>
      <c r="P26" s="29" t="n">
        <f aca="false">IF(O26="","",N26*O26)</f>
        <v>150000</v>
      </c>
      <c r="Q26" s="36" t="n">
        <v>1</v>
      </c>
      <c r="R26" s="25" t="s">
        <v>32</v>
      </c>
      <c r="S26" s="25"/>
      <c r="T26" s="28" t="str">
        <f aca="false">IF(OR(LEFT(W26,2)&lt;&gt;"A-",ISERROR(MATCH(W26,'🎓 Alumnas'!$A$2:$A$1000,0))),"",IF(COUNTIF($W$2:W26,W26)=1,"Nueva","Recurrente"))</f>
        <v>Recurrente</v>
      </c>
      <c r="U26" s="28" t="n">
        <f aca="false">IF(OR(T26="",L26&lt;&gt;"Paquete"),"",COUNTIFS($W$2:W26,W26,$L$2:L26,"Paquete"))</f>
        <v>1</v>
      </c>
      <c r="V26" s="25"/>
      <c r="W26" s="34" t="str">
        <f aca="false">IF(TRIM($C26)="","",IF(COUNTIF('🎓 Alumnas'!$P$2:$P$1000,TRIM($C26))&gt;0,INDEX('🎓 Alumnas'!$A$2:$A$1000,MATCH(TRIM($C26),'🎓 Alumnas'!$P$2:$P$1000,0)),IF(COUNTIF('🎓 Alumnas'!$O$2:$O$1000,TRIM($C26)&amp;"|*")=1,INDEX('🎓 Alumnas'!$A$2:$A$1000,MATCH(TRIM($C26)&amp;"|*",'🎓 Alumnas'!$O$2:$O$1000,0)),IF(COUNTIF('🎓 Alumnas'!$O$2:$O$1000,"*|"&amp;TRIM($C26))=1,INDEX('🎓 Alumnas'!$A$2:$A$1000,MATCH("*|"&amp;TRIM($C26),'🎓 Alumnas'!$O$2:$O$1000,0)),IF(COUNTIF('🎓 Alumnas'!$Q$2:$Q$1000,TRIM($C26))=1,INDEX('🎓 Alumnas'!$A$2:$A$1000,MATCH(TRIM($C26),'🎓 Alumnas'!$Q$2:$Q$1000,0)),IF(COUNTIF('🎓 Alumnas'!$P$2:$P$1000,"*"&amp;TRIM($C26)&amp;"*")=1,INDEX('🎓 Alumnas'!$A$2:$A$1000,MATCH("*"&amp;TRIM($C26)&amp;"*",'🎓 Alumnas'!$P$2:$P$1000,0)),IF(COUNTIF('🎓 Alumnas'!$Q$2:$Q$1000,"*"&amp;TRIM($C26)&amp;"*")=1,INDEX('🎓 Alumnas'!$A$2:$A$1000,MATCH("*"&amp;TRIM($C26)&amp;"*",'🎓 Alumnas'!$Q$2:$Q$1000,0)),IF(COUNTIF('🎓 Alumnas'!$P$2:$P$1000,"*"&amp;TRIM($C26)&amp;"*")+COUNTIF('🎓 Alumnas'!$Q$2:$Q$1000,"*"&amp;TRIM($C26)&amp;"*")&gt;1,"Varias: elige de la lista","No encontrada"))))))))</f>
        <v>A-020</v>
      </c>
    </row>
    <row r="27" customFormat="false" ht="14.25" hidden="false" customHeight="true" outlineLevel="0" collapsed="false">
      <c r="A27" s="25" t="s">
        <v>568</v>
      </c>
      <c r="B27" s="27" t="n">
        <v>46293</v>
      </c>
      <c r="C27" s="25" t="s">
        <v>515</v>
      </c>
      <c r="D27" s="34" t="str">
        <f aca="false">IF($W27="","",IFERROR(TRIM(INDEX('🎓 Alumnas'!$B$2:$B$1000,MATCH($W27,'🎓 Alumnas'!$A$2:$A$1000,0))),""))</f>
        <v>López Galván</v>
      </c>
      <c r="E27" s="34" t="str">
        <f aca="false">IF($W27="","",IFERROR(TRIM(INDEX('🎓 Alumnas'!$C$2:$C$1000,MATCH($W27,'🎓 Alumnas'!$A$2:$A$1000,0))),""))</f>
        <v>Ana Carolina</v>
      </c>
      <c r="F27" s="34" t="str">
        <f aca="false">IF($W27="","",IFERROR(IF(INDEX('🎓 Alumnas'!$D$2:$D$1000,MATCH($W27,'🎓 Alumnas'!$A$2:$A$1000,0))="","",INDEX('🎓 Alumnas'!$D$2:$D$1000,MATCH($W27,'🎓 Alumnas'!$A$2:$A$1000,0))),""))</f>
        <v>3229015452</v>
      </c>
      <c r="G27" s="28" t="str">
        <f aca="false">IF($W27="","",IFERROR(IF(INDEX('🎓 Alumnas'!$E$2:$E$1000,MATCH($W27,'🎓 Alumnas'!$A$2:$A$1000,0))="","",INDEX('🎓 Alumnas'!$E$2:$E$1000,MATCH($W27,'🎓 Alumnas'!$A$2:$A$1000,0))),""))</f>
        <v>anacaloga88@gmail.com</v>
      </c>
      <c r="H27" s="28" t="str">
        <f aca="false">IF($W27="","",IFERROR(IF(INDEX('🎓 Alumnas'!$F$2:$F$1000,MATCH($W27,'🎓 Alumnas'!$A$2:$A$1000,0))="","",INDEX('🎓 Alumnas'!$F$2:$F$1000,MATCH($W27,'🎓 Alumnas'!$A$2:$A$1000,0))),""))</f>
        <v>Cra. 79a # 16F-8, Fontibón, Bogotá, D.C., Bogotá, Bogotá, D.C., Colombia</v>
      </c>
      <c r="I27" s="30" t="n">
        <f aca="false">IF($W27="","",IFERROR(IF(INDEX('🎓 Alumnas'!$G$2:$G$1000,MATCH($W27,'🎓 Alumnas'!$A$2:$A$1000,0))="","",INDEX('🎓 Alumnas'!$G$2:$G$1000,MATCH($W27,'🎓 Alumnas'!$A$2:$A$1000,0))),""))</f>
        <v>32232</v>
      </c>
      <c r="J27" s="28" t="n">
        <f aca="true">IF(I27="","",DATEDIF(I27,TODAY(),"Y"))</f>
        <v>38</v>
      </c>
      <c r="K27" s="25" t="s">
        <v>524</v>
      </c>
      <c r="L27" s="28" t="str">
        <f aca="false">IF(K27="","",IF(LEFT(K27,6)="1 Pole","Alquiler",IF(LEFT(K27,7)="1 Clase","Clase suelta","Paquete")))</f>
        <v>Paquete</v>
      </c>
      <c r="M27" s="25" t="s">
        <v>525</v>
      </c>
      <c r="N27" s="25" t="n">
        <v>1</v>
      </c>
      <c r="O27" s="35" t="n">
        <v>240000</v>
      </c>
      <c r="P27" s="29" t="n">
        <f aca="false">IF(O27="","",N27*O27)</f>
        <v>240000</v>
      </c>
      <c r="Q27" s="36" t="n">
        <v>0.5</v>
      </c>
      <c r="R27" s="25" t="s">
        <v>32</v>
      </c>
      <c r="S27" s="25"/>
      <c r="T27" s="28" t="str">
        <f aca="false">IF(OR(LEFT(W27,2)&lt;&gt;"A-",ISERROR(MATCH(W27,'🎓 Alumnas'!$A$2:$A$1000,0))),"",IF(COUNTIF($W$2:W27,W27)=1,"Nueva","Recurrente"))</f>
        <v>Recurrente</v>
      </c>
      <c r="U27" s="28" t="n">
        <f aca="false">IF(OR(T27="",L27&lt;&gt;"Paquete"),"",COUNTIFS($W$2:W27,W27,$L$2:L27,"Paquete"))</f>
        <v>2</v>
      </c>
      <c r="V27" s="25"/>
      <c r="W27" s="34" t="str">
        <f aca="false">IF(TRIM($C27)="","",IF(COUNTIF('🎓 Alumnas'!$P$2:$P$1000,TRIM($C27))&gt;0,INDEX('🎓 Alumnas'!$A$2:$A$1000,MATCH(TRIM($C27),'🎓 Alumnas'!$P$2:$P$1000,0)),IF(COUNTIF('🎓 Alumnas'!$O$2:$O$1000,TRIM($C27)&amp;"|*")=1,INDEX('🎓 Alumnas'!$A$2:$A$1000,MATCH(TRIM($C27)&amp;"|*",'🎓 Alumnas'!$O$2:$O$1000,0)),IF(COUNTIF('🎓 Alumnas'!$O$2:$O$1000,"*|"&amp;TRIM($C27))=1,INDEX('🎓 Alumnas'!$A$2:$A$1000,MATCH("*|"&amp;TRIM($C27),'🎓 Alumnas'!$O$2:$O$1000,0)),IF(COUNTIF('🎓 Alumnas'!$Q$2:$Q$1000,TRIM($C27))=1,INDEX('🎓 Alumnas'!$A$2:$A$1000,MATCH(TRIM($C27),'🎓 Alumnas'!$Q$2:$Q$1000,0)),IF(COUNTIF('🎓 Alumnas'!$P$2:$P$1000,"*"&amp;TRIM($C27)&amp;"*")=1,INDEX('🎓 Alumnas'!$A$2:$A$1000,MATCH("*"&amp;TRIM($C27)&amp;"*",'🎓 Alumnas'!$P$2:$P$1000,0)),IF(COUNTIF('🎓 Alumnas'!$Q$2:$Q$1000,"*"&amp;TRIM($C27)&amp;"*")=1,INDEX('🎓 Alumnas'!$A$2:$A$1000,MATCH("*"&amp;TRIM($C27)&amp;"*",'🎓 Alumnas'!$Q$2:$Q$1000,0)),IF(COUNTIF('🎓 Alumnas'!$P$2:$P$1000,"*"&amp;TRIM($C27)&amp;"*")+COUNTIF('🎓 Alumnas'!$Q$2:$Q$1000,"*"&amp;TRIM($C27)&amp;"*")&gt;1,"Varias: elige de la lista","No encontrada"))))))))</f>
        <v>A-001</v>
      </c>
    </row>
    <row r="28" customFormat="false" ht="14.25" hidden="false" customHeight="true" outlineLevel="0" collapsed="false">
      <c r="A28" s="25" t="s">
        <v>569</v>
      </c>
      <c r="B28" s="27" t="n">
        <v>46293</v>
      </c>
      <c r="C28" s="25" t="s">
        <v>546</v>
      </c>
      <c r="D28" s="34" t="str">
        <f aca="false">IF($W28="","",IFERROR(TRIM(INDEX('🎓 Alumnas'!$B$2:$B$1000,MATCH($W28,'🎓 Alumnas'!$A$2:$A$1000,0))),""))</f>
        <v>Sierra</v>
      </c>
      <c r="E28" s="34" t="str">
        <f aca="false">IF($W28="","",IFERROR(TRIM(INDEX('🎓 Alumnas'!$C$2:$C$1000,MATCH($W28,'🎓 Alumnas'!$A$2:$A$1000,0))),""))</f>
        <v>Karol</v>
      </c>
      <c r="F28" s="34" t="str">
        <f aca="false">IF($W28="","",IFERROR(IF(INDEX('🎓 Alumnas'!$D$2:$D$1000,MATCH($W28,'🎓 Alumnas'!$A$2:$A$1000,0))="","",INDEX('🎓 Alumnas'!$D$2:$D$1000,MATCH($W28,'🎓 Alumnas'!$A$2:$A$1000,0))),""))</f>
        <v/>
      </c>
      <c r="G28" s="28" t="str">
        <f aca="false">IF($W28="","",IFERROR(IF(INDEX('🎓 Alumnas'!$E$2:$E$1000,MATCH($W28,'🎓 Alumnas'!$A$2:$A$1000,0))="","",INDEX('🎓 Alumnas'!$E$2:$E$1000,MATCH($W28,'🎓 Alumnas'!$A$2:$A$1000,0))),""))</f>
        <v/>
      </c>
      <c r="H28" s="28" t="str">
        <f aca="false">IF($W28="","",IFERROR(IF(INDEX('🎓 Alumnas'!$F$2:$F$1000,MATCH($W28,'🎓 Alumnas'!$A$2:$A$1000,0))="","",INDEX('🎓 Alumnas'!$F$2:$F$1000,MATCH($W28,'🎓 Alumnas'!$A$2:$A$1000,0))),""))</f>
        <v/>
      </c>
      <c r="I28" s="30" t="str">
        <f aca="false">IF($W28="","",IFERROR(IF(INDEX('🎓 Alumnas'!$G$2:$G$1000,MATCH($W28,'🎓 Alumnas'!$A$2:$A$1000,0))="","",INDEX('🎓 Alumnas'!$G$2:$G$1000,MATCH($W28,'🎓 Alumnas'!$A$2:$A$1000,0))),""))</f>
        <v/>
      </c>
      <c r="J28" s="28" t="str">
        <f aca="true">IF(I28="","",DATEDIF(I28,TODAY(),"Y"))</f>
        <v/>
      </c>
      <c r="K28" s="25" t="s">
        <v>532</v>
      </c>
      <c r="L28" s="28" t="str">
        <f aca="false">IF(K28="","",IF(LEFT(K28,6)="1 Pole","Alquiler",IF(LEFT(K28,7)="1 Clase","Clase suelta","Paquete")))</f>
        <v>Alquiler</v>
      </c>
      <c r="M28" s="25"/>
      <c r="N28" s="25" t="n">
        <v>1</v>
      </c>
      <c r="O28" s="35" t="n">
        <v>22000</v>
      </c>
      <c r="P28" s="29" t="n">
        <f aca="false">IF(O28="","",N28*O28)</f>
        <v>22000</v>
      </c>
      <c r="Q28" s="36" t="n">
        <v>1</v>
      </c>
      <c r="R28" s="25" t="s">
        <v>26</v>
      </c>
      <c r="S28" s="25"/>
      <c r="T28" s="28" t="str">
        <f aca="false">IF(OR(LEFT(W28,2)&lt;&gt;"A-",ISERROR(MATCH(W28,'🎓 Alumnas'!$A$2:$A$1000,0))),"",IF(COUNTIF($W$2:W28,W28)=1,"Nueva","Recurrente"))</f>
        <v>Recurrente</v>
      </c>
      <c r="U28" s="28" t="str">
        <f aca="false">IF(OR(T28="",L28&lt;&gt;"Paquete"),"",COUNTIFS($W$2:W28,W28,$L$2:L28,"Paquete"))</f>
        <v/>
      </c>
      <c r="V28" s="25"/>
      <c r="W28" s="34" t="str">
        <f aca="false">IF(TRIM($C28)="","",IF(COUNTIF('🎓 Alumnas'!$P$2:$P$1000,TRIM($C28))&gt;0,INDEX('🎓 Alumnas'!$A$2:$A$1000,MATCH(TRIM($C28),'🎓 Alumnas'!$P$2:$P$1000,0)),IF(COUNTIF('🎓 Alumnas'!$O$2:$O$1000,TRIM($C28)&amp;"|*")=1,INDEX('🎓 Alumnas'!$A$2:$A$1000,MATCH(TRIM($C28)&amp;"|*",'🎓 Alumnas'!$O$2:$O$1000,0)),IF(COUNTIF('🎓 Alumnas'!$O$2:$O$1000,"*|"&amp;TRIM($C28))=1,INDEX('🎓 Alumnas'!$A$2:$A$1000,MATCH("*|"&amp;TRIM($C28),'🎓 Alumnas'!$O$2:$O$1000,0)),IF(COUNTIF('🎓 Alumnas'!$Q$2:$Q$1000,TRIM($C28))=1,INDEX('🎓 Alumnas'!$A$2:$A$1000,MATCH(TRIM($C28),'🎓 Alumnas'!$Q$2:$Q$1000,0)),IF(COUNTIF('🎓 Alumnas'!$P$2:$P$1000,"*"&amp;TRIM($C28)&amp;"*")=1,INDEX('🎓 Alumnas'!$A$2:$A$1000,MATCH("*"&amp;TRIM($C28)&amp;"*",'🎓 Alumnas'!$P$2:$P$1000,0)),IF(COUNTIF('🎓 Alumnas'!$Q$2:$Q$1000,"*"&amp;TRIM($C28)&amp;"*")=1,INDEX('🎓 Alumnas'!$A$2:$A$1000,MATCH("*"&amp;TRIM($C28)&amp;"*",'🎓 Alumnas'!$Q$2:$Q$1000,0)),IF(COUNTIF('🎓 Alumnas'!$P$2:$P$1000,"*"&amp;TRIM($C28)&amp;"*")+COUNTIF('🎓 Alumnas'!$Q$2:$Q$1000,"*"&amp;TRIM($C28)&amp;"*")&gt;1,"Varias: elige de la lista","No encontrada"))))))))</f>
        <v>A-013</v>
      </c>
    </row>
    <row r="29" customFormat="false" ht="14.25" hidden="false" customHeight="true" outlineLevel="0" collapsed="false">
      <c r="A29" s="25" t="s">
        <v>570</v>
      </c>
      <c r="B29" s="27" t="n">
        <v>46294</v>
      </c>
      <c r="C29" s="25" t="s">
        <v>519</v>
      </c>
      <c r="D29" s="34" t="str">
        <f aca="false">IF($W29="","",IFERROR(TRIM(INDEX('🎓 Alumnas'!$B$2:$B$1000,MATCH($W29,'🎓 Alumnas'!$A$2:$A$1000,0))),""))</f>
        <v>Arias Ospitia</v>
      </c>
      <c r="E29" s="34" t="str">
        <f aca="false">IF($W29="","",IFERROR(TRIM(INDEX('🎓 Alumnas'!$C$2:$C$1000,MATCH($W29,'🎓 Alumnas'!$A$2:$A$1000,0))),""))</f>
        <v>Francya Damaris</v>
      </c>
      <c r="F29" s="34" t="str">
        <f aca="false">IF($W29="","",IFERROR(IF(INDEX('🎓 Alumnas'!$D$2:$D$1000,MATCH($W29,'🎓 Alumnas'!$A$2:$A$1000,0))="","",INDEX('🎓 Alumnas'!$D$2:$D$1000,MATCH($W29,'🎓 Alumnas'!$A$2:$A$1000,0))),""))</f>
        <v>3142183412</v>
      </c>
      <c r="G29" s="28" t="str">
        <f aca="false">IF($W29="","",IFERROR(IF(INDEX('🎓 Alumnas'!$E$2:$E$1000,MATCH($W29,'🎓 Alumnas'!$A$2:$A$1000,0))="","",INDEX('🎓 Alumnas'!$E$2:$E$1000,MATCH($W29,'🎓 Alumnas'!$A$2:$A$1000,0))),""))</f>
        <v>fraariaspi@hotmail.com</v>
      </c>
      <c r="H29" s="28" t="str">
        <f aca="false">IF($W29="","",IFERROR(IF(INDEX('🎓 Alumnas'!$F$2:$F$1000,MATCH($W29,'🎓 Alumnas'!$A$2:$A$1000,0))="","",INDEX('🎓 Alumnas'!$F$2:$F$1000,MATCH($W29,'🎓 Alumnas'!$A$2:$A$1000,0))),""))</f>
        <v>Cra. 73 #7f-7, Bogotá, Colombia</v>
      </c>
      <c r="I29" s="30" t="n">
        <f aca="false">IF($W29="","",IFERROR(IF(INDEX('🎓 Alumnas'!$G$2:$G$1000,MATCH($W29,'🎓 Alumnas'!$A$2:$A$1000,0))="","",INDEX('🎓 Alumnas'!$G$2:$G$1000,MATCH($W29,'🎓 Alumnas'!$A$2:$A$1000,0))),""))</f>
        <v>27887</v>
      </c>
      <c r="J29" s="28" t="n">
        <f aca="true">IF(I29="","",DATEDIF(I29,TODAY(),"Y"))</f>
        <v>50</v>
      </c>
      <c r="K29" s="25" t="s">
        <v>524</v>
      </c>
      <c r="L29" s="28" t="str">
        <f aca="false">IF(K29="","",IF(LEFT(K29,6)="1 Pole","Alquiler",IF(LEFT(K29,7)="1 Clase","Clase suelta","Paquete")))</f>
        <v>Paquete</v>
      </c>
      <c r="M29" s="25" t="s">
        <v>525</v>
      </c>
      <c r="N29" s="25" t="n">
        <v>1</v>
      </c>
      <c r="O29" s="35" t="n">
        <v>480000</v>
      </c>
      <c r="P29" s="29" t="n">
        <f aca="false">IF(O29="","",N29*O29)</f>
        <v>480000</v>
      </c>
      <c r="Q29" s="36" t="n">
        <v>1</v>
      </c>
      <c r="R29" s="25" t="s">
        <v>32</v>
      </c>
      <c r="S29" s="25"/>
      <c r="T29" s="28" t="str">
        <f aca="false">IF(OR(LEFT(W29,2)&lt;&gt;"A-",ISERROR(MATCH(W29,'🎓 Alumnas'!$A$2:$A$1000,0))),"",IF(COUNTIF($W$2:W29,W29)=1,"Nueva","Recurrente"))</f>
        <v>Recurrente</v>
      </c>
      <c r="U29" s="28" t="n">
        <f aca="false">IF(OR(T29="",L29&lt;&gt;"Paquete"),"",COUNTIFS($W$2:W29,W29,$L$2:L29,"Paquete"))</f>
        <v>2</v>
      </c>
      <c r="V29" s="25"/>
      <c r="W29" s="34" t="str">
        <f aca="false">IF(TRIM($C29)="","",IF(COUNTIF('🎓 Alumnas'!$P$2:$P$1000,TRIM($C29))&gt;0,INDEX('🎓 Alumnas'!$A$2:$A$1000,MATCH(TRIM($C29),'🎓 Alumnas'!$P$2:$P$1000,0)),IF(COUNTIF('🎓 Alumnas'!$O$2:$O$1000,TRIM($C29)&amp;"|*")=1,INDEX('🎓 Alumnas'!$A$2:$A$1000,MATCH(TRIM($C29)&amp;"|*",'🎓 Alumnas'!$O$2:$O$1000,0)),IF(COUNTIF('🎓 Alumnas'!$O$2:$O$1000,"*|"&amp;TRIM($C29))=1,INDEX('🎓 Alumnas'!$A$2:$A$1000,MATCH("*|"&amp;TRIM($C29),'🎓 Alumnas'!$O$2:$O$1000,0)),IF(COUNTIF('🎓 Alumnas'!$Q$2:$Q$1000,TRIM($C29))=1,INDEX('🎓 Alumnas'!$A$2:$A$1000,MATCH(TRIM($C29),'🎓 Alumnas'!$Q$2:$Q$1000,0)),IF(COUNTIF('🎓 Alumnas'!$P$2:$P$1000,"*"&amp;TRIM($C29)&amp;"*")=1,INDEX('🎓 Alumnas'!$A$2:$A$1000,MATCH("*"&amp;TRIM($C29)&amp;"*",'🎓 Alumnas'!$P$2:$P$1000,0)),IF(COUNTIF('🎓 Alumnas'!$Q$2:$Q$1000,"*"&amp;TRIM($C29)&amp;"*")=1,INDEX('🎓 Alumnas'!$A$2:$A$1000,MATCH("*"&amp;TRIM($C29)&amp;"*",'🎓 Alumnas'!$Q$2:$Q$1000,0)),IF(COUNTIF('🎓 Alumnas'!$P$2:$P$1000,"*"&amp;TRIM($C29)&amp;"*")+COUNTIF('🎓 Alumnas'!$Q$2:$Q$1000,"*"&amp;TRIM($C29)&amp;"*")&gt;1,"Varias: elige de la lista","No encontrada"))))))))</f>
        <v>A-002</v>
      </c>
    </row>
    <row r="30" customFormat="false" ht="14.25" hidden="false" customHeight="true" outlineLevel="0" collapsed="false">
      <c r="A30" s="25" t="s">
        <v>571</v>
      </c>
      <c r="B30" s="27" t="n">
        <v>46294</v>
      </c>
      <c r="C30" s="25" t="s">
        <v>572</v>
      </c>
      <c r="D30" s="34" t="str">
        <f aca="false">IF($W30="","",IFERROR(TRIM(INDEX('🎓 Alumnas'!$B$2:$B$1000,MATCH($W30,'🎓 Alumnas'!$A$2:$A$1000,0))),""))</f>
        <v>Arias Ospitia</v>
      </c>
      <c r="E30" s="34" t="str">
        <f aca="false">IF($W30="","",IFERROR(TRIM(INDEX('🎓 Alumnas'!$C$2:$C$1000,MATCH($W30,'🎓 Alumnas'!$A$2:$A$1000,0))),""))</f>
        <v>Karen</v>
      </c>
      <c r="F30" s="34" t="str">
        <f aca="false">IF($W30="","",IFERROR(IF(INDEX('🎓 Alumnas'!$D$2:$D$1000,MATCH($W30,'🎓 Alumnas'!$A$2:$A$1000,0))="","",INDEX('🎓 Alumnas'!$D$2:$D$1000,MATCH($W30,'🎓 Alumnas'!$A$2:$A$1000,0))),""))</f>
        <v>3142183412</v>
      </c>
      <c r="G30" s="28" t="str">
        <f aca="false">IF($W30="","",IFERROR(IF(INDEX('🎓 Alumnas'!$E$2:$E$1000,MATCH($W30,'🎓 Alumnas'!$A$2:$A$1000,0))="","",INDEX('🎓 Alumnas'!$E$2:$E$1000,MATCH($W30,'🎓 Alumnas'!$A$2:$A$1000,0))),""))</f>
        <v>fraariaspi@hotmail.com</v>
      </c>
      <c r="H30" s="28" t="str">
        <f aca="false">IF($W30="","",IFERROR(IF(INDEX('🎓 Alumnas'!$F$2:$F$1000,MATCH($W30,'🎓 Alumnas'!$A$2:$A$1000,0))="","",INDEX('🎓 Alumnas'!$F$2:$F$1000,MATCH($W30,'🎓 Alumnas'!$A$2:$A$1000,0))),""))</f>
        <v>Cra. 73 #7f-7, Bogotá, Colombia</v>
      </c>
      <c r="I30" s="30" t="n">
        <f aca="false">IF($W30="","",IFERROR(IF(INDEX('🎓 Alumnas'!$G$2:$G$1000,MATCH($W30,'🎓 Alumnas'!$A$2:$A$1000,0))="","",INDEX('🎓 Alumnas'!$G$2:$G$1000,MATCH($W30,'🎓 Alumnas'!$A$2:$A$1000,0))),""))</f>
        <v>27887</v>
      </c>
      <c r="J30" s="28" t="n">
        <f aca="true">IF(I30="","",DATEDIF(I30,TODAY(),"Y"))</f>
        <v>50</v>
      </c>
      <c r="K30" s="25" t="s">
        <v>524</v>
      </c>
      <c r="L30" s="28" t="str">
        <f aca="false">IF(K30="","",IF(LEFT(K30,6)="1 Pole","Alquiler",IF(LEFT(K30,7)="1 Clase","Clase suelta","Paquete")))</f>
        <v>Paquete</v>
      </c>
      <c r="M30" s="25" t="s">
        <v>525</v>
      </c>
      <c r="N30" s="25" t="n">
        <v>1</v>
      </c>
      <c r="O30" s="35" t="n">
        <v>0</v>
      </c>
      <c r="P30" s="29" t="n">
        <f aca="false">IF(O30="","",N30*O30)</f>
        <v>0</v>
      </c>
      <c r="Q30" s="36" t="n">
        <v>0</v>
      </c>
      <c r="R30" s="25"/>
      <c r="S30" s="25"/>
      <c r="T30" s="28" t="str">
        <f aca="false">IF(OR(LEFT(W30,2)&lt;&gt;"A-",ISERROR(MATCH(W30,'🎓 Alumnas'!$A$2:$A$1000,0))),"",IF(COUNTIF($W$2:W30,W30)=1,"Nueva","Recurrente"))</f>
        <v>Nueva</v>
      </c>
      <c r="U30" s="28" t="n">
        <f aca="false">IF(OR(T30="",L30&lt;&gt;"Paquete"),"",COUNTIFS($W$2:W30,W30,$L$2:L30,"Paquete"))</f>
        <v>1</v>
      </c>
      <c r="V30" s="25"/>
      <c r="W30" s="34" t="str">
        <f aca="false">IF(TRIM($C30)="","",IF(COUNTIF('🎓 Alumnas'!$P$2:$P$1000,TRIM($C30))&gt;0,INDEX('🎓 Alumnas'!$A$2:$A$1000,MATCH(TRIM($C30),'🎓 Alumnas'!$P$2:$P$1000,0)),IF(COUNTIF('🎓 Alumnas'!$O$2:$O$1000,TRIM($C30)&amp;"|*")=1,INDEX('🎓 Alumnas'!$A$2:$A$1000,MATCH(TRIM($C30)&amp;"|*",'🎓 Alumnas'!$O$2:$O$1000,0)),IF(COUNTIF('🎓 Alumnas'!$O$2:$O$1000,"*|"&amp;TRIM($C30))=1,INDEX('🎓 Alumnas'!$A$2:$A$1000,MATCH("*|"&amp;TRIM($C30),'🎓 Alumnas'!$O$2:$O$1000,0)),IF(COUNTIF('🎓 Alumnas'!$Q$2:$Q$1000,TRIM($C30))=1,INDEX('🎓 Alumnas'!$A$2:$A$1000,MATCH(TRIM($C30),'🎓 Alumnas'!$Q$2:$Q$1000,0)),IF(COUNTIF('🎓 Alumnas'!$P$2:$P$1000,"*"&amp;TRIM($C30)&amp;"*")=1,INDEX('🎓 Alumnas'!$A$2:$A$1000,MATCH("*"&amp;TRIM($C30)&amp;"*",'🎓 Alumnas'!$P$2:$P$1000,0)),IF(COUNTIF('🎓 Alumnas'!$Q$2:$Q$1000,"*"&amp;TRIM($C30)&amp;"*")=1,INDEX('🎓 Alumnas'!$A$2:$A$1000,MATCH("*"&amp;TRIM($C30)&amp;"*",'🎓 Alumnas'!$Q$2:$Q$1000,0)),IF(COUNTIF('🎓 Alumnas'!$P$2:$P$1000,"*"&amp;TRIM($C30)&amp;"*")+COUNTIF('🎓 Alumnas'!$Q$2:$Q$1000,"*"&amp;TRIM($C30)&amp;"*")&gt;1,"Varias: elige de la lista","No encontrada"))))))))</f>
        <v>A-024</v>
      </c>
    </row>
    <row r="31" customFormat="false" ht="14.25" hidden="false" customHeight="true" outlineLevel="0" collapsed="false">
      <c r="A31" s="25" t="s">
        <v>573</v>
      </c>
      <c r="B31" s="27" t="n">
        <v>46294</v>
      </c>
      <c r="C31" s="25" t="s">
        <v>574</v>
      </c>
      <c r="D31" s="34" t="str">
        <f aca="false">IF($W31="","",IFERROR(TRIM(INDEX('🎓 Alumnas'!$B$2:$B$1000,MATCH($W31,'🎓 Alumnas'!$A$2:$A$1000,0))),""))</f>
        <v>Dugarte Jaimes</v>
      </c>
      <c r="E31" s="34" t="str">
        <f aca="false">IF($W31="","",IFERROR(TRIM(INDEX('🎓 Alumnas'!$C$2:$C$1000,MATCH($W31,'🎓 Alumnas'!$A$2:$A$1000,0))),""))</f>
        <v>Yendi Alejandra</v>
      </c>
      <c r="F31" s="34" t="str">
        <f aca="false">IF($W31="","",IFERROR(IF(INDEX('🎓 Alumnas'!$D$2:$D$1000,MATCH($W31,'🎓 Alumnas'!$A$2:$A$1000,0))="","",INDEX('🎓 Alumnas'!$D$2:$D$1000,MATCH($W31,'🎓 Alumnas'!$A$2:$A$1000,0))),""))</f>
        <v>315 882 8852</v>
      </c>
      <c r="G31" s="28" t="str">
        <f aca="false">IF($W31="","",IFERROR(IF(INDEX('🎓 Alumnas'!$E$2:$E$1000,MATCH($W31,'🎓 Alumnas'!$A$2:$A$1000,0))="","",INDEX('🎓 Alumnas'!$E$2:$E$1000,MATCH($W31,'🎓 Alumnas'!$A$2:$A$1000,0))),""))</f>
        <v>yendi.dugarte@outlook.com</v>
      </c>
      <c r="H31" s="28" t="str">
        <f aca="false">IF($W31="","",IFERROR(IF(INDEX('🎓 Alumnas'!$F$2:$F$1000,MATCH($W31,'🎓 Alumnas'!$A$2:$A$1000,0))="","",INDEX('🎓 Alumnas'!$F$2:$F$1000,MATCH($W31,'🎓 Alumnas'!$A$2:$A$1000,0))),""))</f>
        <v>Cl. 23 #72d-27, Bogotá, Colombia</v>
      </c>
      <c r="I31" s="30" t="n">
        <f aca="false">IF($W31="","",IFERROR(IF(INDEX('🎓 Alumnas'!$G$2:$G$1000,MATCH($W31,'🎓 Alumnas'!$A$2:$A$1000,0))="","",INDEX('🎓 Alumnas'!$G$2:$G$1000,MATCH($W31,'🎓 Alumnas'!$A$2:$A$1000,0))),""))</f>
        <v>34669</v>
      </c>
      <c r="J31" s="28" t="n">
        <f aca="true">IF(I31="","",DATEDIF(I31,TODAY(),"Y"))</f>
        <v>31</v>
      </c>
      <c r="K31" s="25" t="s">
        <v>524</v>
      </c>
      <c r="L31" s="28" t="str">
        <f aca="false">IF(K31="","",IF(LEFT(K31,6)="1 Pole","Alquiler",IF(LEFT(K31,7)="1 Clase","Clase suelta","Paquete")))</f>
        <v>Paquete</v>
      </c>
      <c r="M31" s="25" t="s">
        <v>525</v>
      </c>
      <c r="N31" s="25" t="n">
        <v>1</v>
      </c>
      <c r="O31" s="35" t="n">
        <v>240000</v>
      </c>
      <c r="P31" s="29" t="n">
        <f aca="false">IF(O31="","",N31*O31)</f>
        <v>240000</v>
      </c>
      <c r="Q31" s="36" t="n">
        <v>0.5</v>
      </c>
      <c r="R31" s="25" t="s">
        <v>32</v>
      </c>
      <c r="S31" s="25"/>
      <c r="T31" s="28" t="str">
        <f aca="false">IF(OR(LEFT(W31,2)&lt;&gt;"A-",ISERROR(MATCH(W31,'🎓 Alumnas'!$A$2:$A$1000,0))),"",IF(COUNTIF($W$2:W31,W31)=1,"Nueva","Recurrente"))</f>
        <v>Nueva</v>
      </c>
      <c r="U31" s="28" t="n">
        <f aca="false">IF(OR(T31="",L31&lt;&gt;"Paquete"),"",COUNTIFS($W$2:W31,W31,$L$2:L31,"Paquete"))</f>
        <v>1</v>
      </c>
      <c r="V31" s="25"/>
      <c r="W31" s="34" t="str">
        <f aca="false">IF(TRIM($C31)="","",IF(COUNTIF('🎓 Alumnas'!$P$2:$P$1000,TRIM($C31))&gt;0,INDEX('🎓 Alumnas'!$A$2:$A$1000,MATCH(TRIM($C31),'🎓 Alumnas'!$P$2:$P$1000,0)),IF(COUNTIF('🎓 Alumnas'!$O$2:$O$1000,TRIM($C31)&amp;"|*")=1,INDEX('🎓 Alumnas'!$A$2:$A$1000,MATCH(TRIM($C31)&amp;"|*",'🎓 Alumnas'!$O$2:$O$1000,0)),IF(COUNTIF('🎓 Alumnas'!$O$2:$O$1000,"*|"&amp;TRIM($C31))=1,INDEX('🎓 Alumnas'!$A$2:$A$1000,MATCH("*|"&amp;TRIM($C31),'🎓 Alumnas'!$O$2:$O$1000,0)),IF(COUNTIF('🎓 Alumnas'!$Q$2:$Q$1000,TRIM($C31))=1,INDEX('🎓 Alumnas'!$A$2:$A$1000,MATCH(TRIM($C31),'🎓 Alumnas'!$Q$2:$Q$1000,0)),IF(COUNTIF('🎓 Alumnas'!$P$2:$P$1000,"*"&amp;TRIM($C31)&amp;"*")=1,INDEX('🎓 Alumnas'!$A$2:$A$1000,MATCH("*"&amp;TRIM($C31)&amp;"*",'🎓 Alumnas'!$P$2:$P$1000,0)),IF(COUNTIF('🎓 Alumnas'!$Q$2:$Q$1000,"*"&amp;TRIM($C31)&amp;"*")=1,INDEX('🎓 Alumnas'!$A$2:$A$1000,MATCH("*"&amp;TRIM($C31)&amp;"*",'🎓 Alumnas'!$Q$2:$Q$1000,0)),IF(COUNTIF('🎓 Alumnas'!$P$2:$P$1000,"*"&amp;TRIM($C31)&amp;"*")+COUNTIF('🎓 Alumnas'!$Q$2:$Q$1000,"*"&amp;TRIM($C31)&amp;"*")&gt;1,"Varias: elige de la lista","No encontrada"))))))))</f>
        <v>A-025</v>
      </c>
    </row>
    <row r="32" customFormat="false" ht="14.25" hidden="false" customHeight="true" outlineLevel="0" collapsed="false">
      <c r="A32" s="25" t="s">
        <v>575</v>
      </c>
      <c r="B32" s="27" t="n">
        <v>46294</v>
      </c>
      <c r="C32" s="25" t="s">
        <v>576</v>
      </c>
      <c r="D32" s="34" t="str">
        <f aca="false">IF($W32="","",IFERROR(TRIM(INDEX('🎓 Alumnas'!$B$2:$B$1000,MATCH($W32,'🎓 Alumnas'!$A$2:$A$1000,0))),""))</f>
        <v>Aragón González</v>
      </c>
      <c r="E32" s="34" t="str">
        <f aca="false">IF($W32="","",IFERROR(TRIM(INDEX('🎓 Alumnas'!$C$2:$C$1000,MATCH($W32,'🎓 Alumnas'!$A$2:$A$1000,0))),""))</f>
        <v>Martha Yasmin</v>
      </c>
      <c r="F32" s="34" t="str">
        <f aca="false">IF($W32="","",IFERROR(IF(INDEX('🎓 Alumnas'!$D$2:$D$1000,MATCH($W32,'🎓 Alumnas'!$A$2:$A$1000,0))="","",INDEX('🎓 Alumnas'!$D$2:$D$1000,MATCH($W32,'🎓 Alumnas'!$A$2:$A$1000,0))),""))</f>
        <v>320 4601481</v>
      </c>
      <c r="G32" s="28" t="str">
        <f aca="false">IF($W32="","",IFERROR(IF(INDEX('🎓 Alumnas'!$E$2:$E$1000,MATCH($W32,'🎓 Alumnas'!$A$2:$A$1000,0))="","",INDEX('🎓 Alumnas'!$E$2:$E$1000,MATCH($W32,'🎓 Alumnas'!$A$2:$A$1000,0))),""))</f>
        <v>mayaragonz@hotmail.com</v>
      </c>
      <c r="H32" s="28" t="str">
        <f aca="false">IF($W32="","",IFERROR(IF(INDEX('🎓 Alumnas'!$F$2:$F$1000,MATCH($W32,'🎓 Alumnas'!$A$2:$A$1000,0))="","",INDEX('🎓 Alumnas'!$F$2:$F$1000,MATCH($W32,'🎓 Alumnas'!$A$2:$A$1000,0))),""))</f>
        <v>Cra. 81f #54a Sur-54, Bogotá, Colombia</v>
      </c>
      <c r="I32" s="30" t="n">
        <f aca="false">IF($W32="","",IFERROR(IF(INDEX('🎓 Alumnas'!$G$2:$G$1000,MATCH($W32,'🎓 Alumnas'!$A$2:$A$1000,0))="","",INDEX('🎓 Alumnas'!$G$2:$G$1000,MATCH($W32,'🎓 Alumnas'!$A$2:$A$1000,0))),""))</f>
        <v>28515</v>
      </c>
      <c r="J32" s="28" t="n">
        <f aca="true">IF(I32="","",DATEDIF(I32,TODAY(),"Y"))</f>
        <v>48</v>
      </c>
      <c r="K32" s="25" t="s">
        <v>559</v>
      </c>
      <c r="L32" s="28" t="str">
        <f aca="false">IF(K32="","",IF(LEFT(K32,6)="1 Pole","Alquiler",IF(LEFT(K32,7)="1 Clase","Clase suelta","Paquete")))</f>
        <v>Clase suelta</v>
      </c>
      <c r="M32" s="25"/>
      <c r="N32" s="25" t="n">
        <v>1</v>
      </c>
      <c r="O32" s="35" t="n">
        <v>50000</v>
      </c>
      <c r="P32" s="29" t="n">
        <f aca="false">IF(O32="","",N32*O32)</f>
        <v>50000</v>
      </c>
      <c r="Q32" s="36" t="n">
        <v>1</v>
      </c>
      <c r="R32" s="25" t="s">
        <v>32</v>
      </c>
      <c r="S32" s="25"/>
      <c r="T32" s="28" t="str">
        <f aca="false">IF(OR(LEFT(W32,2)&lt;&gt;"A-",ISERROR(MATCH(W32,'🎓 Alumnas'!$A$2:$A$1000,0))),"",IF(COUNTIF($W$2:W32,W32)=1,"Nueva","Recurrente"))</f>
        <v>Nueva</v>
      </c>
      <c r="U32" s="28" t="str">
        <f aca="false">IF(OR(T32="",L32&lt;&gt;"Paquete"),"",COUNTIFS($W$2:W32,W32,$L$2:L32,"Paquete"))</f>
        <v/>
      </c>
      <c r="V32" s="25"/>
      <c r="W32" s="34" t="str">
        <f aca="false">IF(TRIM($C32)="","",IF(COUNTIF('🎓 Alumnas'!$P$2:$P$1000,TRIM($C32))&gt;0,INDEX('🎓 Alumnas'!$A$2:$A$1000,MATCH(TRIM($C32),'🎓 Alumnas'!$P$2:$P$1000,0)),IF(COUNTIF('🎓 Alumnas'!$O$2:$O$1000,TRIM($C32)&amp;"|*")=1,INDEX('🎓 Alumnas'!$A$2:$A$1000,MATCH(TRIM($C32)&amp;"|*",'🎓 Alumnas'!$O$2:$O$1000,0)),IF(COUNTIF('🎓 Alumnas'!$O$2:$O$1000,"*|"&amp;TRIM($C32))=1,INDEX('🎓 Alumnas'!$A$2:$A$1000,MATCH("*|"&amp;TRIM($C32),'🎓 Alumnas'!$O$2:$O$1000,0)),IF(COUNTIF('🎓 Alumnas'!$Q$2:$Q$1000,TRIM($C32))=1,INDEX('🎓 Alumnas'!$A$2:$A$1000,MATCH(TRIM($C32),'🎓 Alumnas'!$Q$2:$Q$1000,0)),IF(COUNTIF('🎓 Alumnas'!$P$2:$P$1000,"*"&amp;TRIM($C32)&amp;"*")=1,INDEX('🎓 Alumnas'!$A$2:$A$1000,MATCH("*"&amp;TRIM($C32)&amp;"*",'🎓 Alumnas'!$P$2:$P$1000,0)),IF(COUNTIF('🎓 Alumnas'!$Q$2:$Q$1000,"*"&amp;TRIM($C32)&amp;"*")=1,INDEX('🎓 Alumnas'!$A$2:$A$1000,MATCH("*"&amp;TRIM($C32)&amp;"*",'🎓 Alumnas'!$Q$2:$Q$1000,0)),IF(COUNTIF('🎓 Alumnas'!$P$2:$P$1000,"*"&amp;TRIM($C32)&amp;"*")+COUNTIF('🎓 Alumnas'!$Q$2:$Q$1000,"*"&amp;TRIM($C32)&amp;"*")&gt;1,"Varias: elige de la lista","No encontrada"))))))))</f>
        <v>A-026</v>
      </c>
    </row>
    <row r="33" customFormat="false" ht="14.25" hidden="false" customHeight="true" outlineLevel="0" collapsed="false">
      <c r="A33" s="25" t="s">
        <v>577</v>
      </c>
      <c r="B33" s="27" t="n">
        <v>46295</v>
      </c>
      <c r="C33" s="25" t="s">
        <v>578</v>
      </c>
      <c r="D33" s="34" t="str">
        <f aca="false">IF($W33="","",IFERROR(TRIM(INDEX('🎓 Alumnas'!$B$2:$B$1000,MATCH($W33,'🎓 Alumnas'!$A$2:$A$1000,0))),""))</f>
        <v>Avila Peñuela</v>
      </c>
      <c r="E33" s="34" t="str">
        <f aca="false">IF($W33="","",IFERROR(TRIM(INDEX('🎓 Alumnas'!$C$2:$C$1000,MATCH($W33,'🎓 Alumnas'!$A$2:$A$1000,0))),""))</f>
        <v>Melanie Jankey</v>
      </c>
      <c r="F33" s="34" t="str">
        <f aca="false">IF($W33="","",IFERROR(IF(INDEX('🎓 Alumnas'!$D$2:$D$1000,MATCH($W33,'🎓 Alumnas'!$A$2:$A$1000,0))="","",INDEX('🎓 Alumnas'!$D$2:$D$1000,MATCH($W33,'🎓 Alumnas'!$A$2:$A$1000,0))),""))</f>
        <v>3182579916</v>
      </c>
      <c r="G33" s="28" t="str">
        <f aca="false">IF($W33="","",IFERROR(IF(INDEX('🎓 Alumnas'!$E$2:$E$1000,MATCH($W33,'🎓 Alumnas'!$A$2:$A$1000,0))="","",INDEX('🎓 Alumnas'!$E$2:$E$1000,MATCH($W33,'🎓 Alumnas'!$A$2:$A$1000,0))),""))</f>
        <v>melyankey77@gmail.com</v>
      </c>
      <c r="H33" s="28" t="str">
        <f aca="false">IF($W33="","",IFERROR(IF(INDEX('🎓 Alumnas'!$F$2:$F$1000,MATCH($W33,'🎓 Alumnas'!$A$2:$A$1000,0))="","",INDEX('🎓 Alumnas'!$F$2:$F$1000,MATCH($W33,'🎓 Alumnas'!$A$2:$A$1000,0))),""))</f>
        <v>Cl. 7a #73b-98, Kennedy, Bogotá, Colombia</v>
      </c>
      <c r="I33" s="30" t="n">
        <f aca="false">IF($W33="","",IFERROR(IF(INDEX('🎓 Alumnas'!$G$2:$G$1000,MATCH($W33,'🎓 Alumnas'!$A$2:$A$1000,0))="","",INDEX('🎓 Alumnas'!$G$2:$G$1000,MATCH($W33,'🎓 Alumnas'!$A$2:$A$1000,0))),""))</f>
        <v>37076</v>
      </c>
      <c r="J33" s="28" t="n">
        <f aca="true">IF(I33="","",DATEDIF(I33,TODAY(),"Y"))</f>
        <v>25</v>
      </c>
      <c r="K33" s="25" t="s">
        <v>524</v>
      </c>
      <c r="L33" s="28" t="str">
        <f aca="false">IF(K33="","",IF(LEFT(K33,6)="1 Pole","Alquiler",IF(LEFT(K33,7)="1 Clase","Clase suelta","Paquete")))</f>
        <v>Paquete</v>
      </c>
      <c r="M33" s="25" t="s">
        <v>525</v>
      </c>
      <c r="N33" s="25" t="n">
        <v>1</v>
      </c>
      <c r="O33" s="35" t="n">
        <v>240000</v>
      </c>
      <c r="P33" s="29" t="n">
        <f aca="false">IF(O33="","",N33*O33)</f>
        <v>240000</v>
      </c>
      <c r="Q33" s="36" t="n">
        <v>0.5</v>
      </c>
      <c r="R33" s="25" t="s">
        <v>32</v>
      </c>
      <c r="S33" s="25"/>
      <c r="T33" s="28" t="str">
        <f aca="false">IF(OR(LEFT(W33,2)&lt;&gt;"A-",ISERROR(MATCH(W33,'🎓 Alumnas'!$A$2:$A$1000,0))),"",IF(COUNTIF($W$2:W33,W33)=1,"Nueva","Recurrente"))</f>
        <v>Nueva</v>
      </c>
      <c r="U33" s="28" t="n">
        <f aca="false">IF(OR(T33="",L33&lt;&gt;"Paquete"),"",COUNTIFS($W$2:W33,W33,$L$2:L33,"Paquete"))</f>
        <v>1</v>
      </c>
      <c r="V33" s="25"/>
      <c r="W33" s="34" t="str">
        <f aca="false">IF(TRIM($C33)="","",IF(COUNTIF('🎓 Alumnas'!$P$2:$P$1000,TRIM($C33))&gt;0,INDEX('🎓 Alumnas'!$A$2:$A$1000,MATCH(TRIM($C33),'🎓 Alumnas'!$P$2:$P$1000,0)),IF(COUNTIF('🎓 Alumnas'!$O$2:$O$1000,TRIM($C33)&amp;"|*")=1,INDEX('🎓 Alumnas'!$A$2:$A$1000,MATCH(TRIM($C33)&amp;"|*",'🎓 Alumnas'!$O$2:$O$1000,0)),IF(COUNTIF('🎓 Alumnas'!$O$2:$O$1000,"*|"&amp;TRIM($C33))=1,INDEX('🎓 Alumnas'!$A$2:$A$1000,MATCH("*|"&amp;TRIM($C33),'🎓 Alumnas'!$O$2:$O$1000,0)),IF(COUNTIF('🎓 Alumnas'!$Q$2:$Q$1000,TRIM($C33))=1,INDEX('🎓 Alumnas'!$A$2:$A$1000,MATCH(TRIM($C33),'🎓 Alumnas'!$Q$2:$Q$1000,0)),IF(COUNTIF('🎓 Alumnas'!$P$2:$P$1000,"*"&amp;TRIM($C33)&amp;"*")=1,INDEX('🎓 Alumnas'!$A$2:$A$1000,MATCH("*"&amp;TRIM($C33)&amp;"*",'🎓 Alumnas'!$P$2:$P$1000,0)),IF(COUNTIF('🎓 Alumnas'!$Q$2:$Q$1000,"*"&amp;TRIM($C33)&amp;"*")=1,INDEX('🎓 Alumnas'!$A$2:$A$1000,MATCH("*"&amp;TRIM($C33)&amp;"*",'🎓 Alumnas'!$Q$2:$Q$1000,0)),IF(COUNTIF('🎓 Alumnas'!$P$2:$P$1000,"*"&amp;TRIM($C33)&amp;"*")+COUNTIF('🎓 Alumnas'!$Q$2:$Q$1000,"*"&amp;TRIM($C33)&amp;"*")&gt;1,"Varias: elige de la lista","No encontrada"))))))))</f>
        <v>A-027</v>
      </c>
    </row>
    <row r="34" customFormat="false" ht="14.25" hidden="false" customHeight="true" outlineLevel="0" collapsed="false">
      <c r="A34" s="25" t="s">
        <v>579</v>
      </c>
      <c r="B34" s="27" t="n">
        <v>46295</v>
      </c>
      <c r="C34" s="25" t="s">
        <v>523</v>
      </c>
      <c r="D34" s="34" t="str">
        <f aca="false">IF($W34="","",IFERROR(TRIM(INDEX('🎓 Alumnas'!$B$2:$B$1000,MATCH($W34,'🎓 Alumnas'!$A$2:$A$1000,0))),""))</f>
        <v>Bermúdez Cardona</v>
      </c>
      <c r="E34" s="34" t="str">
        <f aca="false">IF($W34="","",IFERROR(TRIM(INDEX('🎓 Alumnas'!$C$2:$C$1000,MATCH($W34,'🎓 Alumnas'!$A$2:$A$1000,0))),""))</f>
        <v>Diana</v>
      </c>
      <c r="F34" s="34" t="str">
        <f aca="false">IF($W34="","",IFERROR(IF(INDEX('🎓 Alumnas'!$D$2:$D$1000,MATCH($W34,'🎓 Alumnas'!$A$2:$A$1000,0))="","",INDEX('🎓 Alumnas'!$D$2:$D$1000,MATCH($W34,'🎓 Alumnas'!$A$2:$A$1000,0))),""))</f>
        <v>3196364084</v>
      </c>
      <c r="G34" s="28" t="str">
        <f aca="false">IF($W34="","",IFERROR(IF(INDEX('🎓 Alumnas'!$E$2:$E$1000,MATCH($W34,'🎓 Alumnas'!$A$2:$A$1000,0))="","",INDEX('🎓 Alumnas'!$E$2:$E$1000,MATCH($W34,'🎓 Alumnas'!$A$2:$A$1000,0))),""))</f>
        <v>diana0.bermudez@gmail.com</v>
      </c>
      <c r="H34" s="28" t="str">
        <f aca="false">IF($W34="","",IFERROR(IF(INDEX('🎓 Alumnas'!$F$2:$F$1000,MATCH($W34,'🎓 Alumnas'!$A$2:$A$1000,0))="","",INDEX('🎓 Alumnas'!$F$2:$F$1000,MATCH($W34,'🎓 Alumnas'!$A$2:$A$1000,0))),""))</f>
        <v>Cra. 72k #39a Sur-96, Bogotá, Colombia</v>
      </c>
      <c r="I34" s="30" t="n">
        <f aca="false">IF($W34="","",IFERROR(IF(INDEX('🎓 Alumnas'!$G$2:$G$1000,MATCH($W34,'🎓 Alumnas'!$A$2:$A$1000,0))="","",INDEX('🎓 Alumnas'!$G$2:$G$1000,MATCH($W34,'🎓 Alumnas'!$A$2:$A$1000,0))),""))</f>
        <v>33374</v>
      </c>
      <c r="J34" s="28" t="n">
        <f aca="true">IF(I34="","",DATEDIF(I34,TODAY(),"Y"))</f>
        <v>35</v>
      </c>
      <c r="K34" s="25" t="s">
        <v>524</v>
      </c>
      <c r="L34" s="28" t="str">
        <f aca="false">IF(K34="","",IF(LEFT(K34,6)="1 Pole","Alquiler",IF(LEFT(K34,7)="1 Clase","Clase suelta","Paquete")))</f>
        <v>Paquete</v>
      </c>
      <c r="M34" s="25" t="s">
        <v>525</v>
      </c>
      <c r="N34" s="25" t="n">
        <v>1</v>
      </c>
      <c r="O34" s="35" t="n">
        <v>480000</v>
      </c>
      <c r="P34" s="29" t="n">
        <f aca="false">IF(O34="","",N34*O34)</f>
        <v>480000</v>
      </c>
      <c r="Q34" s="36" t="n">
        <v>1</v>
      </c>
      <c r="R34" s="25" t="s">
        <v>32</v>
      </c>
      <c r="S34" s="25" t="s">
        <v>517</v>
      </c>
      <c r="T34" s="28" t="str">
        <f aca="false">IF(OR(LEFT(W34,2)&lt;&gt;"A-",ISERROR(MATCH(W34,'🎓 Alumnas'!$A$2:$A$1000,0))),"",IF(COUNTIF($W$2:W34,W34)=1,"Nueva","Recurrente"))</f>
        <v>Recurrente</v>
      </c>
      <c r="U34" s="28" t="n">
        <f aca="false">IF(OR(T34="",L34&lt;&gt;"Paquete"),"",COUNTIFS($W$2:W34,W34,$L$2:L34,"Paquete"))</f>
        <v>2</v>
      </c>
      <c r="V34" s="25"/>
      <c r="W34" s="34" t="str">
        <f aca="false">IF(TRIM($C34)="","",IF(COUNTIF('🎓 Alumnas'!$P$2:$P$1000,TRIM($C34))&gt;0,INDEX('🎓 Alumnas'!$A$2:$A$1000,MATCH(TRIM($C34),'🎓 Alumnas'!$P$2:$P$1000,0)),IF(COUNTIF('🎓 Alumnas'!$O$2:$O$1000,TRIM($C34)&amp;"|*")=1,INDEX('🎓 Alumnas'!$A$2:$A$1000,MATCH(TRIM($C34)&amp;"|*",'🎓 Alumnas'!$O$2:$O$1000,0)),IF(COUNTIF('🎓 Alumnas'!$O$2:$O$1000,"*|"&amp;TRIM($C34))=1,INDEX('🎓 Alumnas'!$A$2:$A$1000,MATCH("*|"&amp;TRIM($C34),'🎓 Alumnas'!$O$2:$O$1000,0)),IF(COUNTIF('🎓 Alumnas'!$Q$2:$Q$1000,TRIM($C34))=1,INDEX('🎓 Alumnas'!$A$2:$A$1000,MATCH(TRIM($C34),'🎓 Alumnas'!$Q$2:$Q$1000,0)),IF(COUNTIF('🎓 Alumnas'!$P$2:$P$1000,"*"&amp;TRIM($C34)&amp;"*")=1,INDEX('🎓 Alumnas'!$A$2:$A$1000,MATCH("*"&amp;TRIM($C34)&amp;"*",'🎓 Alumnas'!$P$2:$P$1000,0)),IF(COUNTIF('🎓 Alumnas'!$Q$2:$Q$1000,"*"&amp;TRIM($C34)&amp;"*")=1,INDEX('🎓 Alumnas'!$A$2:$A$1000,MATCH("*"&amp;TRIM($C34)&amp;"*",'🎓 Alumnas'!$Q$2:$Q$1000,0)),IF(COUNTIF('🎓 Alumnas'!$P$2:$P$1000,"*"&amp;TRIM($C34)&amp;"*")+COUNTIF('🎓 Alumnas'!$Q$2:$Q$1000,"*"&amp;TRIM($C34)&amp;"*")&gt;1,"Varias: elige de la lista","No encontrada"))))))))</f>
        <v>A-003</v>
      </c>
    </row>
    <row r="35" customFormat="false" ht="14.25" hidden="false" customHeight="true" outlineLevel="0" collapsed="false">
      <c r="A35" s="25" t="s">
        <v>580</v>
      </c>
      <c r="B35" s="27" t="n">
        <v>46295</v>
      </c>
      <c r="C35" s="25" t="s">
        <v>527</v>
      </c>
      <c r="D35" s="34" t="str">
        <f aca="false">IF($W35="","",IFERROR(TRIM(INDEX('🎓 Alumnas'!$B$2:$B$1000,MATCH($W35,'🎓 Alumnas'!$A$2:$A$1000,0))),""))</f>
        <v>Torres Olarte</v>
      </c>
      <c r="E35" s="34" t="str">
        <f aca="false">IF($W35="","",IFERROR(TRIM(INDEX('🎓 Alumnas'!$C$2:$C$1000,MATCH($W35,'🎓 Alumnas'!$A$2:$A$1000,0))),""))</f>
        <v>Jessica</v>
      </c>
      <c r="F35" s="34" t="str">
        <f aca="false">IF($W35="","",IFERROR(IF(INDEX('🎓 Alumnas'!$D$2:$D$1000,MATCH($W35,'🎓 Alumnas'!$A$2:$A$1000,0))="","",INDEX('🎓 Alumnas'!$D$2:$D$1000,MATCH($W35,'🎓 Alumnas'!$A$2:$A$1000,0))),""))</f>
        <v>3104775381</v>
      </c>
      <c r="G35" s="28" t="str">
        <f aca="false">IF($W35="","",IFERROR(IF(INDEX('🎓 Alumnas'!$E$2:$E$1000,MATCH($W35,'🎓 Alumnas'!$A$2:$A$1000,0))="","",INDEX('🎓 Alumnas'!$E$2:$E$1000,MATCH($W35,'🎓 Alumnas'!$A$2:$A$1000,0))),""))</f>
        <v>jessicatorresolarte@gmail.com</v>
      </c>
      <c r="H35" s="28" t="str">
        <f aca="false">IF($W35="","",IFERROR(IF(INDEX('🎓 Alumnas'!$F$2:$F$1000,MATCH($W35,'🎓 Alumnas'!$A$2:$A$1000,0))="","",INDEX('🎓 Alumnas'!$F$2:$F$1000,MATCH($W35,'🎓 Alumnas'!$A$2:$A$1000,0))),""))</f>
        <v>Cl. 6b #80b85, Bogotá, Colombia</v>
      </c>
      <c r="I35" s="30" t="n">
        <f aca="false">IF($W35="","",IFERROR(IF(INDEX('🎓 Alumnas'!$G$2:$G$1000,MATCH($W35,'🎓 Alumnas'!$A$2:$A$1000,0))="","",INDEX('🎓 Alumnas'!$G$2:$G$1000,MATCH($W35,'🎓 Alumnas'!$A$2:$A$1000,0))),""))</f>
        <v>31592</v>
      </c>
      <c r="J35" s="28" t="n">
        <f aca="true">IF(I35="","",DATEDIF(I35,TODAY(),"Y"))</f>
        <v>40</v>
      </c>
      <c r="K35" s="25" t="s">
        <v>524</v>
      </c>
      <c r="L35" s="28" t="str">
        <f aca="false">IF(K35="","",IF(LEFT(K35,6)="1 Pole","Alquiler",IF(LEFT(K35,7)="1 Clase","Clase suelta","Paquete")))</f>
        <v>Paquete</v>
      </c>
      <c r="M35" s="25" t="s">
        <v>525</v>
      </c>
      <c r="N35" s="25" t="n">
        <v>1</v>
      </c>
      <c r="O35" s="35" t="n">
        <v>0</v>
      </c>
      <c r="P35" s="29" t="n">
        <f aca="false">IF(O35="","",N35*O35)</f>
        <v>0</v>
      </c>
      <c r="Q35" s="36" t="n">
        <v>0</v>
      </c>
      <c r="R35" s="25"/>
      <c r="S35" s="25"/>
      <c r="T35" s="28" t="str">
        <f aca="false">IF(OR(LEFT(W35,2)&lt;&gt;"A-",ISERROR(MATCH(W35,'🎓 Alumnas'!$A$2:$A$1000,0))),"",IF(COUNTIF($W$2:W35,W35)=1,"Nueva","Recurrente"))</f>
        <v>Recurrente</v>
      </c>
      <c r="U35" s="28" t="n">
        <f aca="false">IF(OR(T35="",L35&lt;&gt;"Paquete"),"",COUNTIFS($W$2:W35,W35,$L$2:L35,"Paquete"))</f>
        <v>2</v>
      </c>
      <c r="V35" s="25"/>
      <c r="W35" s="34" t="str">
        <f aca="false">IF(TRIM($C35)="","",IF(COUNTIF('🎓 Alumnas'!$P$2:$P$1000,TRIM($C35))&gt;0,INDEX('🎓 Alumnas'!$A$2:$A$1000,MATCH(TRIM($C35),'🎓 Alumnas'!$P$2:$P$1000,0)),IF(COUNTIF('🎓 Alumnas'!$O$2:$O$1000,TRIM($C35)&amp;"|*")=1,INDEX('🎓 Alumnas'!$A$2:$A$1000,MATCH(TRIM($C35)&amp;"|*",'🎓 Alumnas'!$O$2:$O$1000,0)),IF(COUNTIF('🎓 Alumnas'!$O$2:$O$1000,"*|"&amp;TRIM($C35))=1,INDEX('🎓 Alumnas'!$A$2:$A$1000,MATCH("*|"&amp;TRIM($C35),'🎓 Alumnas'!$O$2:$O$1000,0)),IF(COUNTIF('🎓 Alumnas'!$Q$2:$Q$1000,TRIM($C35))=1,INDEX('🎓 Alumnas'!$A$2:$A$1000,MATCH(TRIM($C35),'🎓 Alumnas'!$Q$2:$Q$1000,0)),IF(COUNTIF('🎓 Alumnas'!$P$2:$P$1000,"*"&amp;TRIM($C35)&amp;"*")=1,INDEX('🎓 Alumnas'!$A$2:$A$1000,MATCH("*"&amp;TRIM($C35)&amp;"*",'🎓 Alumnas'!$P$2:$P$1000,0)),IF(COUNTIF('🎓 Alumnas'!$Q$2:$Q$1000,"*"&amp;TRIM($C35)&amp;"*")=1,INDEX('🎓 Alumnas'!$A$2:$A$1000,MATCH("*"&amp;TRIM($C35)&amp;"*",'🎓 Alumnas'!$Q$2:$Q$1000,0)),IF(COUNTIF('🎓 Alumnas'!$P$2:$P$1000,"*"&amp;TRIM($C35)&amp;"*")+COUNTIF('🎓 Alumnas'!$Q$2:$Q$1000,"*"&amp;TRIM($C35)&amp;"*")&gt;1,"Varias: elige de la lista","No encontrada"))))))))</f>
        <v>A-004</v>
      </c>
    </row>
    <row r="36" customFormat="false" ht="14.25" hidden="false" customHeight="true" outlineLevel="0" collapsed="false">
      <c r="A36" s="25" t="s">
        <v>581</v>
      </c>
      <c r="B36" s="27" t="n">
        <v>46295</v>
      </c>
      <c r="C36" s="25" t="s">
        <v>576</v>
      </c>
      <c r="D36" s="34" t="str">
        <f aca="false">IF($W36="","",IFERROR(TRIM(INDEX('🎓 Alumnas'!$B$2:$B$1000,MATCH($W36,'🎓 Alumnas'!$A$2:$A$1000,0))),""))</f>
        <v>Aragón González</v>
      </c>
      <c r="E36" s="34" t="str">
        <f aca="false">IF($W36="","",IFERROR(TRIM(INDEX('🎓 Alumnas'!$C$2:$C$1000,MATCH($W36,'🎓 Alumnas'!$A$2:$A$1000,0))),""))</f>
        <v>Martha Yasmin</v>
      </c>
      <c r="F36" s="34" t="str">
        <f aca="false">IF($W36="","",IFERROR(IF(INDEX('🎓 Alumnas'!$D$2:$D$1000,MATCH($W36,'🎓 Alumnas'!$A$2:$A$1000,0))="","",INDEX('🎓 Alumnas'!$D$2:$D$1000,MATCH($W36,'🎓 Alumnas'!$A$2:$A$1000,0))),""))</f>
        <v>320 4601481</v>
      </c>
      <c r="G36" s="28" t="str">
        <f aca="false">IF($W36="","",IFERROR(IF(INDEX('🎓 Alumnas'!$E$2:$E$1000,MATCH($W36,'🎓 Alumnas'!$A$2:$A$1000,0))="","",INDEX('🎓 Alumnas'!$E$2:$E$1000,MATCH($W36,'🎓 Alumnas'!$A$2:$A$1000,0))),""))</f>
        <v>mayaragonz@hotmail.com</v>
      </c>
      <c r="H36" s="28" t="str">
        <f aca="false">IF($W36="","",IFERROR(IF(INDEX('🎓 Alumnas'!$F$2:$F$1000,MATCH($W36,'🎓 Alumnas'!$A$2:$A$1000,0))="","",INDEX('🎓 Alumnas'!$F$2:$F$1000,MATCH($W36,'🎓 Alumnas'!$A$2:$A$1000,0))),""))</f>
        <v>Cra. 81f #54a Sur-54, Bogotá, Colombia</v>
      </c>
      <c r="I36" s="30" t="n">
        <f aca="false">IF($W36="","",IFERROR(IF(INDEX('🎓 Alumnas'!$G$2:$G$1000,MATCH($W36,'🎓 Alumnas'!$A$2:$A$1000,0))="","",INDEX('🎓 Alumnas'!$G$2:$G$1000,MATCH($W36,'🎓 Alumnas'!$A$2:$A$1000,0))),""))</f>
        <v>28515</v>
      </c>
      <c r="J36" s="28" t="n">
        <f aca="true">IF(I36="","",DATEDIF(I36,TODAY(),"Y"))</f>
        <v>48</v>
      </c>
      <c r="K36" s="25" t="s">
        <v>524</v>
      </c>
      <c r="L36" s="28" t="str">
        <f aca="false">IF(K36="","",IF(LEFT(K36,6)="1 Pole","Alquiler",IF(LEFT(K36,7)="1 Clase","Clase suelta","Paquete")))</f>
        <v>Paquete</v>
      </c>
      <c r="M36" s="25" t="s">
        <v>525</v>
      </c>
      <c r="N36" s="25" t="n">
        <v>1</v>
      </c>
      <c r="O36" s="35" t="n">
        <v>240000</v>
      </c>
      <c r="P36" s="29" t="n">
        <f aca="false">IF(O36="","",N36*O36)</f>
        <v>240000</v>
      </c>
      <c r="Q36" s="36" t="n">
        <v>0.5</v>
      </c>
      <c r="R36" s="25" t="s">
        <v>32</v>
      </c>
      <c r="S36" s="25"/>
      <c r="T36" s="28" t="str">
        <f aca="false">IF(OR(LEFT(W36,2)&lt;&gt;"A-",ISERROR(MATCH(W36,'🎓 Alumnas'!$A$2:$A$1000,0))),"",IF(COUNTIF($W$2:W36,W36)=1,"Nueva","Recurrente"))</f>
        <v>Recurrente</v>
      </c>
      <c r="U36" s="28" t="n">
        <f aca="false">IF(OR(T36="",L36&lt;&gt;"Paquete"),"",COUNTIFS($W$2:W36,W36,$L$2:L36,"Paquete"))</f>
        <v>1</v>
      </c>
      <c r="V36" s="25"/>
      <c r="W36" s="34" t="str">
        <f aca="false">IF(TRIM($C36)="","",IF(COUNTIF('🎓 Alumnas'!$P$2:$P$1000,TRIM($C36))&gt;0,INDEX('🎓 Alumnas'!$A$2:$A$1000,MATCH(TRIM($C36),'🎓 Alumnas'!$P$2:$P$1000,0)),IF(COUNTIF('🎓 Alumnas'!$O$2:$O$1000,TRIM($C36)&amp;"|*")=1,INDEX('🎓 Alumnas'!$A$2:$A$1000,MATCH(TRIM($C36)&amp;"|*",'🎓 Alumnas'!$O$2:$O$1000,0)),IF(COUNTIF('🎓 Alumnas'!$O$2:$O$1000,"*|"&amp;TRIM($C36))=1,INDEX('🎓 Alumnas'!$A$2:$A$1000,MATCH("*|"&amp;TRIM($C36),'🎓 Alumnas'!$O$2:$O$1000,0)),IF(COUNTIF('🎓 Alumnas'!$Q$2:$Q$1000,TRIM($C36))=1,INDEX('🎓 Alumnas'!$A$2:$A$1000,MATCH(TRIM($C36),'🎓 Alumnas'!$Q$2:$Q$1000,0)),IF(COUNTIF('🎓 Alumnas'!$P$2:$P$1000,"*"&amp;TRIM($C36)&amp;"*")=1,INDEX('🎓 Alumnas'!$A$2:$A$1000,MATCH("*"&amp;TRIM($C36)&amp;"*",'🎓 Alumnas'!$P$2:$P$1000,0)),IF(COUNTIF('🎓 Alumnas'!$Q$2:$Q$1000,"*"&amp;TRIM($C36)&amp;"*")=1,INDEX('🎓 Alumnas'!$A$2:$A$1000,MATCH("*"&amp;TRIM($C36)&amp;"*",'🎓 Alumnas'!$Q$2:$Q$1000,0)),IF(COUNTIF('🎓 Alumnas'!$P$2:$P$1000,"*"&amp;TRIM($C36)&amp;"*")+COUNTIF('🎓 Alumnas'!$Q$2:$Q$1000,"*"&amp;TRIM($C36)&amp;"*")&gt;1,"Varias: elige de la lista","No encontrada"))))))))</f>
        <v>A-026</v>
      </c>
    </row>
    <row r="37" customFormat="false" ht="14.25" hidden="false" customHeight="true" outlineLevel="0" collapsed="false">
      <c r="A37" s="25" t="s">
        <v>582</v>
      </c>
      <c r="B37" s="27" t="n">
        <v>46295</v>
      </c>
      <c r="C37" s="25" t="s">
        <v>536</v>
      </c>
      <c r="D37" s="34" t="str">
        <f aca="false">IF($W37="","",IFERROR(TRIM(INDEX('🎓 Alumnas'!$B$2:$B$1000,MATCH($W37,'🎓 Alumnas'!$A$2:$A$1000,0))),""))</f>
        <v>Chavarro Jiménez</v>
      </c>
      <c r="E37" s="34" t="str">
        <f aca="false">IF($W37="","",IFERROR(TRIM(INDEX('🎓 Alumnas'!$C$2:$C$1000,MATCH($W37,'🎓 Alumnas'!$A$2:$A$1000,0))),""))</f>
        <v>Shirley Dayanna</v>
      </c>
      <c r="F37" s="34" t="str">
        <f aca="false">IF($W37="","",IFERROR(IF(INDEX('🎓 Alumnas'!$D$2:$D$1000,MATCH($W37,'🎓 Alumnas'!$A$2:$A$1000,0))="","",INDEX('🎓 Alumnas'!$D$2:$D$1000,MATCH($W37,'🎓 Alumnas'!$A$2:$A$1000,0))),""))</f>
        <v>3003445355</v>
      </c>
      <c r="G37" s="28" t="str">
        <f aca="false">IF($W37="","",IFERROR(IF(INDEX('🎓 Alumnas'!$E$2:$E$1000,MATCH($W37,'🎓 Alumnas'!$A$2:$A$1000,0))="","",INDEX('🎓 Alumnas'!$E$2:$E$1000,MATCH($W37,'🎓 Alumnas'!$A$2:$A$1000,0))),""))</f>
        <v>dayannajimenez4@gmail.com</v>
      </c>
      <c r="H37" s="28" t="str">
        <f aca="false">IF($W37="","",IFERROR(IF(INDEX('🎓 Alumnas'!$F$2:$F$1000,MATCH($W37,'🎓 Alumnas'!$A$2:$A$1000,0))="","",INDEX('🎓 Alumnas'!$F$2:$F$1000,MATCH($W37,'🎓 Alumnas'!$A$2:$A$1000,0))),""))</f>
        <v>Cl. 8c #87b-15, Kennedy, Bogotá, Cundinamarca, Colombia</v>
      </c>
      <c r="I37" s="30" t="n">
        <f aca="false">IF($W37="","",IFERROR(IF(INDEX('🎓 Alumnas'!$G$2:$G$1000,MATCH($W37,'🎓 Alumnas'!$A$2:$A$1000,0))="","",INDEX('🎓 Alumnas'!$G$2:$G$1000,MATCH($W37,'🎓 Alumnas'!$A$2:$A$1000,0))),""))</f>
        <v>34817</v>
      </c>
      <c r="J37" s="28" t="n">
        <f aca="true">IF(I37="","",DATEDIF(I37,TODAY(),"Y"))</f>
        <v>31</v>
      </c>
      <c r="K37" s="25" t="s">
        <v>524</v>
      </c>
      <c r="L37" s="28" t="str">
        <f aca="false">IF(K37="","",IF(LEFT(K37,6)="1 Pole","Alquiler",IF(LEFT(K37,7)="1 Clase","Clase suelta","Paquete")))</f>
        <v>Paquete</v>
      </c>
      <c r="M37" s="25" t="s">
        <v>525</v>
      </c>
      <c r="N37" s="25" t="n">
        <v>1</v>
      </c>
      <c r="O37" s="35" t="n">
        <v>240000</v>
      </c>
      <c r="P37" s="29" t="n">
        <f aca="false">IF(O37="","",N37*O37)</f>
        <v>240000</v>
      </c>
      <c r="Q37" s="36" t="n">
        <v>0.5</v>
      </c>
      <c r="R37" s="25" t="s">
        <v>32</v>
      </c>
      <c r="S37" s="25"/>
      <c r="T37" s="28" t="str">
        <f aca="false">IF(OR(LEFT(W37,2)&lt;&gt;"A-",ISERROR(MATCH(W37,'🎓 Alumnas'!$A$2:$A$1000,0))),"",IF(COUNTIF($W$2:W37,W37)=1,"Nueva","Recurrente"))</f>
        <v>Recurrente</v>
      </c>
      <c r="U37" s="28" t="n">
        <f aca="false">IF(OR(T37="",L37&lt;&gt;"Paquete"),"",COUNTIFS($W$2:W37,W37,$L$2:L37,"Paquete"))</f>
        <v>2</v>
      </c>
      <c r="V37" s="25"/>
      <c r="W37" s="34" t="str">
        <f aca="false">IF(TRIM($C37)="","",IF(COUNTIF('🎓 Alumnas'!$P$2:$P$1000,TRIM($C37))&gt;0,INDEX('🎓 Alumnas'!$A$2:$A$1000,MATCH(TRIM($C37),'🎓 Alumnas'!$P$2:$P$1000,0)),IF(COUNTIF('🎓 Alumnas'!$O$2:$O$1000,TRIM($C37)&amp;"|*")=1,INDEX('🎓 Alumnas'!$A$2:$A$1000,MATCH(TRIM($C37)&amp;"|*",'🎓 Alumnas'!$O$2:$O$1000,0)),IF(COUNTIF('🎓 Alumnas'!$O$2:$O$1000,"*|"&amp;TRIM($C37))=1,INDEX('🎓 Alumnas'!$A$2:$A$1000,MATCH("*|"&amp;TRIM($C37),'🎓 Alumnas'!$O$2:$O$1000,0)),IF(COUNTIF('🎓 Alumnas'!$Q$2:$Q$1000,TRIM($C37))=1,INDEX('🎓 Alumnas'!$A$2:$A$1000,MATCH(TRIM($C37),'🎓 Alumnas'!$Q$2:$Q$1000,0)),IF(COUNTIF('🎓 Alumnas'!$P$2:$P$1000,"*"&amp;TRIM($C37)&amp;"*")=1,INDEX('🎓 Alumnas'!$A$2:$A$1000,MATCH("*"&amp;TRIM($C37)&amp;"*",'🎓 Alumnas'!$P$2:$P$1000,0)),IF(COUNTIF('🎓 Alumnas'!$Q$2:$Q$1000,"*"&amp;TRIM($C37)&amp;"*")=1,INDEX('🎓 Alumnas'!$A$2:$A$1000,MATCH("*"&amp;TRIM($C37)&amp;"*",'🎓 Alumnas'!$Q$2:$Q$1000,0)),IF(COUNTIF('🎓 Alumnas'!$P$2:$P$1000,"*"&amp;TRIM($C37)&amp;"*")+COUNTIF('🎓 Alumnas'!$Q$2:$Q$1000,"*"&amp;TRIM($C37)&amp;"*")&gt;1,"Varias: elige de la lista","No encontrada"))))))))</f>
        <v>A-008</v>
      </c>
    </row>
    <row r="38" customFormat="false" ht="14.25" hidden="false" customHeight="true" outlineLevel="0" collapsed="false">
      <c r="A38" s="25" t="s">
        <v>583</v>
      </c>
      <c r="B38" s="27" t="n">
        <v>46295</v>
      </c>
      <c r="C38" s="25" t="s">
        <v>534</v>
      </c>
      <c r="D38" s="34" t="str">
        <f aca="false">IF($W38="","",IFERROR(TRIM(INDEX('🎓 Alumnas'!$B$2:$B$1000,MATCH($W38,'🎓 Alumnas'!$A$2:$A$1000,0))),""))</f>
        <v>Guerra Aguilar</v>
      </c>
      <c r="E38" s="34" t="str">
        <f aca="false">IF($W38="","",IFERROR(TRIM(INDEX('🎓 Alumnas'!$C$2:$C$1000,MATCH($W38,'🎓 Alumnas'!$A$2:$A$1000,0))),""))</f>
        <v>Laura Vanessa</v>
      </c>
      <c r="F38" s="34" t="str">
        <f aca="false">IF($W38="","",IFERROR(IF(INDEX('🎓 Alumnas'!$D$2:$D$1000,MATCH($W38,'🎓 Alumnas'!$A$2:$A$1000,0))="","",INDEX('🎓 Alumnas'!$D$2:$D$1000,MATCH($W38,'🎓 Alumnas'!$A$2:$A$1000,0))),""))</f>
        <v>3196332220</v>
      </c>
      <c r="G38" s="28" t="str">
        <f aca="false">IF($W38="","",IFERROR(IF(INDEX('🎓 Alumnas'!$E$2:$E$1000,MATCH($W38,'🎓 Alumnas'!$A$2:$A$1000,0))="","",INDEX('🎓 Alumnas'!$E$2:$E$1000,MATCH($W38,'🎓 Alumnas'!$A$2:$A$1000,0))),""))</f>
        <v>laura.guerra16@hotmail.com</v>
      </c>
      <c r="H38" s="28" t="str">
        <f aca="false">IF($W38="","",IFERROR(IF(INDEX('🎓 Alumnas'!$F$2:$F$1000,MATCH($W38,'🎓 Alumnas'!$A$2:$A$1000,0))="","",INDEX('🎓 Alumnas'!$F$2:$F$1000,MATCH($W38,'🎓 Alumnas'!$A$2:$A$1000,0))),""))</f>
        <v>Parques de Castilla 3, Cra. 79 #10d-59, Bogotá, Colombia</v>
      </c>
      <c r="I38" s="30" t="n">
        <f aca="false">IF($W38="","",IFERROR(IF(INDEX('🎓 Alumnas'!$G$2:$G$1000,MATCH($W38,'🎓 Alumnas'!$A$2:$A$1000,0))="","",INDEX('🎓 Alumnas'!$G$2:$G$1000,MATCH($W38,'🎓 Alumnas'!$A$2:$A$1000,0))),""))</f>
        <v>34407</v>
      </c>
      <c r="J38" s="28" t="n">
        <f aca="true">IF(I38="","",DATEDIF(I38,TODAY(),"Y"))</f>
        <v>32</v>
      </c>
      <c r="K38" s="25" t="s">
        <v>524</v>
      </c>
      <c r="L38" s="28" t="str">
        <f aca="false">IF(K38="","",IF(LEFT(K38,6)="1 Pole","Alquiler",IF(LEFT(K38,7)="1 Clase","Clase suelta","Paquete")))</f>
        <v>Paquete</v>
      </c>
      <c r="M38" s="25" t="s">
        <v>525</v>
      </c>
      <c r="N38" s="25" t="n">
        <v>1</v>
      </c>
      <c r="O38" s="35" t="n">
        <v>240000</v>
      </c>
      <c r="P38" s="29" t="n">
        <f aca="false">IF(O38="","",N38*O38)</f>
        <v>240000</v>
      </c>
      <c r="Q38" s="36" t="n">
        <v>0.5</v>
      </c>
      <c r="R38" s="25" t="s">
        <v>28</v>
      </c>
      <c r="S38" s="25"/>
      <c r="T38" s="28" t="str">
        <f aca="false">IF(OR(LEFT(W38,2)&lt;&gt;"A-",ISERROR(MATCH(W38,'🎓 Alumnas'!$A$2:$A$1000,0))),"",IF(COUNTIF($W$2:W38,W38)=1,"Nueva","Recurrente"))</f>
        <v>Recurrente</v>
      </c>
      <c r="U38" s="28" t="n">
        <f aca="false">IF(OR(T38="",L38&lt;&gt;"Paquete"),"",COUNTIFS($W$2:W38,W38,$L$2:L38,"Paquete"))</f>
        <v>2</v>
      </c>
      <c r="V38" s="25"/>
      <c r="W38" s="34" t="str">
        <f aca="false">IF(TRIM($C38)="","",IF(COUNTIF('🎓 Alumnas'!$P$2:$P$1000,TRIM($C38))&gt;0,INDEX('🎓 Alumnas'!$A$2:$A$1000,MATCH(TRIM($C38),'🎓 Alumnas'!$P$2:$P$1000,0)),IF(COUNTIF('🎓 Alumnas'!$O$2:$O$1000,TRIM($C38)&amp;"|*")=1,INDEX('🎓 Alumnas'!$A$2:$A$1000,MATCH(TRIM($C38)&amp;"|*",'🎓 Alumnas'!$O$2:$O$1000,0)),IF(COUNTIF('🎓 Alumnas'!$O$2:$O$1000,"*|"&amp;TRIM($C38))=1,INDEX('🎓 Alumnas'!$A$2:$A$1000,MATCH("*|"&amp;TRIM($C38),'🎓 Alumnas'!$O$2:$O$1000,0)),IF(COUNTIF('🎓 Alumnas'!$Q$2:$Q$1000,TRIM($C38))=1,INDEX('🎓 Alumnas'!$A$2:$A$1000,MATCH(TRIM($C38),'🎓 Alumnas'!$Q$2:$Q$1000,0)),IF(COUNTIF('🎓 Alumnas'!$P$2:$P$1000,"*"&amp;TRIM($C38)&amp;"*")=1,INDEX('🎓 Alumnas'!$A$2:$A$1000,MATCH("*"&amp;TRIM($C38)&amp;"*",'🎓 Alumnas'!$P$2:$P$1000,0)),IF(COUNTIF('🎓 Alumnas'!$Q$2:$Q$1000,"*"&amp;TRIM($C38)&amp;"*")=1,INDEX('🎓 Alumnas'!$A$2:$A$1000,MATCH("*"&amp;TRIM($C38)&amp;"*",'🎓 Alumnas'!$Q$2:$Q$1000,0)),IF(COUNTIF('🎓 Alumnas'!$P$2:$P$1000,"*"&amp;TRIM($C38)&amp;"*")+COUNTIF('🎓 Alumnas'!$Q$2:$Q$1000,"*"&amp;TRIM($C38)&amp;"*")&gt;1,"Varias: elige de la lista","No encontrada"))))))))</f>
        <v>A-007</v>
      </c>
    </row>
    <row r="39" customFormat="false" ht="14.25" hidden="false" customHeight="true" outlineLevel="0" collapsed="false">
      <c r="A39" s="25" t="s">
        <v>584</v>
      </c>
      <c r="B39" s="27" t="n">
        <v>46295</v>
      </c>
      <c r="C39" s="25" t="s">
        <v>558</v>
      </c>
      <c r="D39" s="34" t="str">
        <f aca="false">IF($W39="","",IFERROR(TRIM(INDEX('🎓 Alumnas'!$B$2:$B$1000,MATCH($W39,'🎓 Alumnas'!$A$2:$A$1000,0))),""))</f>
        <v>Osorio Álvarez</v>
      </c>
      <c r="E39" s="34" t="str">
        <f aca="false">IF($W39="","",IFERROR(TRIM(INDEX('🎓 Alumnas'!$C$2:$C$1000,MATCH($W39,'🎓 Alumnas'!$A$2:$A$1000,0))),""))</f>
        <v>Mary Aurora</v>
      </c>
      <c r="F39" s="34" t="str">
        <f aca="false">IF($W39="","",IFERROR(IF(INDEX('🎓 Alumnas'!$D$2:$D$1000,MATCH($W39,'🎓 Alumnas'!$A$2:$A$1000,0))="","",INDEX('🎓 Alumnas'!$D$2:$D$1000,MATCH($W39,'🎓 Alumnas'!$A$2:$A$1000,0))),""))</f>
        <v>3186650375</v>
      </c>
      <c r="G39" s="28" t="str">
        <f aca="false">IF($W39="","",IFERROR(IF(INDEX('🎓 Alumnas'!$E$2:$E$1000,MATCH($W39,'🎓 Alumnas'!$A$2:$A$1000,0))="","",INDEX('🎓 Alumnas'!$E$2:$E$1000,MATCH($W39,'🎓 Alumnas'!$A$2:$A$1000,0))),""))</f>
        <v>ojoslindos256@hotmail.com</v>
      </c>
      <c r="H39" s="28" t="str">
        <f aca="false">IF($W39="","",IFERROR(IF(INDEX('🎓 Alumnas'!$F$2:$F$1000,MATCH($W39,'🎓 Alumnas'!$A$2:$A$1000,0))="","",INDEX('🎓 Alumnas'!$F$2:$F$1000,MATCH($W39,'🎓 Alumnas'!$A$2:$A$1000,0))),""))</f>
        <v>Cl. 51b Sur #80a-8, Bogotá, Colombia</v>
      </c>
      <c r="I39" s="30" t="n">
        <f aca="false">IF($W39="","",IFERROR(IF(INDEX('🎓 Alumnas'!$G$2:$G$1000,MATCH($W39,'🎓 Alumnas'!$A$2:$A$1000,0))="","",INDEX('🎓 Alumnas'!$G$2:$G$1000,MATCH($W39,'🎓 Alumnas'!$A$2:$A$1000,0))),""))</f>
        <v>31279</v>
      </c>
      <c r="J39" s="28" t="n">
        <f aca="true">IF(I39="","",DATEDIF(I39,TODAY(),"Y"))</f>
        <v>41</v>
      </c>
      <c r="K39" s="25" t="s">
        <v>524</v>
      </c>
      <c r="L39" s="28" t="str">
        <f aca="false">IF(K39="","",IF(LEFT(K39,6)="1 Pole","Alquiler",IF(LEFT(K39,7)="1 Clase","Clase suelta","Paquete")))</f>
        <v>Paquete</v>
      </c>
      <c r="M39" s="25" t="s">
        <v>525</v>
      </c>
      <c r="N39" s="25" t="n">
        <v>1</v>
      </c>
      <c r="O39" s="35" t="n">
        <v>240000</v>
      </c>
      <c r="P39" s="29" t="n">
        <f aca="false">IF(O39="","",N39*O39)</f>
        <v>240000</v>
      </c>
      <c r="Q39" s="36" t="n">
        <v>0.5</v>
      </c>
      <c r="R39" s="25" t="s">
        <v>26</v>
      </c>
      <c r="S39" s="25"/>
      <c r="T39" s="28" t="str">
        <f aca="false">IF(OR(LEFT(W39,2)&lt;&gt;"A-",ISERROR(MATCH(W39,'🎓 Alumnas'!$A$2:$A$1000,0))),"",IF(COUNTIF($W$2:W39,W39)=1,"Nueva","Recurrente"))</f>
        <v>Recurrente</v>
      </c>
      <c r="U39" s="28" t="n">
        <f aca="false">IF(OR(T39="",L39&lt;&gt;"Paquete"),"",COUNTIFS($W$2:W39,W39,$L$2:L39,"Paquete"))</f>
        <v>1</v>
      </c>
      <c r="V39" s="25"/>
      <c r="W39" s="34" t="str">
        <f aca="false">IF(TRIM($C39)="","",IF(COUNTIF('🎓 Alumnas'!$P$2:$P$1000,TRIM($C39))&gt;0,INDEX('🎓 Alumnas'!$A$2:$A$1000,MATCH(TRIM($C39),'🎓 Alumnas'!$P$2:$P$1000,0)),IF(COUNTIF('🎓 Alumnas'!$O$2:$O$1000,TRIM($C39)&amp;"|*")=1,INDEX('🎓 Alumnas'!$A$2:$A$1000,MATCH(TRIM($C39)&amp;"|*",'🎓 Alumnas'!$O$2:$O$1000,0)),IF(COUNTIF('🎓 Alumnas'!$O$2:$O$1000,"*|"&amp;TRIM($C39))=1,INDEX('🎓 Alumnas'!$A$2:$A$1000,MATCH("*|"&amp;TRIM($C39),'🎓 Alumnas'!$O$2:$O$1000,0)),IF(COUNTIF('🎓 Alumnas'!$Q$2:$Q$1000,TRIM($C39))=1,INDEX('🎓 Alumnas'!$A$2:$A$1000,MATCH(TRIM($C39),'🎓 Alumnas'!$Q$2:$Q$1000,0)),IF(COUNTIF('🎓 Alumnas'!$P$2:$P$1000,"*"&amp;TRIM($C39)&amp;"*")=1,INDEX('🎓 Alumnas'!$A$2:$A$1000,MATCH("*"&amp;TRIM($C39)&amp;"*",'🎓 Alumnas'!$P$2:$P$1000,0)),IF(COUNTIF('🎓 Alumnas'!$Q$2:$Q$1000,"*"&amp;TRIM($C39)&amp;"*")=1,INDEX('🎓 Alumnas'!$A$2:$A$1000,MATCH("*"&amp;TRIM($C39)&amp;"*",'🎓 Alumnas'!$Q$2:$Q$1000,0)),IF(COUNTIF('🎓 Alumnas'!$P$2:$P$1000,"*"&amp;TRIM($C39)&amp;"*")+COUNTIF('🎓 Alumnas'!$Q$2:$Q$1000,"*"&amp;TRIM($C39)&amp;"*")&gt;1,"Varias: elige de la lista","No encontrada"))))))))</f>
        <v>A-018</v>
      </c>
    </row>
    <row r="40" customFormat="false" ht="14.25" hidden="false" customHeight="true" outlineLevel="0" collapsed="false">
      <c r="A40" s="25" t="s">
        <v>585</v>
      </c>
      <c r="B40" s="27" t="n">
        <v>46295</v>
      </c>
      <c r="C40" s="25" t="s">
        <v>548</v>
      </c>
      <c r="D40" s="34" t="str">
        <f aca="false">IF($W40="","",IFERROR(TRIM(INDEX('🎓 Alumnas'!$B$2:$B$1000,MATCH($W40,'🎓 Alumnas'!$A$2:$A$1000,0))),""))</f>
        <v>Vergara Hernández</v>
      </c>
      <c r="E40" s="34" t="str">
        <f aca="false">IF($W40="","",IFERROR(TRIM(INDEX('🎓 Alumnas'!$C$2:$C$1000,MATCH($W40,'🎓 Alumnas'!$A$2:$A$1000,0))),""))</f>
        <v>Maira Alejandra</v>
      </c>
      <c r="F40" s="34" t="str">
        <f aca="false">IF($W40="","",IFERROR(IF(INDEX('🎓 Alumnas'!$D$2:$D$1000,MATCH($W40,'🎓 Alumnas'!$A$2:$A$1000,0))="","",INDEX('🎓 Alumnas'!$D$2:$D$1000,MATCH($W40,'🎓 Alumnas'!$A$2:$A$1000,0))),""))</f>
        <v>300 300 0010</v>
      </c>
      <c r="G40" s="28" t="str">
        <f aca="false">IF($W40="","",IFERROR(IF(INDEX('🎓 Alumnas'!$E$2:$E$1000,MATCH($W40,'🎓 Alumnas'!$A$2:$A$1000,0))="","",INDEX('🎓 Alumnas'!$E$2:$E$1000,MATCH($W40,'🎓 Alumnas'!$A$2:$A$1000,0))),""))</f>
        <v>mairalejandravh93@gmail.com</v>
      </c>
      <c r="H40" s="28" t="str">
        <f aca="false">IF($W40="","",IFERROR(IF(INDEX('🎓 Alumnas'!$F$2:$F$1000,MATCH($W40,'🎓 Alumnas'!$A$2:$A$1000,0))="","",INDEX('🎓 Alumnas'!$F$2:$F$1000,MATCH($W40,'🎓 Alumnas'!$A$2:$A$1000,0))),""))</f>
        <v>Cra. 78 #11c-21, Bogotá, Colombia</v>
      </c>
      <c r="I40" s="30" t="str">
        <f aca="false">IF($W40="","",IFERROR(IF(INDEX('🎓 Alumnas'!$G$2:$G$1000,MATCH($W40,'🎓 Alumnas'!$A$2:$A$1000,0))="","",INDEX('🎓 Alumnas'!$G$2:$G$1000,MATCH($W40,'🎓 Alumnas'!$A$2:$A$1000,0))),""))</f>
        <v/>
      </c>
      <c r="J40" s="28" t="str">
        <f aca="true">IF(I40="","",DATEDIF(I40,TODAY(),"Y"))</f>
        <v/>
      </c>
      <c r="K40" s="25" t="s">
        <v>524</v>
      </c>
      <c r="L40" s="28" t="str">
        <f aca="false">IF(K40="","",IF(LEFT(K40,6)="1 Pole","Alquiler",IF(LEFT(K40,7)="1 Clase","Clase suelta","Paquete")))</f>
        <v>Paquete</v>
      </c>
      <c r="M40" s="25" t="s">
        <v>525</v>
      </c>
      <c r="N40" s="25" t="n">
        <v>1</v>
      </c>
      <c r="O40" s="35" t="n">
        <v>240000</v>
      </c>
      <c r="P40" s="29" t="n">
        <f aca="false">IF(O40="","",N40*O40)</f>
        <v>240000</v>
      </c>
      <c r="Q40" s="36" t="n">
        <v>0.5</v>
      </c>
      <c r="R40" s="25" t="s">
        <v>32</v>
      </c>
      <c r="S40" s="25"/>
      <c r="T40" s="28" t="str">
        <f aca="false">IF(OR(LEFT(W40,2)&lt;&gt;"A-",ISERROR(MATCH(W40,'🎓 Alumnas'!$A$2:$A$1000,0))),"",IF(COUNTIF($W$2:W40,W40)=1,"Nueva","Recurrente"))</f>
        <v>Recurrente</v>
      </c>
      <c r="U40" s="28" t="n">
        <f aca="false">IF(OR(T40="",L40&lt;&gt;"Paquete"),"",COUNTIFS($W$2:W40,W40,$L$2:L40,"Paquete"))</f>
        <v>2</v>
      </c>
      <c r="V40" s="25"/>
      <c r="W40" s="34" t="str">
        <f aca="false">IF(TRIM($C40)="","",IF(COUNTIF('🎓 Alumnas'!$P$2:$P$1000,TRIM($C40))&gt;0,INDEX('🎓 Alumnas'!$A$2:$A$1000,MATCH(TRIM($C40),'🎓 Alumnas'!$P$2:$P$1000,0)),IF(COUNTIF('🎓 Alumnas'!$O$2:$O$1000,TRIM($C40)&amp;"|*")=1,INDEX('🎓 Alumnas'!$A$2:$A$1000,MATCH(TRIM($C40)&amp;"|*",'🎓 Alumnas'!$O$2:$O$1000,0)),IF(COUNTIF('🎓 Alumnas'!$O$2:$O$1000,"*|"&amp;TRIM($C40))=1,INDEX('🎓 Alumnas'!$A$2:$A$1000,MATCH("*|"&amp;TRIM($C40),'🎓 Alumnas'!$O$2:$O$1000,0)),IF(COUNTIF('🎓 Alumnas'!$Q$2:$Q$1000,TRIM($C40))=1,INDEX('🎓 Alumnas'!$A$2:$A$1000,MATCH(TRIM($C40),'🎓 Alumnas'!$Q$2:$Q$1000,0)),IF(COUNTIF('🎓 Alumnas'!$P$2:$P$1000,"*"&amp;TRIM($C40)&amp;"*")=1,INDEX('🎓 Alumnas'!$A$2:$A$1000,MATCH("*"&amp;TRIM($C40)&amp;"*",'🎓 Alumnas'!$P$2:$P$1000,0)),IF(COUNTIF('🎓 Alumnas'!$Q$2:$Q$1000,"*"&amp;TRIM($C40)&amp;"*")=1,INDEX('🎓 Alumnas'!$A$2:$A$1000,MATCH("*"&amp;TRIM($C40)&amp;"*",'🎓 Alumnas'!$Q$2:$Q$1000,0)),IF(COUNTIF('🎓 Alumnas'!$P$2:$P$1000,"*"&amp;TRIM($C40)&amp;"*")+COUNTIF('🎓 Alumnas'!$Q$2:$Q$1000,"*"&amp;TRIM($C40)&amp;"*")&gt;1,"Varias: elige de la lista","No encontrada"))))))))</f>
        <v>A-014</v>
      </c>
    </row>
    <row r="41" customFormat="false" ht="14.25" hidden="false" customHeight="true" outlineLevel="0" collapsed="false">
      <c r="A41" s="25" t="s">
        <v>586</v>
      </c>
      <c r="B41" s="27" t="n">
        <v>46295</v>
      </c>
      <c r="C41" s="25" t="s">
        <v>546</v>
      </c>
      <c r="D41" s="34" t="str">
        <f aca="false">IF($W41="","",IFERROR(TRIM(INDEX('🎓 Alumnas'!$B$2:$B$1000,MATCH($W41,'🎓 Alumnas'!$A$2:$A$1000,0))),""))</f>
        <v>Sierra</v>
      </c>
      <c r="E41" s="34" t="str">
        <f aca="false">IF($W41="","",IFERROR(TRIM(INDEX('🎓 Alumnas'!$C$2:$C$1000,MATCH($W41,'🎓 Alumnas'!$A$2:$A$1000,0))),""))</f>
        <v>Karol</v>
      </c>
      <c r="F41" s="34" t="str">
        <f aca="false">IF($W41="","",IFERROR(IF(INDEX('🎓 Alumnas'!$D$2:$D$1000,MATCH($W41,'🎓 Alumnas'!$A$2:$A$1000,0))="","",INDEX('🎓 Alumnas'!$D$2:$D$1000,MATCH($W41,'🎓 Alumnas'!$A$2:$A$1000,0))),""))</f>
        <v/>
      </c>
      <c r="G41" s="28" t="str">
        <f aca="false">IF($W41="","",IFERROR(IF(INDEX('🎓 Alumnas'!$E$2:$E$1000,MATCH($W41,'🎓 Alumnas'!$A$2:$A$1000,0))="","",INDEX('🎓 Alumnas'!$E$2:$E$1000,MATCH($W41,'🎓 Alumnas'!$A$2:$A$1000,0))),""))</f>
        <v/>
      </c>
      <c r="H41" s="28" t="str">
        <f aca="false">IF($W41="","",IFERROR(IF(INDEX('🎓 Alumnas'!$F$2:$F$1000,MATCH($W41,'🎓 Alumnas'!$A$2:$A$1000,0))="","",INDEX('🎓 Alumnas'!$F$2:$F$1000,MATCH($W41,'🎓 Alumnas'!$A$2:$A$1000,0))),""))</f>
        <v/>
      </c>
      <c r="I41" s="30" t="str">
        <f aca="false">IF($W41="","",IFERROR(IF(INDEX('🎓 Alumnas'!$G$2:$G$1000,MATCH($W41,'🎓 Alumnas'!$A$2:$A$1000,0))="","",INDEX('🎓 Alumnas'!$G$2:$G$1000,MATCH($W41,'🎓 Alumnas'!$A$2:$A$1000,0))),""))</f>
        <v/>
      </c>
      <c r="J41" s="28" t="str">
        <f aca="true">IF(I41="","",DATEDIF(I41,TODAY(),"Y"))</f>
        <v/>
      </c>
      <c r="K41" s="25" t="s">
        <v>532</v>
      </c>
      <c r="L41" s="28" t="str">
        <f aca="false">IF(K41="","",IF(LEFT(K41,6)="1 Pole","Alquiler",IF(LEFT(K41,7)="1 Clase","Clase suelta","Paquete")))</f>
        <v>Alquiler</v>
      </c>
      <c r="M41" s="25"/>
      <c r="N41" s="25" t="n">
        <v>2</v>
      </c>
      <c r="O41" s="35" t="n">
        <v>22000</v>
      </c>
      <c r="P41" s="29" t="n">
        <f aca="false">IF(O41="","",N41*O41)</f>
        <v>44000</v>
      </c>
      <c r="Q41" s="36" t="n">
        <v>1</v>
      </c>
      <c r="R41" s="25" t="s">
        <v>32</v>
      </c>
      <c r="S41" s="25"/>
      <c r="T41" s="28" t="str">
        <f aca="false">IF(OR(LEFT(W41,2)&lt;&gt;"A-",ISERROR(MATCH(W41,'🎓 Alumnas'!$A$2:$A$1000,0))),"",IF(COUNTIF($W$2:W41,W41)=1,"Nueva","Recurrente"))</f>
        <v>Recurrente</v>
      </c>
      <c r="U41" s="28" t="str">
        <f aca="false">IF(OR(T41="",L41&lt;&gt;"Paquete"),"",COUNTIFS($W$2:W41,W41,$L$2:L41,"Paquete"))</f>
        <v/>
      </c>
      <c r="V41" s="25"/>
      <c r="W41" s="34" t="str">
        <f aca="false">IF(TRIM($C41)="","",IF(COUNTIF('🎓 Alumnas'!$P$2:$P$1000,TRIM($C41))&gt;0,INDEX('🎓 Alumnas'!$A$2:$A$1000,MATCH(TRIM($C41),'🎓 Alumnas'!$P$2:$P$1000,0)),IF(COUNTIF('🎓 Alumnas'!$O$2:$O$1000,TRIM($C41)&amp;"|*")=1,INDEX('🎓 Alumnas'!$A$2:$A$1000,MATCH(TRIM($C41)&amp;"|*",'🎓 Alumnas'!$O$2:$O$1000,0)),IF(COUNTIF('🎓 Alumnas'!$O$2:$O$1000,"*|"&amp;TRIM($C41))=1,INDEX('🎓 Alumnas'!$A$2:$A$1000,MATCH("*|"&amp;TRIM($C41),'🎓 Alumnas'!$O$2:$O$1000,0)),IF(COUNTIF('🎓 Alumnas'!$Q$2:$Q$1000,TRIM($C41))=1,INDEX('🎓 Alumnas'!$A$2:$A$1000,MATCH(TRIM($C41),'🎓 Alumnas'!$Q$2:$Q$1000,0)),IF(COUNTIF('🎓 Alumnas'!$P$2:$P$1000,"*"&amp;TRIM($C41)&amp;"*")=1,INDEX('🎓 Alumnas'!$A$2:$A$1000,MATCH("*"&amp;TRIM($C41)&amp;"*",'🎓 Alumnas'!$P$2:$P$1000,0)),IF(COUNTIF('🎓 Alumnas'!$Q$2:$Q$1000,"*"&amp;TRIM($C41)&amp;"*")=1,INDEX('🎓 Alumnas'!$A$2:$A$1000,MATCH("*"&amp;TRIM($C41)&amp;"*",'🎓 Alumnas'!$Q$2:$Q$1000,0)),IF(COUNTIF('🎓 Alumnas'!$P$2:$P$1000,"*"&amp;TRIM($C41)&amp;"*")+COUNTIF('🎓 Alumnas'!$Q$2:$Q$1000,"*"&amp;TRIM($C41)&amp;"*")&gt;1,"Varias: elige de la lista","No encontrada"))))))))</f>
        <v>A-013</v>
      </c>
    </row>
    <row r="42" customFormat="false" ht="14.25" hidden="false" customHeight="true" outlineLevel="0" collapsed="false">
      <c r="A42" s="25" t="s">
        <v>587</v>
      </c>
      <c r="B42" s="27"/>
      <c r="C42" s="25"/>
      <c r="D42" s="34" t="str">
        <f aca="false">IF($W42="","",IFERROR(TRIM(INDEX('🎓 Alumnas'!$B$2:$B$1000,MATCH($W42,'🎓 Alumnas'!$A$2:$A$1000,0))),""))</f>
        <v/>
      </c>
      <c r="E42" s="34" t="str">
        <f aca="false">IF($W42="","",IFERROR(TRIM(INDEX('🎓 Alumnas'!$C$2:$C$1000,MATCH($W42,'🎓 Alumnas'!$A$2:$A$1000,0))),""))</f>
        <v/>
      </c>
      <c r="F42" s="34" t="str">
        <f aca="false">IF($W42="","",IFERROR(IF(INDEX('🎓 Alumnas'!$D$2:$D$1000,MATCH($W42,'🎓 Alumnas'!$A$2:$A$1000,0))="","",INDEX('🎓 Alumnas'!$D$2:$D$1000,MATCH($W42,'🎓 Alumnas'!$A$2:$A$1000,0))),""))</f>
        <v/>
      </c>
      <c r="G42" s="28" t="str">
        <f aca="false">IF($W42="","",IFERROR(IF(INDEX('🎓 Alumnas'!$E$2:$E$1000,MATCH($W42,'🎓 Alumnas'!$A$2:$A$1000,0))="","",INDEX('🎓 Alumnas'!$E$2:$E$1000,MATCH($W42,'🎓 Alumnas'!$A$2:$A$1000,0))),""))</f>
        <v/>
      </c>
      <c r="H42" s="28" t="str">
        <f aca="false">IF($W42="","",IFERROR(IF(INDEX('🎓 Alumnas'!$F$2:$F$1000,MATCH($W42,'🎓 Alumnas'!$A$2:$A$1000,0))="","",INDEX('🎓 Alumnas'!$F$2:$F$1000,MATCH($W42,'🎓 Alumnas'!$A$2:$A$1000,0))),""))</f>
        <v/>
      </c>
      <c r="I42" s="30" t="str">
        <f aca="false">IF($W42="","",IFERROR(IF(INDEX('🎓 Alumnas'!$G$2:$G$1000,MATCH($W42,'🎓 Alumnas'!$A$2:$A$1000,0))="","",INDEX('🎓 Alumnas'!$G$2:$G$1000,MATCH($W42,'🎓 Alumnas'!$A$2:$A$1000,0))),""))</f>
        <v/>
      </c>
      <c r="J42" s="28" t="str">
        <f aca="true">IF(I42="","",DATEDIF(I42,TODAY(),"Y"))</f>
        <v/>
      </c>
      <c r="K42" s="25"/>
      <c r="L42" s="28" t="str">
        <f aca="false">IF(K42="","",IF(LEFT(K42,6)="1 Pole","Alquiler",IF(LEFT(K42,7)="1 Clase","Clase suelta","Paquete")))</f>
        <v/>
      </c>
      <c r="M42" s="25"/>
      <c r="N42" s="25"/>
      <c r="O42" s="35"/>
      <c r="P42" s="29" t="str">
        <f aca="false">IF(O42="","",N42*O42)</f>
        <v/>
      </c>
      <c r="Q42" s="36"/>
      <c r="R42" s="25"/>
      <c r="S42" s="25"/>
      <c r="T42" s="28" t="str">
        <f aca="false">IF(OR(LEFT(W42,2)&lt;&gt;"A-",ISERROR(MATCH(W42,'🎓 Alumnas'!$A$2:$A$1000,0))),"",IF(COUNTIF($W$2:W42,W42)=1,"Nueva","Recurrente"))</f>
        <v/>
      </c>
      <c r="U42" s="28" t="str">
        <f aca="false">IF(OR(T42="",L42&lt;&gt;"Paquete"),"",COUNTIFS($W$2:W42,W42,$L$2:L42,"Paquete"))</f>
        <v/>
      </c>
      <c r="V42" s="25"/>
      <c r="W42" s="34" t="str">
        <f aca="false">IF(TRIM($C42)="","",IF(COUNTIF('🎓 Alumnas'!$P$2:$P$1000,TRIM($C42))&gt;0,INDEX('🎓 Alumnas'!$A$2:$A$1000,MATCH(TRIM($C42),'🎓 Alumnas'!$P$2:$P$1000,0)),IF(COUNTIF('🎓 Alumnas'!$O$2:$O$1000,TRIM($C42)&amp;"|*")=1,INDEX('🎓 Alumnas'!$A$2:$A$1000,MATCH(TRIM($C42)&amp;"|*",'🎓 Alumnas'!$O$2:$O$1000,0)),IF(COUNTIF('🎓 Alumnas'!$O$2:$O$1000,"*|"&amp;TRIM($C42))=1,INDEX('🎓 Alumnas'!$A$2:$A$1000,MATCH("*|"&amp;TRIM($C42),'🎓 Alumnas'!$O$2:$O$1000,0)),IF(COUNTIF('🎓 Alumnas'!$Q$2:$Q$1000,TRIM($C42))=1,INDEX('🎓 Alumnas'!$A$2:$A$1000,MATCH(TRIM($C42),'🎓 Alumnas'!$Q$2:$Q$1000,0)),IF(COUNTIF('🎓 Alumnas'!$P$2:$P$1000,"*"&amp;TRIM($C42)&amp;"*")=1,INDEX('🎓 Alumnas'!$A$2:$A$1000,MATCH("*"&amp;TRIM($C42)&amp;"*",'🎓 Alumnas'!$P$2:$P$1000,0)),IF(COUNTIF('🎓 Alumnas'!$Q$2:$Q$1000,"*"&amp;TRIM($C42)&amp;"*")=1,INDEX('🎓 Alumnas'!$A$2:$A$1000,MATCH("*"&amp;TRIM($C42)&amp;"*",'🎓 Alumnas'!$Q$2:$Q$1000,0)),IF(COUNTIF('🎓 Alumnas'!$P$2:$P$1000,"*"&amp;TRIM($C42)&amp;"*")+COUNTIF('🎓 Alumnas'!$Q$2:$Q$1000,"*"&amp;TRIM($C42)&amp;"*")&gt;1,"Varias: elige de la lista","No encontrada"))))))))</f>
        <v/>
      </c>
    </row>
    <row r="43" customFormat="false" ht="14.25" hidden="false" customHeight="true" outlineLevel="0" collapsed="false">
      <c r="A43" s="25" t="s">
        <v>588</v>
      </c>
      <c r="B43" s="27"/>
      <c r="C43" s="25"/>
      <c r="D43" s="34" t="str">
        <f aca="false">IF($W43="","",IFERROR(TRIM(INDEX('🎓 Alumnas'!$B$2:$B$1000,MATCH($W43,'🎓 Alumnas'!$A$2:$A$1000,0))),""))</f>
        <v/>
      </c>
      <c r="E43" s="34" t="str">
        <f aca="false">IF($W43="","",IFERROR(TRIM(INDEX('🎓 Alumnas'!$C$2:$C$1000,MATCH($W43,'🎓 Alumnas'!$A$2:$A$1000,0))),""))</f>
        <v/>
      </c>
      <c r="F43" s="34" t="str">
        <f aca="false">IF($W43="","",IFERROR(IF(INDEX('🎓 Alumnas'!$D$2:$D$1000,MATCH($W43,'🎓 Alumnas'!$A$2:$A$1000,0))="","",INDEX('🎓 Alumnas'!$D$2:$D$1000,MATCH($W43,'🎓 Alumnas'!$A$2:$A$1000,0))),""))</f>
        <v/>
      </c>
      <c r="G43" s="28" t="str">
        <f aca="false">IF($W43="","",IFERROR(IF(INDEX('🎓 Alumnas'!$E$2:$E$1000,MATCH($W43,'🎓 Alumnas'!$A$2:$A$1000,0))="","",INDEX('🎓 Alumnas'!$E$2:$E$1000,MATCH($W43,'🎓 Alumnas'!$A$2:$A$1000,0))),""))</f>
        <v/>
      </c>
      <c r="H43" s="28" t="str">
        <f aca="false">IF($W43="","",IFERROR(IF(INDEX('🎓 Alumnas'!$F$2:$F$1000,MATCH($W43,'🎓 Alumnas'!$A$2:$A$1000,0))="","",INDEX('🎓 Alumnas'!$F$2:$F$1000,MATCH($W43,'🎓 Alumnas'!$A$2:$A$1000,0))),""))</f>
        <v/>
      </c>
      <c r="I43" s="30" t="str">
        <f aca="false">IF($W43="","",IFERROR(IF(INDEX('🎓 Alumnas'!$G$2:$G$1000,MATCH($W43,'🎓 Alumnas'!$A$2:$A$1000,0))="","",INDEX('🎓 Alumnas'!$G$2:$G$1000,MATCH($W43,'🎓 Alumnas'!$A$2:$A$1000,0))),""))</f>
        <v/>
      </c>
      <c r="J43" s="28" t="str">
        <f aca="true">IF(I43="","",DATEDIF(I43,TODAY(),"Y"))</f>
        <v/>
      </c>
      <c r="K43" s="25"/>
      <c r="L43" s="28" t="str">
        <f aca="false">IF(K43="","",IF(LEFT(K43,6)="1 Pole","Alquiler",IF(LEFT(K43,7)="1 Clase","Clase suelta","Paquete")))</f>
        <v/>
      </c>
      <c r="M43" s="25"/>
      <c r="N43" s="25"/>
      <c r="O43" s="35"/>
      <c r="P43" s="29" t="str">
        <f aca="false">IF(O43="","",N43*O43)</f>
        <v/>
      </c>
      <c r="Q43" s="36"/>
      <c r="R43" s="25"/>
      <c r="S43" s="25"/>
      <c r="T43" s="28" t="str">
        <f aca="false">IF(OR(LEFT(W43,2)&lt;&gt;"A-",ISERROR(MATCH(W43,'🎓 Alumnas'!$A$2:$A$1000,0))),"",IF(COUNTIF($W$2:W43,W43)=1,"Nueva","Recurrente"))</f>
        <v/>
      </c>
      <c r="U43" s="28" t="str">
        <f aca="false">IF(OR(T43="",L43&lt;&gt;"Paquete"),"",COUNTIFS($W$2:W43,W43,$L$2:L43,"Paquete"))</f>
        <v/>
      </c>
      <c r="V43" s="25"/>
      <c r="W43" s="34" t="str">
        <f aca="false">IF(TRIM($C43)="","",IF(COUNTIF('🎓 Alumnas'!$P$2:$P$1000,TRIM($C43))&gt;0,INDEX('🎓 Alumnas'!$A$2:$A$1000,MATCH(TRIM($C43),'🎓 Alumnas'!$P$2:$P$1000,0)),IF(COUNTIF('🎓 Alumnas'!$O$2:$O$1000,TRIM($C43)&amp;"|*")=1,INDEX('🎓 Alumnas'!$A$2:$A$1000,MATCH(TRIM($C43)&amp;"|*",'🎓 Alumnas'!$O$2:$O$1000,0)),IF(COUNTIF('🎓 Alumnas'!$O$2:$O$1000,"*|"&amp;TRIM($C43))=1,INDEX('🎓 Alumnas'!$A$2:$A$1000,MATCH("*|"&amp;TRIM($C43),'🎓 Alumnas'!$O$2:$O$1000,0)),IF(COUNTIF('🎓 Alumnas'!$Q$2:$Q$1000,TRIM($C43))=1,INDEX('🎓 Alumnas'!$A$2:$A$1000,MATCH(TRIM($C43),'🎓 Alumnas'!$Q$2:$Q$1000,0)),IF(COUNTIF('🎓 Alumnas'!$P$2:$P$1000,"*"&amp;TRIM($C43)&amp;"*")=1,INDEX('🎓 Alumnas'!$A$2:$A$1000,MATCH("*"&amp;TRIM($C43)&amp;"*",'🎓 Alumnas'!$P$2:$P$1000,0)),IF(COUNTIF('🎓 Alumnas'!$Q$2:$Q$1000,"*"&amp;TRIM($C43)&amp;"*")=1,INDEX('🎓 Alumnas'!$A$2:$A$1000,MATCH("*"&amp;TRIM($C43)&amp;"*",'🎓 Alumnas'!$Q$2:$Q$1000,0)),IF(COUNTIF('🎓 Alumnas'!$P$2:$P$1000,"*"&amp;TRIM($C43)&amp;"*")+COUNTIF('🎓 Alumnas'!$Q$2:$Q$1000,"*"&amp;TRIM($C43)&amp;"*")&gt;1,"Varias: elige de la lista","No encontrada"))))))))</f>
        <v/>
      </c>
    </row>
    <row r="44" customFormat="false" ht="14.25" hidden="false" customHeight="true" outlineLevel="0" collapsed="false">
      <c r="A44" s="25" t="s">
        <v>589</v>
      </c>
      <c r="B44" s="27"/>
      <c r="C44" s="25"/>
      <c r="D44" s="34" t="str">
        <f aca="false">IF($W44="","",IFERROR(TRIM(INDEX('🎓 Alumnas'!$B$2:$B$1000,MATCH($W44,'🎓 Alumnas'!$A$2:$A$1000,0))),""))</f>
        <v/>
      </c>
      <c r="E44" s="34" t="str">
        <f aca="false">IF($W44="","",IFERROR(TRIM(INDEX('🎓 Alumnas'!$C$2:$C$1000,MATCH($W44,'🎓 Alumnas'!$A$2:$A$1000,0))),""))</f>
        <v/>
      </c>
      <c r="F44" s="34" t="str">
        <f aca="false">IF($W44="","",IFERROR(IF(INDEX('🎓 Alumnas'!$D$2:$D$1000,MATCH($W44,'🎓 Alumnas'!$A$2:$A$1000,0))="","",INDEX('🎓 Alumnas'!$D$2:$D$1000,MATCH($W44,'🎓 Alumnas'!$A$2:$A$1000,0))),""))</f>
        <v/>
      </c>
      <c r="G44" s="28" t="str">
        <f aca="false">IF($W44="","",IFERROR(IF(INDEX('🎓 Alumnas'!$E$2:$E$1000,MATCH($W44,'🎓 Alumnas'!$A$2:$A$1000,0))="","",INDEX('🎓 Alumnas'!$E$2:$E$1000,MATCH($W44,'🎓 Alumnas'!$A$2:$A$1000,0))),""))</f>
        <v/>
      </c>
      <c r="H44" s="28" t="str">
        <f aca="false">IF($W44="","",IFERROR(IF(INDEX('🎓 Alumnas'!$F$2:$F$1000,MATCH($W44,'🎓 Alumnas'!$A$2:$A$1000,0))="","",INDEX('🎓 Alumnas'!$F$2:$F$1000,MATCH($W44,'🎓 Alumnas'!$A$2:$A$1000,0))),""))</f>
        <v/>
      </c>
      <c r="I44" s="30" t="str">
        <f aca="false">IF($W44="","",IFERROR(IF(INDEX('🎓 Alumnas'!$G$2:$G$1000,MATCH($W44,'🎓 Alumnas'!$A$2:$A$1000,0))="","",INDEX('🎓 Alumnas'!$G$2:$G$1000,MATCH($W44,'🎓 Alumnas'!$A$2:$A$1000,0))),""))</f>
        <v/>
      </c>
      <c r="J44" s="28" t="str">
        <f aca="true">IF(I44="","",DATEDIF(I44,TODAY(),"Y"))</f>
        <v/>
      </c>
      <c r="K44" s="25"/>
      <c r="L44" s="28" t="str">
        <f aca="false">IF(K44="","",IF(LEFT(K44,6)="1 Pole","Alquiler",IF(LEFT(K44,7)="1 Clase","Clase suelta","Paquete")))</f>
        <v/>
      </c>
      <c r="M44" s="25"/>
      <c r="N44" s="25"/>
      <c r="O44" s="35"/>
      <c r="P44" s="29" t="str">
        <f aca="false">IF(O44="","",N44*O44)</f>
        <v/>
      </c>
      <c r="Q44" s="36"/>
      <c r="R44" s="25"/>
      <c r="S44" s="25"/>
      <c r="T44" s="28" t="str">
        <f aca="false">IF(OR(LEFT(W44,2)&lt;&gt;"A-",ISERROR(MATCH(W44,'🎓 Alumnas'!$A$2:$A$1000,0))),"",IF(COUNTIF($W$2:W44,W44)=1,"Nueva","Recurrente"))</f>
        <v/>
      </c>
      <c r="U44" s="28" t="str">
        <f aca="false">IF(OR(T44="",L44&lt;&gt;"Paquete"),"",COUNTIFS($W$2:W44,W44,$L$2:L44,"Paquete"))</f>
        <v/>
      </c>
      <c r="V44" s="25"/>
      <c r="W44" s="34" t="str">
        <f aca="false">IF(TRIM($C44)="","",IF(COUNTIF('🎓 Alumnas'!$P$2:$P$1000,TRIM($C44))&gt;0,INDEX('🎓 Alumnas'!$A$2:$A$1000,MATCH(TRIM($C44),'🎓 Alumnas'!$P$2:$P$1000,0)),IF(COUNTIF('🎓 Alumnas'!$O$2:$O$1000,TRIM($C44)&amp;"|*")=1,INDEX('🎓 Alumnas'!$A$2:$A$1000,MATCH(TRIM($C44)&amp;"|*",'🎓 Alumnas'!$O$2:$O$1000,0)),IF(COUNTIF('🎓 Alumnas'!$O$2:$O$1000,"*|"&amp;TRIM($C44))=1,INDEX('🎓 Alumnas'!$A$2:$A$1000,MATCH("*|"&amp;TRIM($C44),'🎓 Alumnas'!$O$2:$O$1000,0)),IF(COUNTIF('🎓 Alumnas'!$Q$2:$Q$1000,TRIM($C44))=1,INDEX('🎓 Alumnas'!$A$2:$A$1000,MATCH(TRIM($C44),'🎓 Alumnas'!$Q$2:$Q$1000,0)),IF(COUNTIF('🎓 Alumnas'!$P$2:$P$1000,"*"&amp;TRIM($C44)&amp;"*")=1,INDEX('🎓 Alumnas'!$A$2:$A$1000,MATCH("*"&amp;TRIM($C44)&amp;"*",'🎓 Alumnas'!$P$2:$P$1000,0)),IF(COUNTIF('🎓 Alumnas'!$Q$2:$Q$1000,"*"&amp;TRIM($C44)&amp;"*")=1,INDEX('🎓 Alumnas'!$A$2:$A$1000,MATCH("*"&amp;TRIM($C44)&amp;"*",'🎓 Alumnas'!$Q$2:$Q$1000,0)),IF(COUNTIF('🎓 Alumnas'!$P$2:$P$1000,"*"&amp;TRIM($C44)&amp;"*")+COUNTIF('🎓 Alumnas'!$Q$2:$Q$1000,"*"&amp;TRIM($C44)&amp;"*")&gt;1,"Varias: elige de la lista","No encontrada"))))))))</f>
        <v/>
      </c>
    </row>
    <row r="45" customFormat="false" ht="14.25" hidden="false" customHeight="true" outlineLevel="0" collapsed="false">
      <c r="A45" s="25" t="s">
        <v>590</v>
      </c>
      <c r="B45" s="27"/>
      <c r="C45" s="25"/>
      <c r="D45" s="34" t="str">
        <f aca="false">IF($W45="","",IFERROR(TRIM(INDEX('🎓 Alumnas'!$B$2:$B$1000,MATCH($W45,'🎓 Alumnas'!$A$2:$A$1000,0))),""))</f>
        <v/>
      </c>
      <c r="E45" s="34" t="str">
        <f aca="false">IF($W45="","",IFERROR(TRIM(INDEX('🎓 Alumnas'!$C$2:$C$1000,MATCH($W45,'🎓 Alumnas'!$A$2:$A$1000,0))),""))</f>
        <v/>
      </c>
      <c r="F45" s="34" t="str">
        <f aca="false">IF($W45="","",IFERROR(IF(INDEX('🎓 Alumnas'!$D$2:$D$1000,MATCH($W45,'🎓 Alumnas'!$A$2:$A$1000,0))="","",INDEX('🎓 Alumnas'!$D$2:$D$1000,MATCH($W45,'🎓 Alumnas'!$A$2:$A$1000,0))),""))</f>
        <v/>
      </c>
      <c r="G45" s="28" t="str">
        <f aca="false">IF($W45="","",IFERROR(IF(INDEX('🎓 Alumnas'!$E$2:$E$1000,MATCH($W45,'🎓 Alumnas'!$A$2:$A$1000,0))="","",INDEX('🎓 Alumnas'!$E$2:$E$1000,MATCH($W45,'🎓 Alumnas'!$A$2:$A$1000,0))),""))</f>
        <v/>
      </c>
      <c r="H45" s="28" t="str">
        <f aca="false">IF($W45="","",IFERROR(IF(INDEX('🎓 Alumnas'!$F$2:$F$1000,MATCH($W45,'🎓 Alumnas'!$A$2:$A$1000,0))="","",INDEX('🎓 Alumnas'!$F$2:$F$1000,MATCH($W45,'🎓 Alumnas'!$A$2:$A$1000,0))),""))</f>
        <v/>
      </c>
      <c r="I45" s="30" t="str">
        <f aca="false">IF($W45="","",IFERROR(IF(INDEX('🎓 Alumnas'!$G$2:$G$1000,MATCH($W45,'🎓 Alumnas'!$A$2:$A$1000,0))="","",INDEX('🎓 Alumnas'!$G$2:$G$1000,MATCH($W45,'🎓 Alumnas'!$A$2:$A$1000,0))),""))</f>
        <v/>
      </c>
      <c r="J45" s="28" t="str">
        <f aca="true">IF(I45="","",DATEDIF(I45,TODAY(),"Y"))</f>
        <v/>
      </c>
      <c r="K45" s="25"/>
      <c r="L45" s="28" t="str">
        <f aca="false">IF(K45="","",IF(LEFT(K45,6)="1 Pole","Alquiler",IF(LEFT(K45,7)="1 Clase","Clase suelta","Paquete")))</f>
        <v/>
      </c>
      <c r="M45" s="25"/>
      <c r="N45" s="25"/>
      <c r="O45" s="35"/>
      <c r="P45" s="29" t="str">
        <f aca="false">IF(O45="","",N45*O45)</f>
        <v/>
      </c>
      <c r="Q45" s="36"/>
      <c r="R45" s="25"/>
      <c r="S45" s="25"/>
      <c r="T45" s="28" t="str">
        <f aca="false">IF(OR(LEFT(W45,2)&lt;&gt;"A-",ISERROR(MATCH(W45,'🎓 Alumnas'!$A$2:$A$1000,0))),"",IF(COUNTIF($W$2:W45,W45)=1,"Nueva","Recurrente"))</f>
        <v/>
      </c>
      <c r="U45" s="28" t="str">
        <f aca="false">IF(OR(T45="",L45&lt;&gt;"Paquete"),"",COUNTIFS($W$2:W45,W45,$L$2:L45,"Paquete"))</f>
        <v/>
      </c>
      <c r="V45" s="25"/>
      <c r="W45" s="34" t="str">
        <f aca="false">IF(TRIM($C45)="","",IF(COUNTIF('🎓 Alumnas'!$P$2:$P$1000,TRIM($C45))&gt;0,INDEX('🎓 Alumnas'!$A$2:$A$1000,MATCH(TRIM($C45),'🎓 Alumnas'!$P$2:$P$1000,0)),IF(COUNTIF('🎓 Alumnas'!$O$2:$O$1000,TRIM($C45)&amp;"|*")=1,INDEX('🎓 Alumnas'!$A$2:$A$1000,MATCH(TRIM($C45)&amp;"|*",'🎓 Alumnas'!$O$2:$O$1000,0)),IF(COUNTIF('🎓 Alumnas'!$O$2:$O$1000,"*|"&amp;TRIM($C45))=1,INDEX('🎓 Alumnas'!$A$2:$A$1000,MATCH("*|"&amp;TRIM($C45),'🎓 Alumnas'!$O$2:$O$1000,0)),IF(COUNTIF('🎓 Alumnas'!$Q$2:$Q$1000,TRIM($C45))=1,INDEX('🎓 Alumnas'!$A$2:$A$1000,MATCH(TRIM($C45),'🎓 Alumnas'!$Q$2:$Q$1000,0)),IF(COUNTIF('🎓 Alumnas'!$P$2:$P$1000,"*"&amp;TRIM($C45)&amp;"*")=1,INDEX('🎓 Alumnas'!$A$2:$A$1000,MATCH("*"&amp;TRIM($C45)&amp;"*",'🎓 Alumnas'!$P$2:$P$1000,0)),IF(COUNTIF('🎓 Alumnas'!$Q$2:$Q$1000,"*"&amp;TRIM($C45)&amp;"*")=1,INDEX('🎓 Alumnas'!$A$2:$A$1000,MATCH("*"&amp;TRIM($C45)&amp;"*",'🎓 Alumnas'!$Q$2:$Q$1000,0)),IF(COUNTIF('🎓 Alumnas'!$P$2:$P$1000,"*"&amp;TRIM($C45)&amp;"*")+COUNTIF('🎓 Alumnas'!$Q$2:$Q$1000,"*"&amp;TRIM($C45)&amp;"*")&gt;1,"Varias: elige de la lista","No encontrada"))))))))</f>
        <v/>
      </c>
    </row>
    <row r="46" customFormat="false" ht="14.25" hidden="false" customHeight="true" outlineLevel="0" collapsed="false">
      <c r="A46" s="25" t="s">
        <v>591</v>
      </c>
      <c r="B46" s="27"/>
      <c r="C46" s="25"/>
      <c r="D46" s="34" t="str">
        <f aca="false">IF($W46="","",IFERROR(TRIM(INDEX('🎓 Alumnas'!$B$2:$B$1000,MATCH($W46,'🎓 Alumnas'!$A$2:$A$1000,0))),""))</f>
        <v/>
      </c>
      <c r="E46" s="34" t="str">
        <f aca="false">IF($W46="","",IFERROR(TRIM(INDEX('🎓 Alumnas'!$C$2:$C$1000,MATCH($W46,'🎓 Alumnas'!$A$2:$A$1000,0))),""))</f>
        <v/>
      </c>
      <c r="F46" s="34" t="str">
        <f aca="false">IF($W46="","",IFERROR(IF(INDEX('🎓 Alumnas'!$D$2:$D$1000,MATCH($W46,'🎓 Alumnas'!$A$2:$A$1000,0))="","",INDEX('🎓 Alumnas'!$D$2:$D$1000,MATCH($W46,'🎓 Alumnas'!$A$2:$A$1000,0))),""))</f>
        <v/>
      </c>
      <c r="G46" s="28" t="str">
        <f aca="false">IF($W46="","",IFERROR(IF(INDEX('🎓 Alumnas'!$E$2:$E$1000,MATCH($W46,'🎓 Alumnas'!$A$2:$A$1000,0))="","",INDEX('🎓 Alumnas'!$E$2:$E$1000,MATCH($W46,'🎓 Alumnas'!$A$2:$A$1000,0))),""))</f>
        <v/>
      </c>
      <c r="H46" s="28" t="str">
        <f aca="false">IF($W46="","",IFERROR(IF(INDEX('🎓 Alumnas'!$F$2:$F$1000,MATCH($W46,'🎓 Alumnas'!$A$2:$A$1000,0))="","",INDEX('🎓 Alumnas'!$F$2:$F$1000,MATCH($W46,'🎓 Alumnas'!$A$2:$A$1000,0))),""))</f>
        <v/>
      </c>
      <c r="I46" s="30" t="str">
        <f aca="false">IF($W46="","",IFERROR(IF(INDEX('🎓 Alumnas'!$G$2:$G$1000,MATCH($W46,'🎓 Alumnas'!$A$2:$A$1000,0))="","",INDEX('🎓 Alumnas'!$G$2:$G$1000,MATCH($W46,'🎓 Alumnas'!$A$2:$A$1000,0))),""))</f>
        <v/>
      </c>
      <c r="J46" s="28" t="str">
        <f aca="true">IF(I46="","",DATEDIF(I46,TODAY(),"Y"))</f>
        <v/>
      </c>
      <c r="K46" s="25"/>
      <c r="L46" s="28" t="str">
        <f aca="false">IF(K46="","",IF(LEFT(K46,6)="1 Pole","Alquiler",IF(LEFT(K46,7)="1 Clase","Clase suelta","Paquete")))</f>
        <v/>
      </c>
      <c r="M46" s="25"/>
      <c r="N46" s="25"/>
      <c r="O46" s="35"/>
      <c r="P46" s="29" t="str">
        <f aca="false">IF(O46="","",N46*O46)</f>
        <v/>
      </c>
      <c r="Q46" s="36"/>
      <c r="R46" s="25"/>
      <c r="S46" s="25"/>
      <c r="T46" s="28" t="str">
        <f aca="false">IF(OR(LEFT(W46,2)&lt;&gt;"A-",ISERROR(MATCH(W46,'🎓 Alumnas'!$A$2:$A$1000,0))),"",IF(COUNTIF($W$2:W46,W46)=1,"Nueva","Recurrente"))</f>
        <v/>
      </c>
      <c r="U46" s="28" t="str">
        <f aca="false">IF(OR(T46="",L46&lt;&gt;"Paquete"),"",COUNTIFS($W$2:W46,W46,$L$2:L46,"Paquete"))</f>
        <v/>
      </c>
      <c r="V46" s="25"/>
      <c r="W46" s="34" t="str">
        <f aca="false">IF(TRIM($C46)="","",IF(COUNTIF('🎓 Alumnas'!$P$2:$P$1000,TRIM($C46))&gt;0,INDEX('🎓 Alumnas'!$A$2:$A$1000,MATCH(TRIM($C46),'🎓 Alumnas'!$P$2:$P$1000,0)),IF(COUNTIF('🎓 Alumnas'!$O$2:$O$1000,TRIM($C46)&amp;"|*")=1,INDEX('🎓 Alumnas'!$A$2:$A$1000,MATCH(TRIM($C46)&amp;"|*",'🎓 Alumnas'!$O$2:$O$1000,0)),IF(COUNTIF('🎓 Alumnas'!$O$2:$O$1000,"*|"&amp;TRIM($C46))=1,INDEX('🎓 Alumnas'!$A$2:$A$1000,MATCH("*|"&amp;TRIM($C46),'🎓 Alumnas'!$O$2:$O$1000,0)),IF(COUNTIF('🎓 Alumnas'!$Q$2:$Q$1000,TRIM($C46))=1,INDEX('🎓 Alumnas'!$A$2:$A$1000,MATCH(TRIM($C46),'🎓 Alumnas'!$Q$2:$Q$1000,0)),IF(COUNTIF('🎓 Alumnas'!$P$2:$P$1000,"*"&amp;TRIM($C46)&amp;"*")=1,INDEX('🎓 Alumnas'!$A$2:$A$1000,MATCH("*"&amp;TRIM($C46)&amp;"*",'🎓 Alumnas'!$P$2:$P$1000,0)),IF(COUNTIF('🎓 Alumnas'!$Q$2:$Q$1000,"*"&amp;TRIM($C46)&amp;"*")=1,INDEX('🎓 Alumnas'!$A$2:$A$1000,MATCH("*"&amp;TRIM($C46)&amp;"*",'🎓 Alumnas'!$Q$2:$Q$1000,0)),IF(COUNTIF('🎓 Alumnas'!$P$2:$P$1000,"*"&amp;TRIM($C46)&amp;"*")+COUNTIF('🎓 Alumnas'!$Q$2:$Q$1000,"*"&amp;TRIM($C46)&amp;"*")&gt;1,"Varias: elige de la lista","No encontrada"))))))))</f>
        <v/>
      </c>
    </row>
    <row r="47" customFormat="false" ht="14.25" hidden="false" customHeight="true" outlineLevel="0" collapsed="false">
      <c r="A47" s="25" t="s">
        <v>592</v>
      </c>
      <c r="B47" s="27"/>
      <c r="C47" s="25"/>
      <c r="D47" s="34" t="str">
        <f aca="false">IF($W47="","",IFERROR(TRIM(INDEX('🎓 Alumnas'!$B$2:$B$1000,MATCH($W47,'🎓 Alumnas'!$A$2:$A$1000,0))),""))</f>
        <v/>
      </c>
      <c r="E47" s="34" t="str">
        <f aca="false">IF($W47="","",IFERROR(TRIM(INDEX('🎓 Alumnas'!$C$2:$C$1000,MATCH($W47,'🎓 Alumnas'!$A$2:$A$1000,0))),""))</f>
        <v/>
      </c>
      <c r="F47" s="34" t="str">
        <f aca="false">IF($W47="","",IFERROR(IF(INDEX('🎓 Alumnas'!$D$2:$D$1000,MATCH($W47,'🎓 Alumnas'!$A$2:$A$1000,0))="","",INDEX('🎓 Alumnas'!$D$2:$D$1000,MATCH($W47,'🎓 Alumnas'!$A$2:$A$1000,0))),""))</f>
        <v/>
      </c>
      <c r="G47" s="28" t="str">
        <f aca="false">IF($W47="","",IFERROR(IF(INDEX('🎓 Alumnas'!$E$2:$E$1000,MATCH($W47,'🎓 Alumnas'!$A$2:$A$1000,0))="","",INDEX('🎓 Alumnas'!$E$2:$E$1000,MATCH($W47,'🎓 Alumnas'!$A$2:$A$1000,0))),""))</f>
        <v/>
      </c>
      <c r="H47" s="28" t="str">
        <f aca="false">IF($W47="","",IFERROR(IF(INDEX('🎓 Alumnas'!$F$2:$F$1000,MATCH($W47,'🎓 Alumnas'!$A$2:$A$1000,0))="","",INDEX('🎓 Alumnas'!$F$2:$F$1000,MATCH($W47,'🎓 Alumnas'!$A$2:$A$1000,0))),""))</f>
        <v/>
      </c>
      <c r="I47" s="30" t="str">
        <f aca="false">IF($W47="","",IFERROR(IF(INDEX('🎓 Alumnas'!$G$2:$G$1000,MATCH($W47,'🎓 Alumnas'!$A$2:$A$1000,0))="","",INDEX('🎓 Alumnas'!$G$2:$G$1000,MATCH($W47,'🎓 Alumnas'!$A$2:$A$1000,0))),""))</f>
        <v/>
      </c>
      <c r="J47" s="28" t="str">
        <f aca="true">IF(I47="","",DATEDIF(I47,TODAY(),"Y"))</f>
        <v/>
      </c>
      <c r="K47" s="25"/>
      <c r="L47" s="28" t="str">
        <f aca="false">IF(K47="","",IF(LEFT(K47,6)="1 Pole","Alquiler",IF(LEFT(K47,7)="1 Clase","Clase suelta","Paquete")))</f>
        <v/>
      </c>
      <c r="M47" s="25"/>
      <c r="N47" s="25"/>
      <c r="O47" s="35"/>
      <c r="P47" s="29" t="str">
        <f aca="false">IF(O47="","",N47*O47)</f>
        <v/>
      </c>
      <c r="Q47" s="36"/>
      <c r="R47" s="25"/>
      <c r="S47" s="25"/>
      <c r="T47" s="28" t="str">
        <f aca="false">IF(OR(LEFT(W47,2)&lt;&gt;"A-",ISERROR(MATCH(W47,'🎓 Alumnas'!$A$2:$A$1000,0))),"",IF(COUNTIF($W$2:W47,W47)=1,"Nueva","Recurrente"))</f>
        <v/>
      </c>
      <c r="U47" s="28" t="str">
        <f aca="false">IF(OR(T47="",L47&lt;&gt;"Paquete"),"",COUNTIFS($W$2:W47,W47,$L$2:L47,"Paquete"))</f>
        <v/>
      </c>
      <c r="V47" s="25"/>
      <c r="W47" s="34" t="str">
        <f aca="false">IF(TRIM($C47)="","",IF(COUNTIF('🎓 Alumnas'!$P$2:$P$1000,TRIM($C47))&gt;0,INDEX('🎓 Alumnas'!$A$2:$A$1000,MATCH(TRIM($C47),'🎓 Alumnas'!$P$2:$P$1000,0)),IF(COUNTIF('🎓 Alumnas'!$O$2:$O$1000,TRIM($C47)&amp;"|*")=1,INDEX('🎓 Alumnas'!$A$2:$A$1000,MATCH(TRIM($C47)&amp;"|*",'🎓 Alumnas'!$O$2:$O$1000,0)),IF(COUNTIF('🎓 Alumnas'!$O$2:$O$1000,"*|"&amp;TRIM($C47))=1,INDEX('🎓 Alumnas'!$A$2:$A$1000,MATCH("*|"&amp;TRIM($C47),'🎓 Alumnas'!$O$2:$O$1000,0)),IF(COUNTIF('🎓 Alumnas'!$Q$2:$Q$1000,TRIM($C47))=1,INDEX('🎓 Alumnas'!$A$2:$A$1000,MATCH(TRIM($C47),'🎓 Alumnas'!$Q$2:$Q$1000,0)),IF(COUNTIF('🎓 Alumnas'!$P$2:$P$1000,"*"&amp;TRIM($C47)&amp;"*")=1,INDEX('🎓 Alumnas'!$A$2:$A$1000,MATCH("*"&amp;TRIM($C47)&amp;"*",'🎓 Alumnas'!$P$2:$P$1000,0)),IF(COUNTIF('🎓 Alumnas'!$Q$2:$Q$1000,"*"&amp;TRIM($C47)&amp;"*")=1,INDEX('🎓 Alumnas'!$A$2:$A$1000,MATCH("*"&amp;TRIM($C47)&amp;"*",'🎓 Alumnas'!$Q$2:$Q$1000,0)),IF(COUNTIF('🎓 Alumnas'!$P$2:$P$1000,"*"&amp;TRIM($C47)&amp;"*")+COUNTIF('🎓 Alumnas'!$Q$2:$Q$1000,"*"&amp;TRIM($C47)&amp;"*")&gt;1,"Varias: elige de la lista","No encontrada"))))))))</f>
        <v/>
      </c>
    </row>
    <row r="48" customFormat="false" ht="14.25" hidden="false" customHeight="true" outlineLevel="0" collapsed="false">
      <c r="A48" s="25" t="s">
        <v>593</v>
      </c>
      <c r="B48" s="27"/>
      <c r="C48" s="25"/>
      <c r="D48" s="34" t="str">
        <f aca="false">IF($W48="","",IFERROR(TRIM(INDEX('🎓 Alumnas'!$B$2:$B$1000,MATCH($W48,'🎓 Alumnas'!$A$2:$A$1000,0))),""))</f>
        <v/>
      </c>
      <c r="E48" s="34" t="str">
        <f aca="false">IF($W48="","",IFERROR(TRIM(INDEX('🎓 Alumnas'!$C$2:$C$1000,MATCH($W48,'🎓 Alumnas'!$A$2:$A$1000,0))),""))</f>
        <v/>
      </c>
      <c r="F48" s="34" t="str">
        <f aca="false">IF($W48="","",IFERROR(IF(INDEX('🎓 Alumnas'!$D$2:$D$1000,MATCH($W48,'🎓 Alumnas'!$A$2:$A$1000,0))="","",INDEX('🎓 Alumnas'!$D$2:$D$1000,MATCH($W48,'🎓 Alumnas'!$A$2:$A$1000,0))),""))</f>
        <v/>
      </c>
      <c r="G48" s="28" t="str">
        <f aca="false">IF($W48="","",IFERROR(IF(INDEX('🎓 Alumnas'!$E$2:$E$1000,MATCH($W48,'🎓 Alumnas'!$A$2:$A$1000,0))="","",INDEX('🎓 Alumnas'!$E$2:$E$1000,MATCH($W48,'🎓 Alumnas'!$A$2:$A$1000,0))),""))</f>
        <v/>
      </c>
      <c r="H48" s="28" t="str">
        <f aca="false">IF($W48="","",IFERROR(IF(INDEX('🎓 Alumnas'!$F$2:$F$1000,MATCH($W48,'🎓 Alumnas'!$A$2:$A$1000,0))="","",INDEX('🎓 Alumnas'!$F$2:$F$1000,MATCH($W48,'🎓 Alumnas'!$A$2:$A$1000,0))),""))</f>
        <v/>
      </c>
      <c r="I48" s="30" t="str">
        <f aca="false">IF($W48="","",IFERROR(IF(INDEX('🎓 Alumnas'!$G$2:$G$1000,MATCH($W48,'🎓 Alumnas'!$A$2:$A$1000,0))="","",INDEX('🎓 Alumnas'!$G$2:$G$1000,MATCH($W48,'🎓 Alumnas'!$A$2:$A$1000,0))),""))</f>
        <v/>
      </c>
      <c r="J48" s="28" t="str">
        <f aca="true">IF(I48="","",DATEDIF(I48,TODAY(),"Y"))</f>
        <v/>
      </c>
      <c r="K48" s="25"/>
      <c r="L48" s="28" t="str">
        <f aca="false">IF(K48="","",IF(LEFT(K48,6)="1 Pole","Alquiler",IF(LEFT(K48,7)="1 Clase","Clase suelta","Paquete")))</f>
        <v/>
      </c>
      <c r="M48" s="25"/>
      <c r="N48" s="25"/>
      <c r="O48" s="35"/>
      <c r="P48" s="29" t="str">
        <f aca="false">IF(O48="","",N48*O48)</f>
        <v/>
      </c>
      <c r="Q48" s="36"/>
      <c r="R48" s="25"/>
      <c r="S48" s="25"/>
      <c r="T48" s="28" t="str">
        <f aca="false">IF(OR(LEFT(W48,2)&lt;&gt;"A-",ISERROR(MATCH(W48,'🎓 Alumnas'!$A$2:$A$1000,0))),"",IF(COUNTIF($W$2:W48,W48)=1,"Nueva","Recurrente"))</f>
        <v/>
      </c>
      <c r="U48" s="28" t="str">
        <f aca="false">IF(OR(T48="",L48&lt;&gt;"Paquete"),"",COUNTIFS($W$2:W48,W48,$L$2:L48,"Paquete"))</f>
        <v/>
      </c>
      <c r="V48" s="25"/>
      <c r="W48" s="34" t="str">
        <f aca="false">IF(TRIM($C48)="","",IF(COUNTIF('🎓 Alumnas'!$P$2:$P$1000,TRIM($C48))&gt;0,INDEX('🎓 Alumnas'!$A$2:$A$1000,MATCH(TRIM($C48),'🎓 Alumnas'!$P$2:$P$1000,0)),IF(COUNTIF('🎓 Alumnas'!$O$2:$O$1000,TRIM($C48)&amp;"|*")=1,INDEX('🎓 Alumnas'!$A$2:$A$1000,MATCH(TRIM($C48)&amp;"|*",'🎓 Alumnas'!$O$2:$O$1000,0)),IF(COUNTIF('🎓 Alumnas'!$O$2:$O$1000,"*|"&amp;TRIM($C48))=1,INDEX('🎓 Alumnas'!$A$2:$A$1000,MATCH("*|"&amp;TRIM($C48),'🎓 Alumnas'!$O$2:$O$1000,0)),IF(COUNTIF('🎓 Alumnas'!$Q$2:$Q$1000,TRIM($C48))=1,INDEX('🎓 Alumnas'!$A$2:$A$1000,MATCH(TRIM($C48),'🎓 Alumnas'!$Q$2:$Q$1000,0)),IF(COUNTIF('🎓 Alumnas'!$P$2:$P$1000,"*"&amp;TRIM($C48)&amp;"*")=1,INDEX('🎓 Alumnas'!$A$2:$A$1000,MATCH("*"&amp;TRIM($C48)&amp;"*",'🎓 Alumnas'!$P$2:$P$1000,0)),IF(COUNTIF('🎓 Alumnas'!$Q$2:$Q$1000,"*"&amp;TRIM($C48)&amp;"*")=1,INDEX('🎓 Alumnas'!$A$2:$A$1000,MATCH("*"&amp;TRIM($C48)&amp;"*",'🎓 Alumnas'!$Q$2:$Q$1000,0)),IF(COUNTIF('🎓 Alumnas'!$P$2:$P$1000,"*"&amp;TRIM($C48)&amp;"*")+COUNTIF('🎓 Alumnas'!$Q$2:$Q$1000,"*"&amp;TRIM($C48)&amp;"*")&gt;1,"Varias: elige de la lista","No encontrada"))))))))</f>
        <v/>
      </c>
    </row>
    <row r="49" customFormat="false" ht="14.25" hidden="false" customHeight="true" outlineLevel="0" collapsed="false">
      <c r="A49" s="25" t="s">
        <v>594</v>
      </c>
      <c r="B49" s="27"/>
      <c r="C49" s="25"/>
      <c r="D49" s="34" t="str">
        <f aca="false">IF($W49="","",IFERROR(TRIM(INDEX('🎓 Alumnas'!$B$2:$B$1000,MATCH($W49,'🎓 Alumnas'!$A$2:$A$1000,0))),""))</f>
        <v/>
      </c>
      <c r="E49" s="34" t="str">
        <f aca="false">IF($W49="","",IFERROR(TRIM(INDEX('🎓 Alumnas'!$C$2:$C$1000,MATCH($W49,'🎓 Alumnas'!$A$2:$A$1000,0))),""))</f>
        <v/>
      </c>
      <c r="F49" s="34" t="str">
        <f aca="false">IF($W49="","",IFERROR(IF(INDEX('🎓 Alumnas'!$D$2:$D$1000,MATCH($W49,'🎓 Alumnas'!$A$2:$A$1000,0))="","",INDEX('🎓 Alumnas'!$D$2:$D$1000,MATCH($W49,'🎓 Alumnas'!$A$2:$A$1000,0))),""))</f>
        <v/>
      </c>
      <c r="G49" s="28" t="str">
        <f aca="false">IF($W49="","",IFERROR(IF(INDEX('🎓 Alumnas'!$E$2:$E$1000,MATCH($W49,'🎓 Alumnas'!$A$2:$A$1000,0))="","",INDEX('🎓 Alumnas'!$E$2:$E$1000,MATCH($W49,'🎓 Alumnas'!$A$2:$A$1000,0))),""))</f>
        <v/>
      </c>
      <c r="H49" s="28" t="str">
        <f aca="false">IF($W49="","",IFERROR(IF(INDEX('🎓 Alumnas'!$F$2:$F$1000,MATCH($W49,'🎓 Alumnas'!$A$2:$A$1000,0))="","",INDEX('🎓 Alumnas'!$F$2:$F$1000,MATCH($W49,'🎓 Alumnas'!$A$2:$A$1000,0))),""))</f>
        <v/>
      </c>
      <c r="I49" s="30" t="str">
        <f aca="false">IF($W49="","",IFERROR(IF(INDEX('🎓 Alumnas'!$G$2:$G$1000,MATCH($W49,'🎓 Alumnas'!$A$2:$A$1000,0))="","",INDEX('🎓 Alumnas'!$G$2:$G$1000,MATCH($W49,'🎓 Alumnas'!$A$2:$A$1000,0))),""))</f>
        <v/>
      </c>
      <c r="J49" s="28" t="str">
        <f aca="true">IF(I49="","",DATEDIF(I49,TODAY(),"Y"))</f>
        <v/>
      </c>
      <c r="K49" s="25"/>
      <c r="L49" s="28" t="str">
        <f aca="false">IF(K49="","",IF(LEFT(K49,6)="1 Pole","Alquiler",IF(LEFT(K49,7)="1 Clase","Clase suelta","Paquete")))</f>
        <v/>
      </c>
      <c r="M49" s="25"/>
      <c r="N49" s="25"/>
      <c r="O49" s="35"/>
      <c r="P49" s="29" t="str">
        <f aca="false">IF(O49="","",N49*O49)</f>
        <v/>
      </c>
      <c r="Q49" s="36"/>
      <c r="R49" s="25"/>
      <c r="S49" s="25"/>
      <c r="T49" s="28" t="str">
        <f aca="false">IF(OR(LEFT(W49,2)&lt;&gt;"A-",ISERROR(MATCH(W49,'🎓 Alumnas'!$A$2:$A$1000,0))),"",IF(COUNTIF($W$2:W49,W49)=1,"Nueva","Recurrente"))</f>
        <v/>
      </c>
      <c r="U49" s="28" t="str">
        <f aca="false">IF(OR(T49="",L49&lt;&gt;"Paquete"),"",COUNTIFS($W$2:W49,W49,$L$2:L49,"Paquete"))</f>
        <v/>
      </c>
      <c r="V49" s="25"/>
      <c r="W49" s="34" t="str">
        <f aca="false">IF(TRIM($C49)="","",IF(COUNTIF('🎓 Alumnas'!$P$2:$P$1000,TRIM($C49))&gt;0,INDEX('🎓 Alumnas'!$A$2:$A$1000,MATCH(TRIM($C49),'🎓 Alumnas'!$P$2:$P$1000,0)),IF(COUNTIF('🎓 Alumnas'!$O$2:$O$1000,TRIM($C49)&amp;"|*")=1,INDEX('🎓 Alumnas'!$A$2:$A$1000,MATCH(TRIM($C49)&amp;"|*",'🎓 Alumnas'!$O$2:$O$1000,0)),IF(COUNTIF('🎓 Alumnas'!$O$2:$O$1000,"*|"&amp;TRIM($C49))=1,INDEX('🎓 Alumnas'!$A$2:$A$1000,MATCH("*|"&amp;TRIM($C49),'🎓 Alumnas'!$O$2:$O$1000,0)),IF(COUNTIF('🎓 Alumnas'!$Q$2:$Q$1000,TRIM($C49))=1,INDEX('🎓 Alumnas'!$A$2:$A$1000,MATCH(TRIM($C49),'🎓 Alumnas'!$Q$2:$Q$1000,0)),IF(COUNTIF('🎓 Alumnas'!$P$2:$P$1000,"*"&amp;TRIM($C49)&amp;"*")=1,INDEX('🎓 Alumnas'!$A$2:$A$1000,MATCH("*"&amp;TRIM($C49)&amp;"*",'🎓 Alumnas'!$P$2:$P$1000,0)),IF(COUNTIF('🎓 Alumnas'!$Q$2:$Q$1000,"*"&amp;TRIM($C49)&amp;"*")=1,INDEX('🎓 Alumnas'!$A$2:$A$1000,MATCH("*"&amp;TRIM($C49)&amp;"*",'🎓 Alumnas'!$Q$2:$Q$1000,0)),IF(COUNTIF('🎓 Alumnas'!$P$2:$P$1000,"*"&amp;TRIM($C49)&amp;"*")+COUNTIF('🎓 Alumnas'!$Q$2:$Q$1000,"*"&amp;TRIM($C49)&amp;"*")&gt;1,"Varias: elige de la lista","No encontrada"))))))))</f>
        <v/>
      </c>
    </row>
    <row r="50" customFormat="false" ht="14.25" hidden="false" customHeight="true" outlineLevel="0" collapsed="false">
      <c r="A50" s="25" t="s">
        <v>595</v>
      </c>
      <c r="B50" s="27"/>
      <c r="C50" s="25"/>
      <c r="D50" s="34" t="str">
        <f aca="false">IF($W50="","",IFERROR(TRIM(INDEX('🎓 Alumnas'!$B$2:$B$1000,MATCH($W50,'🎓 Alumnas'!$A$2:$A$1000,0))),""))</f>
        <v/>
      </c>
      <c r="E50" s="34" t="str">
        <f aca="false">IF($W50="","",IFERROR(TRIM(INDEX('🎓 Alumnas'!$C$2:$C$1000,MATCH($W50,'🎓 Alumnas'!$A$2:$A$1000,0))),""))</f>
        <v/>
      </c>
      <c r="F50" s="34" t="str">
        <f aca="false">IF($W50="","",IFERROR(IF(INDEX('🎓 Alumnas'!$D$2:$D$1000,MATCH($W50,'🎓 Alumnas'!$A$2:$A$1000,0))="","",INDEX('🎓 Alumnas'!$D$2:$D$1000,MATCH($W50,'🎓 Alumnas'!$A$2:$A$1000,0))),""))</f>
        <v/>
      </c>
      <c r="G50" s="28" t="str">
        <f aca="false">IF($W50="","",IFERROR(IF(INDEX('🎓 Alumnas'!$E$2:$E$1000,MATCH($W50,'🎓 Alumnas'!$A$2:$A$1000,0))="","",INDEX('🎓 Alumnas'!$E$2:$E$1000,MATCH($W50,'🎓 Alumnas'!$A$2:$A$1000,0))),""))</f>
        <v/>
      </c>
      <c r="H50" s="28" t="str">
        <f aca="false">IF($W50="","",IFERROR(IF(INDEX('🎓 Alumnas'!$F$2:$F$1000,MATCH($W50,'🎓 Alumnas'!$A$2:$A$1000,0))="","",INDEX('🎓 Alumnas'!$F$2:$F$1000,MATCH($W50,'🎓 Alumnas'!$A$2:$A$1000,0))),""))</f>
        <v/>
      </c>
      <c r="I50" s="30" t="str">
        <f aca="false">IF($W50="","",IFERROR(IF(INDEX('🎓 Alumnas'!$G$2:$G$1000,MATCH($W50,'🎓 Alumnas'!$A$2:$A$1000,0))="","",INDEX('🎓 Alumnas'!$G$2:$G$1000,MATCH($W50,'🎓 Alumnas'!$A$2:$A$1000,0))),""))</f>
        <v/>
      </c>
      <c r="J50" s="28" t="str">
        <f aca="true">IF(I50="","",DATEDIF(I50,TODAY(),"Y"))</f>
        <v/>
      </c>
      <c r="K50" s="25"/>
      <c r="L50" s="28" t="str">
        <f aca="false">IF(K50="","",IF(LEFT(K50,6)="1 Pole","Alquiler",IF(LEFT(K50,7)="1 Clase","Clase suelta","Paquete")))</f>
        <v/>
      </c>
      <c r="M50" s="25"/>
      <c r="N50" s="25"/>
      <c r="O50" s="35"/>
      <c r="P50" s="29" t="str">
        <f aca="false">IF(O50="","",N50*O50)</f>
        <v/>
      </c>
      <c r="Q50" s="36"/>
      <c r="R50" s="25"/>
      <c r="S50" s="25"/>
      <c r="T50" s="28" t="str">
        <f aca="false">IF(OR(LEFT(W50,2)&lt;&gt;"A-",ISERROR(MATCH(W50,'🎓 Alumnas'!$A$2:$A$1000,0))),"",IF(COUNTIF($W$2:W50,W50)=1,"Nueva","Recurrente"))</f>
        <v/>
      </c>
      <c r="U50" s="28" t="str">
        <f aca="false">IF(OR(T50="",L50&lt;&gt;"Paquete"),"",COUNTIFS($W$2:W50,W50,$L$2:L50,"Paquete"))</f>
        <v/>
      </c>
      <c r="V50" s="25"/>
      <c r="W50" s="34" t="str">
        <f aca="false">IF(TRIM($C50)="","",IF(COUNTIF('🎓 Alumnas'!$P$2:$P$1000,TRIM($C50))&gt;0,INDEX('🎓 Alumnas'!$A$2:$A$1000,MATCH(TRIM($C50),'🎓 Alumnas'!$P$2:$P$1000,0)),IF(COUNTIF('🎓 Alumnas'!$O$2:$O$1000,TRIM($C50)&amp;"|*")=1,INDEX('🎓 Alumnas'!$A$2:$A$1000,MATCH(TRIM($C50)&amp;"|*",'🎓 Alumnas'!$O$2:$O$1000,0)),IF(COUNTIF('🎓 Alumnas'!$O$2:$O$1000,"*|"&amp;TRIM($C50))=1,INDEX('🎓 Alumnas'!$A$2:$A$1000,MATCH("*|"&amp;TRIM($C50),'🎓 Alumnas'!$O$2:$O$1000,0)),IF(COUNTIF('🎓 Alumnas'!$Q$2:$Q$1000,TRIM($C50))=1,INDEX('🎓 Alumnas'!$A$2:$A$1000,MATCH(TRIM($C50),'🎓 Alumnas'!$Q$2:$Q$1000,0)),IF(COUNTIF('🎓 Alumnas'!$P$2:$P$1000,"*"&amp;TRIM($C50)&amp;"*")=1,INDEX('🎓 Alumnas'!$A$2:$A$1000,MATCH("*"&amp;TRIM($C50)&amp;"*",'🎓 Alumnas'!$P$2:$P$1000,0)),IF(COUNTIF('🎓 Alumnas'!$Q$2:$Q$1000,"*"&amp;TRIM($C50)&amp;"*")=1,INDEX('🎓 Alumnas'!$A$2:$A$1000,MATCH("*"&amp;TRIM($C50)&amp;"*",'🎓 Alumnas'!$Q$2:$Q$1000,0)),IF(COUNTIF('🎓 Alumnas'!$P$2:$P$1000,"*"&amp;TRIM($C50)&amp;"*")+COUNTIF('🎓 Alumnas'!$Q$2:$Q$1000,"*"&amp;TRIM($C50)&amp;"*")&gt;1,"Varias: elige de la lista","No encontrada"))))))))</f>
        <v/>
      </c>
    </row>
    <row r="51" customFormat="false" ht="14.25" hidden="false" customHeight="true" outlineLevel="0" collapsed="false">
      <c r="A51" s="25" t="s">
        <v>596</v>
      </c>
      <c r="B51" s="27"/>
      <c r="C51" s="25"/>
      <c r="D51" s="34" t="str">
        <f aca="false">IF($W51="","",IFERROR(TRIM(INDEX('🎓 Alumnas'!$B$2:$B$1000,MATCH($W51,'🎓 Alumnas'!$A$2:$A$1000,0))),""))</f>
        <v/>
      </c>
      <c r="E51" s="34" t="str">
        <f aca="false">IF($W51="","",IFERROR(TRIM(INDEX('🎓 Alumnas'!$C$2:$C$1000,MATCH($W51,'🎓 Alumnas'!$A$2:$A$1000,0))),""))</f>
        <v/>
      </c>
      <c r="F51" s="34" t="str">
        <f aca="false">IF($W51="","",IFERROR(IF(INDEX('🎓 Alumnas'!$D$2:$D$1000,MATCH($W51,'🎓 Alumnas'!$A$2:$A$1000,0))="","",INDEX('🎓 Alumnas'!$D$2:$D$1000,MATCH($W51,'🎓 Alumnas'!$A$2:$A$1000,0))),""))</f>
        <v/>
      </c>
      <c r="G51" s="28" t="str">
        <f aca="false">IF($W51="","",IFERROR(IF(INDEX('🎓 Alumnas'!$E$2:$E$1000,MATCH($W51,'🎓 Alumnas'!$A$2:$A$1000,0))="","",INDEX('🎓 Alumnas'!$E$2:$E$1000,MATCH($W51,'🎓 Alumnas'!$A$2:$A$1000,0))),""))</f>
        <v/>
      </c>
      <c r="H51" s="28" t="str">
        <f aca="false">IF($W51="","",IFERROR(IF(INDEX('🎓 Alumnas'!$F$2:$F$1000,MATCH($W51,'🎓 Alumnas'!$A$2:$A$1000,0))="","",INDEX('🎓 Alumnas'!$F$2:$F$1000,MATCH($W51,'🎓 Alumnas'!$A$2:$A$1000,0))),""))</f>
        <v/>
      </c>
      <c r="I51" s="30" t="str">
        <f aca="false">IF($W51="","",IFERROR(IF(INDEX('🎓 Alumnas'!$G$2:$G$1000,MATCH($W51,'🎓 Alumnas'!$A$2:$A$1000,0))="","",INDEX('🎓 Alumnas'!$G$2:$G$1000,MATCH($W51,'🎓 Alumnas'!$A$2:$A$1000,0))),""))</f>
        <v/>
      </c>
      <c r="J51" s="28" t="str">
        <f aca="true">IF(I51="","",DATEDIF(I51,TODAY(),"Y"))</f>
        <v/>
      </c>
      <c r="K51" s="25"/>
      <c r="L51" s="28" t="str">
        <f aca="false">IF(K51="","",IF(LEFT(K51,6)="1 Pole","Alquiler",IF(LEFT(K51,7)="1 Clase","Clase suelta","Paquete")))</f>
        <v/>
      </c>
      <c r="M51" s="25"/>
      <c r="N51" s="25"/>
      <c r="O51" s="35"/>
      <c r="P51" s="29" t="str">
        <f aca="false">IF(O51="","",N51*O51)</f>
        <v/>
      </c>
      <c r="Q51" s="36"/>
      <c r="R51" s="25"/>
      <c r="S51" s="25"/>
      <c r="T51" s="28" t="str">
        <f aca="false">IF(OR(LEFT(W51,2)&lt;&gt;"A-",ISERROR(MATCH(W51,'🎓 Alumnas'!$A$2:$A$1000,0))),"",IF(COUNTIF($W$2:W51,W51)=1,"Nueva","Recurrente"))</f>
        <v/>
      </c>
      <c r="U51" s="28" t="str">
        <f aca="false">IF(OR(T51="",L51&lt;&gt;"Paquete"),"",COUNTIFS($W$2:W51,W51,$L$2:L51,"Paquete"))</f>
        <v/>
      </c>
      <c r="V51" s="25"/>
      <c r="W51" s="34" t="str">
        <f aca="false">IF(TRIM($C51)="","",IF(COUNTIF('🎓 Alumnas'!$P$2:$P$1000,TRIM($C51))&gt;0,INDEX('🎓 Alumnas'!$A$2:$A$1000,MATCH(TRIM($C51),'🎓 Alumnas'!$P$2:$P$1000,0)),IF(COUNTIF('🎓 Alumnas'!$O$2:$O$1000,TRIM($C51)&amp;"|*")=1,INDEX('🎓 Alumnas'!$A$2:$A$1000,MATCH(TRIM($C51)&amp;"|*",'🎓 Alumnas'!$O$2:$O$1000,0)),IF(COUNTIF('🎓 Alumnas'!$O$2:$O$1000,"*|"&amp;TRIM($C51))=1,INDEX('🎓 Alumnas'!$A$2:$A$1000,MATCH("*|"&amp;TRIM($C51),'🎓 Alumnas'!$O$2:$O$1000,0)),IF(COUNTIF('🎓 Alumnas'!$Q$2:$Q$1000,TRIM($C51))=1,INDEX('🎓 Alumnas'!$A$2:$A$1000,MATCH(TRIM($C51),'🎓 Alumnas'!$Q$2:$Q$1000,0)),IF(COUNTIF('🎓 Alumnas'!$P$2:$P$1000,"*"&amp;TRIM($C51)&amp;"*")=1,INDEX('🎓 Alumnas'!$A$2:$A$1000,MATCH("*"&amp;TRIM($C51)&amp;"*",'🎓 Alumnas'!$P$2:$P$1000,0)),IF(COUNTIF('🎓 Alumnas'!$Q$2:$Q$1000,"*"&amp;TRIM($C51)&amp;"*")=1,INDEX('🎓 Alumnas'!$A$2:$A$1000,MATCH("*"&amp;TRIM($C51)&amp;"*",'🎓 Alumnas'!$Q$2:$Q$1000,0)),IF(COUNTIF('🎓 Alumnas'!$P$2:$P$1000,"*"&amp;TRIM($C51)&amp;"*")+COUNTIF('🎓 Alumnas'!$Q$2:$Q$1000,"*"&amp;TRIM($C51)&amp;"*")&gt;1,"Varias: elige de la lista","No encontrada"))))))))</f>
        <v/>
      </c>
    </row>
    <row r="52" customFormat="false" ht="14.25" hidden="false" customHeight="true" outlineLevel="0" collapsed="false">
      <c r="A52" s="25" t="s">
        <v>597</v>
      </c>
      <c r="B52" s="27"/>
      <c r="C52" s="25"/>
      <c r="D52" s="34" t="str">
        <f aca="false">IF($W52="","",IFERROR(TRIM(INDEX('🎓 Alumnas'!$B$2:$B$1000,MATCH($W52,'🎓 Alumnas'!$A$2:$A$1000,0))),""))</f>
        <v/>
      </c>
      <c r="E52" s="34" t="str">
        <f aca="false">IF($W52="","",IFERROR(TRIM(INDEX('🎓 Alumnas'!$C$2:$C$1000,MATCH($W52,'🎓 Alumnas'!$A$2:$A$1000,0))),""))</f>
        <v/>
      </c>
      <c r="F52" s="34" t="str">
        <f aca="false">IF($W52="","",IFERROR(IF(INDEX('🎓 Alumnas'!$D$2:$D$1000,MATCH($W52,'🎓 Alumnas'!$A$2:$A$1000,0))="","",INDEX('🎓 Alumnas'!$D$2:$D$1000,MATCH($W52,'🎓 Alumnas'!$A$2:$A$1000,0))),""))</f>
        <v/>
      </c>
      <c r="G52" s="28" t="str">
        <f aca="false">IF($W52="","",IFERROR(IF(INDEX('🎓 Alumnas'!$E$2:$E$1000,MATCH($W52,'🎓 Alumnas'!$A$2:$A$1000,0))="","",INDEX('🎓 Alumnas'!$E$2:$E$1000,MATCH($W52,'🎓 Alumnas'!$A$2:$A$1000,0))),""))</f>
        <v/>
      </c>
      <c r="H52" s="28" t="str">
        <f aca="false">IF($W52="","",IFERROR(IF(INDEX('🎓 Alumnas'!$F$2:$F$1000,MATCH($W52,'🎓 Alumnas'!$A$2:$A$1000,0))="","",INDEX('🎓 Alumnas'!$F$2:$F$1000,MATCH($W52,'🎓 Alumnas'!$A$2:$A$1000,0))),""))</f>
        <v/>
      </c>
      <c r="I52" s="30" t="str">
        <f aca="false">IF($W52="","",IFERROR(IF(INDEX('🎓 Alumnas'!$G$2:$G$1000,MATCH($W52,'🎓 Alumnas'!$A$2:$A$1000,0))="","",INDEX('🎓 Alumnas'!$G$2:$G$1000,MATCH($W52,'🎓 Alumnas'!$A$2:$A$1000,0))),""))</f>
        <v/>
      </c>
      <c r="J52" s="28" t="str">
        <f aca="true">IF(I52="","",DATEDIF(I52,TODAY(),"Y"))</f>
        <v/>
      </c>
      <c r="K52" s="25"/>
      <c r="L52" s="28" t="str">
        <f aca="false">IF(K52="","",IF(LEFT(K52,6)="1 Pole","Alquiler",IF(LEFT(K52,7)="1 Clase","Clase suelta","Paquete")))</f>
        <v/>
      </c>
      <c r="M52" s="25"/>
      <c r="N52" s="25"/>
      <c r="O52" s="35"/>
      <c r="P52" s="29" t="str">
        <f aca="false">IF(O52="","",N52*O52)</f>
        <v/>
      </c>
      <c r="Q52" s="36"/>
      <c r="R52" s="25"/>
      <c r="S52" s="25"/>
      <c r="T52" s="28" t="str">
        <f aca="false">IF(OR(LEFT(W52,2)&lt;&gt;"A-",ISERROR(MATCH(W52,'🎓 Alumnas'!$A$2:$A$1000,0))),"",IF(COUNTIF($W$2:W52,W52)=1,"Nueva","Recurrente"))</f>
        <v/>
      </c>
      <c r="U52" s="28" t="str">
        <f aca="false">IF(OR(T52="",L52&lt;&gt;"Paquete"),"",COUNTIFS($W$2:W52,W52,$L$2:L52,"Paquete"))</f>
        <v/>
      </c>
      <c r="V52" s="25"/>
      <c r="W52" s="34" t="str">
        <f aca="false">IF(TRIM($C52)="","",IF(COUNTIF('🎓 Alumnas'!$P$2:$P$1000,TRIM($C52))&gt;0,INDEX('🎓 Alumnas'!$A$2:$A$1000,MATCH(TRIM($C52),'🎓 Alumnas'!$P$2:$P$1000,0)),IF(COUNTIF('🎓 Alumnas'!$O$2:$O$1000,TRIM($C52)&amp;"|*")=1,INDEX('🎓 Alumnas'!$A$2:$A$1000,MATCH(TRIM($C52)&amp;"|*",'🎓 Alumnas'!$O$2:$O$1000,0)),IF(COUNTIF('🎓 Alumnas'!$O$2:$O$1000,"*|"&amp;TRIM($C52))=1,INDEX('🎓 Alumnas'!$A$2:$A$1000,MATCH("*|"&amp;TRIM($C52),'🎓 Alumnas'!$O$2:$O$1000,0)),IF(COUNTIF('🎓 Alumnas'!$Q$2:$Q$1000,TRIM($C52))=1,INDEX('🎓 Alumnas'!$A$2:$A$1000,MATCH(TRIM($C52),'🎓 Alumnas'!$Q$2:$Q$1000,0)),IF(COUNTIF('🎓 Alumnas'!$P$2:$P$1000,"*"&amp;TRIM($C52)&amp;"*")=1,INDEX('🎓 Alumnas'!$A$2:$A$1000,MATCH("*"&amp;TRIM($C52)&amp;"*",'🎓 Alumnas'!$P$2:$P$1000,0)),IF(COUNTIF('🎓 Alumnas'!$Q$2:$Q$1000,"*"&amp;TRIM($C52)&amp;"*")=1,INDEX('🎓 Alumnas'!$A$2:$A$1000,MATCH("*"&amp;TRIM($C52)&amp;"*",'🎓 Alumnas'!$Q$2:$Q$1000,0)),IF(COUNTIF('🎓 Alumnas'!$P$2:$P$1000,"*"&amp;TRIM($C52)&amp;"*")+COUNTIF('🎓 Alumnas'!$Q$2:$Q$1000,"*"&amp;TRIM($C52)&amp;"*")&gt;1,"Varias: elige de la lista","No encontrada"))))))))</f>
        <v/>
      </c>
    </row>
    <row r="53" customFormat="false" ht="14.25" hidden="false" customHeight="true" outlineLevel="0" collapsed="false">
      <c r="A53" s="25" t="s">
        <v>598</v>
      </c>
      <c r="B53" s="27"/>
      <c r="C53" s="25"/>
      <c r="D53" s="34" t="str">
        <f aca="false">IF($W53="","",IFERROR(TRIM(INDEX('🎓 Alumnas'!$B$2:$B$1000,MATCH($W53,'🎓 Alumnas'!$A$2:$A$1000,0))),""))</f>
        <v/>
      </c>
      <c r="E53" s="34" t="str">
        <f aca="false">IF($W53="","",IFERROR(TRIM(INDEX('🎓 Alumnas'!$C$2:$C$1000,MATCH($W53,'🎓 Alumnas'!$A$2:$A$1000,0))),""))</f>
        <v/>
      </c>
      <c r="F53" s="34" t="str">
        <f aca="false">IF($W53="","",IFERROR(IF(INDEX('🎓 Alumnas'!$D$2:$D$1000,MATCH($W53,'🎓 Alumnas'!$A$2:$A$1000,0))="","",INDEX('🎓 Alumnas'!$D$2:$D$1000,MATCH($W53,'🎓 Alumnas'!$A$2:$A$1000,0))),""))</f>
        <v/>
      </c>
      <c r="G53" s="28" t="str">
        <f aca="false">IF($W53="","",IFERROR(IF(INDEX('🎓 Alumnas'!$E$2:$E$1000,MATCH($W53,'🎓 Alumnas'!$A$2:$A$1000,0))="","",INDEX('🎓 Alumnas'!$E$2:$E$1000,MATCH($W53,'🎓 Alumnas'!$A$2:$A$1000,0))),""))</f>
        <v/>
      </c>
      <c r="H53" s="28" t="str">
        <f aca="false">IF($W53="","",IFERROR(IF(INDEX('🎓 Alumnas'!$F$2:$F$1000,MATCH($W53,'🎓 Alumnas'!$A$2:$A$1000,0))="","",INDEX('🎓 Alumnas'!$F$2:$F$1000,MATCH($W53,'🎓 Alumnas'!$A$2:$A$1000,0))),""))</f>
        <v/>
      </c>
      <c r="I53" s="30" t="str">
        <f aca="false">IF($W53="","",IFERROR(IF(INDEX('🎓 Alumnas'!$G$2:$G$1000,MATCH($W53,'🎓 Alumnas'!$A$2:$A$1000,0))="","",INDEX('🎓 Alumnas'!$G$2:$G$1000,MATCH($W53,'🎓 Alumnas'!$A$2:$A$1000,0))),""))</f>
        <v/>
      </c>
      <c r="J53" s="28" t="str">
        <f aca="true">IF(I53="","",DATEDIF(I53,TODAY(),"Y"))</f>
        <v/>
      </c>
      <c r="K53" s="25"/>
      <c r="L53" s="28" t="str">
        <f aca="false">IF(K53="","",IF(LEFT(K53,6)="1 Pole","Alquiler",IF(LEFT(K53,7)="1 Clase","Clase suelta","Paquete")))</f>
        <v/>
      </c>
      <c r="M53" s="25"/>
      <c r="N53" s="25"/>
      <c r="O53" s="35"/>
      <c r="P53" s="29" t="str">
        <f aca="false">IF(O53="","",N53*O53)</f>
        <v/>
      </c>
      <c r="Q53" s="36"/>
      <c r="R53" s="25"/>
      <c r="S53" s="25"/>
      <c r="T53" s="28" t="str">
        <f aca="false">IF(OR(LEFT(W53,2)&lt;&gt;"A-",ISERROR(MATCH(W53,'🎓 Alumnas'!$A$2:$A$1000,0))),"",IF(COUNTIF($W$2:W53,W53)=1,"Nueva","Recurrente"))</f>
        <v/>
      </c>
      <c r="U53" s="28" t="str">
        <f aca="false">IF(OR(T53="",L53&lt;&gt;"Paquete"),"",COUNTIFS($W$2:W53,W53,$L$2:L53,"Paquete"))</f>
        <v/>
      </c>
      <c r="V53" s="25"/>
      <c r="W53" s="34" t="str">
        <f aca="false">IF(TRIM($C53)="","",IF(COUNTIF('🎓 Alumnas'!$P$2:$P$1000,TRIM($C53))&gt;0,INDEX('🎓 Alumnas'!$A$2:$A$1000,MATCH(TRIM($C53),'🎓 Alumnas'!$P$2:$P$1000,0)),IF(COUNTIF('🎓 Alumnas'!$O$2:$O$1000,TRIM($C53)&amp;"|*")=1,INDEX('🎓 Alumnas'!$A$2:$A$1000,MATCH(TRIM($C53)&amp;"|*",'🎓 Alumnas'!$O$2:$O$1000,0)),IF(COUNTIF('🎓 Alumnas'!$O$2:$O$1000,"*|"&amp;TRIM($C53))=1,INDEX('🎓 Alumnas'!$A$2:$A$1000,MATCH("*|"&amp;TRIM($C53),'🎓 Alumnas'!$O$2:$O$1000,0)),IF(COUNTIF('🎓 Alumnas'!$Q$2:$Q$1000,TRIM($C53))=1,INDEX('🎓 Alumnas'!$A$2:$A$1000,MATCH(TRIM($C53),'🎓 Alumnas'!$Q$2:$Q$1000,0)),IF(COUNTIF('🎓 Alumnas'!$P$2:$P$1000,"*"&amp;TRIM($C53)&amp;"*")=1,INDEX('🎓 Alumnas'!$A$2:$A$1000,MATCH("*"&amp;TRIM($C53)&amp;"*",'🎓 Alumnas'!$P$2:$P$1000,0)),IF(COUNTIF('🎓 Alumnas'!$Q$2:$Q$1000,"*"&amp;TRIM($C53)&amp;"*")=1,INDEX('🎓 Alumnas'!$A$2:$A$1000,MATCH("*"&amp;TRIM($C53)&amp;"*",'🎓 Alumnas'!$Q$2:$Q$1000,0)),IF(COUNTIF('🎓 Alumnas'!$P$2:$P$1000,"*"&amp;TRIM($C53)&amp;"*")+COUNTIF('🎓 Alumnas'!$Q$2:$Q$1000,"*"&amp;TRIM($C53)&amp;"*")&gt;1,"Varias: elige de la lista","No encontrada"))))))))</f>
        <v/>
      </c>
    </row>
    <row r="54" customFormat="false" ht="14.25" hidden="false" customHeight="true" outlineLevel="0" collapsed="false">
      <c r="A54" s="25" t="s">
        <v>599</v>
      </c>
      <c r="B54" s="27"/>
      <c r="C54" s="25"/>
      <c r="D54" s="34" t="str">
        <f aca="false">IF($W54="","",IFERROR(TRIM(INDEX('🎓 Alumnas'!$B$2:$B$1000,MATCH($W54,'🎓 Alumnas'!$A$2:$A$1000,0))),""))</f>
        <v/>
      </c>
      <c r="E54" s="34" t="str">
        <f aca="false">IF($W54="","",IFERROR(TRIM(INDEX('🎓 Alumnas'!$C$2:$C$1000,MATCH($W54,'🎓 Alumnas'!$A$2:$A$1000,0))),""))</f>
        <v/>
      </c>
      <c r="F54" s="34" t="str">
        <f aca="false">IF($W54="","",IFERROR(IF(INDEX('🎓 Alumnas'!$D$2:$D$1000,MATCH($W54,'🎓 Alumnas'!$A$2:$A$1000,0))="","",INDEX('🎓 Alumnas'!$D$2:$D$1000,MATCH($W54,'🎓 Alumnas'!$A$2:$A$1000,0))),""))</f>
        <v/>
      </c>
      <c r="G54" s="28" t="str">
        <f aca="false">IF($W54="","",IFERROR(IF(INDEX('🎓 Alumnas'!$E$2:$E$1000,MATCH($W54,'🎓 Alumnas'!$A$2:$A$1000,0))="","",INDEX('🎓 Alumnas'!$E$2:$E$1000,MATCH($W54,'🎓 Alumnas'!$A$2:$A$1000,0))),""))</f>
        <v/>
      </c>
      <c r="H54" s="28" t="str">
        <f aca="false">IF($W54="","",IFERROR(IF(INDEX('🎓 Alumnas'!$F$2:$F$1000,MATCH($W54,'🎓 Alumnas'!$A$2:$A$1000,0))="","",INDEX('🎓 Alumnas'!$F$2:$F$1000,MATCH($W54,'🎓 Alumnas'!$A$2:$A$1000,0))),""))</f>
        <v/>
      </c>
      <c r="I54" s="30" t="str">
        <f aca="false">IF($W54="","",IFERROR(IF(INDEX('🎓 Alumnas'!$G$2:$G$1000,MATCH($W54,'🎓 Alumnas'!$A$2:$A$1000,0))="","",INDEX('🎓 Alumnas'!$G$2:$G$1000,MATCH($W54,'🎓 Alumnas'!$A$2:$A$1000,0))),""))</f>
        <v/>
      </c>
      <c r="J54" s="28" t="str">
        <f aca="true">IF(I54="","",DATEDIF(I54,TODAY(),"Y"))</f>
        <v/>
      </c>
      <c r="K54" s="25"/>
      <c r="L54" s="28" t="str">
        <f aca="false">IF(K54="","",IF(LEFT(K54,6)="1 Pole","Alquiler",IF(LEFT(K54,7)="1 Clase","Clase suelta","Paquete")))</f>
        <v/>
      </c>
      <c r="M54" s="25"/>
      <c r="N54" s="25"/>
      <c r="O54" s="35"/>
      <c r="P54" s="29" t="str">
        <f aca="false">IF(O54="","",N54*O54)</f>
        <v/>
      </c>
      <c r="Q54" s="36"/>
      <c r="R54" s="25"/>
      <c r="S54" s="25"/>
      <c r="T54" s="28" t="str">
        <f aca="false">IF(OR(LEFT(W54,2)&lt;&gt;"A-",ISERROR(MATCH(W54,'🎓 Alumnas'!$A$2:$A$1000,0))),"",IF(COUNTIF($W$2:W54,W54)=1,"Nueva","Recurrente"))</f>
        <v/>
      </c>
      <c r="U54" s="28" t="str">
        <f aca="false">IF(OR(T54="",L54&lt;&gt;"Paquete"),"",COUNTIFS($W$2:W54,W54,$L$2:L54,"Paquete"))</f>
        <v/>
      </c>
      <c r="V54" s="25"/>
      <c r="W54" s="34" t="str">
        <f aca="false">IF(TRIM($C54)="","",IF(COUNTIF('🎓 Alumnas'!$P$2:$P$1000,TRIM($C54))&gt;0,INDEX('🎓 Alumnas'!$A$2:$A$1000,MATCH(TRIM($C54),'🎓 Alumnas'!$P$2:$P$1000,0)),IF(COUNTIF('🎓 Alumnas'!$O$2:$O$1000,TRIM($C54)&amp;"|*")=1,INDEX('🎓 Alumnas'!$A$2:$A$1000,MATCH(TRIM($C54)&amp;"|*",'🎓 Alumnas'!$O$2:$O$1000,0)),IF(COUNTIF('🎓 Alumnas'!$O$2:$O$1000,"*|"&amp;TRIM($C54))=1,INDEX('🎓 Alumnas'!$A$2:$A$1000,MATCH("*|"&amp;TRIM($C54),'🎓 Alumnas'!$O$2:$O$1000,0)),IF(COUNTIF('🎓 Alumnas'!$Q$2:$Q$1000,TRIM($C54))=1,INDEX('🎓 Alumnas'!$A$2:$A$1000,MATCH(TRIM($C54),'🎓 Alumnas'!$Q$2:$Q$1000,0)),IF(COUNTIF('🎓 Alumnas'!$P$2:$P$1000,"*"&amp;TRIM($C54)&amp;"*")=1,INDEX('🎓 Alumnas'!$A$2:$A$1000,MATCH("*"&amp;TRIM($C54)&amp;"*",'🎓 Alumnas'!$P$2:$P$1000,0)),IF(COUNTIF('🎓 Alumnas'!$Q$2:$Q$1000,"*"&amp;TRIM($C54)&amp;"*")=1,INDEX('🎓 Alumnas'!$A$2:$A$1000,MATCH("*"&amp;TRIM($C54)&amp;"*",'🎓 Alumnas'!$Q$2:$Q$1000,0)),IF(COUNTIF('🎓 Alumnas'!$P$2:$P$1000,"*"&amp;TRIM($C54)&amp;"*")+COUNTIF('🎓 Alumnas'!$Q$2:$Q$1000,"*"&amp;TRIM($C54)&amp;"*")&gt;1,"Varias: elige de la lista","No encontrada"))))))))</f>
        <v/>
      </c>
    </row>
    <row r="55" customFormat="false" ht="14.25" hidden="false" customHeight="true" outlineLevel="0" collapsed="false">
      <c r="A55" s="25" t="s">
        <v>600</v>
      </c>
      <c r="B55" s="27"/>
      <c r="C55" s="25"/>
      <c r="D55" s="34" t="str">
        <f aca="false">IF($W55="","",IFERROR(TRIM(INDEX('🎓 Alumnas'!$B$2:$B$1000,MATCH($W55,'🎓 Alumnas'!$A$2:$A$1000,0))),""))</f>
        <v/>
      </c>
      <c r="E55" s="34" t="str">
        <f aca="false">IF($W55="","",IFERROR(TRIM(INDEX('🎓 Alumnas'!$C$2:$C$1000,MATCH($W55,'🎓 Alumnas'!$A$2:$A$1000,0))),""))</f>
        <v/>
      </c>
      <c r="F55" s="34" t="str">
        <f aca="false">IF($W55="","",IFERROR(IF(INDEX('🎓 Alumnas'!$D$2:$D$1000,MATCH($W55,'🎓 Alumnas'!$A$2:$A$1000,0))="","",INDEX('🎓 Alumnas'!$D$2:$D$1000,MATCH($W55,'🎓 Alumnas'!$A$2:$A$1000,0))),""))</f>
        <v/>
      </c>
      <c r="G55" s="28" t="str">
        <f aca="false">IF($W55="","",IFERROR(IF(INDEX('🎓 Alumnas'!$E$2:$E$1000,MATCH($W55,'🎓 Alumnas'!$A$2:$A$1000,0))="","",INDEX('🎓 Alumnas'!$E$2:$E$1000,MATCH($W55,'🎓 Alumnas'!$A$2:$A$1000,0))),""))</f>
        <v/>
      </c>
      <c r="H55" s="28" t="str">
        <f aca="false">IF($W55="","",IFERROR(IF(INDEX('🎓 Alumnas'!$F$2:$F$1000,MATCH($W55,'🎓 Alumnas'!$A$2:$A$1000,0))="","",INDEX('🎓 Alumnas'!$F$2:$F$1000,MATCH($W55,'🎓 Alumnas'!$A$2:$A$1000,0))),""))</f>
        <v/>
      </c>
      <c r="I55" s="30" t="str">
        <f aca="false">IF($W55="","",IFERROR(IF(INDEX('🎓 Alumnas'!$G$2:$G$1000,MATCH($W55,'🎓 Alumnas'!$A$2:$A$1000,0))="","",INDEX('🎓 Alumnas'!$G$2:$G$1000,MATCH($W55,'🎓 Alumnas'!$A$2:$A$1000,0))),""))</f>
        <v/>
      </c>
      <c r="J55" s="28" t="str">
        <f aca="true">IF(I55="","",DATEDIF(I55,TODAY(),"Y"))</f>
        <v/>
      </c>
      <c r="K55" s="25"/>
      <c r="L55" s="28" t="str">
        <f aca="false">IF(K55="","",IF(LEFT(K55,6)="1 Pole","Alquiler",IF(LEFT(K55,7)="1 Clase","Clase suelta","Paquete")))</f>
        <v/>
      </c>
      <c r="M55" s="25"/>
      <c r="N55" s="25"/>
      <c r="O55" s="35"/>
      <c r="P55" s="29" t="str">
        <f aca="false">IF(O55="","",N55*O55)</f>
        <v/>
      </c>
      <c r="Q55" s="36"/>
      <c r="R55" s="25"/>
      <c r="S55" s="25"/>
      <c r="T55" s="28" t="str">
        <f aca="false">IF(OR(LEFT(W55,2)&lt;&gt;"A-",ISERROR(MATCH(W55,'🎓 Alumnas'!$A$2:$A$1000,0))),"",IF(COUNTIF($W$2:W55,W55)=1,"Nueva","Recurrente"))</f>
        <v/>
      </c>
      <c r="U55" s="28" t="str">
        <f aca="false">IF(OR(T55="",L55&lt;&gt;"Paquete"),"",COUNTIFS($W$2:W55,W55,$L$2:L55,"Paquete"))</f>
        <v/>
      </c>
      <c r="V55" s="25"/>
      <c r="W55" s="34" t="str">
        <f aca="false">IF(TRIM($C55)="","",IF(COUNTIF('🎓 Alumnas'!$P$2:$P$1000,TRIM($C55))&gt;0,INDEX('🎓 Alumnas'!$A$2:$A$1000,MATCH(TRIM($C55),'🎓 Alumnas'!$P$2:$P$1000,0)),IF(COUNTIF('🎓 Alumnas'!$O$2:$O$1000,TRIM($C55)&amp;"|*")=1,INDEX('🎓 Alumnas'!$A$2:$A$1000,MATCH(TRIM($C55)&amp;"|*",'🎓 Alumnas'!$O$2:$O$1000,0)),IF(COUNTIF('🎓 Alumnas'!$O$2:$O$1000,"*|"&amp;TRIM($C55))=1,INDEX('🎓 Alumnas'!$A$2:$A$1000,MATCH("*|"&amp;TRIM($C55),'🎓 Alumnas'!$O$2:$O$1000,0)),IF(COUNTIF('🎓 Alumnas'!$Q$2:$Q$1000,TRIM($C55))=1,INDEX('🎓 Alumnas'!$A$2:$A$1000,MATCH(TRIM($C55),'🎓 Alumnas'!$Q$2:$Q$1000,0)),IF(COUNTIF('🎓 Alumnas'!$P$2:$P$1000,"*"&amp;TRIM($C55)&amp;"*")=1,INDEX('🎓 Alumnas'!$A$2:$A$1000,MATCH("*"&amp;TRIM($C55)&amp;"*",'🎓 Alumnas'!$P$2:$P$1000,0)),IF(COUNTIF('🎓 Alumnas'!$Q$2:$Q$1000,"*"&amp;TRIM($C55)&amp;"*")=1,INDEX('🎓 Alumnas'!$A$2:$A$1000,MATCH("*"&amp;TRIM($C55)&amp;"*",'🎓 Alumnas'!$Q$2:$Q$1000,0)),IF(COUNTIF('🎓 Alumnas'!$P$2:$P$1000,"*"&amp;TRIM($C55)&amp;"*")+COUNTIF('🎓 Alumnas'!$Q$2:$Q$1000,"*"&amp;TRIM($C55)&amp;"*")&gt;1,"Varias: elige de la lista","No encontrada"))))))))</f>
        <v/>
      </c>
    </row>
    <row r="56" customFormat="false" ht="14.25" hidden="false" customHeight="true" outlineLevel="0" collapsed="false">
      <c r="A56" s="25" t="s">
        <v>601</v>
      </c>
      <c r="B56" s="27"/>
      <c r="C56" s="25"/>
      <c r="D56" s="34" t="str">
        <f aca="false">IF($W56="","",IFERROR(TRIM(INDEX('🎓 Alumnas'!$B$2:$B$1000,MATCH($W56,'🎓 Alumnas'!$A$2:$A$1000,0))),""))</f>
        <v/>
      </c>
      <c r="E56" s="34" t="str">
        <f aca="false">IF($W56="","",IFERROR(TRIM(INDEX('🎓 Alumnas'!$C$2:$C$1000,MATCH($W56,'🎓 Alumnas'!$A$2:$A$1000,0))),""))</f>
        <v/>
      </c>
      <c r="F56" s="34" t="str">
        <f aca="false">IF($W56="","",IFERROR(IF(INDEX('🎓 Alumnas'!$D$2:$D$1000,MATCH($W56,'🎓 Alumnas'!$A$2:$A$1000,0))="","",INDEX('🎓 Alumnas'!$D$2:$D$1000,MATCH($W56,'🎓 Alumnas'!$A$2:$A$1000,0))),""))</f>
        <v/>
      </c>
      <c r="G56" s="28" t="str">
        <f aca="false">IF($W56="","",IFERROR(IF(INDEX('🎓 Alumnas'!$E$2:$E$1000,MATCH($W56,'🎓 Alumnas'!$A$2:$A$1000,0))="","",INDEX('🎓 Alumnas'!$E$2:$E$1000,MATCH($W56,'🎓 Alumnas'!$A$2:$A$1000,0))),""))</f>
        <v/>
      </c>
      <c r="H56" s="28" t="str">
        <f aca="false">IF($W56="","",IFERROR(IF(INDEX('🎓 Alumnas'!$F$2:$F$1000,MATCH($W56,'🎓 Alumnas'!$A$2:$A$1000,0))="","",INDEX('🎓 Alumnas'!$F$2:$F$1000,MATCH($W56,'🎓 Alumnas'!$A$2:$A$1000,0))),""))</f>
        <v/>
      </c>
      <c r="I56" s="30" t="str">
        <f aca="false">IF($W56="","",IFERROR(IF(INDEX('🎓 Alumnas'!$G$2:$G$1000,MATCH($W56,'🎓 Alumnas'!$A$2:$A$1000,0))="","",INDEX('🎓 Alumnas'!$G$2:$G$1000,MATCH($W56,'🎓 Alumnas'!$A$2:$A$1000,0))),""))</f>
        <v/>
      </c>
      <c r="J56" s="28" t="str">
        <f aca="true">IF(I56="","",DATEDIF(I56,TODAY(),"Y"))</f>
        <v/>
      </c>
      <c r="K56" s="25"/>
      <c r="L56" s="28" t="str">
        <f aca="false">IF(K56="","",IF(LEFT(K56,6)="1 Pole","Alquiler",IF(LEFT(K56,7)="1 Clase","Clase suelta","Paquete")))</f>
        <v/>
      </c>
      <c r="M56" s="25"/>
      <c r="N56" s="25"/>
      <c r="O56" s="35"/>
      <c r="P56" s="29" t="str">
        <f aca="false">IF(O56="","",N56*O56)</f>
        <v/>
      </c>
      <c r="Q56" s="36"/>
      <c r="R56" s="25"/>
      <c r="S56" s="25"/>
      <c r="T56" s="28" t="str">
        <f aca="false">IF(OR(LEFT(W56,2)&lt;&gt;"A-",ISERROR(MATCH(W56,'🎓 Alumnas'!$A$2:$A$1000,0))),"",IF(COUNTIF($W$2:W56,W56)=1,"Nueva","Recurrente"))</f>
        <v/>
      </c>
      <c r="U56" s="28" t="str">
        <f aca="false">IF(OR(T56="",L56&lt;&gt;"Paquete"),"",COUNTIFS($W$2:W56,W56,$L$2:L56,"Paquete"))</f>
        <v/>
      </c>
      <c r="V56" s="25"/>
      <c r="W56" s="34" t="str">
        <f aca="false">IF(TRIM($C56)="","",IF(COUNTIF('🎓 Alumnas'!$P$2:$P$1000,TRIM($C56))&gt;0,INDEX('🎓 Alumnas'!$A$2:$A$1000,MATCH(TRIM($C56),'🎓 Alumnas'!$P$2:$P$1000,0)),IF(COUNTIF('🎓 Alumnas'!$O$2:$O$1000,TRIM($C56)&amp;"|*")=1,INDEX('🎓 Alumnas'!$A$2:$A$1000,MATCH(TRIM($C56)&amp;"|*",'🎓 Alumnas'!$O$2:$O$1000,0)),IF(COUNTIF('🎓 Alumnas'!$O$2:$O$1000,"*|"&amp;TRIM($C56))=1,INDEX('🎓 Alumnas'!$A$2:$A$1000,MATCH("*|"&amp;TRIM($C56),'🎓 Alumnas'!$O$2:$O$1000,0)),IF(COUNTIF('🎓 Alumnas'!$Q$2:$Q$1000,TRIM($C56))=1,INDEX('🎓 Alumnas'!$A$2:$A$1000,MATCH(TRIM($C56),'🎓 Alumnas'!$Q$2:$Q$1000,0)),IF(COUNTIF('🎓 Alumnas'!$P$2:$P$1000,"*"&amp;TRIM($C56)&amp;"*")=1,INDEX('🎓 Alumnas'!$A$2:$A$1000,MATCH("*"&amp;TRIM($C56)&amp;"*",'🎓 Alumnas'!$P$2:$P$1000,0)),IF(COUNTIF('🎓 Alumnas'!$Q$2:$Q$1000,"*"&amp;TRIM($C56)&amp;"*")=1,INDEX('🎓 Alumnas'!$A$2:$A$1000,MATCH("*"&amp;TRIM($C56)&amp;"*",'🎓 Alumnas'!$Q$2:$Q$1000,0)),IF(COUNTIF('🎓 Alumnas'!$P$2:$P$1000,"*"&amp;TRIM($C56)&amp;"*")+COUNTIF('🎓 Alumnas'!$Q$2:$Q$1000,"*"&amp;TRIM($C56)&amp;"*")&gt;1,"Varias: elige de la lista","No encontrada"))))))))</f>
        <v/>
      </c>
    </row>
    <row r="57" customFormat="false" ht="14.25" hidden="false" customHeight="true" outlineLevel="0" collapsed="false">
      <c r="A57" s="25" t="s">
        <v>602</v>
      </c>
      <c r="B57" s="27"/>
      <c r="C57" s="25"/>
      <c r="D57" s="34" t="str">
        <f aca="false">IF($W57="","",IFERROR(TRIM(INDEX('🎓 Alumnas'!$B$2:$B$1000,MATCH($W57,'🎓 Alumnas'!$A$2:$A$1000,0))),""))</f>
        <v/>
      </c>
      <c r="E57" s="34" t="str">
        <f aca="false">IF($W57="","",IFERROR(TRIM(INDEX('🎓 Alumnas'!$C$2:$C$1000,MATCH($W57,'🎓 Alumnas'!$A$2:$A$1000,0))),""))</f>
        <v/>
      </c>
      <c r="F57" s="34" t="str">
        <f aca="false">IF($W57="","",IFERROR(IF(INDEX('🎓 Alumnas'!$D$2:$D$1000,MATCH($W57,'🎓 Alumnas'!$A$2:$A$1000,0))="","",INDEX('🎓 Alumnas'!$D$2:$D$1000,MATCH($W57,'🎓 Alumnas'!$A$2:$A$1000,0))),""))</f>
        <v/>
      </c>
      <c r="G57" s="28" t="str">
        <f aca="false">IF($W57="","",IFERROR(IF(INDEX('🎓 Alumnas'!$E$2:$E$1000,MATCH($W57,'🎓 Alumnas'!$A$2:$A$1000,0))="","",INDEX('🎓 Alumnas'!$E$2:$E$1000,MATCH($W57,'🎓 Alumnas'!$A$2:$A$1000,0))),""))</f>
        <v/>
      </c>
      <c r="H57" s="28" t="str">
        <f aca="false">IF($W57="","",IFERROR(IF(INDEX('🎓 Alumnas'!$F$2:$F$1000,MATCH($W57,'🎓 Alumnas'!$A$2:$A$1000,0))="","",INDEX('🎓 Alumnas'!$F$2:$F$1000,MATCH($W57,'🎓 Alumnas'!$A$2:$A$1000,0))),""))</f>
        <v/>
      </c>
      <c r="I57" s="30" t="str">
        <f aca="false">IF($W57="","",IFERROR(IF(INDEX('🎓 Alumnas'!$G$2:$G$1000,MATCH($W57,'🎓 Alumnas'!$A$2:$A$1000,0))="","",INDEX('🎓 Alumnas'!$G$2:$G$1000,MATCH($W57,'🎓 Alumnas'!$A$2:$A$1000,0))),""))</f>
        <v/>
      </c>
      <c r="J57" s="28" t="str">
        <f aca="true">IF(I57="","",DATEDIF(I57,TODAY(),"Y"))</f>
        <v/>
      </c>
      <c r="K57" s="25"/>
      <c r="L57" s="28" t="str">
        <f aca="false">IF(K57="","",IF(LEFT(K57,6)="1 Pole","Alquiler",IF(LEFT(K57,7)="1 Clase","Clase suelta","Paquete")))</f>
        <v/>
      </c>
      <c r="M57" s="25"/>
      <c r="N57" s="25"/>
      <c r="O57" s="35"/>
      <c r="P57" s="29" t="str">
        <f aca="false">IF(O57="","",N57*O57)</f>
        <v/>
      </c>
      <c r="Q57" s="36"/>
      <c r="R57" s="25"/>
      <c r="S57" s="25"/>
      <c r="T57" s="28" t="str">
        <f aca="false">IF(OR(LEFT(W57,2)&lt;&gt;"A-",ISERROR(MATCH(W57,'🎓 Alumnas'!$A$2:$A$1000,0))),"",IF(COUNTIF($W$2:W57,W57)=1,"Nueva","Recurrente"))</f>
        <v/>
      </c>
      <c r="U57" s="28" t="str">
        <f aca="false">IF(OR(T57="",L57&lt;&gt;"Paquete"),"",COUNTIFS($W$2:W57,W57,$L$2:L57,"Paquete"))</f>
        <v/>
      </c>
      <c r="V57" s="25"/>
      <c r="W57" s="34" t="str">
        <f aca="false">IF(TRIM($C57)="","",IF(COUNTIF('🎓 Alumnas'!$P$2:$P$1000,TRIM($C57))&gt;0,INDEX('🎓 Alumnas'!$A$2:$A$1000,MATCH(TRIM($C57),'🎓 Alumnas'!$P$2:$P$1000,0)),IF(COUNTIF('🎓 Alumnas'!$O$2:$O$1000,TRIM($C57)&amp;"|*")=1,INDEX('🎓 Alumnas'!$A$2:$A$1000,MATCH(TRIM($C57)&amp;"|*",'🎓 Alumnas'!$O$2:$O$1000,0)),IF(COUNTIF('🎓 Alumnas'!$O$2:$O$1000,"*|"&amp;TRIM($C57))=1,INDEX('🎓 Alumnas'!$A$2:$A$1000,MATCH("*|"&amp;TRIM($C57),'🎓 Alumnas'!$O$2:$O$1000,0)),IF(COUNTIF('🎓 Alumnas'!$Q$2:$Q$1000,TRIM($C57))=1,INDEX('🎓 Alumnas'!$A$2:$A$1000,MATCH(TRIM($C57),'🎓 Alumnas'!$Q$2:$Q$1000,0)),IF(COUNTIF('🎓 Alumnas'!$P$2:$P$1000,"*"&amp;TRIM($C57)&amp;"*")=1,INDEX('🎓 Alumnas'!$A$2:$A$1000,MATCH("*"&amp;TRIM($C57)&amp;"*",'🎓 Alumnas'!$P$2:$P$1000,0)),IF(COUNTIF('🎓 Alumnas'!$Q$2:$Q$1000,"*"&amp;TRIM($C57)&amp;"*")=1,INDEX('🎓 Alumnas'!$A$2:$A$1000,MATCH("*"&amp;TRIM($C57)&amp;"*",'🎓 Alumnas'!$Q$2:$Q$1000,0)),IF(COUNTIF('🎓 Alumnas'!$P$2:$P$1000,"*"&amp;TRIM($C57)&amp;"*")+COUNTIF('🎓 Alumnas'!$Q$2:$Q$1000,"*"&amp;TRIM($C57)&amp;"*")&gt;1,"Varias: elige de la lista","No encontrada"))))))))</f>
        <v/>
      </c>
    </row>
    <row r="58" customFormat="false" ht="14.25" hidden="false" customHeight="true" outlineLevel="0" collapsed="false">
      <c r="A58" s="25" t="s">
        <v>603</v>
      </c>
      <c r="B58" s="27"/>
      <c r="C58" s="25"/>
      <c r="D58" s="34" t="str">
        <f aca="false">IF($W58="","",IFERROR(TRIM(INDEX('🎓 Alumnas'!$B$2:$B$1000,MATCH($W58,'🎓 Alumnas'!$A$2:$A$1000,0))),""))</f>
        <v/>
      </c>
      <c r="E58" s="34" t="str">
        <f aca="false">IF($W58="","",IFERROR(TRIM(INDEX('🎓 Alumnas'!$C$2:$C$1000,MATCH($W58,'🎓 Alumnas'!$A$2:$A$1000,0))),""))</f>
        <v/>
      </c>
      <c r="F58" s="34" t="str">
        <f aca="false">IF($W58="","",IFERROR(IF(INDEX('🎓 Alumnas'!$D$2:$D$1000,MATCH($W58,'🎓 Alumnas'!$A$2:$A$1000,0))="","",INDEX('🎓 Alumnas'!$D$2:$D$1000,MATCH($W58,'🎓 Alumnas'!$A$2:$A$1000,0))),""))</f>
        <v/>
      </c>
      <c r="G58" s="28" t="str">
        <f aca="false">IF($W58="","",IFERROR(IF(INDEX('🎓 Alumnas'!$E$2:$E$1000,MATCH($W58,'🎓 Alumnas'!$A$2:$A$1000,0))="","",INDEX('🎓 Alumnas'!$E$2:$E$1000,MATCH($W58,'🎓 Alumnas'!$A$2:$A$1000,0))),""))</f>
        <v/>
      </c>
      <c r="H58" s="28" t="str">
        <f aca="false">IF($W58="","",IFERROR(IF(INDEX('🎓 Alumnas'!$F$2:$F$1000,MATCH($W58,'🎓 Alumnas'!$A$2:$A$1000,0))="","",INDEX('🎓 Alumnas'!$F$2:$F$1000,MATCH($W58,'🎓 Alumnas'!$A$2:$A$1000,0))),""))</f>
        <v/>
      </c>
      <c r="I58" s="30" t="str">
        <f aca="false">IF($W58="","",IFERROR(IF(INDEX('🎓 Alumnas'!$G$2:$G$1000,MATCH($W58,'🎓 Alumnas'!$A$2:$A$1000,0))="","",INDEX('🎓 Alumnas'!$G$2:$G$1000,MATCH($W58,'🎓 Alumnas'!$A$2:$A$1000,0))),""))</f>
        <v/>
      </c>
      <c r="J58" s="28" t="str">
        <f aca="true">IF(I58="","",DATEDIF(I58,TODAY(),"Y"))</f>
        <v/>
      </c>
      <c r="K58" s="25"/>
      <c r="L58" s="28" t="str">
        <f aca="false">IF(K58="","",IF(LEFT(K58,6)="1 Pole","Alquiler",IF(LEFT(K58,7)="1 Clase","Clase suelta","Paquete")))</f>
        <v/>
      </c>
      <c r="M58" s="25"/>
      <c r="N58" s="25"/>
      <c r="O58" s="35"/>
      <c r="P58" s="29" t="str">
        <f aca="false">IF(O58="","",N58*O58)</f>
        <v/>
      </c>
      <c r="Q58" s="36"/>
      <c r="R58" s="25"/>
      <c r="S58" s="25"/>
      <c r="T58" s="28" t="str">
        <f aca="false">IF(OR(LEFT(W58,2)&lt;&gt;"A-",ISERROR(MATCH(W58,'🎓 Alumnas'!$A$2:$A$1000,0))),"",IF(COUNTIF($W$2:W58,W58)=1,"Nueva","Recurrente"))</f>
        <v/>
      </c>
      <c r="U58" s="28" t="str">
        <f aca="false">IF(OR(T58="",L58&lt;&gt;"Paquete"),"",COUNTIFS($W$2:W58,W58,$L$2:L58,"Paquete"))</f>
        <v/>
      </c>
      <c r="V58" s="25"/>
      <c r="W58" s="34" t="str">
        <f aca="false">IF(TRIM($C58)="","",IF(COUNTIF('🎓 Alumnas'!$P$2:$P$1000,TRIM($C58))&gt;0,INDEX('🎓 Alumnas'!$A$2:$A$1000,MATCH(TRIM($C58),'🎓 Alumnas'!$P$2:$P$1000,0)),IF(COUNTIF('🎓 Alumnas'!$O$2:$O$1000,TRIM($C58)&amp;"|*")=1,INDEX('🎓 Alumnas'!$A$2:$A$1000,MATCH(TRIM($C58)&amp;"|*",'🎓 Alumnas'!$O$2:$O$1000,0)),IF(COUNTIF('🎓 Alumnas'!$O$2:$O$1000,"*|"&amp;TRIM($C58))=1,INDEX('🎓 Alumnas'!$A$2:$A$1000,MATCH("*|"&amp;TRIM($C58),'🎓 Alumnas'!$O$2:$O$1000,0)),IF(COUNTIF('🎓 Alumnas'!$Q$2:$Q$1000,TRIM($C58))=1,INDEX('🎓 Alumnas'!$A$2:$A$1000,MATCH(TRIM($C58),'🎓 Alumnas'!$Q$2:$Q$1000,0)),IF(COUNTIF('🎓 Alumnas'!$P$2:$P$1000,"*"&amp;TRIM($C58)&amp;"*")=1,INDEX('🎓 Alumnas'!$A$2:$A$1000,MATCH("*"&amp;TRIM($C58)&amp;"*",'🎓 Alumnas'!$P$2:$P$1000,0)),IF(COUNTIF('🎓 Alumnas'!$Q$2:$Q$1000,"*"&amp;TRIM($C58)&amp;"*")=1,INDEX('🎓 Alumnas'!$A$2:$A$1000,MATCH("*"&amp;TRIM($C58)&amp;"*",'🎓 Alumnas'!$Q$2:$Q$1000,0)),IF(COUNTIF('🎓 Alumnas'!$P$2:$P$1000,"*"&amp;TRIM($C58)&amp;"*")+COUNTIF('🎓 Alumnas'!$Q$2:$Q$1000,"*"&amp;TRIM($C58)&amp;"*")&gt;1,"Varias: elige de la lista","No encontrada"))))))))</f>
        <v/>
      </c>
    </row>
    <row r="59" customFormat="false" ht="14.25" hidden="false" customHeight="true" outlineLevel="0" collapsed="false">
      <c r="A59" s="25" t="s">
        <v>604</v>
      </c>
      <c r="B59" s="27"/>
      <c r="C59" s="25"/>
      <c r="D59" s="34" t="str">
        <f aca="false">IF($W59="","",IFERROR(TRIM(INDEX('🎓 Alumnas'!$B$2:$B$1000,MATCH($W59,'🎓 Alumnas'!$A$2:$A$1000,0))),""))</f>
        <v/>
      </c>
      <c r="E59" s="34" t="str">
        <f aca="false">IF($W59="","",IFERROR(TRIM(INDEX('🎓 Alumnas'!$C$2:$C$1000,MATCH($W59,'🎓 Alumnas'!$A$2:$A$1000,0))),""))</f>
        <v/>
      </c>
      <c r="F59" s="34" t="str">
        <f aca="false">IF($W59="","",IFERROR(IF(INDEX('🎓 Alumnas'!$D$2:$D$1000,MATCH($W59,'🎓 Alumnas'!$A$2:$A$1000,0))="","",INDEX('🎓 Alumnas'!$D$2:$D$1000,MATCH($W59,'🎓 Alumnas'!$A$2:$A$1000,0))),""))</f>
        <v/>
      </c>
      <c r="G59" s="28" t="str">
        <f aca="false">IF($W59="","",IFERROR(IF(INDEX('🎓 Alumnas'!$E$2:$E$1000,MATCH($W59,'🎓 Alumnas'!$A$2:$A$1000,0))="","",INDEX('🎓 Alumnas'!$E$2:$E$1000,MATCH($W59,'🎓 Alumnas'!$A$2:$A$1000,0))),""))</f>
        <v/>
      </c>
      <c r="H59" s="28" t="str">
        <f aca="false">IF($W59="","",IFERROR(IF(INDEX('🎓 Alumnas'!$F$2:$F$1000,MATCH($W59,'🎓 Alumnas'!$A$2:$A$1000,0))="","",INDEX('🎓 Alumnas'!$F$2:$F$1000,MATCH($W59,'🎓 Alumnas'!$A$2:$A$1000,0))),""))</f>
        <v/>
      </c>
      <c r="I59" s="30" t="str">
        <f aca="false">IF($W59="","",IFERROR(IF(INDEX('🎓 Alumnas'!$G$2:$G$1000,MATCH($W59,'🎓 Alumnas'!$A$2:$A$1000,0))="","",INDEX('🎓 Alumnas'!$G$2:$G$1000,MATCH($W59,'🎓 Alumnas'!$A$2:$A$1000,0))),""))</f>
        <v/>
      </c>
      <c r="J59" s="28" t="str">
        <f aca="true">IF(I59="","",DATEDIF(I59,TODAY(),"Y"))</f>
        <v/>
      </c>
      <c r="K59" s="25"/>
      <c r="L59" s="28" t="str">
        <f aca="false">IF(K59="","",IF(LEFT(K59,6)="1 Pole","Alquiler",IF(LEFT(K59,7)="1 Clase","Clase suelta","Paquete")))</f>
        <v/>
      </c>
      <c r="M59" s="25"/>
      <c r="N59" s="25"/>
      <c r="O59" s="35"/>
      <c r="P59" s="29" t="str">
        <f aca="false">IF(O59="","",N59*O59)</f>
        <v/>
      </c>
      <c r="Q59" s="36"/>
      <c r="R59" s="25"/>
      <c r="S59" s="25"/>
      <c r="T59" s="28" t="str">
        <f aca="false">IF(OR(LEFT(W59,2)&lt;&gt;"A-",ISERROR(MATCH(W59,'🎓 Alumnas'!$A$2:$A$1000,0))),"",IF(COUNTIF($W$2:W59,W59)=1,"Nueva","Recurrente"))</f>
        <v/>
      </c>
      <c r="U59" s="28" t="str">
        <f aca="false">IF(OR(T59="",L59&lt;&gt;"Paquete"),"",COUNTIFS($W$2:W59,W59,$L$2:L59,"Paquete"))</f>
        <v/>
      </c>
      <c r="V59" s="25"/>
      <c r="W59" s="34" t="str">
        <f aca="false">IF(TRIM($C59)="","",IF(COUNTIF('🎓 Alumnas'!$P$2:$P$1000,TRIM($C59))&gt;0,INDEX('🎓 Alumnas'!$A$2:$A$1000,MATCH(TRIM($C59),'🎓 Alumnas'!$P$2:$P$1000,0)),IF(COUNTIF('🎓 Alumnas'!$O$2:$O$1000,TRIM($C59)&amp;"|*")=1,INDEX('🎓 Alumnas'!$A$2:$A$1000,MATCH(TRIM($C59)&amp;"|*",'🎓 Alumnas'!$O$2:$O$1000,0)),IF(COUNTIF('🎓 Alumnas'!$O$2:$O$1000,"*|"&amp;TRIM($C59))=1,INDEX('🎓 Alumnas'!$A$2:$A$1000,MATCH("*|"&amp;TRIM($C59),'🎓 Alumnas'!$O$2:$O$1000,0)),IF(COUNTIF('🎓 Alumnas'!$Q$2:$Q$1000,TRIM($C59))=1,INDEX('🎓 Alumnas'!$A$2:$A$1000,MATCH(TRIM($C59),'🎓 Alumnas'!$Q$2:$Q$1000,0)),IF(COUNTIF('🎓 Alumnas'!$P$2:$P$1000,"*"&amp;TRIM($C59)&amp;"*")=1,INDEX('🎓 Alumnas'!$A$2:$A$1000,MATCH("*"&amp;TRIM($C59)&amp;"*",'🎓 Alumnas'!$P$2:$P$1000,0)),IF(COUNTIF('🎓 Alumnas'!$Q$2:$Q$1000,"*"&amp;TRIM($C59)&amp;"*")=1,INDEX('🎓 Alumnas'!$A$2:$A$1000,MATCH("*"&amp;TRIM($C59)&amp;"*",'🎓 Alumnas'!$Q$2:$Q$1000,0)),IF(COUNTIF('🎓 Alumnas'!$P$2:$P$1000,"*"&amp;TRIM($C59)&amp;"*")+COUNTIF('🎓 Alumnas'!$Q$2:$Q$1000,"*"&amp;TRIM($C59)&amp;"*")&gt;1,"Varias: elige de la lista","No encontrada"))))))))</f>
        <v/>
      </c>
    </row>
    <row r="60" customFormat="false" ht="14.25" hidden="false" customHeight="true" outlineLevel="0" collapsed="false">
      <c r="A60" s="25" t="s">
        <v>605</v>
      </c>
      <c r="B60" s="27"/>
      <c r="C60" s="25"/>
      <c r="D60" s="34" t="str">
        <f aca="false">IF($W60="","",IFERROR(TRIM(INDEX('🎓 Alumnas'!$B$2:$B$1000,MATCH($W60,'🎓 Alumnas'!$A$2:$A$1000,0))),""))</f>
        <v/>
      </c>
      <c r="E60" s="34" t="str">
        <f aca="false">IF($W60="","",IFERROR(TRIM(INDEX('🎓 Alumnas'!$C$2:$C$1000,MATCH($W60,'🎓 Alumnas'!$A$2:$A$1000,0))),""))</f>
        <v/>
      </c>
      <c r="F60" s="34" t="str">
        <f aca="false">IF($W60="","",IFERROR(IF(INDEX('🎓 Alumnas'!$D$2:$D$1000,MATCH($W60,'🎓 Alumnas'!$A$2:$A$1000,0))="","",INDEX('🎓 Alumnas'!$D$2:$D$1000,MATCH($W60,'🎓 Alumnas'!$A$2:$A$1000,0))),""))</f>
        <v/>
      </c>
      <c r="G60" s="28" t="str">
        <f aca="false">IF($W60="","",IFERROR(IF(INDEX('🎓 Alumnas'!$E$2:$E$1000,MATCH($W60,'🎓 Alumnas'!$A$2:$A$1000,0))="","",INDEX('🎓 Alumnas'!$E$2:$E$1000,MATCH($W60,'🎓 Alumnas'!$A$2:$A$1000,0))),""))</f>
        <v/>
      </c>
      <c r="H60" s="28" t="str">
        <f aca="false">IF($W60="","",IFERROR(IF(INDEX('🎓 Alumnas'!$F$2:$F$1000,MATCH($W60,'🎓 Alumnas'!$A$2:$A$1000,0))="","",INDEX('🎓 Alumnas'!$F$2:$F$1000,MATCH($W60,'🎓 Alumnas'!$A$2:$A$1000,0))),""))</f>
        <v/>
      </c>
      <c r="I60" s="30" t="str">
        <f aca="false">IF($W60="","",IFERROR(IF(INDEX('🎓 Alumnas'!$G$2:$G$1000,MATCH($W60,'🎓 Alumnas'!$A$2:$A$1000,0))="","",INDEX('🎓 Alumnas'!$G$2:$G$1000,MATCH($W60,'🎓 Alumnas'!$A$2:$A$1000,0))),""))</f>
        <v/>
      </c>
      <c r="J60" s="28" t="str">
        <f aca="true">IF(I60="","",DATEDIF(I60,TODAY(),"Y"))</f>
        <v/>
      </c>
      <c r="K60" s="25"/>
      <c r="L60" s="28" t="str">
        <f aca="false">IF(K60="","",IF(LEFT(K60,6)="1 Pole","Alquiler",IF(LEFT(K60,7)="1 Clase","Clase suelta","Paquete")))</f>
        <v/>
      </c>
      <c r="M60" s="25"/>
      <c r="N60" s="25"/>
      <c r="O60" s="35"/>
      <c r="P60" s="29" t="str">
        <f aca="false">IF(O60="","",N60*O60)</f>
        <v/>
      </c>
      <c r="Q60" s="36"/>
      <c r="R60" s="25"/>
      <c r="S60" s="25"/>
      <c r="T60" s="28" t="str">
        <f aca="false">IF(OR(LEFT(W60,2)&lt;&gt;"A-",ISERROR(MATCH(W60,'🎓 Alumnas'!$A$2:$A$1000,0))),"",IF(COUNTIF($W$2:W60,W60)=1,"Nueva","Recurrente"))</f>
        <v/>
      </c>
      <c r="U60" s="28" t="str">
        <f aca="false">IF(OR(T60="",L60&lt;&gt;"Paquete"),"",COUNTIFS($W$2:W60,W60,$L$2:L60,"Paquete"))</f>
        <v/>
      </c>
      <c r="V60" s="25"/>
      <c r="W60" s="34" t="str">
        <f aca="false">IF(TRIM($C60)="","",IF(COUNTIF('🎓 Alumnas'!$P$2:$P$1000,TRIM($C60))&gt;0,INDEX('🎓 Alumnas'!$A$2:$A$1000,MATCH(TRIM($C60),'🎓 Alumnas'!$P$2:$P$1000,0)),IF(COUNTIF('🎓 Alumnas'!$O$2:$O$1000,TRIM($C60)&amp;"|*")=1,INDEX('🎓 Alumnas'!$A$2:$A$1000,MATCH(TRIM($C60)&amp;"|*",'🎓 Alumnas'!$O$2:$O$1000,0)),IF(COUNTIF('🎓 Alumnas'!$O$2:$O$1000,"*|"&amp;TRIM($C60))=1,INDEX('🎓 Alumnas'!$A$2:$A$1000,MATCH("*|"&amp;TRIM($C60),'🎓 Alumnas'!$O$2:$O$1000,0)),IF(COUNTIF('🎓 Alumnas'!$Q$2:$Q$1000,TRIM($C60))=1,INDEX('🎓 Alumnas'!$A$2:$A$1000,MATCH(TRIM($C60),'🎓 Alumnas'!$Q$2:$Q$1000,0)),IF(COUNTIF('🎓 Alumnas'!$P$2:$P$1000,"*"&amp;TRIM($C60)&amp;"*")=1,INDEX('🎓 Alumnas'!$A$2:$A$1000,MATCH("*"&amp;TRIM($C60)&amp;"*",'🎓 Alumnas'!$P$2:$P$1000,0)),IF(COUNTIF('🎓 Alumnas'!$Q$2:$Q$1000,"*"&amp;TRIM($C60)&amp;"*")=1,INDEX('🎓 Alumnas'!$A$2:$A$1000,MATCH("*"&amp;TRIM($C60)&amp;"*",'🎓 Alumnas'!$Q$2:$Q$1000,0)),IF(COUNTIF('🎓 Alumnas'!$P$2:$P$1000,"*"&amp;TRIM($C60)&amp;"*")+COUNTIF('🎓 Alumnas'!$Q$2:$Q$1000,"*"&amp;TRIM($C60)&amp;"*")&gt;1,"Varias: elige de la lista","No encontrada"))))))))</f>
        <v/>
      </c>
    </row>
    <row r="61" customFormat="false" ht="14.25" hidden="false" customHeight="true" outlineLevel="0" collapsed="false">
      <c r="A61" s="25" t="s">
        <v>606</v>
      </c>
      <c r="B61" s="27"/>
      <c r="C61" s="25"/>
      <c r="D61" s="34" t="str">
        <f aca="false">IF($W61="","",IFERROR(TRIM(INDEX('🎓 Alumnas'!$B$2:$B$1000,MATCH($W61,'🎓 Alumnas'!$A$2:$A$1000,0))),""))</f>
        <v/>
      </c>
      <c r="E61" s="34" t="str">
        <f aca="false">IF($W61="","",IFERROR(TRIM(INDEX('🎓 Alumnas'!$C$2:$C$1000,MATCH($W61,'🎓 Alumnas'!$A$2:$A$1000,0))),""))</f>
        <v/>
      </c>
      <c r="F61" s="34" t="str">
        <f aca="false">IF($W61="","",IFERROR(IF(INDEX('🎓 Alumnas'!$D$2:$D$1000,MATCH($W61,'🎓 Alumnas'!$A$2:$A$1000,0))="","",INDEX('🎓 Alumnas'!$D$2:$D$1000,MATCH($W61,'🎓 Alumnas'!$A$2:$A$1000,0))),""))</f>
        <v/>
      </c>
      <c r="G61" s="28" t="str">
        <f aca="false">IF($W61="","",IFERROR(IF(INDEX('🎓 Alumnas'!$E$2:$E$1000,MATCH($W61,'🎓 Alumnas'!$A$2:$A$1000,0))="","",INDEX('🎓 Alumnas'!$E$2:$E$1000,MATCH($W61,'🎓 Alumnas'!$A$2:$A$1000,0))),""))</f>
        <v/>
      </c>
      <c r="H61" s="28" t="str">
        <f aca="false">IF($W61="","",IFERROR(IF(INDEX('🎓 Alumnas'!$F$2:$F$1000,MATCH($W61,'🎓 Alumnas'!$A$2:$A$1000,0))="","",INDEX('🎓 Alumnas'!$F$2:$F$1000,MATCH($W61,'🎓 Alumnas'!$A$2:$A$1000,0))),""))</f>
        <v/>
      </c>
      <c r="I61" s="30" t="str">
        <f aca="false">IF($W61="","",IFERROR(IF(INDEX('🎓 Alumnas'!$G$2:$G$1000,MATCH($W61,'🎓 Alumnas'!$A$2:$A$1000,0))="","",INDEX('🎓 Alumnas'!$G$2:$G$1000,MATCH($W61,'🎓 Alumnas'!$A$2:$A$1000,0))),""))</f>
        <v/>
      </c>
      <c r="J61" s="28" t="str">
        <f aca="true">IF(I61="","",DATEDIF(I61,TODAY(),"Y"))</f>
        <v/>
      </c>
      <c r="K61" s="25"/>
      <c r="L61" s="28" t="str">
        <f aca="false">IF(K61="","",IF(LEFT(K61,6)="1 Pole","Alquiler",IF(LEFT(K61,7)="1 Clase","Clase suelta","Paquete")))</f>
        <v/>
      </c>
      <c r="M61" s="25"/>
      <c r="N61" s="25"/>
      <c r="O61" s="35"/>
      <c r="P61" s="29" t="str">
        <f aca="false">IF(O61="","",N61*O61)</f>
        <v/>
      </c>
      <c r="Q61" s="36"/>
      <c r="R61" s="25"/>
      <c r="S61" s="25"/>
      <c r="T61" s="28" t="str">
        <f aca="false">IF(OR(LEFT(W61,2)&lt;&gt;"A-",ISERROR(MATCH(W61,'🎓 Alumnas'!$A$2:$A$1000,0))),"",IF(COUNTIF($W$2:W61,W61)=1,"Nueva","Recurrente"))</f>
        <v/>
      </c>
      <c r="U61" s="28" t="str">
        <f aca="false">IF(OR(T61="",L61&lt;&gt;"Paquete"),"",COUNTIFS($W$2:W61,W61,$L$2:L61,"Paquete"))</f>
        <v/>
      </c>
      <c r="V61" s="25"/>
      <c r="W61" s="34" t="str">
        <f aca="false">IF(TRIM($C61)="","",IF(COUNTIF('🎓 Alumnas'!$P$2:$P$1000,TRIM($C61))&gt;0,INDEX('🎓 Alumnas'!$A$2:$A$1000,MATCH(TRIM($C61),'🎓 Alumnas'!$P$2:$P$1000,0)),IF(COUNTIF('🎓 Alumnas'!$O$2:$O$1000,TRIM($C61)&amp;"|*")=1,INDEX('🎓 Alumnas'!$A$2:$A$1000,MATCH(TRIM($C61)&amp;"|*",'🎓 Alumnas'!$O$2:$O$1000,0)),IF(COUNTIF('🎓 Alumnas'!$O$2:$O$1000,"*|"&amp;TRIM($C61))=1,INDEX('🎓 Alumnas'!$A$2:$A$1000,MATCH("*|"&amp;TRIM($C61),'🎓 Alumnas'!$O$2:$O$1000,0)),IF(COUNTIF('🎓 Alumnas'!$Q$2:$Q$1000,TRIM($C61))=1,INDEX('🎓 Alumnas'!$A$2:$A$1000,MATCH(TRIM($C61),'🎓 Alumnas'!$Q$2:$Q$1000,0)),IF(COUNTIF('🎓 Alumnas'!$P$2:$P$1000,"*"&amp;TRIM($C61)&amp;"*")=1,INDEX('🎓 Alumnas'!$A$2:$A$1000,MATCH("*"&amp;TRIM($C61)&amp;"*",'🎓 Alumnas'!$P$2:$P$1000,0)),IF(COUNTIF('🎓 Alumnas'!$Q$2:$Q$1000,"*"&amp;TRIM($C61)&amp;"*")=1,INDEX('🎓 Alumnas'!$A$2:$A$1000,MATCH("*"&amp;TRIM($C61)&amp;"*",'🎓 Alumnas'!$Q$2:$Q$1000,0)),IF(COUNTIF('🎓 Alumnas'!$P$2:$P$1000,"*"&amp;TRIM($C61)&amp;"*")+COUNTIF('🎓 Alumnas'!$Q$2:$Q$1000,"*"&amp;TRIM($C61)&amp;"*")&gt;1,"Varias: elige de la lista","No encontrada"))))))))</f>
        <v/>
      </c>
    </row>
    <row r="62" customFormat="false" ht="14.25" hidden="false" customHeight="true" outlineLevel="0" collapsed="false">
      <c r="A62" s="25" t="s">
        <v>607</v>
      </c>
      <c r="B62" s="27"/>
      <c r="C62" s="25"/>
      <c r="D62" s="34" t="str">
        <f aca="false">IF($W62="","",IFERROR(TRIM(INDEX('🎓 Alumnas'!$B$2:$B$1000,MATCH($W62,'🎓 Alumnas'!$A$2:$A$1000,0))),""))</f>
        <v/>
      </c>
      <c r="E62" s="34" t="str">
        <f aca="false">IF($W62="","",IFERROR(TRIM(INDEX('🎓 Alumnas'!$C$2:$C$1000,MATCH($W62,'🎓 Alumnas'!$A$2:$A$1000,0))),""))</f>
        <v/>
      </c>
      <c r="F62" s="34" t="str">
        <f aca="false">IF($W62="","",IFERROR(IF(INDEX('🎓 Alumnas'!$D$2:$D$1000,MATCH($W62,'🎓 Alumnas'!$A$2:$A$1000,0))="","",INDEX('🎓 Alumnas'!$D$2:$D$1000,MATCH($W62,'🎓 Alumnas'!$A$2:$A$1000,0))),""))</f>
        <v/>
      </c>
      <c r="G62" s="28" t="str">
        <f aca="false">IF($W62="","",IFERROR(IF(INDEX('🎓 Alumnas'!$E$2:$E$1000,MATCH($W62,'🎓 Alumnas'!$A$2:$A$1000,0))="","",INDEX('🎓 Alumnas'!$E$2:$E$1000,MATCH($W62,'🎓 Alumnas'!$A$2:$A$1000,0))),""))</f>
        <v/>
      </c>
      <c r="H62" s="28" t="str">
        <f aca="false">IF($W62="","",IFERROR(IF(INDEX('🎓 Alumnas'!$F$2:$F$1000,MATCH($W62,'🎓 Alumnas'!$A$2:$A$1000,0))="","",INDEX('🎓 Alumnas'!$F$2:$F$1000,MATCH($W62,'🎓 Alumnas'!$A$2:$A$1000,0))),""))</f>
        <v/>
      </c>
      <c r="I62" s="30" t="str">
        <f aca="false">IF($W62="","",IFERROR(IF(INDEX('🎓 Alumnas'!$G$2:$G$1000,MATCH($W62,'🎓 Alumnas'!$A$2:$A$1000,0))="","",INDEX('🎓 Alumnas'!$G$2:$G$1000,MATCH($W62,'🎓 Alumnas'!$A$2:$A$1000,0))),""))</f>
        <v/>
      </c>
      <c r="J62" s="28" t="str">
        <f aca="true">IF(I62="","",DATEDIF(I62,TODAY(),"Y"))</f>
        <v/>
      </c>
      <c r="K62" s="25"/>
      <c r="L62" s="28" t="str">
        <f aca="false">IF(K62="","",IF(LEFT(K62,6)="1 Pole","Alquiler",IF(LEFT(K62,7)="1 Clase","Clase suelta","Paquete")))</f>
        <v/>
      </c>
      <c r="M62" s="25"/>
      <c r="N62" s="25"/>
      <c r="O62" s="35"/>
      <c r="P62" s="29" t="str">
        <f aca="false">IF(O62="","",N62*O62)</f>
        <v/>
      </c>
      <c r="Q62" s="36"/>
      <c r="R62" s="25"/>
      <c r="S62" s="25"/>
      <c r="T62" s="28" t="str">
        <f aca="false">IF(OR(LEFT(W62,2)&lt;&gt;"A-",ISERROR(MATCH(W62,'🎓 Alumnas'!$A$2:$A$1000,0))),"",IF(COUNTIF($W$2:W62,W62)=1,"Nueva","Recurrente"))</f>
        <v/>
      </c>
      <c r="U62" s="28" t="str">
        <f aca="false">IF(OR(T62="",L62&lt;&gt;"Paquete"),"",COUNTIFS($W$2:W62,W62,$L$2:L62,"Paquete"))</f>
        <v/>
      </c>
      <c r="V62" s="25"/>
      <c r="W62" s="34" t="str">
        <f aca="false">IF(TRIM($C62)="","",IF(COUNTIF('🎓 Alumnas'!$P$2:$P$1000,TRIM($C62))&gt;0,INDEX('🎓 Alumnas'!$A$2:$A$1000,MATCH(TRIM($C62),'🎓 Alumnas'!$P$2:$P$1000,0)),IF(COUNTIF('🎓 Alumnas'!$O$2:$O$1000,TRIM($C62)&amp;"|*")=1,INDEX('🎓 Alumnas'!$A$2:$A$1000,MATCH(TRIM($C62)&amp;"|*",'🎓 Alumnas'!$O$2:$O$1000,0)),IF(COUNTIF('🎓 Alumnas'!$O$2:$O$1000,"*|"&amp;TRIM($C62))=1,INDEX('🎓 Alumnas'!$A$2:$A$1000,MATCH("*|"&amp;TRIM($C62),'🎓 Alumnas'!$O$2:$O$1000,0)),IF(COUNTIF('🎓 Alumnas'!$Q$2:$Q$1000,TRIM($C62))=1,INDEX('🎓 Alumnas'!$A$2:$A$1000,MATCH(TRIM($C62),'🎓 Alumnas'!$Q$2:$Q$1000,0)),IF(COUNTIF('🎓 Alumnas'!$P$2:$P$1000,"*"&amp;TRIM($C62)&amp;"*")=1,INDEX('🎓 Alumnas'!$A$2:$A$1000,MATCH("*"&amp;TRIM($C62)&amp;"*",'🎓 Alumnas'!$P$2:$P$1000,0)),IF(COUNTIF('🎓 Alumnas'!$Q$2:$Q$1000,"*"&amp;TRIM($C62)&amp;"*")=1,INDEX('🎓 Alumnas'!$A$2:$A$1000,MATCH("*"&amp;TRIM($C62)&amp;"*",'🎓 Alumnas'!$Q$2:$Q$1000,0)),IF(COUNTIF('🎓 Alumnas'!$P$2:$P$1000,"*"&amp;TRIM($C62)&amp;"*")+COUNTIF('🎓 Alumnas'!$Q$2:$Q$1000,"*"&amp;TRIM($C62)&amp;"*")&gt;1,"Varias: elige de la lista","No encontrada"))))))))</f>
        <v/>
      </c>
    </row>
    <row r="63" customFormat="false" ht="14.25" hidden="false" customHeight="true" outlineLevel="0" collapsed="false">
      <c r="A63" s="25" t="s">
        <v>608</v>
      </c>
      <c r="B63" s="27"/>
      <c r="C63" s="25"/>
      <c r="D63" s="34" t="str">
        <f aca="false">IF($W63="","",IFERROR(TRIM(INDEX('🎓 Alumnas'!$B$2:$B$1000,MATCH($W63,'🎓 Alumnas'!$A$2:$A$1000,0))),""))</f>
        <v/>
      </c>
      <c r="E63" s="34" t="str">
        <f aca="false">IF($W63="","",IFERROR(TRIM(INDEX('🎓 Alumnas'!$C$2:$C$1000,MATCH($W63,'🎓 Alumnas'!$A$2:$A$1000,0))),""))</f>
        <v/>
      </c>
      <c r="F63" s="34" t="str">
        <f aca="false">IF($W63="","",IFERROR(IF(INDEX('🎓 Alumnas'!$D$2:$D$1000,MATCH($W63,'🎓 Alumnas'!$A$2:$A$1000,0))="","",INDEX('🎓 Alumnas'!$D$2:$D$1000,MATCH($W63,'🎓 Alumnas'!$A$2:$A$1000,0))),""))</f>
        <v/>
      </c>
      <c r="G63" s="28" t="str">
        <f aca="false">IF($W63="","",IFERROR(IF(INDEX('🎓 Alumnas'!$E$2:$E$1000,MATCH($W63,'🎓 Alumnas'!$A$2:$A$1000,0))="","",INDEX('🎓 Alumnas'!$E$2:$E$1000,MATCH($W63,'🎓 Alumnas'!$A$2:$A$1000,0))),""))</f>
        <v/>
      </c>
      <c r="H63" s="28" t="str">
        <f aca="false">IF($W63="","",IFERROR(IF(INDEX('🎓 Alumnas'!$F$2:$F$1000,MATCH($W63,'🎓 Alumnas'!$A$2:$A$1000,0))="","",INDEX('🎓 Alumnas'!$F$2:$F$1000,MATCH($W63,'🎓 Alumnas'!$A$2:$A$1000,0))),""))</f>
        <v/>
      </c>
      <c r="I63" s="30" t="str">
        <f aca="false">IF($W63="","",IFERROR(IF(INDEX('🎓 Alumnas'!$G$2:$G$1000,MATCH($W63,'🎓 Alumnas'!$A$2:$A$1000,0))="","",INDEX('🎓 Alumnas'!$G$2:$G$1000,MATCH($W63,'🎓 Alumnas'!$A$2:$A$1000,0))),""))</f>
        <v/>
      </c>
      <c r="J63" s="28" t="str">
        <f aca="true">IF(I63="","",DATEDIF(I63,TODAY(),"Y"))</f>
        <v/>
      </c>
      <c r="K63" s="25"/>
      <c r="L63" s="28" t="str">
        <f aca="false">IF(K63="","",IF(LEFT(K63,6)="1 Pole","Alquiler",IF(LEFT(K63,7)="1 Clase","Clase suelta","Paquete")))</f>
        <v/>
      </c>
      <c r="M63" s="25"/>
      <c r="N63" s="25"/>
      <c r="O63" s="35"/>
      <c r="P63" s="29" t="str">
        <f aca="false">IF(O63="","",N63*O63)</f>
        <v/>
      </c>
      <c r="Q63" s="36"/>
      <c r="R63" s="25"/>
      <c r="S63" s="25"/>
      <c r="T63" s="28" t="str">
        <f aca="false">IF(OR(LEFT(W63,2)&lt;&gt;"A-",ISERROR(MATCH(W63,'🎓 Alumnas'!$A$2:$A$1000,0))),"",IF(COUNTIF($W$2:W63,W63)=1,"Nueva","Recurrente"))</f>
        <v/>
      </c>
      <c r="U63" s="28" t="str">
        <f aca="false">IF(OR(T63="",L63&lt;&gt;"Paquete"),"",COUNTIFS($W$2:W63,W63,$L$2:L63,"Paquete"))</f>
        <v/>
      </c>
      <c r="V63" s="25"/>
      <c r="W63" s="34" t="str">
        <f aca="false">IF(TRIM($C63)="","",IF(COUNTIF('🎓 Alumnas'!$P$2:$P$1000,TRIM($C63))&gt;0,INDEX('🎓 Alumnas'!$A$2:$A$1000,MATCH(TRIM($C63),'🎓 Alumnas'!$P$2:$P$1000,0)),IF(COUNTIF('🎓 Alumnas'!$O$2:$O$1000,TRIM($C63)&amp;"|*")=1,INDEX('🎓 Alumnas'!$A$2:$A$1000,MATCH(TRIM($C63)&amp;"|*",'🎓 Alumnas'!$O$2:$O$1000,0)),IF(COUNTIF('🎓 Alumnas'!$O$2:$O$1000,"*|"&amp;TRIM($C63))=1,INDEX('🎓 Alumnas'!$A$2:$A$1000,MATCH("*|"&amp;TRIM($C63),'🎓 Alumnas'!$O$2:$O$1000,0)),IF(COUNTIF('🎓 Alumnas'!$Q$2:$Q$1000,TRIM($C63))=1,INDEX('🎓 Alumnas'!$A$2:$A$1000,MATCH(TRIM($C63),'🎓 Alumnas'!$Q$2:$Q$1000,0)),IF(COUNTIF('🎓 Alumnas'!$P$2:$P$1000,"*"&amp;TRIM($C63)&amp;"*")=1,INDEX('🎓 Alumnas'!$A$2:$A$1000,MATCH("*"&amp;TRIM($C63)&amp;"*",'🎓 Alumnas'!$P$2:$P$1000,0)),IF(COUNTIF('🎓 Alumnas'!$Q$2:$Q$1000,"*"&amp;TRIM($C63)&amp;"*")=1,INDEX('🎓 Alumnas'!$A$2:$A$1000,MATCH("*"&amp;TRIM($C63)&amp;"*",'🎓 Alumnas'!$Q$2:$Q$1000,0)),IF(COUNTIF('🎓 Alumnas'!$P$2:$P$1000,"*"&amp;TRIM($C63)&amp;"*")+COUNTIF('🎓 Alumnas'!$Q$2:$Q$1000,"*"&amp;TRIM($C63)&amp;"*")&gt;1,"Varias: elige de la lista","No encontrada"))))))))</f>
        <v/>
      </c>
    </row>
    <row r="64" customFormat="false" ht="14.25" hidden="false" customHeight="true" outlineLevel="0" collapsed="false">
      <c r="A64" s="25" t="s">
        <v>609</v>
      </c>
      <c r="B64" s="27"/>
      <c r="C64" s="25"/>
      <c r="D64" s="34" t="str">
        <f aca="false">IF($W64="","",IFERROR(TRIM(INDEX('🎓 Alumnas'!$B$2:$B$1000,MATCH($W64,'🎓 Alumnas'!$A$2:$A$1000,0))),""))</f>
        <v/>
      </c>
      <c r="E64" s="34" t="str">
        <f aca="false">IF($W64="","",IFERROR(TRIM(INDEX('🎓 Alumnas'!$C$2:$C$1000,MATCH($W64,'🎓 Alumnas'!$A$2:$A$1000,0))),""))</f>
        <v/>
      </c>
      <c r="F64" s="34" t="str">
        <f aca="false">IF($W64="","",IFERROR(IF(INDEX('🎓 Alumnas'!$D$2:$D$1000,MATCH($W64,'🎓 Alumnas'!$A$2:$A$1000,0))="","",INDEX('🎓 Alumnas'!$D$2:$D$1000,MATCH($W64,'🎓 Alumnas'!$A$2:$A$1000,0))),""))</f>
        <v/>
      </c>
      <c r="G64" s="28" t="str">
        <f aca="false">IF($W64="","",IFERROR(IF(INDEX('🎓 Alumnas'!$E$2:$E$1000,MATCH($W64,'🎓 Alumnas'!$A$2:$A$1000,0))="","",INDEX('🎓 Alumnas'!$E$2:$E$1000,MATCH($W64,'🎓 Alumnas'!$A$2:$A$1000,0))),""))</f>
        <v/>
      </c>
      <c r="H64" s="28" t="str">
        <f aca="false">IF($W64="","",IFERROR(IF(INDEX('🎓 Alumnas'!$F$2:$F$1000,MATCH($W64,'🎓 Alumnas'!$A$2:$A$1000,0))="","",INDEX('🎓 Alumnas'!$F$2:$F$1000,MATCH($W64,'🎓 Alumnas'!$A$2:$A$1000,0))),""))</f>
        <v/>
      </c>
      <c r="I64" s="30" t="str">
        <f aca="false">IF($W64="","",IFERROR(IF(INDEX('🎓 Alumnas'!$G$2:$G$1000,MATCH($W64,'🎓 Alumnas'!$A$2:$A$1000,0))="","",INDEX('🎓 Alumnas'!$G$2:$G$1000,MATCH($W64,'🎓 Alumnas'!$A$2:$A$1000,0))),""))</f>
        <v/>
      </c>
      <c r="J64" s="28" t="str">
        <f aca="true">IF(I64="","",DATEDIF(I64,TODAY(),"Y"))</f>
        <v/>
      </c>
      <c r="K64" s="25"/>
      <c r="L64" s="28" t="str">
        <f aca="false">IF(K64="","",IF(LEFT(K64,6)="1 Pole","Alquiler",IF(LEFT(K64,7)="1 Clase","Clase suelta","Paquete")))</f>
        <v/>
      </c>
      <c r="M64" s="25"/>
      <c r="N64" s="25"/>
      <c r="O64" s="35"/>
      <c r="P64" s="29" t="str">
        <f aca="false">IF(O64="","",N64*O64)</f>
        <v/>
      </c>
      <c r="Q64" s="36"/>
      <c r="R64" s="25"/>
      <c r="S64" s="25"/>
      <c r="T64" s="28" t="str">
        <f aca="false">IF(OR(LEFT(W64,2)&lt;&gt;"A-",ISERROR(MATCH(W64,'🎓 Alumnas'!$A$2:$A$1000,0))),"",IF(COUNTIF($W$2:W64,W64)=1,"Nueva","Recurrente"))</f>
        <v/>
      </c>
      <c r="U64" s="28" t="str">
        <f aca="false">IF(OR(T64="",L64&lt;&gt;"Paquete"),"",COUNTIFS($W$2:W64,W64,$L$2:L64,"Paquete"))</f>
        <v/>
      </c>
      <c r="V64" s="25"/>
      <c r="W64" s="34" t="str">
        <f aca="false">IF(TRIM($C64)="","",IF(COUNTIF('🎓 Alumnas'!$P$2:$P$1000,TRIM($C64))&gt;0,INDEX('🎓 Alumnas'!$A$2:$A$1000,MATCH(TRIM($C64),'🎓 Alumnas'!$P$2:$P$1000,0)),IF(COUNTIF('🎓 Alumnas'!$O$2:$O$1000,TRIM($C64)&amp;"|*")=1,INDEX('🎓 Alumnas'!$A$2:$A$1000,MATCH(TRIM($C64)&amp;"|*",'🎓 Alumnas'!$O$2:$O$1000,0)),IF(COUNTIF('🎓 Alumnas'!$O$2:$O$1000,"*|"&amp;TRIM($C64))=1,INDEX('🎓 Alumnas'!$A$2:$A$1000,MATCH("*|"&amp;TRIM($C64),'🎓 Alumnas'!$O$2:$O$1000,0)),IF(COUNTIF('🎓 Alumnas'!$Q$2:$Q$1000,TRIM($C64))=1,INDEX('🎓 Alumnas'!$A$2:$A$1000,MATCH(TRIM($C64),'🎓 Alumnas'!$Q$2:$Q$1000,0)),IF(COUNTIF('🎓 Alumnas'!$P$2:$P$1000,"*"&amp;TRIM($C64)&amp;"*")=1,INDEX('🎓 Alumnas'!$A$2:$A$1000,MATCH("*"&amp;TRIM($C64)&amp;"*",'🎓 Alumnas'!$P$2:$P$1000,0)),IF(COUNTIF('🎓 Alumnas'!$Q$2:$Q$1000,"*"&amp;TRIM($C64)&amp;"*")=1,INDEX('🎓 Alumnas'!$A$2:$A$1000,MATCH("*"&amp;TRIM($C64)&amp;"*",'🎓 Alumnas'!$Q$2:$Q$1000,0)),IF(COUNTIF('🎓 Alumnas'!$P$2:$P$1000,"*"&amp;TRIM($C64)&amp;"*")+COUNTIF('🎓 Alumnas'!$Q$2:$Q$1000,"*"&amp;TRIM($C64)&amp;"*")&gt;1,"Varias: elige de la lista","No encontrada"))))))))</f>
        <v/>
      </c>
    </row>
    <row r="65" customFormat="false" ht="14.25" hidden="false" customHeight="true" outlineLevel="0" collapsed="false">
      <c r="A65" s="25" t="s">
        <v>610</v>
      </c>
      <c r="B65" s="27"/>
      <c r="C65" s="25"/>
      <c r="D65" s="34" t="str">
        <f aca="false">IF($W65="","",IFERROR(TRIM(INDEX('🎓 Alumnas'!$B$2:$B$1000,MATCH($W65,'🎓 Alumnas'!$A$2:$A$1000,0))),""))</f>
        <v/>
      </c>
      <c r="E65" s="34" t="str">
        <f aca="false">IF($W65="","",IFERROR(TRIM(INDEX('🎓 Alumnas'!$C$2:$C$1000,MATCH($W65,'🎓 Alumnas'!$A$2:$A$1000,0))),""))</f>
        <v/>
      </c>
      <c r="F65" s="34" t="str">
        <f aca="false">IF($W65="","",IFERROR(IF(INDEX('🎓 Alumnas'!$D$2:$D$1000,MATCH($W65,'🎓 Alumnas'!$A$2:$A$1000,0))="","",INDEX('🎓 Alumnas'!$D$2:$D$1000,MATCH($W65,'🎓 Alumnas'!$A$2:$A$1000,0))),""))</f>
        <v/>
      </c>
      <c r="G65" s="28" t="str">
        <f aca="false">IF($W65="","",IFERROR(IF(INDEX('🎓 Alumnas'!$E$2:$E$1000,MATCH($W65,'🎓 Alumnas'!$A$2:$A$1000,0))="","",INDEX('🎓 Alumnas'!$E$2:$E$1000,MATCH($W65,'🎓 Alumnas'!$A$2:$A$1000,0))),""))</f>
        <v/>
      </c>
      <c r="H65" s="28" t="str">
        <f aca="false">IF($W65="","",IFERROR(IF(INDEX('🎓 Alumnas'!$F$2:$F$1000,MATCH($W65,'🎓 Alumnas'!$A$2:$A$1000,0))="","",INDEX('🎓 Alumnas'!$F$2:$F$1000,MATCH($W65,'🎓 Alumnas'!$A$2:$A$1000,0))),""))</f>
        <v/>
      </c>
      <c r="I65" s="30" t="str">
        <f aca="false">IF($W65="","",IFERROR(IF(INDEX('🎓 Alumnas'!$G$2:$G$1000,MATCH($W65,'🎓 Alumnas'!$A$2:$A$1000,0))="","",INDEX('🎓 Alumnas'!$G$2:$G$1000,MATCH($W65,'🎓 Alumnas'!$A$2:$A$1000,0))),""))</f>
        <v/>
      </c>
      <c r="J65" s="28" t="str">
        <f aca="true">IF(I65="","",DATEDIF(I65,TODAY(),"Y"))</f>
        <v/>
      </c>
      <c r="K65" s="25"/>
      <c r="L65" s="28" t="str">
        <f aca="false">IF(K65="","",IF(LEFT(K65,6)="1 Pole","Alquiler",IF(LEFT(K65,7)="1 Clase","Clase suelta","Paquete")))</f>
        <v/>
      </c>
      <c r="M65" s="25"/>
      <c r="N65" s="25"/>
      <c r="O65" s="35"/>
      <c r="P65" s="29" t="str">
        <f aca="false">IF(O65="","",N65*O65)</f>
        <v/>
      </c>
      <c r="Q65" s="36"/>
      <c r="R65" s="25"/>
      <c r="S65" s="25"/>
      <c r="T65" s="28" t="str">
        <f aca="false">IF(OR(LEFT(W65,2)&lt;&gt;"A-",ISERROR(MATCH(W65,'🎓 Alumnas'!$A$2:$A$1000,0))),"",IF(COUNTIF($W$2:W65,W65)=1,"Nueva","Recurrente"))</f>
        <v/>
      </c>
      <c r="U65" s="28" t="str">
        <f aca="false">IF(OR(T65="",L65&lt;&gt;"Paquete"),"",COUNTIFS($W$2:W65,W65,$L$2:L65,"Paquete"))</f>
        <v/>
      </c>
      <c r="V65" s="25"/>
      <c r="W65" s="34" t="str">
        <f aca="false">IF(TRIM($C65)="","",IF(COUNTIF('🎓 Alumnas'!$P$2:$P$1000,TRIM($C65))&gt;0,INDEX('🎓 Alumnas'!$A$2:$A$1000,MATCH(TRIM($C65),'🎓 Alumnas'!$P$2:$P$1000,0)),IF(COUNTIF('🎓 Alumnas'!$O$2:$O$1000,TRIM($C65)&amp;"|*")=1,INDEX('🎓 Alumnas'!$A$2:$A$1000,MATCH(TRIM($C65)&amp;"|*",'🎓 Alumnas'!$O$2:$O$1000,0)),IF(COUNTIF('🎓 Alumnas'!$O$2:$O$1000,"*|"&amp;TRIM($C65))=1,INDEX('🎓 Alumnas'!$A$2:$A$1000,MATCH("*|"&amp;TRIM($C65),'🎓 Alumnas'!$O$2:$O$1000,0)),IF(COUNTIF('🎓 Alumnas'!$Q$2:$Q$1000,TRIM($C65))=1,INDEX('🎓 Alumnas'!$A$2:$A$1000,MATCH(TRIM($C65),'🎓 Alumnas'!$Q$2:$Q$1000,0)),IF(COUNTIF('🎓 Alumnas'!$P$2:$P$1000,"*"&amp;TRIM($C65)&amp;"*")=1,INDEX('🎓 Alumnas'!$A$2:$A$1000,MATCH("*"&amp;TRIM($C65)&amp;"*",'🎓 Alumnas'!$P$2:$P$1000,0)),IF(COUNTIF('🎓 Alumnas'!$Q$2:$Q$1000,"*"&amp;TRIM($C65)&amp;"*")=1,INDEX('🎓 Alumnas'!$A$2:$A$1000,MATCH("*"&amp;TRIM($C65)&amp;"*",'🎓 Alumnas'!$Q$2:$Q$1000,0)),IF(COUNTIF('🎓 Alumnas'!$P$2:$P$1000,"*"&amp;TRIM($C65)&amp;"*")+COUNTIF('🎓 Alumnas'!$Q$2:$Q$1000,"*"&amp;TRIM($C65)&amp;"*")&gt;1,"Varias: elige de la lista","No encontrada"))))))))</f>
        <v/>
      </c>
    </row>
    <row r="66" customFormat="false" ht="14.25" hidden="false" customHeight="true" outlineLevel="0" collapsed="false">
      <c r="A66" s="25" t="s">
        <v>611</v>
      </c>
      <c r="B66" s="27"/>
      <c r="C66" s="25"/>
      <c r="D66" s="34" t="str">
        <f aca="false">IF($W66="","",IFERROR(TRIM(INDEX('🎓 Alumnas'!$B$2:$B$1000,MATCH($W66,'🎓 Alumnas'!$A$2:$A$1000,0))),""))</f>
        <v/>
      </c>
      <c r="E66" s="34" t="str">
        <f aca="false">IF($W66="","",IFERROR(TRIM(INDEX('🎓 Alumnas'!$C$2:$C$1000,MATCH($W66,'🎓 Alumnas'!$A$2:$A$1000,0))),""))</f>
        <v/>
      </c>
      <c r="F66" s="34" t="str">
        <f aca="false">IF($W66="","",IFERROR(IF(INDEX('🎓 Alumnas'!$D$2:$D$1000,MATCH($W66,'🎓 Alumnas'!$A$2:$A$1000,0))="","",INDEX('🎓 Alumnas'!$D$2:$D$1000,MATCH($W66,'🎓 Alumnas'!$A$2:$A$1000,0))),""))</f>
        <v/>
      </c>
      <c r="G66" s="28" t="str">
        <f aca="false">IF($W66="","",IFERROR(IF(INDEX('🎓 Alumnas'!$E$2:$E$1000,MATCH($W66,'🎓 Alumnas'!$A$2:$A$1000,0))="","",INDEX('🎓 Alumnas'!$E$2:$E$1000,MATCH($W66,'🎓 Alumnas'!$A$2:$A$1000,0))),""))</f>
        <v/>
      </c>
      <c r="H66" s="28" t="str">
        <f aca="false">IF($W66="","",IFERROR(IF(INDEX('🎓 Alumnas'!$F$2:$F$1000,MATCH($W66,'🎓 Alumnas'!$A$2:$A$1000,0))="","",INDEX('🎓 Alumnas'!$F$2:$F$1000,MATCH($W66,'🎓 Alumnas'!$A$2:$A$1000,0))),""))</f>
        <v/>
      </c>
      <c r="I66" s="30" t="str">
        <f aca="false">IF($W66="","",IFERROR(IF(INDEX('🎓 Alumnas'!$G$2:$G$1000,MATCH($W66,'🎓 Alumnas'!$A$2:$A$1000,0))="","",INDEX('🎓 Alumnas'!$G$2:$G$1000,MATCH($W66,'🎓 Alumnas'!$A$2:$A$1000,0))),""))</f>
        <v/>
      </c>
      <c r="J66" s="28" t="str">
        <f aca="true">IF(I66="","",DATEDIF(I66,TODAY(),"Y"))</f>
        <v/>
      </c>
      <c r="K66" s="25"/>
      <c r="L66" s="28" t="str">
        <f aca="false">IF(K66="","",IF(LEFT(K66,6)="1 Pole","Alquiler",IF(LEFT(K66,7)="1 Clase","Clase suelta","Paquete")))</f>
        <v/>
      </c>
      <c r="M66" s="25"/>
      <c r="N66" s="25"/>
      <c r="O66" s="35"/>
      <c r="P66" s="29" t="str">
        <f aca="false">IF(O66="","",N66*O66)</f>
        <v/>
      </c>
      <c r="Q66" s="36"/>
      <c r="R66" s="25"/>
      <c r="S66" s="25"/>
      <c r="T66" s="28" t="str">
        <f aca="false">IF(OR(LEFT(W66,2)&lt;&gt;"A-",ISERROR(MATCH(W66,'🎓 Alumnas'!$A$2:$A$1000,0))),"",IF(COUNTIF($W$2:W66,W66)=1,"Nueva","Recurrente"))</f>
        <v/>
      </c>
      <c r="U66" s="28" t="str">
        <f aca="false">IF(OR(T66="",L66&lt;&gt;"Paquete"),"",COUNTIFS($W$2:W66,W66,$L$2:L66,"Paquete"))</f>
        <v/>
      </c>
      <c r="V66" s="25"/>
      <c r="W66" s="34" t="str">
        <f aca="false">IF(TRIM($C66)="","",IF(COUNTIF('🎓 Alumnas'!$P$2:$P$1000,TRIM($C66))&gt;0,INDEX('🎓 Alumnas'!$A$2:$A$1000,MATCH(TRIM($C66),'🎓 Alumnas'!$P$2:$P$1000,0)),IF(COUNTIF('🎓 Alumnas'!$O$2:$O$1000,TRIM($C66)&amp;"|*")=1,INDEX('🎓 Alumnas'!$A$2:$A$1000,MATCH(TRIM($C66)&amp;"|*",'🎓 Alumnas'!$O$2:$O$1000,0)),IF(COUNTIF('🎓 Alumnas'!$O$2:$O$1000,"*|"&amp;TRIM($C66))=1,INDEX('🎓 Alumnas'!$A$2:$A$1000,MATCH("*|"&amp;TRIM($C66),'🎓 Alumnas'!$O$2:$O$1000,0)),IF(COUNTIF('🎓 Alumnas'!$Q$2:$Q$1000,TRIM($C66))=1,INDEX('🎓 Alumnas'!$A$2:$A$1000,MATCH(TRIM($C66),'🎓 Alumnas'!$Q$2:$Q$1000,0)),IF(COUNTIF('🎓 Alumnas'!$P$2:$P$1000,"*"&amp;TRIM($C66)&amp;"*")=1,INDEX('🎓 Alumnas'!$A$2:$A$1000,MATCH("*"&amp;TRIM($C66)&amp;"*",'🎓 Alumnas'!$P$2:$P$1000,0)),IF(COUNTIF('🎓 Alumnas'!$Q$2:$Q$1000,"*"&amp;TRIM($C66)&amp;"*")=1,INDEX('🎓 Alumnas'!$A$2:$A$1000,MATCH("*"&amp;TRIM($C66)&amp;"*",'🎓 Alumnas'!$Q$2:$Q$1000,0)),IF(COUNTIF('🎓 Alumnas'!$P$2:$P$1000,"*"&amp;TRIM($C66)&amp;"*")+COUNTIF('🎓 Alumnas'!$Q$2:$Q$1000,"*"&amp;TRIM($C66)&amp;"*")&gt;1,"Varias: elige de la lista","No encontrada"))))))))</f>
        <v/>
      </c>
    </row>
    <row r="67" customFormat="false" ht="14.25" hidden="false" customHeight="true" outlineLevel="0" collapsed="false">
      <c r="A67" s="25" t="s">
        <v>612</v>
      </c>
      <c r="B67" s="27"/>
      <c r="C67" s="25"/>
      <c r="D67" s="34" t="str">
        <f aca="false">IF($W67="","",IFERROR(TRIM(INDEX('🎓 Alumnas'!$B$2:$B$1000,MATCH($W67,'🎓 Alumnas'!$A$2:$A$1000,0))),""))</f>
        <v/>
      </c>
      <c r="E67" s="34" t="str">
        <f aca="false">IF($W67="","",IFERROR(TRIM(INDEX('🎓 Alumnas'!$C$2:$C$1000,MATCH($W67,'🎓 Alumnas'!$A$2:$A$1000,0))),""))</f>
        <v/>
      </c>
      <c r="F67" s="34" t="str">
        <f aca="false">IF($W67="","",IFERROR(IF(INDEX('🎓 Alumnas'!$D$2:$D$1000,MATCH($W67,'🎓 Alumnas'!$A$2:$A$1000,0))="","",INDEX('🎓 Alumnas'!$D$2:$D$1000,MATCH($W67,'🎓 Alumnas'!$A$2:$A$1000,0))),""))</f>
        <v/>
      </c>
      <c r="G67" s="28" t="str">
        <f aca="false">IF($W67="","",IFERROR(IF(INDEX('🎓 Alumnas'!$E$2:$E$1000,MATCH($W67,'🎓 Alumnas'!$A$2:$A$1000,0))="","",INDEX('🎓 Alumnas'!$E$2:$E$1000,MATCH($W67,'🎓 Alumnas'!$A$2:$A$1000,0))),""))</f>
        <v/>
      </c>
      <c r="H67" s="28" t="str">
        <f aca="false">IF($W67="","",IFERROR(IF(INDEX('🎓 Alumnas'!$F$2:$F$1000,MATCH($W67,'🎓 Alumnas'!$A$2:$A$1000,0))="","",INDEX('🎓 Alumnas'!$F$2:$F$1000,MATCH($W67,'🎓 Alumnas'!$A$2:$A$1000,0))),""))</f>
        <v/>
      </c>
      <c r="I67" s="30" t="str">
        <f aca="false">IF($W67="","",IFERROR(IF(INDEX('🎓 Alumnas'!$G$2:$G$1000,MATCH($W67,'🎓 Alumnas'!$A$2:$A$1000,0))="","",INDEX('🎓 Alumnas'!$G$2:$G$1000,MATCH($W67,'🎓 Alumnas'!$A$2:$A$1000,0))),""))</f>
        <v/>
      </c>
      <c r="J67" s="28" t="str">
        <f aca="true">IF(I67="","",DATEDIF(I67,TODAY(),"Y"))</f>
        <v/>
      </c>
      <c r="K67" s="25"/>
      <c r="L67" s="28" t="str">
        <f aca="false">IF(K67="","",IF(LEFT(K67,6)="1 Pole","Alquiler",IF(LEFT(K67,7)="1 Clase","Clase suelta","Paquete")))</f>
        <v/>
      </c>
      <c r="M67" s="25"/>
      <c r="N67" s="25"/>
      <c r="O67" s="35"/>
      <c r="P67" s="29" t="str">
        <f aca="false">IF(O67="","",N67*O67)</f>
        <v/>
      </c>
      <c r="Q67" s="36"/>
      <c r="R67" s="25"/>
      <c r="S67" s="25"/>
      <c r="T67" s="28" t="str">
        <f aca="false">IF(OR(LEFT(W67,2)&lt;&gt;"A-",ISERROR(MATCH(W67,'🎓 Alumnas'!$A$2:$A$1000,0))),"",IF(COUNTIF($W$2:W67,W67)=1,"Nueva","Recurrente"))</f>
        <v/>
      </c>
      <c r="U67" s="28" t="str">
        <f aca="false">IF(OR(T67="",L67&lt;&gt;"Paquete"),"",COUNTIFS($W$2:W67,W67,$L$2:L67,"Paquete"))</f>
        <v/>
      </c>
      <c r="V67" s="25"/>
      <c r="W67" s="34" t="str">
        <f aca="false">IF(TRIM($C67)="","",IF(COUNTIF('🎓 Alumnas'!$P$2:$P$1000,TRIM($C67))&gt;0,INDEX('🎓 Alumnas'!$A$2:$A$1000,MATCH(TRIM($C67),'🎓 Alumnas'!$P$2:$P$1000,0)),IF(COUNTIF('🎓 Alumnas'!$O$2:$O$1000,TRIM($C67)&amp;"|*")=1,INDEX('🎓 Alumnas'!$A$2:$A$1000,MATCH(TRIM($C67)&amp;"|*",'🎓 Alumnas'!$O$2:$O$1000,0)),IF(COUNTIF('🎓 Alumnas'!$O$2:$O$1000,"*|"&amp;TRIM($C67))=1,INDEX('🎓 Alumnas'!$A$2:$A$1000,MATCH("*|"&amp;TRIM($C67),'🎓 Alumnas'!$O$2:$O$1000,0)),IF(COUNTIF('🎓 Alumnas'!$Q$2:$Q$1000,TRIM($C67))=1,INDEX('🎓 Alumnas'!$A$2:$A$1000,MATCH(TRIM($C67),'🎓 Alumnas'!$Q$2:$Q$1000,0)),IF(COUNTIF('🎓 Alumnas'!$P$2:$P$1000,"*"&amp;TRIM($C67)&amp;"*")=1,INDEX('🎓 Alumnas'!$A$2:$A$1000,MATCH("*"&amp;TRIM($C67)&amp;"*",'🎓 Alumnas'!$P$2:$P$1000,0)),IF(COUNTIF('🎓 Alumnas'!$Q$2:$Q$1000,"*"&amp;TRIM($C67)&amp;"*")=1,INDEX('🎓 Alumnas'!$A$2:$A$1000,MATCH("*"&amp;TRIM($C67)&amp;"*",'🎓 Alumnas'!$Q$2:$Q$1000,0)),IF(COUNTIF('🎓 Alumnas'!$P$2:$P$1000,"*"&amp;TRIM($C67)&amp;"*")+COUNTIF('🎓 Alumnas'!$Q$2:$Q$1000,"*"&amp;TRIM($C67)&amp;"*")&gt;1,"Varias: elige de la lista","No encontrada"))))))))</f>
        <v/>
      </c>
    </row>
    <row r="68" customFormat="false" ht="14.25" hidden="false" customHeight="true" outlineLevel="0" collapsed="false">
      <c r="A68" s="25" t="s">
        <v>613</v>
      </c>
      <c r="B68" s="27"/>
      <c r="C68" s="25"/>
      <c r="D68" s="34" t="str">
        <f aca="false">IF($W68="","",IFERROR(TRIM(INDEX('🎓 Alumnas'!$B$2:$B$1000,MATCH($W68,'🎓 Alumnas'!$A$2:$A$1000,0))),""))</f>
        <v/>
      </c>
      <c r="E68" s="34" t="str">
        <f aca="false">IF($W68="","",IFERROR(TRIM(INDEX('🎓 Alumnas'!$C$2:$C$1000,MATCH($W68,'🎓 Alumnas'!$A$2:$A$1000,0))),""))</f>
        <v/>
      </c>
      <c r="F68" s="34" t="str">
        <f aca="false">IF($W68="","",IFERROR(IF(INDEX('🎓 Alumnas'!$D$2:$D$1000,MATCH($W68,'🎓 Alumnas'!$A$2:$A$1000,0))="","",INDEX('🎓 Alumnas'!$D$2:$D$1000,MATCH($W68,'🎓 Alumnas'!$A$2:$A$1000,0))),""))</f>
        <v/>
      </c>
      <c r="G68" s="28" t="str">
        <f aca="false">IF($W68="","",IFERROR(IF(INDEX('🎓 Alumnas'!$E$2:$E$1000,MATCH($W68,'🎓 Alumnas'!$A$2:$A$1000,0))="","",INDEX('🎓 Alumnas'!$E$2:$E$1000,MATCH($W68,'🎓 Alumnas'!$A$2:$A$1000,0))),""))</f>
        <v/>
      </c>
      <c r="H68" s="28" t="str">
        <f aca="false">IF($W68="","",IFERROR(IF(INDEX('🎓 Alumnas'!$F$2:$F$1000,MATCH($W68,'🎓 Alumnas'!$A$2:$A$1000,0))="","",INDEX('🎓 Alumnas'!$F$2:$F$1000,MATCH($W68,'🎓 Alumnas'!$A$2:$A$1000,0))),""))</f>
        <v/>
      </c>
      <c r="I68" s="30" t="str">
        <f aca="false">IF($W68="","",IFERROR(IF(INDEX('🎓 Alumnas'!$G$2:$G$1000,MATCH($W68,'🎓 Alumnas'!$A$2:$A$1000,0))="","",INDEX('🎓 Alumnas'!$G$2:$G$1000,MATCH($W68,'🎓 Alumnas'!$A$2:$A$1000,0))),""))</f>
        <v/>
      </c>
      <c r="J68" s="28" t="str">
        <f aca="true">IF(I68="","",DATEDIF(I68,TODAY(),"Y"))</f>
        <v/>
      </c>
      <c r="K68" s="25"/>
      <c r="L68" s="28" t="str">
        <f aca="false">IF(K68="","",IF(LEFT(K68,6)="1 Pole","Alquiler",IF(LEFT(K68,7)="1 Clase","Clase suelta","Paquete")))</f>
        <v/>
      </c>
      <c r="M68" s="25"/>
      <c r="N68" s="25"/>
      <c r="O68" s="35"/>
      <c r="P68" s="29" t="str">
        <f aca="false">IF(O68="","",N68*O68)</f>
        <v/>
      </c>
      <c r="Q68" s="36"/>
      <c r="R68" s="25"/>
      <c r="S68" s="25"/>
      <c r="T68" s="28" t="str">
        <f aca="false">IF(OR(LEFT(W68,2)&lt;&gt;"A-",ISERROR(MATCH(W68,'🎓 Alumnas'!$A$2:$A$1000,0))),"",IF(COUNTIF($W$2:W68,W68)=1,"Nueva","Recurrente"))</f>
        <v/>
      </c>
      <c r="U68" s="28" t="str">
        <f aca="false">IF(OR(T68="",L68&lt;&gt;"Paquete"),"",COUNTIFS($W$2:W68,W68,$L$2:L68,"Paquete"))</f>
        <v/>
      </c>
      <c r="V68" s="25"/>
      <c r="W68" s="34" t="str">
        <f aca="false">IF(TRIM($C68)="","",IF(COUNTIF('🎓 Alumnas'!$P$2:$P$1000,TRIM($C68))&gt;0,INDEX('🎓 Alumnas'!$A$2:$A$1000,MATCH(TRIM($C68),'🎓 Alumnas'!$P$2:$P$1000,0)),IF(COUNTIF('🎓 Alumnas'!$O$2:$O$1000,TRIM($C68)&amp;"|*")=1,INDEX('🎓 Alumnas'!$A$2:$A$1000,MATCH(TRIM($C68)&amp;"|*",'🎓 Alumnas'!$O$2:$O$1000,0)),IF(COUNTIF('🎓 Alumnas'!$O$2:$O$1000,"*|"&amp;TRIM($C68))=1,INDEX('🎓 Alumnas'!$A$2:$A$1000,MATCH("*|"&amp;TRIM($C68),'🎓 Alumnas'!$O$2:$O$1000,0)),IF(COUNTIF('🎓 Alumnas'!$Q$2:$Q$1000,TRIM($C68))=1,INDEX('🎓 Alumnas'!$A$2:$A$1000,MATCH(TRIM($C68),'🎓 Alumnas'!$Q$2:$Q$1000,0)),IF(COUNTIF('🎓 Alumnas'!$P$2:$P$1000,"*"&amp;TRIM($C68)&amp;"*")=1,INDEX('🎓 Alumnas'!$A$2:$A$1000,MATCH("*"&amp;TRIM($C68)&amp;"*",'🎓 Alumnas'!$P$2:$P$1000,0)),IF(COUNTIF('🎓 Alumnas'!$Q$2:$Q$1000,"*"&amp;TRIM($C68)&amp;"*")=1,INDEX('🎓 Alumnas'!$A$2:$A$1000,MATCH("*"&amp;TRIM($C68)&amp;"*",'🎓 Alumnas'!$Q$2:$Q$1000,0)),IF(COUNTIF('🎓 Alumnas'!$P$2:$P$1000,"*"&amp;TRIM($C68)&amp;"*")+COUNTIF('🎓 Alumnas'!$Q$2:$Q$1000,"*"&amp;TRIM($C68)&amp;"*")&gt;1,"Varias: elige de la lista","No encontrada"))))))))</f>
        <v/>
      </c>
    </row>
    <row r="69" customFormat="false" ht="14.25" hidden="false" customHeight="true" outlineLevel="0" collapsed="false">
      <c r="A69" s="25" t="s">
        <v>614</v>
      </c>
      <c r="B69" s="27"/>
      <c r="C69" s="25"/>
      <c r="D69" s="34" t="str">
        <f aca="false">IF($W69="","",IFERROR(TRIM(INDEX('🎓 Alumnas'!$B$2:$B$1000,MATCH($W69,'🎓 Alumnas'!$A$2:$A$1000,0))),""))</f>
        <v/>
      </c>
      <c r="E69" s="34" t="str">
        <f aca="false">IF($W69="","",IFERROR(TRIM(INDEX('🎓 Alumnas'!$C$2:$C$1000,MATCH($W69,'🎓 Alumnas'!$A$2:$A$1000,0))),""))</f>
        <v/>
      </c>
      <c r="F69" s="34" t="str">
        <f aca="false">IF($W69="","",IFERROR(IF(INDEX('🎓 Alumnas'!$D$2:$D$1000,MATCH($W69,'🎓 Alumnas'!$A$2:$A$1000,0))="","",INDEX('🎓 Alumnas'!$D$2:$D$1000,MATCH($W69,'🎓 Alumnas'!$A$2:$A$1000,0))),""))</f>
        <v/>
      </c>
      <c r="G69" s="28" t="str">
        <f aca="false">IF($W69="","",IFERROR(IF(INDEX('🎓 Alumnas'!$E$2:$E$1000,MATCH($W69,'🎓 Alumnas'!$A$2:$A$1000,0))="","",INDEX('🎓 Alumnas'!$E$2:$E$1000,MATCH($W69,'🎓 Alumnas'!$A$2:$A$1000,0))),""))</f>
        <v/>
      </c>
      <c r="H69" s="28" t="str">
        <f aca="false">IF($W69="","",IFERROR(IF(INDEX('🎓 Alumnas'!$F$2:$F$1000,MATCH($W69,'🎓 Alumnas'!$A$2:$A$1000,0))="","",INDEX('🎓 Alumnas'!$F$2:$F$1000,MATCH($W69,'🎓 Alumnas'!$A$2:$A$1000,0))),""))</f>
        <v/>
      </c>
      <c r="I69" s="30" t="str">
        <f aca="false">IF($W69="","",IFERROR(IF(INDEX('🎓 Alumnas'!$G$2:$G$1000,MATCH($W69,'🎓 Alumnas'!$A$2:$A$1000,0))="","",INDEX('🎓 Alumnas'!$G$2:$G$1000,MATCH($W69,'🎓 Alumnas'!$A$2:$A$1000,0))),""))</f>
        <v/>
      </c>
      <c r="J69" s="28" t="str">
        <f aca="true">IF(I69="","",DATEDIF(I69,TODAY(),"Y"))</f>
        <v/>
      </c>
      <c r="K69" s="25"/>
      <c r="L69" s="28" t="str">
        <f aca="false">IF(K69="","",IF(LEFT(K69,6)="1 Pole","Alquiler",IF(LEFT(K69,7)="1 Clase","Clase suelta","Paquete")))</f>
        <v/>
      </c>
      <c r="M69" s="25"/>
      <c r="N69" s="25"/>
      <c r="O69" s="35"/>
      <c r="P69" s="29" t="str">
        <f aca="false">IF(O69="","",N69*O69)</f>
        <v/>
      </c>
      <c r="Q69" s="36"/>
      <c r="R69" s="25"/>
      <c r="S69" s="25"/>
      <c r="T69" s="28" t="str">
        <f aca="false">IF(OR(LEFT(W69,2)&lt;&gt;"A-",ISERROR(MATCH(W69,'🎓 Alumnas'!$A$2:$A$1000,0))),"",IF(COUNTIF($W$2:W69,W69)=1,"Nueva","Recurrente"))</f>
        <v/>
      </c>
      <c r="U69" s="28" t="str">
        <f aca="false">IF(OR(T69="",L69&lt;&gt;"Paquete"),"",COUNTIFS($W$2:W69,W69,$L$2:L69,"Paquete"))</f>
        <v/>
      </c>
      <c r="V69" s="25"/>
      <c r="W69" s="34" t="str">
        <f aca="false">IF(TRIM($C69)="","",IF(COUNTIF('🎓 Alumnas'!$P$2:$P$1000,TRIM($C69))&gt;0,INDEX('🎓 Alumnas'!$A$2:$A$1000,MATCH(TRIM($C69),'🎓 Alumnas'!$P$2:$P$1000,0)),IF(COUNTIF('🎓 Alumnas'!$O$2:$O$1000,TRIM($C69)&amp;"|*")=1,INDEX('🎓 Alumnas'!$A$2:$A$1000,MATCH(TRIM($C69)&amp;"|*",'🎓 Alumnas'!$O$2:$O$1000,0)),IF(COUNTIF('🎓 Alumnas'!$O$2:$O$1000,"*|"&amp;TRIM($C69))=1,INDEX('🎓 Alumnas'!$A$2:$A$1000,MATCH("*|"&amp;TRIM($C69),'🎓 Alumnas'!$O$2:$O$1000,0)),IF(COUNTIF('🎓 Alumnas'!$Q$2:$Q$1000,TRIM($C69))=1,INDEX('🎓 Alumnas'!$A$2:$A$1000,MATCH(TRIM($C69),'🎓 Alumnas'!$Q$2:$Q$1000,0)),IF(COUNTIF('🎓 Alumnas'!$P$2:$P$1000,"*"&amp;TRIM($C69)&amp;"*")=1,INDEX('🎓 Alumnas'!$A$2:$A$1000,MATCH("*"&amp;TRIM($C69)&amp;"*",'🎓 Alumnas'!$P$2:$P$1000,0)),IF(COUNTIF('🎓 Alumnas'!$Q$2:$Q$1000,"*"&amp;TRIM($C69)&amp;"*")=1,INDEX('🎓 Alumnas'!$A$2:$A$1000,MATCH("*"&amp;TRIM($C69)&amp;"*",'🎓 Alumnas'!$Q$2:$Q$1000,0)),IF(COUNTIF('🎓 Alumnas'!$P$2:$P$1000,"*"&amp;TRIM($C69)&amp;"*")+COUNTIF('🎓 Alumnas'!$Q$2:$Q$1000,"*"&amp;TRIM($C69)&amp;"*")&gt;1,"Varias: elige de la lista","No encontrada"))))))))</f>
        <v/>
      </c>
    </row>
    <row r="70" customFormat="false" ht="14.25" hidden="false" customHeight="true" outlineLevel="0" collapsed="false">
      <c r="A70" s="25" t="s">
        <v>615</v>
      </c>
      <c r="B70" s="27"/>
      <c r="C70" s="25"/>
      <c r="D70" s="34" t="str">
        <f aca="false">IF($W70="","",IFERROR(TRIM(INDEX('🎓 Alumnas'!$B$2:$B$1000,MATCH($W70,'🎓 Alumnas'!$A$2:$A$1000,0))),""))</f>
        <v/>
      </c>
      <c r="E70" s="34" t="str">
        <f aca="false">IF($W70="","",IFERROR(TRIM(INDEX('🎓 Alumnas'!$C$2:$C$1000,MATCH($W70,'🎓 Alumnas'!$A$2:$A$1000,0))),""))</f>
        <v/>
      </c>
      <c r="F70" s="34" t="str">
        <f aca="false">IF($W70="","",IFERROR(IF(INDEX('🎓 Alumnas'!$D$2:$D$1000,MATCH($W70,'🎓 Alumnas'!$A$2:$A$1000,0))="","",INDEX('🎓 Alumnas'!$D$2:$D$1000,MATCH($W70,'🎓 Alumnas'!$A$2:$A$1000,0))),""))</f>
        <v/>
      </c>
      <c r="G70" s="28" t="str">
        <f aca="false">IF($W70="","",IFERROR(IF(INDEX('🎓 Alumnas'!$E$2:$E$1000,MATCH($W70,'🎓 Alumnas'!$A$2:$A$1000,0))="","",INDEX('🎓 Alumnas'!$E$2:$E$1000,MATCH($W70,'🎓 Alumnas'!$A$2:$A$1000,0))),""))</f>
        <v/>
      </c>
      <c r="H70" s="28" t="str">
        <f aca="false">IF($W70="","",IFERROR(IF(INDEX('🎓 Alumnas'!$F$2:$F$1000,MATCH($W70,'🎓 Alumnas'!$A$2:$A$1000,0))="","",INDEX('🎓 Alumnas'!$F$2:$F$1000,MATCH($W70,'🎓 Alumnas'!$A$2:$A$1000,0))),""))</f>
        <v/>
      </c>
      <c r="I70" s="30" t="str">
        <f aca="false">IF($W70="","",IFERROR(IF(INDEX('🎓 Alumnas'!$G$2:$G$1000,MATCH($W70,'🎓 Alumnas'!$A$2:$A$1000,0))="","",INDEX('🎓 Alumnas'!$G$2:$G$1000,MATCH($W70,'🎓 Alumnas'!$A$2:$A$1000,0))),""))</f>
        <v/>
      </c>
      <c r="J70" s="28" t="str">
        <f aca="true">IF(I70="","",DATEDIF(I70,TODAY(),"Y"))</f>
        <v/>
      </c>
      <c r="K70" s="25"/>
      <c r="L70" s="28" t="str">
        <f aca="false">IF(K70="","",IF(LEFT(K70,6)="1 Pole","Alquiler",IF(LEFT(K70,7)="1 Clase","Clase suelta","Paquete")))</f>
        <v/>
      </c>
      <c r="M70" s="25"/>
      <c r="N70" s="25"/>
      <c r="O70" s="35"/>
      <c r="P70" s="29" t="str">
        <f aca="false">IF(O70="","",N70*O70)</f>
        <v/>
      </c>
      <c r="Q70" s="36"/>
      <c r="R70" s="25"/>
      <c r="S70" s="25"/>
      <c r="T70" s="28" t="str">
        <f aca="false">IF(OR(LEFT(W70,2)&lt;&gt;"A-",ISERROR(MATCH(W70,'🎓 Alumnas'!$A$2:$A$1000,0))),"",IF(COUNTIF($W$2:W70,W70)=1,"Nueva","Recurrente"))</f>
        <v/>
      </c>
      <c r="U70" s="28" t="str">
        <f aca="false">IF(OR(T70="",L70&lt;&gt;"Paquete"),"",COUNTIFS($W$2:W70,W70,$L$2:L70,"Paquete"))</f>
        <v/>
      </c>
      <c r="V70" s="25"/>
      <c r="W70" s="34" t="str">
        <f aca="false">IF(TRIM($C70)="","",IF(COUNTIF('🎓 Alumnas'!$P$2:$P$1000,TRIM($C70))&gt;0,INDEX('🎓 Alumnas'!$A$2:$A$1000,MATCH(TRIM($C70),'🎓 Alumnas'!$P$2:$P$1000,0)),IF(COUNTIF('🎓 Alumnas'!$O$2:$O$1000,TRIM($C70)&amp;"|*")=1,INDEX('🎓 Alumnas'!$A$2:$A$1000,MATCH(TRIM($C70)&amp;"|*",'🎓 Alumnas'!$O$2:$O$1000,0)),IF(COUNTIF('🎓 Alumnas'!$O$2:$O$1000,"*|"&amp;TRIM($C70))=1,INDEX('🎓 Alumnas'!$A$2:$A$1000,MATCH("*|"&amp;TRIM($C70),'🎓 Alumnas'!$O$2:$O$1000,0)),IF(COUNTIF('🎓 Alumnas'!$Q$2:$Q$1000,TRIM($C70))=1,INDEX('🎓 Alumnas'!$A$2:$A$1000,MATCH(TRIM($C70),'🎓 Alumnas'!$Q$2:$Q$1000,0)),IF(COUNTIF('🎓 Alumnas'!$P$2:$P$1000,"*"&amp;TRIM($C70)&amp;"*")=1,INDEX('🎓 Alumnas'!$A$2:$A$1000,MATCH("*"&amp;TRIM($C70)&amp;"*",'🎓 Alumnas'!$P$2:$P$1000,0)),IF(COUNTIF('🎓 Alumnas'!$Q$2:$Q$1000,"*"&amp;TRIM($C70)&amp;"*")=1,INDEX('🎓 Alumnas'!$A$2:$A$1000,MATCH("*"&amp;TRIM($C70)&amp;"*",'🎓 Alumnas'!$Q$2:$Q$1000,0)),IF(COUNTIF('🎓 Alumnas'!$P$2:$P$1000,"*"&amp;TRIM($C70)&amp;"*")+COUNTIF('🎓 Alumnas'!$Q$2:$Q$1000,"*"&amp;TRIM($C70)&amp;"*")&gt;1,"Varias: elige de la lista","No encontrada"))))))))</f>
        <v/>
      </c>
    </row>
    <row r="71" customFormat="false" ht="14.25" hidden="false" customHeight="true" outlineLevel="0" collapsed="false">
      <c r="A71" s="25" t="s">
        <v>616</v>
      </c>
      <c r="B71" s="27"/>
      <c r="C71" s="25"/>
      <c r="D71" s="34" t="str">
        <f aca="false">IF($W71="","",IFERROR(TRIM(INDEX('🎓 Alumnas'!$B$2:$B$1000,MATCH($W71,'🎓 Alumnas'!$A$2:$A$1000,0))),""))</f>
        <v/>
      </c>
      <c r="E71" s="34" t="str">
        <f aca="false">IF($W71="","",IFERROR(TRIM(INDEX('🎓 Alumnas'!$C$2:$C$1000,MATCH($W71,'🎓 Alumnas'!$A$2:$A$1000,0))),""))</f>
        <v/>
      </c>
      <c r="F71" s="34" t="str">
        <f aca="false">IF($W71="","",IFERROR(IF(INDEX('🎓 Alumnas'!$D$2:$D$1000,MATCH($W71,'🎓 Alumnas'!$A$2:$A$1000,0))="","",INDEX('🎓 Alumnas'!$D$2:$D$1000,MATCH($W71,'🎓 Alumnas'!$A$2:$A$1000,0))),""))</f>
        <v/>
      </c>
      <c r="G71" s="28" t="str">
        <f aca="false">IF($W71="","",IFERROR(IF(INDEX('🎓 Alumnas'!$E$2:$E$1000,MATCH($W71,'🎓 Alumnas'!$A$2:$A$1000,0))="","",INDEX('🎓 Alumnas'!$E$2:$E$1000,MATCH($W71,'🎓 Alumnas'!$A$2:$A$1000,0))),""))</f>
        <v/>
      </c>
      <c r="H71" s="28" t="str">
        <f aca="false">IF($W71="","",IFERROR(IF(INDEX('🎓 Alumnas'!$F$2:$F$1000,MATCH($W71,'🎓 Alumnas'!$A$2:$A$1000,0))="","",INDEX('🎓 Alumnas'!$F$2:$F$1000,MATCH($W71,'🎓 Alumnas'!$A$2:$A$1000,0))),""))</f>
        <v/>
      </c>
      <c r="I71" s="30" t="str">
        <f aca="false">IF($W71="","",IFERROR(IF(INDEX('🎓 Alumnas'!$G$2:$G$1000,MATCH($W71,'🎓 Alumnas'!$A$2:$A$1000,0))="","",INDEX('🎓 Alumnas'!$G$2:$G$1000,MATCH($W71,'🎓 Alumnas'!$A$2:$A$1000,0))),""))</f>
        <v/>
      </c>
      <c r="J71" s="28" t="str">
        <f aca="true">IF(I71="","",DATEDIF(I71,TODAY(),"Y"))</f>
        <v/>
      </c>
      <c r="K71" s="25"/>
      <c r="L71" s="28" t="str">
        <f aca="false">IF(K71="","",IF(LEFT(K71,6)="1 Pole","Alquiler",IF(LEFT(K71,7)="1 Clase","Clase suelta","Paquete")))</f>
        <v/>
      </c>
      <c r="M71" s="25"/>
      <c r="N71" s="25"/>
      <c r="O71" s="35"/>
      <c r="P71" s="29" t="str">
        <f aca="false">IF(O71="","",N71*O71)</f>
        <v/>
      </c>
      <c r="Q71" s="36"/>
      <c r="R71" s="25"/>
      <c r="S71" s="25"/>
      <c r="T71" s="28" t="str">
        <f aca="false">IF(OR(LEFT(W71,2)&lt;&gt;"A-",ISERROR(MATCH(W71,'🎓 Alumnas'!$A$2:$A$1000,0))),"",IF(COUNTIF($W$2:W71,W71)=1,"Nueva","Recurrente"))</f>
        <v/>
      </c>
      <c r="U71" s="28" t="str">
        <f aca="false">IF(OR(T71="",L71&lt;&gt;"Paquete"),"",COUNTIFS($W$2:W71,W71,$L$2:L71,"Paquete"))</f>
        <v/>
      </c>
      <c r="V71" s="25"/>
      <c r="W71" s="34" t="str">
        <f aca="false">IF(TRIM($C71)="","",IF(COUNTIF('🎓 Alumnas'!$P$2:$P$1000,TRIM($C71))&gt;0,INDEX('🎓 Alumnas'!$A$2:$A$1000,MATCH(TRIM($C71),'🎓 Alumnas'!$P$2:$P$1000,0)),IF(COUNTIF('🎓 Alumnas'!$O$2:$O$1000,TRIM($C71)&amp;"|*")=1,INDEX('🎓 Alumnas'!$A$2:$A$1000,MATCH(TRIM($C71)&amp;"|*",'🎓 Alumnas'!$O$2:$O$1000,0)),IF(COUNTIF('🎓 Alumnas'!$O$2:$O$1000,"*|"&amp;TRIM($C71))=1,INDEX('🎓 Alumnas'!$A$2:$A$1000,MATCH("*|"&amp;TRIM($C71),'🎓 Alumnas'!$O$2:$O$1000,0)),IF(COUNTIF('🎓 Alumnas'!$Q$2:$Q$1000,TRIM($C71))=1,INDEX('🎓 Alumnas'!$A$2:$A$1000,MATCH(TRIM($C71),'🎓 Alumnas'!$Q$2:$Q$1000,0)),IF(COUNTIF('🎓 Alumnas'!$P$2:$P$1000,"*"&amp;TRIM($C71)&amp;"*")=1,INDEX('🎓 Alumnas'!$A$2:$A$1000,MATCH("*"&amp;TRIM($C71)&amp;"*",'🎓 Alumnas'!$P$2:$P$1000,0)),IF(COUNTIF('🎓 Alumnas'!$Q$2:$Q$1000,"*"&amp;TRIM($C71)&amp;"*")=1,INDEX('🎓 Alumnas'!$A$2:$A$1000,MATCH("*"&amp;TRIM($C71)&amp;"*",'🎓 Alumnas'!$Q$2:$Q$1000,0)),IF(COUNTIF('🎓 Alumnas'!$P$2:$P$1000,"*"&amp;TRIM($C71)&amp;"*")+COUNTIF('🎓 Alumnas'!$Q$2:$Q$1000,"*"&amp;TRIM($C71)&amp;"*")&gt;1,"Varias: elige de la lista","No encontrada"))))))))</f>
        <v/>
      </c>
    </row>
    <row r="72" customFormat="false" ht="14.25" hidden="false" customHeight="true" outlineLevel="0" collapsed="false">
      <c r="A72" s="25" t="s">
        <v>617</v>
      </c>
      <c r="B72" s="27"/>
      <c r="C72" s="25"/>
      <c r="D72" s="34" t="str">
        <f aca="false">IF($W72="","",IFERROR(TRIM(INDEX('🎓 Alumnas'!$B$2:$B$1000,MATCH($W72,'🎓 Alumnas'!$A$2:$A$1000,0))),""))</f>
        <v/>
      </c>
      <c r="E72" s="34" t="str">
        <f aca="false">IF($W72="","",IFERROR(TRIM(INDEX('🎓 Alumnas'!$C$2:$C$1000,MATCH($W72,'🎓 Alumnas'!$A$2:$A$1000,0))),""))</f>
        <v/>
      </c>
      <c r="F72" s="34" t="str">
        <f aca="false">IF($W72="","",IFERROR(IF(INDEX('🎓 Alumnas'!$D$2:$D$1000,MATCH($W72,'🎓 Alumnas'!$A$2:$A$1000,0))="","",INDEX('🎓 Alumnas'!$D$2:$D$1000,MATCH($W72,'🎓 Alumnas'!$A$2:$A$1000,0))),""))</f>
        <v/>
      </c>
      <c r="G72" s="28" t="str">
        <f aca="false">IF($W72="","",IFERROR(IF(INDEX('🎓 Alumnas'!$E$2:$E$1000,MATCH($W72,'🎓 Alumnas'!$A$2:$A$1000,0))="","",INDEX('🎓 Alumnas'!$E$2:$E$1000,MATCH($W72,'🎓 Alumnas'!$A$2:$A$1000,0))),""))</f>
        <v/>
      </c>
      <c r="H72" s="28" t="str">
        <f aca="false">IF($W72="","",IFERROR(IF(INDEX('🎓 Alumnas'!$F$2:$F$1000,MATCH($W72,'🎓 Alumnas'!$A$2:$A$1000,0))="","",INDEX('🎓 Alumnas'!$F$2:$F$1000,MATCH($W72,'🎓 Alumnas'!$A$2:$A$1000,0))),""))</f>
        <v/>
      </c>
      <c r="I72" s="30" t="str">
        <f aca="false">IF($W72="","",IFERROR(IF(INDEX('🎓 Alumnas'!$G$2:$G$1000,MATCH($W72,'🎓 Alumnas'!$A$2:$A$1000,0))="","",INDEX('🎓 Alumnas'!$G$2:$G$1000,MATCH($W72,'🎓 Alumnas'!$A$2:$A$1000,0))),""))</f>
        <v/>
      </c>
      <c r="J72" s="28" t="str">
        <f aca="true">IF(I72="","",DATEDIF(I72,TODAY(),"Y"))</f>
        <v/>
      </c>
      <c r="K72" s="25"/>
      <c r="L72" s="28" t="str">
        <f aca="false">IF(K72="","",IF(LEFT(K72,6)="1 Pole","Alquiler",IF(LEFT(K72,7)="1 Clase","Clase suelta","Paquete")))</f>
        <v/>
      </c>
      <c r="M72" s="25"/>
      <c r="N72" s="25"/>
      <c r="O72" s="35"/>
      <c r="P72" s="29" t="str">
        <f aca="false">IF(O72="","",N72*O72)</f>
        <v/>
      </c>
      <c r="Q72" s="36"/>
      <c r="R72" s="25"/>
      <c r="S72" s="25"/>
      <c r="T72" s="28" t="str">
        <f aca="false">IF(OR(LEFT(W72,2)&lt;&gt;"A-",ISERROR(MATCH(W72,'🎓 Alumnas'!$A$2:$A$1000,0))),"",IF(COUNTIF($W$2:W72,W72)=1,"Nueva","Recurrente"))</f>
        <v/>
      </c>
      <c r="U72" s="28" t="str">
        <f aca="false">IF(OR(T72="",L72&lt;&gt;"Paquete"),"",COUNTIFS($W$2:W72,W72,$L$2:L72,"Paquete"))</f>
        <v/>
      </c>
      <c r="V72" s="25"/>
      <c r="W72" s="34" t="str">
        <f aca="false">IF(TRIM($C72)="","",IF(COUNTIF('🎓 Alumnas'!$P$2:$P$1000,TRIM($C72))&gt;0,INDEX('🎓 Alumnas'!$A$2:$A$1000,MATCH(TRIM($C72),'🎓 Alumnas'!$P$2:$P$1000,0)),IF(COUNTIF('🎓 Alumnas'!$O$2:$O$1000,TRIM($C72)&amp;"|*")=1,INDEX('🎓 Alumnas'!$A$2:$A$1000,MATCH(TRIM($C72)&amp;"|*",'🎓 Alumnas'!$O$2:$O$1000,0)),IF(COUNTIF('🎓 Alumnas'!$O$2:$O$1000,"*|"&amp;TRIM($C72))=1,INDEX('🎓 Alumnas'!$A$2:$A$1000,MATCH("*|"&amp;TRIM($C72),'🎓 Alumnas'!$O$2:$O$1000,0)),IF(COUNTIF('🎓 Alumnas'!$Q$2:$Q$1000,TRIM($C72))=1,INDEX('🎓 Alumnas'!$A$2:$A$1000,MATCH(TRIM($C72),'🎓 Alumnas'!$Q$2:$Q$1000,0)),IF(COUNTIF('🎓 Alumnas'!$P$2:$P$1000,"*"&amp;TRIM($C72)&amp;"*")=1,INDEX('🎓 Alumnas'!$A$2:$A$1000,MATCH("*"&amp;TRIM($C72)&amp;"*",'🎓 Alumnas'!$P$2:$P$1000,0)),IF(COUNTIF('🎓 Alumnas'!$Q$2:$Q$1000,"*"&amp;TRIM($C72)&amp;"*")=1,INDEX('🎓 Alumnas'!$A$2:$A$1000,MATCH("*"&amp;TRIM($C72)&amp;"*",'🎓 Alumnas'!$Q$2:$Q$1000,0)),IF(COUNTIF('🎓 Alumnas'!$P$2:$P$1000,"*"&amp;TRIM($C72)&amp;"*")+COUNTIF('🎓 Alumnas'!$Q$2:$Q$1000,"*"&amp;TRIM($C72)&amp;"*")&gt;1,"Varias: elige de la lista","No encontrada"))))))))</f>
        <v/>
      </c>
    </row>
    <row r="73" customFormat="false" ht="14.25" hidden="false" customHeight="true" outlineLevel="0" collapsed="false">
      <c r="A73" s="25" t="s">
        <v>618</v>
      </c>
      <c r="B73" s="27"/>
      <c r="C73" s="25"/>
      <c r="D73" s="34" t="str">
        <f aca="false">IF($W73="","",IFERROR(TRIM(INDEX('🎓 Alumnas'!$B$2:$B$1000,MATCH($W73,'🎓 Alumnas'!$A$2:$A$1000,0))),""))</f>
        <v/>
      </c>
      <c r="E73" s="34" t="str">
        <f aca="false">IF($W73="","",IFERROR(TRIM(INDEX('🎓 Alumnas'!$C$2:$C$1000,MATCH($W73,'🎓 Alumnas'!$A$2:$A$1000,0))),""))</f>
        <v/>
      </c>
      <c r="F73" s="34" t="str">
        <f aca="false">IF($W73="","",IFERROR(IF(INDEX('🎓 Alumnas'!$D$2:$D$1000,MATCH($W73,'🎓 Alumnas'!$A$2:$A$1000,0))="","",INDEX('🎓 Alumnas'!$D$2:$D$1000,MATCH($W73,'🎓 Alumnas'!$A$2:$A$1000,0))),""))</f>
        <v/>
      </c>
      <c r="G73" s="28" t="str">
        <f aca="false">IF($W73="","",IFERROR(IF(INDEX('🎓 Alumnas'!$E$2:$E$1000,MATCH($W73,'🎓 Alumnas'!$A$2:$A$1000,0))="","",INDEX('🎓 Alumnas'!$E$2:$E$1000,MATCH($W73,'🎓 Alumnas'!$A$2:$A$1000,0))),""))</f>
        <v/>
      </c>
      <c r="H73" s="28" t="str">
        <f aca="false">IF($W73="","",IFERROR(IF(INDEX('🎓 Alumnas'!$F$2:$F$1000,MATCH($W73,'🎓 Alumnas'!$A$2:$A$1000,0))="","",INDEX('🎓 Alumnas'!$F$2:$F$1000,MATCH($W73,'🎓 Alumnas'!$A$2:$A$1000,0))),""))</f>
        <v/>
      </c>
      <c r="I73" s="30" t="str">
        <f aca="false">IF($W73="","",IFERROR(IF(INDEX('🎓 Alumnas'!$G$2:$G$1000,MATCH($W73,'🎓 Alumnas'!$A$2:$A$1000,0))="","",INDEX('🎓 Alumnas'!$G$2:$G$1000,MATCH($W73,'🎓 Alumnas'!$A$2:$A$1000,0))),""))</f>
        <v/>
      </c>
      <c r="J73" s="28" t="str">
        <f aca="true">IF(I73="","",DATEDIF(I73,TODAY(),"Y"))</f>
        <v/>
      </c>
      <c r="K73" s="25"/>
      <c r="L73" s="28" t="str">
        <f aca="false">IF(K73="","",IF(LEFT(K73,6)="1 Pole","Alquiler",IF(LEFT(K73,7)="1 Clase","Clase suelta","Paquete")))</f>
        <v/>
      </c>
      <c r="M73" s="25"/>
      <c r="N73" s="25"/>
      <c r="O73" s="35"/>
      <c r="P73" s="29" t="str">
        <f aca="false">IF(O73="","",N73*O73)</f>
        <v/>
      </c>
      <c r="Q73" s="36"/>
      <c r="R73" s="25"/>
      <c r="S73" s="25"/>
      <c r="T73" s="28" t="str">
        <f aca="false">IF(OR(LEFT(W73,2)&lt;&gt;"A-",ISERROR(MATCH(W73,'🎓 Alumnas'!$A$2:$A$1000,0))),"",IF(COUNTIF($W$2:W73,W73)=1,"Nueva","Recurrente"))</f>
        <v/>
      </c>
      <c r="U73" s="28" t="str">
        <f aca="false">IF(OR(T73="",L73&lt;&gt;"Paquete"),"",COUNTIFS($W$2:W73,W73,$L$2:L73,"Paquete"))</f>
        <v/>
      </c>
      <c r="V73" s="25"/>
      <c r="W73" s="34" t="str">
        <f aca="false">IF(TRIM($C73)="","",IF(COUNTIF('🎓 Alumnas'!$P$2:$P$1000,TRIM($C73))&gt;0,INDEX('🎓 Alumnas'!$A$2:$A$1000,MATCH(TRIM($C73),'🎓 Alumnas'!$P$2:$P$1000,0)),IF(COUNTIF('🎓 Alumnas'!$O$2:$O$1000,TRIM($C73)&amp;"|*")=1,INDEX('🎓 Alumnas'!$A$2:$A$1000,MATCH(TRIM($C73)&amp;"|*",'🎓 Alumnas'!$O$2:$O$1000,0)),IF(COUNTIF('🎓 Alumnas'!$O$2:$O$1000,"*|"&amp;TRIM($C73))=1,INDEX('🎓 Alumnas'!$A$2:$A$1000,MATCH("*|"&amp;TRIM($C73),'🎓 Alumnas'!$O$2:$O$1000,0)),IF(COUNTIF('🎓 Alumnas'!$Q$2:$Q$1000,TRIM($C73))=1,INDEX('🎓 Alumnas'!$A$2:$A$1000,MATCH(TRIM($C73),'🎓 Alumnas'!$Q$2:$Q$1000,0)),IF(COUNTIF('🎓 Alumnas'!$P$2:$P$1000,"*"&amp;TRIM($C73)&amp;"*")=1,INDEX('🎓 Alumnas'!$A$2:$A$1000,MATCH("*"&amp;TRIM($C73)&amp;"*",'🎓 Alumnas'!$P$2:$P$1000,0)),IF(COUNTIF('🎓 Alumnas'!$Q$2:$Q$1000,"*"&amp;TRIM($C73)&amp;"*")=1,INDEX('🎓 Alumnas'!$A$2:$A$1000,MATCH("*"&amp;TRIM($C73)&amp;"*",'🎓 Alumnas'!$Q$2:$Q$1000,0)),IF(COUNTIF('🎓 Alumnas'!$P$2:$P$1000,"*"&amp;TRIM($C73)&amp;"*")+COUNTIF('🎓 Alumnas'!$Q$2:$Q$1000,"*"&amp;TRIM($C73)&amp;"*")&gt;1,"Varias: elige de la lista","No encontrada"))))))))</f>
        <v/>
      </c>
    </row>
    <row r="74" customFormat="false" ht="14.25" hidden="false" customHeight="true" outlineLevel="0" collapsed="false">
      <c r="A74" s="25" t="s">
        <v>619</v>
      </c>
      <c r="B74" s="27"/>
      <c r="C74" s="25"/>
      <c r="D74" s="34" t="str">
        <f aca="false">IF($W74="","",IFERROR(TRIM(INDEX('🎓 Alumnas'!$B$2:$B$1000,MATCH($W74,'🎓 Alumnas'!$A$2:$A$1000,0))),""))</f>
        <v/>
      </c>
      <c r="E74" s="34" t="str">
        <f aca="false">IF($W74="","",IFERROR(TRIM(INDEX('🎓 Alumnas'!$C$2:$C$1000,MATCH($W74,'🎓 Alumnas'!$A$2:$A$1000,0))),""))</f>
        <v/>
      </c>
      <c r="F74" s="34" t="str">
        <f aca="false">IF($W74="","",IFERROR(IF(INDEX('🎓 Alumnas'!$D$2:$D$1000,MATCH($W74,'🎓 Alumnas'!$A$2:$A$1000,0))="","",INDEX('🎓 Alumnas'!$D$2:$D$1000,MATCH($W74,'🎓 Alumnas'!$A$2:$A$1000,0))),""))</f>
        <v/>
      </c>
      <c r="G74" s="28" t="str">
        <f aca="false">IF($W74="","",IFERROR(IF(INDEX('🎓 Alumnas'!$E$2:$E$1000,MATCH($W74,'🎓 Alumnas'!$A$2:$A$1000,0))="","",INDEX('🎓 Alumnas'!$E$2:$E$1000,MATCH($W74,'🎓 Alumnas'!$A$2:$A$1000,0))),""))</f>
        <v/>
      </c>
      <c r="H74" s="28" t="str">
        <f aca="false">IF($W74="","",IFERROR(IF(INDEX('🎓 Alumnas'!$F$2:$F$1000,MATCH($W74,'🎓 Alumnas'!$A$2:$A$1000,0))="","",INDEX('🎓 Alumnas'!$F$2:$F$1000,MATCH($W74,'🎓 Alumnas'!$A$2:$A$1000,0))),""))</f>
        <v/>
      </c>
      <c r="I74" s="30" t="str">
        <f aca="false">IF($W74="","",IFERROR(IF(INDEX('🎓 Alumnas'!$G$2:$G$1000,MATCH($W74,'🎓 Alumnas'!$A$2:$A$1000,0))="","",INDEX('🎓 Alumnas'!$G$2:$G$1000,MATCH($W74,'🎓 Alumnas'!$A$2:$A$1000,0))),""))</f>
        <v/>
      </c>
      <c r="J74" s="28" t="str">
        <f aca="true">IF(I74="","",DATEDIF(I74,TODAY(),"Y"))</f>
        <v/>
      </c>
      <c r="K74" s="25"/>
      <c r="L74" s="28" t="str">
        <f aca="false">IF(K74="","",IF(LEFT(K74,6)="1 Pole","Alquiler",IF(LEFT(K74,7)="1 Clase","Clase suelta","Paquete")))</f>
        <v/>
      </c>
      <c r="M74" s="25"/>
      <c r="N74" s="25"/>
      <c r="O74" s="35"/>
      <c r="P74" s="29" t="str">
        <f aca="false">IF(O74="","",N74*O74)</f>
        <v/>
      </c>
      <c r="Q74" s="36"/>
      <c r="R74" s="25"/>
      <c r="S74" s="25"/>
      <c r="T74" s="28" t="str">
        <f aca="false">IF(OR(LEFT(W74,2)&lt;&gt;"A-",ISERROR(MATCH(W74,'🎓 Alumnas'!$A$2:$A$1000,0))),"",IF(COUNTIF($W$2:W74,W74)=1,"Nueva","Recurrente"))</f>
        <v/>
      </c>
      <c r="U74" s="28" t="str">
        <f aca="false">IF(OR(T74="",L74&lt;&gt;"Paquete"),"",COUNTIFS($W$2:W74,W74,$L$2:L74,"Paquete"))</f>
        <v/>
      </c>
      <c r="V74" s="25"/>
      <c r="W74" s="34" t="str">
        <f aca="false">IF(TRIM($C74)="","",IF(COUNTIF('🎓 Alumnas'!$P$2:$P$1000,TRIM($C74))&gt;0,INDEX('🎓 Alumnas'!$A$2:$A$1000,MATCH(TRIM($C74),'🎓 Alumnas'!$P$2:$P$1000,0)),IF(COUNTIF('🎓 Alumnas'!$O$2:$O$1000,TRIM($C74)&amp;"|*")=1,INDEX('🎓 Alumnas'!$A$2:$A$1000,MATCH(TRIM($C74)&amp;"|*",'🎓 Alumnas'!$O$2:$O$1000,0)),IF(COUNTIF('🎓 Alumnas'!$O$2:$O$1000,"*|"&amp;TRIM($C74))=1,INDEX('🎓 Alumnas'!$A$2:$A$1000,MATCH("*|"&amp;TRIM($C74),'🎓 Alumnas'!$O$2:$O$1000,0)),IF(COUNTIF('🎓 Alumnas'!$Q$2:$Q$1000,TRIM($C74))=1,INDEX('🎓 Alumnas'!$A$2:$A$1000,MATCH(TRIM($C74),'🎓 Alumnas'!$Q$2:$Q$1000,0)),IF(COUNTIF('🎓 Alumnas'!$P$2:$P$1000,"*"&amp;TRIM($C74)&amp;"*")=1,INDEX('🎓 Alumnas'!$A$2:$A$1000,MATCH("*"&amp;TRIM($C74)&amp;"*",'🎓 Alumnas'!$P$2:$P$1000,0)),IF(COUNTIF('🎓 Alumnas'!$Q$2:$Q$1000,"*"&amp;TRIM($C74)&amp;"*")=1,INDEX('🎓 Alumnas'!$A$2:$A$1000,MATCH("*"&amp;TRIM($C74)&amp;"*",'🎓 Alumnas'!$Q$2:$Q$1000,0)),IF(COUNTIF('🎓 Alumnas'!$P$2:$P$1000,"*"&amp;TRIM($C74)&amp;"*")+COUNTIF('🎓 Alumnas'!$Q$2:$Q$1000,"*"&amp;TRIM($C74)&amp;"*")&gt;1,"Varias: elige de la lista","No encontrada"))))))))</f>
        <v/>
      </c>
    </row>
    <row r="75" customFormat="false" ht="14.25" hidden="false" customHeight="true" outlineLevel="0" collapsed="false">
      <c r="A75" s="25" t="s">
        <v>620</v>
      </c>
      <c r="B75" s="27"/>
      <c r="C75" s="25"/>
      <c r="D75" s="34" t="str">
        <f aca="false">IF($W75="","",IFERROR(TRIM(INDEX('🎓 Alumnas'!$B$2:$B$1000,MATCH($W75,'🎓 Alumnas'!$A$2:$A$1000,0))),""))</f>
        <v/>
      </c>
      <c r="E75" s="34" t="str">
        <f aca="false">IF($W75="","",IFERROR(TRIM(INDEX('🎓 Alumnas'!$C$2:$C$1000,MATCH($W75,'🎓 Alumnas'!$A$2:$A$1000,0))),""))</f>
        <v/>
      </c>
      <c r="F75" s="34" t="str">
        <f aca="false">IF($W75="","",IFERROR(IF(INDEX('🎓 Alumnas'!$D$2:$D$1000,MATCH($W75,'🎓 Alumnas'!$A$2:$A$1000,0))="","",INDEX('🎓 Alumnas'!$D$2:$D$1000,MATCH($W75,'🎓 Alumnas'!$A$2:$A$1000,0))),""))</f>
        <v/>
      </c>
      <c r="G75" s="28" t="str">
        <f aca="false">IF($W75="","",IFERROR(IF(INDEX('🎓 Alumnas'!$E$2:$E$1000,MATCH($W75,'🎓 Alumnas'!$A$2:$A$1000,0))="","",INDEX('🎓 Alumnas'!$E$2:$E$1000,MATCH($W75,'🎓 Alumnas'!$A$2:$A$1000,0))),""))</f>
        <v/>
      </c>
      <c r="H75" s="28" t="str">
        <f aca="false">IF($W75="","",IFERROR(IF(INDEX('🎓 Alumnas'!$F$2:$F$1000,MATCH($W75,'🎓 Alumnas'!$A$2:$A$1000,0))="","",INDEX('🎓 Alumnas'!$F$2:$F$1000,MATCH($W75,'🎓 Alumnas'!$A$2:$A$1000,0))),""))</f>
        <v/>
      </c>
      <c r="I75" s="30" t="str">
        <f aca="false">IF($W75="","",IFERROR(IF(INDEX('🎓 Alumnas'!$G$2:$G$1000,MATCH($W75,'🎓 Alumnas'!$A$2:$A$1000,0))="","",INDEX('🎓 Alumnas'!$G$2:$G$1000,MATCH($W75,'🎓 Alumnas'!$A$2:$A$1000,0))),""))</f>
        <v/>
      </c>
      <c r="J75" s="28" t="str">
        <f aca="true">IF(I75="","",DATEDIF(I75,TODAY(),"Y"))</f>
        <v/>
      </c>
      <c r="K75" s="25"/>
      <c r="L75" s="28" t="str">
        <f aca="false">IF(K75="","",IF(LEFT(K75,6)="1 Pole","Alquiler",IF(LEFT(K75,7)="1 Clase","Clase suelta","Paquete")))</f>
        <v/>
      </c>
      <c r="M75" s="25"/>
      <c r="N75" s="25"/>
      <c r="O75" s="35"/>
      <c r="P75" s="29" t="str">
        <f aca="false">IF(O75="","",N75*O75)</f>
        <v/>
      </c>
      <c r="Q75" s="36"/>
      <c r="R75" s="25"/>
      <c r="S75" s="25"/>
      <c r="T75" s="28" t="str">
        <f aca="false">IF(OR(LEFT(W75,2)&lt;&gt;"A-",ISERROR(MATCH(W75,'🎓 Alumnas'!$A$2:$A$1000,0))),"",IF(COUNTIF($W$2:W75,W75)=1,"Nueva","Recurrente"))</f>
        <v/>
      </c>
      <c r="U75" s="28" t="str">
        <f aca="false">IF(OR(T75="",L75&lt;&gt;"Paquete"),"",COUNTIFS($W$2:W75,W75,$L$2:L75,"Paquete"))</f>
        <v/>
      </c>
      <c r="V75" s="25"/>
      <c r="W75" s="34" t="str">
        <f aca="false">IF(TRIM($C75)="","",IF(COUNTIF('🎓 Alumnas'!$P$2:$P$1000,TRIM($C75))&gt;0,INDEX('🎓 Alumnas'!$A$2:$A$1000,MATCH(TRIM($C75),'🎓 Alumnas'!$P$2:$P$1000,0)),IF(COUNTIF('🎓 Alumnas'!$O$2:$O$1000,TRIM($C75)&amp;"|*")=1,INDEX('🎓 Alumnas'!$A$2:$A$1000,MATCH(TRIM($C75)&amp;"|*",'🎓 Alumnas'!$O$2:$O$1000,0)),IF(COUNTIF('🎓 Alumnas'!$O$2:$O$1000,"*|"&amp;TRIM($C75))=1,INDEX('🎓 Alumnas'!$A$2:$A$1000,MATCH("*|"&amp;TRIM($C75),'🎓 Alumnas'!$O$2:$O$1000,0)),IF(COUNTIF('🎓 Alumnas'!$Q$2:$Q$1000,TRIM($C75))=1,INDEX('🎓 Alumnas'!$A$2:$A$1000,MATCH(TRIM($C75),'🎓 Alumnas'!$Q$2:$Q$1000,0)),IF(COUNTIF('🎓 Alumnas'!$P$2:$P$1000,"*"&amp;TRIM($C75)&amp;"*")=1,INDEX('🎓 Alumnas'!$A$2:$A$1000,MATCH("*"&amp;TRIM($C75)&amp;"*",'🎓 Alumnas'!$P$2:$P$1000,0)),IF(COUNTIF('🎓 Alumnas'!$Q$2:$Q$1000,"*"&amp;TRIM($C75)&amp;"*")=1,INDEX('🎓 Alumnas'!$A$2:$A$1000,MATCH("*"&amp;TRIM($C75)&amp;"*",'🎓 Alumnas'!$Q$2:$Q$1000,0)),IF(COUNTIF('🎓 Alumnas'!$P$2:$P$1000,"*"&amp;TRIM($C75)&amp;"*")+COUNTIF('🎓 Alumnas'!$Q$2:$Q$1000,"*"&amp;TRIM($C75)&amp;"*")&gt;1,"Varias: elige de la lista","No encontrada"))))))))</f>
        <v/>
      </c>
    </row>
    <row r="76" customFormat="false" ht="14.25" hidden="false" customHeight="true" outlineLevel="0" collapsed="false">
      <c r="A76" s="25" t="s">
        <v>621</v>
      </c>
      <c r="B76" s="27"/>
      <c r="C76" s="25"/>
      <c r="D76" s="34" t="str">
        <f aca="false">IF($W76="","",IFERROR(TRIM(INDEX('🎓 Alumnas'!$B$2:$B$1000,MATCH($W76,'🎓 Alumnas'!$A$2:$A$1000,0))),""))</f>
        <v/>
      </c>
      <c r="E76" s="34" t="str">
        <f aca="false">IF($W76="","",IFERROR(TRIM(INDEX('🎓 Alumnas'!$C$2:$C$1000,MATCH($W76,'🎓 Alumnas'!$A$2:$A$1000,0))),""))</f>
        <v/>
      </c>
      <c r="F76" s="34" t="str">
        <f aca="false">IF($W76="","",IFERROR(IF(INDEX('🎓 Alumnas'!$D$2:$D$1000,MATCH($W76,'🎓 Alumnas'!$A$2:$A$1000,0))="","",INDEX('🎓 Alumnas'!$D$2:$D$1000,MATCH($W76,'🎓 Alumnas'!$A$2:$A$1000,0))),""))</f>
        <v/>
      </c>
      <c r="G76" s="28" t="str">
        <f aca="false">IF($W76="","",IFERROR(IF(INDEX('🎓 Alumnas'!$E$2:$E$1000,MATCH($W76,'🎓 Alumnas'!$A$2:$A$1000,0))="","",INDEX('🎓 Alumnas'!$E$2:$E$1000,MATCH($W76,'🎓 Alumnas'!$A$2:$A$1000,0))),""))</f>
        <v/>
      </c>
      <c r="H76" s="28" t="str">
        <f aca="false">IF($W76="","",IFERROR(IF(INDEX('🎓 Alumnas'!$F$2:$F$1000,MATCH($W76,'🎓 Alumnas'!$A$2:$A$1000,0))="","",INDEX('🎓 Alumnas'!$F$2:$F$1000,MATCH($W76,'🎓 Alumnas'!$A$2:$A$1000,0))),""))</f>
        <v/>
      </c>
      <c r="I76" s="30" t="str">
        <f aca="false">IF($W76="","",IFERROR(IF(INDEX('🎓 Alumnas'!$G$2:$G$1000,MATCH($W76,'🎓 Alumnas'!$A$2:$A$1000,0))="","",INDEX('🎓 Alumnas'!$G$2:$G$1000,MATCH($W76,'🎓 Alumnas'!$A$2:$A$1000,0))),""))</f>
        <v/>
      </c>
      <c r="J76" s="28" t="str">
        <f aca="true">IF(I76="","",DATEDIF(I76,TODAY(),"Y"))</f>
        <v/>
      </c>
      <c r="K76" s="25"/>
      <c r="L76" s="28" t="str">
        <f aca="false">IF(K76="","",IF(LEFT(K76,6)="1 Pole","Alquiler",IF(LEFT(K76,7)="1 Clase","Clase suelta","Paquete")))</f>
        <v/>
      </c>
      <c r="M76" s="25"/>
      <c r="N76" s="25"/>
      <c r="O76" s="35"/>
      <c r="P76" s="29" t="str">
        <f aca="false">IF(O76="","",N76*O76)</f>
        <v/>
      </c>
      <c r="Q76" s="36"/>
      <c r="R76" s="25"/>
      <c r="S76" s="25"/>
      <c r="T76" s="28" t="str">
        <f aca="false">IF(OR(LEFT(W76,2)&lt;&gt;"A-",ISERROR(MATCH(W76,'🎓 Alumnas'!$A$2:$A$1000,0))),"",IF(COUNTIF($W$2:W76,W76)=1,"Nueva","Recurrente"))</f>
        <v/>
      </c>
      <c r="U76" s="28" t="str">
        <f aca="false">IF(OR(T76="",L76&lt;&gt;"Paquete"),"",COUNTIFS($W$2:W76,W76,$L$2:L76,"Paquete"))</f>
        <v/>
      </c>
      <c r="V76" s="25"/>
      <c r="W76" s="34" t="str">
        <f aca="false">IF(TRIM($C76)="","",IF(COUNTIF('🎓 Alumnas'!$P$2:$P$1000,TRIM($C76))&gt;0,INDEX('🎓 Alumnas'!$A$2:$A$1000,MATCH(TRIM($C76),'🎓 Alumnas'!$P$2:$P$1000,0)),IF(COUNTIF('🎓 Alumnas'!$O$2:$O$1000,TRIM($C76)&amp;"|*")=1,INDEX('🎓 Alumnas'!$A$2:$A$1000,MATCH(TRIM($C76)&amp;"|*",'🎓 Alumnas'!$O$2:$O$1000,0)),IF(COUNTIF('🎓 Alumnas'!$O$2:$O$1000,"*|"&amp;TRIM($C76))=1,INDEX('🎓 Alumnas'!$A$2:$A$1000,MATCH("*|"&amp;TRIM($C76),'🎓 Alumnas'!$O$2:$O$1000,0)),IF(COUNTIF('🎓 Alumnas'!$Q$2:$Q$1000,TRIM($C76))=1,INDEX('🎓 Alumnas'!$A$2:$A$1000,MATCH(TRIM($C76),'🎓 Alumnas'!$Q$2:$Q$1000,0)),IF(COUNTIF('🎓 Alumnas'!$P$2:$P$1000,"*"&amp;TRIM($C76)&amp;"*")=1,INDEX('🎓 Alumnas'!$A$2:$A$1000,MATCH("*"&amp;TRIM($C76)&amp;"*",'🎓 Alumnas'!$P$2:$P$1000,0)),IF(COUNTIF('🎓 Alumnas'!$Q$2:$Q$1000,"*"&amp;TRIM($C76)&amp;"*")=1,INDEX('🎓 Alumnas'!$A$2:$A$1000,MATCH("*"&amp;TRIM($C76)&amp;"*",'🎓 Alumnas'!$Q$2:$Q$1000,0)),IF(COUNTIF('🎓 Alumnas'!$P$2:$P$1000,"*"&amp;TRIM($C76)&amp;"*")+COUNTIF('🎓 Alumnas'!$Q$2:$Q$1000,"*"&amp;TRIM($C76)&amp;"*")&gt;1,"Varias: elige de la lista","No encontrada"))))))))</f>
        <v/>
      </c>
    </row>
    <row r="77" customFormat="false" ht="14.25" hidden="false" customHeight="true" outlineLevel="0" collapsed="false">
      <c r="A77" s="25" t="s">
        <v>622</v>
      </c>
      <c r="B77" s="27"/>
      <c r="C77" s="25"/>
      <c r="D77" s="34" t="str">
        <f aca="false">IF($W77="","",IFERROR(TRIM(INDEX('🎓 Alumnas'!$B$2:$B$1000,MATCH($W77,'🎓 Alumnas'!$A$2:$A$1000,0))),""))</f>
        <v/>
      </c>
      <c r="E77" s="34" t="str">
        <f aca="false">IF($W77="","",IFERROR(TRIM(INDEX('🎓 Alumnas'!$C$2:$C$1000,MATCH($W77,'🎓 Alumnas'!$A$2:$A$1000,0))),""))</f>
        <v/>
      </c>
      <c r="F77" s="34" t="str">
        <f aca="false">IF($W77="","",IFERROR(IF(INDEX('🎓 Alumnas'!$D$2:$D$1000,MATCH($W77,'🎓 Alumnas'!$A$2:$A$1000,0))="","",INDEX('🎓 Alumnas'!$D$2:$D$1000,MATCH($W77,'🎓 Alumnas'!$A$2:$A$1000,0))),""))</f>
        <v/>
      </c>
      <c r="G77" s="28" t="str">
        <f aca="false">IF($W77="","",IFERROR(IF(INDEX('🎓 Alumnas'!$E$2:$E$1000,MATCH($W77,'🎓 Alumnas'!$A$2:$A$1000,0))="","",INDEX('🎓 Alumnas'!$E$2:$E$1000,MATCH($W77,'🎓 Alumnas'!$A$2:$A$1000,0))),""))</f>
        <v/>
      </c>
      <c r="H77" s="28" t="str">
        <f aca="false">IF($W77="","",IFERROR(IF(INDEX('🎓 Alumnas'!$F$2:$F$1000,MATCH($W77,'🎓 Alumnas'!$A$2:$A$1000,0))="","",INDEX('🎓 Alumnas'!$F$2:$F$1000,MATCH($W77,'🎓 Alumnas'!$A$2:$A$1000,0))),""))</f>
        <v/>
      </c>
      <c r="I77" s="30" t="str">
        <f aca="false">IF($W77="","",IFERROR(IF(INDEX('🎓 Alumnas'!$G$2:$G$1000,MATCH($W77,'🎓 Alumnas'!$A$2:$A$1000,0))="","",INDEX('🎓 Alumnas'!$G$2:$G$1000,MATCH($W77,'🎓 Alumnas'!$A$2:$A$1000,0))),""))</f>
        <v/>
      </c>
      <c r="J77" s="28" t="str">
        <f aca="true">IF(I77="","",DATEDIF(I77,TODAY(),"Y"))</f>
        <v/>
      </c>
      <c r="K77" s="25"/>
      <c r="L77" s="28" t="str">
        <f aca="false">IF(K77="","",IF(LEFT(K77,6)="1 Pole","Alquiler",IF(LEFT(K77,7)="1 Clase","Clase suelta","Paquete")))</f>
        <v/>
      </c>
      <c r="M77" s="25"/>
      <c r="N77" s="25"/>
      <c r="O77" s="35"/>
      <c r="P77" s="29" t="str">
        <f aca="false">IF(O77="","",N77*O77)</f>
        <v/>
      </c>
      <c r="Q77" s="36"/>
      <c r="R77" s="25"/>
      <c r="S77" s="25"/>
      <c r="T77" s="28" t="str">
        <f aca="false">IF(OR(LEFT(W77,2)&lt;&gt;"A-",ISERROR(MATCH(W77,'🎓 Alumnas'!$A$2:$A$1000,0))),"",IF(COUNTIF($W$2:W77,W77)=1,"Nueva","Recurrente"))</f>
        <v/>
      </c>
      <c r="U77" s="28" t="str">
        <f aca="false">IF(OR(T77="",L77&lt;&gt;"Paquete"),"",COUNTIFS($W$2:W77,W77,$L$2:L77,"Paquete"))</f>
        <v/>
      </c>
      <c r="V77" s="25"/>
      <c r="W77" s="34" t="str">
        <f aca="false">IF(TRIM($C77)="","",IF(COUNTIF('🎓 Alumnas'!$P$2:$P$1000,TRIM($C77))&gt;0,INDEX('🎓 Alumnas'!$A$2:$A$1000,MATCH(TRIM($C77),'🎓 Alumnas'!$P$2:$P$1000,0)),IF(COUNTIF('🎓 Alumnas'!$O$2:$O$1000,TRIM($C77)&amp;"|*")=1,INDEX('🎓 Alumnas'!$A$2:$A$1000,MATCH(TRIM($C77)&amp;"|*",'🎓 Alumnas'!$O$2:$O$1000,0)),IF(COUNTIF('🎓 Alumnas'!$O$2:$O$1000,"*|"&amp;TRIM($C77))=1,INDEX('🎓 Alumnas'!$A$2:$A$1000,MATCH("*|"&amp;TRIM($C77),'🎓 Alumnas'!$O$2:$O$1000,0)),IF(COUNTIF('🎓 Alumnas'!$Q$2:$Q$1000,TRIM($C77))=1,INDEX('🎓 Alumnas'!$A$2:$A$1000,MATCH(TRIM($C77),'🎓 Alumnas'!$Q$2:$Q$1000,0)),IF(COUNTIF('🎓 Alumnas'!$P$2:$P$1000,"*"&amp;TRIM($C77)&amp;"*")=1,INDEX('🎓 Alumnas'!$A$2:$A$1000,MATCH("*"&amp;TRIM($C77)&amp;"*",'🎓 Alumnas'!$P$2:$P$1000,0)),IF(COUNTIF('🎓 Alumnas'!$Q$2:$Q$1000,"*"&amp;TRIM($C77)&amp;"*")=1,INDEX('🎓 Alumnas'!$A$2:$A$1000,MATCH("*"&amp;TRIM($C77)&amp;"*",'🎓 Alumnas'!$Q$2:$Q$1000,0)),IF(COUNTIF('🎓 Alumnas'!$P$2:$P$1000,"*"&amp;TRIM($C77)&amp;"*")+COUNTIF('🎓 Alumnas'!$Q$2:$Q$1000,"*"&amp;TRIM($C77)&amp;"*")&gt;1,"Varias: elige de la lista","No encontrada"))))))))</f>
        <v/>
      </c>
    </row>
    <row r="78" customFormat="false" ht="14.25" hidden="false" customHeight="true" outlineLevel="0" collapsed="false">
      <c r="A78" s="25" t="s">
        <v>623</v>
      </c>
      <c r="B78" s="27"/>
      <c r="C78" s="25"/>
      <c r="D78" s="34" t="str">
        <f aca="false">IF($W78="","",IFERROR(TRIM(INDEX('🎓 Alumnas'!$B$2:$B$1000,MATCH($W78,'🎓 Alumnas'!$A$2:$A$1000,0))),""))</f>
        <v/>
      </c>
      <c r="E78" s="34" t="str">
        <f aca="false">IF($W78="","",IFERROR(TRIM(INDEX('🎓 Alumnas'!$C$2:$C$1000,MATCH($W78,'🎓 Alumnas'!$A$2:$A$1000,0))),""))</f>
        <v/>
      </c>
      <c r="F78" s="34" t="str">
        <f aca="false">IF($W78="","",IFERROR(IF(INDEX('🎓 Alumnas'!$D$2:$D$1000,MATCH($W78,'🎓 Alumnas'!$A$2:$A$1000,0))="","",INDEX('🎓 Alumnas'!$D$2:$D$1000,MATCH($W78,'🎓 Alumnas'!$A$2:$A$1000,0))),""))</f>
        <v/>
      </c>
      <c r="G78" s="28" t="str">
        <f aca="false">IF($W78="","",IFERROR(IF(INDEX('🎓 Alumnas'!$E$2:$E$1000,MATCH($W78,'🎓 Alumnas'!$A$2:$A$1000,0))="","",INDEX('🎓 Alumnas'!$E$2:$E$1000,MATCH($W78,'🎓 Alumnas'!$A$2:$A$1000,0))),""))</f>
        <v/>
      </c>
      <c r="H78" s="28" t="str">
        <f aca="false">IF($W78="","",IFERROR(IF(INDEX('🎓 Alumnas'!$F$2:$F$1000,MATCH($W78,'🎓 Alumnas'!$A$2:$A$1000,0))="","",INDEX('🎓 Alumnas'!$F$2:$F$1000,MATCH($W78,'🎓 Alumnas'!$A$2:$A$1000,0))),""))</f>
        <v/>
      </c>
      <c r="I78" s="30" t="str">
        <f aca="false">IF($W78="","",IFERROR(IF(INDEX('🎓 Alumnas'!$G$2:$G$1000,MATCH($W78,'🎓 Alumnas'!$A$2:$A$1000,0))="","",INDEX('🎓 Alumnas'!$G$2:$G$1000,MATCH($W78,'🎓 Alumnas'!$A$2:$A$1000,0))),""))</f>
        <v/>
      </c>
      <c r="J78" s="28" t="str">
        <f aca="true">IF(I78="","",DATEDIF(I78,TODAY(),"Y"))</f>
        <v/>
      </c>
      <c r="K78" s="25"/>
      <c r="L78" s="28" t="str">
        <f aca="false">IF(K78="","",IF(LEFT(K78,6)="1 Pole","Alquiler",IF(LEFT(K78,7)="1 Clase","Clase suelta","Paquete")))</f>
        <v/>
      </c>
      <c r="M78" s="25"/>
      <c r="N78" s="25"/>
      <c r="O78" s="35"/>
      <c r="P78" s="29" t="str">
        <f aca="false">IF(O78="","",N78*O78)</f>
        <v/>
      </c>
      <c r="Q78" s="36"/>
      <c r="R78" s="25"/>
      <c r="S78" s="25"/>
      <c r="T78" s="28" t="str">
        <f aca="false">IF(OR(LEFT(W78,2)&lt;&gt;"A-",ISERROR(MATCH(W78,'🎓 Alumnas'!$A$2:$A$1000,0))),"",IF(COUNTIF($W$2:W78,W78)=1,"Nueva","Recurrente"))</f>
        <v/>
      </c>
      <c r="U78" s="28" t="str">
        <f aca="false">IF(OR(T78="",L78&lt;&gt;"Paquete"),"",COUNTIFS($W$2:W78,W78,$L$2:L78,"Paquete"))</f>
        <v/>
      </c>
      <c r="V78" s="25"/>
      <c r="W78" s="34" t="str">
        <f aca="false">IF(TRIM($C78)="","",IF(COUNTIF('🎓 Alumnas'!$P$2:$P$1000,TRIM($C78))&gt;0,INDEX('🎓 Alumnas'!$A$2:$A$1000,MATCH(TRIM($C78),'🎓 Alumnas'!$P$2:$P$1000,0)),IF(COUNTIF('🎓 Alumnas'!$O$2:$O$1000,TRIM($C78)&amp;"|*")=1,INDEX('🎓 Alumnas'!$A$2:$A$1000,MATCH(TRIM($C78)&amp;"|*",'🎓 Alumnas'!$O$2:$O$1000,0)),IF(COUNTIF('🎓 Alumnas'!$O$2:$O$1000,"*|"&amp;TRIM($C78))=1,INDEX('🎓 Alumnas'!$A$2:$A$1000,MATCH("*|"&amp;TRIM($C78),'🎓 Alumnas'!$O$2:$O$1000,0)),IF(COUNTIF('🎓 Alumnas'!$Q$2:$Q$1000,TRIM($C78))=1,INDEX('🎓 Alumnas'!$A$2:$A$1000,MATCH(TRIM($C78),'🎓 Alumnas'!$Q$2:$Q$1000,0)),IF(COUNTIF('🎓 Alumnas'!$P$2:$P$1000,"*"&amp;TRIM($C78)&amp;"*")=1,INDEX('🎓 Alumnas'!$A$2:$A$1000,MATCH("*"&amp;TRIM($C78)&amp;"*",'🎓 Alumnas'!$P$2:$P$1000,0)),IF(COUNTIF('🎓 Alumnas'!$Q$2:$Q$1000,"*"&amp;TRIM($C78)&amp;"*")=1,INDEX('🎓 Alumnas'!$A$2:$A$1000,MATCH("*"&amp;TRIM($C78)&amp;"*",'🎓 Alumnas'!$Q$2:$Q$1000,0)),IF(COUNTIF('🎓 Alumnas'!$P$2:$P$1000,"*"&amp;TRIM($C78)&amp;"*")+COUNTIF('🎓 Alumnas'!$Q$2:$Q$1000,"*"&amp;TRIM($C78)&amp;"*")&gt;1,"Varias: elige de la lista","No encontrada"))))))))</f>
        <v/>
      </c>
    </row>
    <row r="79" customFormat="false" ht="14.25" hidden="false" customHeight="true" outlineLevel="0" collapsed="false">
      <c r="A79" s="25" t="s">
        <v>624</v>
      </c>
      <c r="B79" s="27"/>
      <c r="C79" s="25"/>
      <c r="D79" s="34" t="str">
        <f aca="false">IF($W79="","",IFERROR(TRIM(INDEX('🎓 Alumnas'!$B$2:$B$1000,MATCH($W79,'🎓 Alumnas'!$A$2:$A$1000,0))),""))</f>
        <v/>
      </c>
      <c r="E79" s="34" t="str">
        <f aca="false">IF($W79="","",IFERROR(TRIM(INDEX('🎓 Alumnas'!$C$2:$C$1000,MATCH($W79,'🎓 Alumnas'!$A$2:$A$1000,0))),""))</f>
        <v/>
      </c>
      <c r="F79" s="34" t="str">
        <f aca="false">IF($W79="","",IFERROR(IF(INDEX('🎓 Alumnas'!$D$2:$D$1000,MATCH($W79,'🎓 Alumnas'!$A$2:$A$1000,0))="","",INDEX('🎓 Alumnas'!$D$2:$D$1000,MATCH($W79,'🎓 Alumnas'!$A$2:$A$1000,0))),""))</f>
        <v/>
      </c>
      <c r="G79" s="28" t="str">
        <f aca="false">IF($W79="","",IFERROR(IF(INDEX('🎓 Alumnas'!$E$2:$E$1000,MATCH($W79,'🎓 Alumnas'!$A$2:$A$1000,0))="","",INDEX('🎓 Alumnas'!$E$2:$E$1000,MATCH($W79,'🎓 Alumnas'!$A$2:$A$1000,0))),""))</f>
        <v/>
      </c>
      <c r="H79" s="28" t="str">
        <f aca="false">IF($W79="","",IFERROR(IF(INDEX('🎓 Alumnas'!$F$2:$F$1000,MATCH($W79,'🎓 Alumnas'!$A$2:$A$1000,0))="","",INDEX('🎓 Alumnas'!$F$2:$F$1000,MATCH($W79,'🎓 Alumnas'!$A$2:$A$1000,0))),""))</f>
        <v/>
      </c>
      <c r="I79" s="30" t="str">
        <f aca="false">IF($W79="","",IFERROR(IF(INDEX('🎓 Alumnas'!$G$2:$G$1000,MATCH($W79,'🎓 Alumnas'!$A$2:$A$1000,0))="","",INDEX('🎓 Alumnas'!$G$2:$G$1000,MATCH($W79,'🎓 Alumnas'!$A$2:$A$1000,0))),""))</f>
        <v/>
      </c>
      <c r="J79" s="28" t="str">
        <f aca="true">IF(I79="","",DATEDIF(I79,TODAY(),"Y"))</f>
        <v/>
      </c>
      <c r="K79" s="25"/>
      <c r="L79" s="28" t="str">
        <f aca="false">IF(K79="","",IF(LEFT(K79,6)="1 Pole","Alquiler",IF(LEFT(K79,7)="1 Clase","Clase suelta","Paquete")))</f>
        <v/>
      </c>
      <c r="M79" s="25"/>
      <c r="N79" s="25"/>
      <c r="O79" s="35"/>
      <c r="P79" s="29" t="str">
        <f aca="false">IF(O79="","",N79*O79)</f>
        <v/>
      </c>
      <c r="Q79" s="36"/>
      <c r="R79" s="25"/>
      <c r="S79" s="25"/>
      <c r="T79" s="28" t="str">
        <f aca="false">IF(OR(LEFT(W79,2)&lt;&gt;"A-",ISERROR(MATCH(W79,'🎓 Alumnas'!$A$2:$A$1000,0))),"",IF(COUNTIF($W$2:W79,W79)=1,"Nueva","Recurrente"))</f>
        <v/>
      </c>
      <c r="U79" s="28" t="str">
        <f aca="false">IF(OR(T79="",L79&lt;&gt;"Paquete"),"",COUNTIFS($W$2:W79,W79,$L$2:L79,"Paquete"))</f>
        <v/>
      </c>
      <c r="V79" s="25"/>
      <c r="W79" s="34" t="str">
        <f aca="false">IF(TRIM($C79)="","",IF(COUNTIF('🎓 Alumnas'!$P$2:$P$1000,TRIM($C79))&gt;0,INDEX('🎓 Alumnas'!$A$2:$A$1000,MATCH(TRIM($C79),'🎓 Alumnas'!$P$2:$P$1000,0)),IF(COUNTIF('🎓 Alumnas'!$O$2:$O$1000,TRIM($C79)&amp;"|*")=1,INDEX('🎓 Alumnas'!$A$2:$A$1000,MATCH(TRIM($C79)&amp;"|*",'🎓 Alumnas'!$O$2:$O$1000,0)),IF(COUNTIF('🎓 Alumnas'!$O$2:$O$1000,"*|"&amp;TRIM($C79))=1,INDEX('🎓 Alumnas'!$A$2:$A$1000,MATCH("*|"&amp;TRIM($C79),'🎓 Alumnas'!$O$2:$O$1000,0)),IF(COUNTIF('🎓 Alumnas'!$Q$2:$Q$1000,TRIM($C79))=1,INDEX('🎓 Alumnas'!$A$2:$A$1000,MATCH(TRIM($C79),'🎓 Alumnas'!$Q$2:$Q$1000,0)),IF(COUNTIF('🎓 Alumnas'!$P$2:$P$1000,"*"&amp;TRIM($C79)&amp;"*")=1,INDEX('🎓 Alumnas'!$A$2:$A$1000,MATCH("*"&amp;TRIM($C79)&amp;"*",'🎓 Alumnas'!$P$2:$P$1000,0)),IF(COUNTIF('🎓 Alumnas'!$Q$2:$Q$1000,"*"&amp;TRIM($C79)&amp;"*")=1,INDEX('🎓 Alumnas'!$A$2:$A$1000,MATCH("*"&amp;TRIM($C79)&amp;"*",'🎓 Alumnas'!$Q$2:$Q$1000,0)),IF(COUNTIF('🎓 Alumnas'!$P$2:$P$1000,"*"&amp;TRIM($C79)&amp;"*")+COUNTIF('🎓 Alumnas'!$Q$2:$Q$1000,"*"&amp;TRIM($C79)&amp;"*")&gt;1,"Varias: elige de la lista","No encontrada"))))))))</f>
        <v/>
      </c>
    </row>
    <row r="80" customFormat="false" ht="14.25" hidden="false" customHeight="true" outlineLevel="0" collapsed="false">
      <c r="A80" s="25" t="s">
        <v>625</v>
      </c>
      <c r="B80" s="27"/>
      <c r="C80" s="25"/>
      <c r="D80" s="34" t="str">
        <f aca="false">IF($W80="","",IFERROR(TRIM(INDEX('🎓 Alumnas'!$B$2:$B$1000,MATCH($W80,'🎓 Alumnas'!$A$2:$A$1000,0))),""))</f>
        <v/>
      </c>
      <c r="E80" s="34" t="str">
        <f aca="false">IF($W80="","",IFERROR(TRIM(INDEX('🎓 Alumnas'!$C$2:$C$1000,MATCH($W80,'🎓 Alumnas'!$A$2:$A$1000,0))),""))</f>
        <v/>
      </c>
      <c r="F80" s="34" t="str">
        <f aca="false">IF($W80="","",IFERROR(IF(INDEX('🎓 Alumnas'!$D$2:$D$1000,MATCH($W80,'🎓 Alumnas'!$A$2:$A$1000,0))="","",INDEX('🎓 Alumnas'!$D$2:$D$1000,MATCH($W80,'🎓 Alumnas'!$A$2:$A$1000,0))),""))</f>
        <v/>
      </c>
      <c r="G80" s="28" t="str">
        <f aca="false">IF($W80="","",IFERROR(IF(INDEX('🎓 Alumnas'!$E$2:$E$1000,MATCH($W80,'🎓 Alumnas'!$A$2:$A$1000,0))="","",INDEX('🎓 Alumnas'!$E$2:$E$1000,MATCH($W80,'🎓 Alumnas'!$A$2:$A$1000,0))),""))</f>
        <v/>
      </c>
      <c r="H80" s="28" t="str">
        <f aca="false">IF($W80="","",IFERROR(IF(INDEX('🎓 Alumnas'!$F$2:$F$1000,MATCH($W80,'🎓 Alumnas'!$A$2:$A$1000,0))="","",INDEX('🎓 Alumnas'!$F$2:$F$1000,MATCH($W80,'🎓 Alumnas'!$A$2:$A$1000,0))),""))</f>
        <v/>
      </c>
      <c r="I80" s="30" t="str">
        <f aca="false">IF($W80="","",IFERROR(IF(INDEX('🎓 Alumnas'!$G$2:$G$1000,MATCH($W80,'🎓 Alumnas'!$A$2:$A$1000,0))="","",INDEX('🎓 Alumnas'!$G$2:$G$1000,MATCH($W80,'🎓 Alumnas'!$A$2:$A$1000,0))),""))</f>
        <v/>
      </c>
      <c r="J80" s="28" t="str">
        <f aca="true">IF(I80="","",DATEDIF(I80,TODAY(),"Y"))</f>
        <v/>
      </c>
      <c r="K80" s="25"/>
      <c r="L80" s="28" t="str">
        <f aca="false">IF(K80="","",IF(LEFT(K80,6)="1 Pole","Alquiler",IF(LEFT(K80,7)="1 Clase","Clase suelta","Paquete")))</f>
        <v/>
      </c>
      <c r="M80" s="25"/>
      <c r="N80" s="25"/>
      <c r="O80" s="35"/>
      <c r="P80" s="29" t="str">
        <f aca="false">IF(O80="","",N80*O80)</f>
        <v/>
      </c>
      <c r="Q80" s="36"/>
      <c r="R80" s="25"/>
      <c r="S80" s="25"/>
      <c r="T80" s="28" t="str">
        <f aca="false">IF(OR(LEFT(W80,2)&lt;&gt;"A-",ISERROR(MATCH(W80,'🎓 Alumnas'!$A$2:$A$1000,0))),"",IF(COUNTIF($W$2:W80,W80)=1,"Nueva","Recurrente"))</f>
        <v/>
      </c>
      <c r="U80" s="28" t="str">
        <f aca="false">IF(OR(T80="",L80&lt;&gt;"Paquete"),"",COUNTIFS($W$2:W80,W80,$L$2:L80,"Paquete"))</f>
        <v/>
      </c>
      <c r="V80" s="25"/>
      <c r="W80" s="34" t="str">
        <f aca="false">IF(TRIM($C80)="","",IF(COUNTIF('🎓 Alumnas'!$P$2:$P$1000,TRIM($C80))&gt;0,INDEX('🎓 Alumnas'!$A$2:$A$1000,MATCH(TRIM($C80),'🎓 Alumnas'!$P$2:$P$1000,0)),IF(COUNTIF('🎓 Alumnas'!$O$2:$O$1000,TRIM($C80)&amp;"|*")=1,INDEX('🎓 Alumnas'!$A$2:$A$1000,MATCH(TRIM($C80)&amp;"|*",'🎓 Alumnas'!$O$2:$O$1000,0)),IF(COUNTIF('🎓 Alumnas'!$O$2:$O$1000,"*|"&amp;TRIM($C80))=1,INDEX('🎓 Alumnas'!$A$2:$A$1000,MATCH("*|"&amp;TRIM($C80),'🎓 Alumnas'!$O$2:$O$1000,0)),IF(COUNTIF('🎓 Alumnas'!$Q$2:$Q$1000,TRIM($C80))=1,INDEX('🎓 Alumnas'!$A$2:$A$1000,MATCH(TRIM($C80),'🎓 Alumnas'!$Q$2:$Q$1000,0)),IF(COUNTIF('🎓 Alumnas'!$P$2:$P$1000,"*"&amp;TRIM($C80)&amp;"*")=1,INDEX('🎓 Alumnas'!$A$2:$A$1000,MATCH("*"&amp;TRIM($C80)&amp;"*",'🎓 Alumnas'!$P$2:$P$1000,0)),IF(COUNTIF('🎓 Alumnas'!$Q$2:$Q$1000,"*"&amp;TRIM($C80)&amp;"*")=1,INDEX('🎓 Alumnas'!$A$2:$A$1000,MATCH("*"&amp;TRIM($C80)&amp;"*",'🎓 Alumnas'!$Q$2:$Q$1000,0)),IF(COUNTIF('🎓 Alumnas'!$P$2:$P$1000,"*"&amp;TRIM($C80)&amp;"*")+COUNTIF('🎓 Alumnas'!$Q$2:$Q$1000,"*"&amp;TRIM($C80)&amp;"*")&gt;1,"Varias: elige de la lista","No encontrada"))))))))</f>
        <v/>
      </c>
    </row>
    <row r="81" customFormat="false" ht="14.25" hidden="false" customHeight="true" outlineLevel="0" collapsed="false">
      <c r="A81" s="25" t="s">
        <v>626</v>
      </c>
      <c r="B81" s="27"/>
      <c r="C81" s="25"/>
      <c r="D81" s="34" t="str">
        <f aca="false">IF($W81="","",IFERROR(TRIM(INDEX('🎓 Alumnas'!$B$2:$B$1000,MATCH($W81,'🎓 Alumnas'!$A$2:$A$1000,0))),""))</f>
        <v/>
      </c>
      <c r="E81" s="34" t="str">
        <f aca="false">IF($W81="","",IFERROR(TRIM(INDEX('🎓 Alumnas'!$C$2:$C$1000,MATCH($W81,'🎓 Alumnas'!$A$2:$A$1000,0))),""))</f>
        <v/>
      </c>
      <c r="F81" s="34" t="str">
        <f aca="false">IF($W81="","",IFERROR(IF(INDEX('🎓 Alumnas'!$D$2:$D$1000,MATCH($W81,'🎓 Alumnas'!$A$2:$A$1000,0))="","",INDEX('🎓 Alumnas'!$D$2:$D$1000,MATCH($W81,'🎓 Alumnas'!$A$2:$A$1000,0))),""))</f>
        <v/>
      </c>
      <c r="G81" s="28" t="str">
        <f aca="false">IF($W81="","",IFERROR(IF(INDEX('🎓 Alumnas'!$E$2:$E$1000,MATCH($W81,'🎓 Alumnas'!$A$2:$A$1000,0))="","",INDEX('🎓 Alumnas'!$E$2:$E$1000,MATCH($W81,'🎓 Alumnas'!$A$2:$A$1000,0))),""))</f>
        <v/>
      </c>
      <c r="H81" s="28" t="str">
        <f aca="false">IF($W81="","",IFERROR(IF(INDEX('🎓 Alumnas'!$F$2:$F$1000,MATCH($W81,'🎓 Alumnas'!$A$2:$A$1000,0))="","",INDEX('🎓 Alumnas'!$F$2:$F$1000,MATCH($W81,'🎓 Alumnas'!$A$2:$A$1000,0))),""))</f>
        <v/>
      </c>
      <c r="I81" s="30" t="str">
        <f aca="false">IF($W81="","",IFERROR(IF(INDEX('🎓 Alumnas'!$G$2:$G$1000,MATCH($W81,'🎓 Alumnas'!$A$2:$A$1000,0))="","",INDEX('🎓 Alumnas'!$G$2:$G$1000,MATCH($W81,'🎓 Alumnas'!$A$2:$A$1000,0))),""))</f>
        <v/>
      </c>
      <c r="J81" s="28" t="str">
        <f aca="true">IF(I81="","",DATEDIF(I81,TODAY(),"Y"))</f>
        <v/>
      </c>
      <c r="K81" s="25"/>
      <c r="L81" s="28" t="str">
        <f aca="false">IF(K81="","",IF(LEFT(K81,6)="1 Pole","Alquiler",IF(LEFT(K81,7)="1 Clase","Clase suelta","Paquete")))</f>
        <v/>
      </c>
      <c r="M81" s="25"/>
      <c r="N81" s="25"/>
      <c r="O81" s="35"/>
      <c r="P81" s="29" t="str">
        <f aca="false">IF(O81="","",N81*O81)</f>
        <v/>
      </c>
      <c r="Q81" s="36"/>
      <c r="R81" s="25"/>
      <c r="S81" s="25"/>
      <c r="T81" s="28" t="str">
        <f aca="false">IF(OR(LEFT(W81,2)&lt;&gt;"A-",ISERROR(MATCH(W81,'🎓 Alumnas'!$A$2:$A$1000,0))),"",IF(COUNTIF($W$2:W81,W81)=1,"Nueva","Recurrente"))</f>
        <v/>
      </c>
      <c r="U81" s="28" t="str">
        <f aca="false">IF(OR(T81="",L81&lt;&gt;"Paquete"),"",COUNTIFS($W$2:W81,W81,$L$2:L81,"Paquete"))</f>
        <v/>
      </c>
      <c r="V81" s="25"/>
      <c r="W81" s="34" t="str">
        <f aca="false">IF(TRIM($C81)="","",IF(COUNTIF('🎓 Alumnas'!$P$2:$P$1000,TRIM($C81))&gt;0,INDEX('🎓 Alumnas'!$A$2:$A$1000,MATCH(TRIM($C81),'🎓 Alumnas'!$P$2:$P$1000,0)),IF(COUNTIF('🎓 Alumnas'!$O$2:$O$1000,TRIM($C81)&amp;"|*")=1,INDEX('🎓 Alumnas'!$A$2:$A$1000,MATCH(TRIM($C81)&amp;"|*",'🎓 Alumnas'!$O$2:$O$1000,0)),IF(COUNTIF('🎓 Alumnas'!$O$2:$O$1000,"*|"&amp;TRIM($C81))=1,INDEX('🎓 Alumnas'!$A$2:$A$1000,MATCH("*|"&amp;TRIM($C81),'🎓 Alumnas'!$O$2:$O$1000,0)),IF(COUNTIF('🎓 Alumnas'!$Q$2:$Q$1000,TRIM($C81))=1,INDEX('🎓 Alumnas'!$A$2:$A$1000,MATCH(TRIM($C81),'🎓 Alumnas'!$Q$2:$Q$1000,0)),IF(COUNTIF('🎓 Alumnas'!$P$2:$P$1000,"*"&amp;TRIM($C81)&amp;"*")=1,INDEX('🎓 Alumnas'!$A$2:$A$1000,MATCH("*"&amp;TRIM($C81)&amp;"*",'🎓 Alumnas'!$P$2:$P$1000,0)),IF(COUNTIF('🎓 Alumnas'!$Q$2:$Q$1000,"*"&amp;TRIM($C81)&amp;"*")=1,INDEX('🎓 Alumnas'!$A$2:$A$1000,MATCH("*"&amp;TRIM($C81)&amp;"*",'🎓 Alumnas'!$Q$2:$Q$1000,0)),IF(COUNTIF('🎓 Alumnas'!$P$2:$P$1000,"*"&amp;TRIM($C81)&amp;"*")+COUNTIF('🎓 Alumnas'!$Q$2:$Q$1000,"*"&amp;TRIM($C81)&amp;"*")&gt;1,"Varias: elige de la lista","No encontrada"))))))))</f>
        <v/>
      </c>
    </row>
    <row r="82" customFormat="false" ht="14.25" hidden="false" customHeight="true" outlineLevel="0" collapsed="false">
      <c r="A82" s="25" t="s">
        <v>627</v>
      </c>
      <c r="B82" s="27"/>
      <c r="C82" s="25"/>
      <c r="D82" s="34" t="str">
        <f aca="false">IF($W82="","",IFERROR(TRIM(INDEX('🎓 Alumnas'!$B$2:$B$1000,MATCH($W82,'🎓 Alumnas'!$A$2:$A$1000,0))),""))</f>
        <v/>
      </c>
      <c r="E82" s="34" t="str">
        <f aca="false">IF($W82="","",IFERROR(TRIM(INDEX('🎓 Alumnas'!$C$2:$C$1000,MATCH($W82,'🎓 Alumnas'!$A$2:$A$1000,0))),""))</f>
        <v/>
      </c>
      <c r="F82" s="34" t="str">
        <f aca="false">IF($W82="","",IFERROR(IF(INDEX('🎓 Alumnas'!$D$2:$D$1000,MATCH($W82,'🎓 Alumnas'!$A$2:$A$1000,0))="","",INDEX('🎓 Alumnas'!$D$2:$D$1000,MATCH($W82,'🎓 Alumnas'!$A$2:$A$1000,0))),""))</f>
        <v/>
      </c>
      <c r="G82" s="28" t="str">
        <f aca="false">IF($W82="","",IFERROR(IF(INDEX('🎓 Alumnas'!$E$2:$E$1000,MATCH($W82,'🎓 Alumnas'!$A$2:$A$1000,0))="","",INDEX('🎓 Alumnas'!$E$2:$E$1000,MATCH($W82,'🎓 Alumnas'!$A$2:$A$1000,0))),""))</f>
        <v/>
      </c>
      <c r="H82" s="28" t="str">
        <f aca="false">IF($W82="","",IFERROR(IF(INDEX('🎓 Alumnas'!$F$2:$F$1000,MATCH($W82,'🎓 Alumnas'!$A$2:$A$1000,0))="","",INDEX('🎓 Alumnas'!$F$2:$F$1000,MATCH($W82,'🎓 Alumnas'!$A$2:$A$1000,0))),""))</f>
        <v/>
      </c>
      <c r="I82" s="30" t="str">
        <f aca="false">IF($W82="","",IFERROR(IF(INDEX('🎓 Alumnas'!$G$2:$G$1000,MATCH($W82,'🎓 Alumnas'!$A$2:$A$1000,0))="","",INDEX('🎓 Alumnas'!$G$2:$G$1000,MATCH($W82,'🎓 Alumnas'!$A$2:$A$1000,0))),""))</f>
        <v/>
      </c>
      <c r="J82" s="28" t="str">
        <f aca="true">IF(I82="","",DATEDIF(I82,TODAY(),"Y"))</f>
        <v/>
      </c>
      <c r="K82" s="25"/>
      <c r="L82" s="28" t="str">
        <f aca="false">IF(K82="","",IF(LEFT(K82,6)="1 Pole","Alquiler",IF(LEFT(K82,7)="1 Clase","Clase suelta","Paquete")))</f>
        <v/>
      </c>
      <c r="M82" s="25"/>
      <c r="N82" s="25"/>
      <c r="O82" s="35"/>
      <c r="P82" s="29" t="str">
        <f aca="false">IF(O82="","",N82*O82)</f>
        <v/>
      </c>
      <c r="Q82" s="36"/>
      <c r="R82" s="25"/>
      <c r="S82" s="25"/>
      <c r="T82" s="28" t="str">
        <f aca="false">IF(OR(LEFT(W82,2)&lt;&gt;"A-",ISERROR(MATCH(W82,'🎓 Alumnas'!$A$2:$A$1000,0))),"",IF(COUNTIF($W$2:W82,W82)=1,"Nueva","Recurrente"))</f>
        <v/>
      </c>
      <c r="U82" s="28" t="str">
        <f aca="false">IF(OR(T82="",L82&lt;&gt;"Paquete"),"",COUNTIFS($W$2:W82,W82,$L$2:L82,"Paquete"))</f>
        <v/>
      </c>
      <c r="V82" s="25"/>
      <c r="W82" s="34" t="str">
        <f aca="false">IF(TRIM($C82)="","",IF(COUNTIF('🎓 Alumnas'!$P$2:$P$1000,TRIM($C82))&gt;0,INDEX('🎓 Alumnas'!$A$2:$A$1000,MATCH(TRIM($C82),'🎓 Alumnas'!$P$2:$P$1000,0)),IF(COUNTIF('🎓 Alumnas'!$O$2:$O$1000,TRIM($C82)&amp;"|*")=1,INDEX('🎓 Alumnas'!$A$2:$A$1000,MATCH(TRIM($C82)&amp;"|*",'🎓 Alumnas'!$O$2:$O$1000,0)),IF(COUNTIF('🎓 Alumnas'!$O$2:$O$1000,"*|"&amp;TRIM($C82))=1,INDEX('🎓 Alumnas'!$A$2:$A$1000,MATCH("*|"&amp;TRIM($C82),'🎓 Alumnas'!$O$2:$O$1000,0)),IF(COUNTIF('🎓 Alumnas'!$Q$2:$Q$1000,TRIM($C82))=1,INDEX('🎓 Alumnas'!$A$2:$A$1000,MATCH(TRIM($C82),'🎓 Alumnas'!$Q$2:$Q$1000,0)),IF(COUNTIF('🎓 Alumnas'!$P$2:$P$1000,"*"&amp;TRIM($C82)&amp;"*")=1,INDEX('🎓 Alumnas'!$A$2:$A$1000,MATCH("*"&amp;TRIM($C82)&amp;"*",'🎓 Alumnas'!$P$2:$P$1000,0)),IF(COUNTIF('🎓 Alumnas'!$Q$2:$Q$1000,"*"&amp;TRIM($C82)&amp;"*")=1,INDEX('🎓 Alumnas'!$A$2:$A$1000,MATCH("*"&amp;TRIM($C82)&amp;"*",'🎓 Alumnas'!$Q$2:$Q$1000,0)),IF(COUNTIF('🎓 Alumnas'!$P$2:$P$1000,"*"&amp;TRIM($C82)&amp;"*")+COUNTIF('🎓 Alumnas'!$Q$2:$Q$1000,"*"&amp;TRIM($C82)&amp;"*")&gt;1,"Varias: elige de la lista","No encontrada"))))))))</f>
        <v/>
      </c>
    </row>
    <row r="83" customFormat="false" ht="14.25" hidden="false" customHeight="true" outlineLevel="0" collapsed="false">
      <c r="A83" s="25" t="s">
        <v>628</v>
      </c>
      <c r="B83" s="27"/>
      <c r="C83" s="25"/>
      <c r="D83" s="34" t="str">
        <f aca="false">IF($W83="","",IFERROR(TRIM(INDEX('🎓 Alumnas'!$B$2:$B$1000,MATCH($W83,'🎓 Alumnas'!$A$2:$A$1000,0))),""))</f>
        <v/>
      </c>
      <c r="E83" s="34" t="str">
        <f aca="false">IF($W83="","",IFERROR(TRIM(INDEX('🎓 Alumnas'!$C$2:$C$1000,MATCH($W83,'🎓 Alumnas'!$A$2:$A$1000,0))),""))</f>
        <v/>
      </c>
      <c r="F83" s="34" t="str">
        <f aca="false">IF($W83="","",IFERROR(IF(INDEX('🎓 Alumnas'!$D$2:$D$1000,MATCH($W83,'🎓 Alumnas'!$A$2:$A$1000,0))="","",INDEX('🎓 Alumnas'!$D$2:$D$1000,MATCH($W83,'🎓 Alumnas'!$A$2:$A$1000,0))),""))</f>
        <v/>
      </c>
      <c r="G83" s="28" t="str">
        <f aca="false">IF($W83="","",IFERROR(IF(INDEX('🎓 Alumnas'!$E$2:$E$1000,MATCH($W83,'🎓 Alumnas'!$A$2:$A$1000,0))="","",INDEX('🎓 Alumnas'!$E$2:$E$1000,MATCH($W83,'🎓 Alumnas'!$A$2:$A$1000,0))),""))</f>
        <v/>
      </c>
      <c r="H83" s="28" t="str">
        <f aca="false">IF($W83="","",IFERROR(IF(INDEX('🎓 Alumnas'!$F$2:$F$1000,MATCH($W83,'🎓 Alumnas'!$A$2:$A$1000,0))="","",INDEX('🎓 Alumnas'!$F$2:$F$1000,MATCH($W83,'🎓 Alumnas'!$A$2:$A$1000,0))),""))</f>
        <v/>
      </c>
      <c r="I83" s="30" t="str">
        <f aca="false">IF($W83="","",IFERROR(IF(INDEX('🎓 Alumnas'!$G$2:$G$1000,MATCH($W83,'🎓 Alumnas'!$A$2:$A$1000,0))="","",INDEX('🎓 Alumnas'!$G$2:$G$1000,MATCH($W83,'🎓 Alumnas'!$A$2:$A$1000,0))),""))</f>
        <v/>
      </c>
      <c r="J83" s="28" t="str">
        <f aca="true">IF(I83="","",DATEDIF(I83,TODAY(),"Y"))</f>
        <v/>
      </c>
      <c r="K83" s="25"/>
      <c r="L83" s="28" t="str">
        <f aca="false">IF(K83="","",IF(LEFT(K83,6)="1 Pole","Alquiler",IF(LEFT(K83,7)="1 Clase","Clase suelta","Paquete")))</f>
        <v/>
      </c>
      <c r="M83" s="25"/>
      <c r="N83" s="25"/>
      <c r="O83" s="35"/>
      <c r="P83" s="29" t="str">
        <f aca="false">IF(O83="","",N83*O83)</f>
        <v/>
      </c>
      <c r="Q83" s="36"/>
      <c r="R83" s="25"/>
      <c r="S83" s="25"/>
      <c r="T83" s="28" t="str">
        <f aca="false">IF(OR(LEFT(W83,2)&lt;&gt;"A-",ISERROR(MATCH(W83,'🎓 Alumnas'!$A$2:$A$1000,0))),"",IF(COUNTIF($W$2:W83,W83)=1,"Nueva","Recurrente"))</f>
        <v/>
      </c>
      <c r="U83" s="28" t="str">
        <f aca="false">IF(OR(T83="",L83&lt;&gt;"Paquete"),"",COUNTIFS($W$2:W83,W83,$L$2:L83,"Paquete"))</f>
        <v/>
      </c>
      <c r="V83" s="25"/>
      <c r="W83" s="34" t="str">
        <f aca="false">IF(TRIM($C83)="","",IF(COUNTIF('🎓 Alumnas'!$P$2:$P$1000,TRIM($C83))&gt;0,INDEX('🎓 Alumnas'!$A$2:$A$1000,MATCH(TRIM($C83),'🎓 Alumnas'!$P$2:$P$1000,0)),IF(COUNTIF('🎓 Alumnas'!$O$2:$O$1000,TRIM($C83)&amp;"|*")=1,INDEX('🎓 Alumnas'!$A$2:$A$1000,MATCH(TRIM($C83)&amp;"|*",'🎓 Alumnas'!$O$2:$O$1000,0)),IF(COUNTIF('🎓 Alumnas'!$O$2:$O$1000,"*|"&amp;TRIM($C83))=1,INDEX('🎓 Alumnas'!$A$2:$A$1000,MATCH("*|"&amp;TRIM($C83),'🎓 Alumnas'!$O$2:$O$1000,0)),IF(COUNTIF('🎓 Alumnas'!$Q$2:$Q$1000,TRIM($C83))=1,INDEX('🎓 Alumnas'!$A$2:$A$1000,MATCH(TRIM($C83),'🎓 Alumnas'!$Q$2:$Q$1000,0)),IF(COUNTIF('🎓 Alumnas'!$P$2:$P$1000,"*"&amp;TRIM($C83)&amp;"*")=1,INDEX('🎓 Alumnas'!$A$2:$A$1000,MATCH("*"&amp;TRIM($C83)&amp;"*",'🎓 Alumnas'!$P$2:$P$1000,0)),IF(COUNTIF('🎓 Alumnas'!$Q$2:$Q$1000,"*"&amp;TRIM($C83)&amp;"*")=1,INDEX('🎓 Alumnas'!$A$2:$A$1000,MATCH("*"&amp;TRIM($C83)&amp;"*",'🎓 Alumnas'!$Q$2:$Q$1000,0)),IF(COUNTIF('🎓 Alumnas'!$P$2:$P$1000,"*"&amp;TRIM($C83)&amp;"*")+COUNTIF('🎓 Alumnas'!$Q$2:$Q$1000,"*"&amp;TRIM($C83)&amp;"*")&gt;1,"Varias: elige de la lista","No encontrada"))))))))</f>
        <v/>
      </c>
    </row>
    <row r="84" customFormat="false" ht="14.25" hidden="false" customHeight="true" outlineLevel="0" collapsed="false">
      <c r="A84" s="25" t="s">
        <v>629</v>
      </c>
      <c r="B84" s="27"/>
      <c r="C84" s="25"/>
      <c r="D84" s="34" t="str">
        <f aca="false">IF($W84="","",IFERROR(TRIM(INDEX('🎓 Alumnas'!$B$2:$B$1000,MATCH($W84,'🎓 Alumnas'!$A$2:$A$1000,0))),""))</f>
        <v/>
      </c>
      <c r="E84" s="34" t="str">
        <f aca="false">IF($W84="","",IFERROR(TRIM(INDEX('🎓 Alumnas'!$C$2:$C$1000,MATCH($W84,'🎓 Alumnas'!$A$2:$A$1000,0))),""))</f>
        <v/>
      </c>
      <c r="F84" s="34" t="str">
        <f aca="false">IF($W84="","",IFERROR(IF(INDEX('🎓 Alumnas'!$D$2:$D$1000,MATCH($W84,'🎓 Alumnas'!$A$2:$A$1000,0))="","",INDEX('🎓 Alumnas'!$D$2:$D$1000,MATCH($W84,'🎓 Alumnas'!$A$2:$A$1000,0))),""))</f>
        <v/>
      </c>
      <c r="G84" s="28" t="str">
        <f aca="false">IF($W84="","",IFERROR(IF(INDEX('🎓 Alumnas'!$E$2:$E$1000,MATCH($W84,'🎓 Alumnas'!$A$2:$A$1000,0))="","",INDEX('🎓 Alumnas'!$E$2:$E$1000,MATCH($W84,'🎓 Alumnas'!$A$2:$A$1000,0))),""))</f>
        <v/>
      </c>
      <c r="H84" s="28" t="str">
        <f aca="false">IF($W84="","",IFERROR(IF(INDEX('🎓 Alumnas'!$F$2:$F$1000,MATCH($W84,'🎓 Alumnas'!$A$2:$A$1000,0))="","",INDEX('🎓 Alumnas'!$F$2:$F$1000,MATCH($W84,'🎓 Alumnas'!$A$2:$A$1000,0))),""))</f>
        <v/>
      </c>
      <c r="I84" s="30" t="str">
        <f aca="false">IF($W84="","",IFERROR(IF(INDEX('🎓 Alumnas'!$G$2:$G$1000,MATCH($W84,'🎓 Alumnas'!$A$2:$A$1000,0))="","",INDEX('🎓 Alumnas'!$G$2:$G$1000,MATCH($W84,'🎓 Alumnas'!$A$2:$A$1000,0))),""))</f>
        <v/>
      </c>
      <c r="J84" s="28" t="str">
        <f aca="true">IF(I84="","",DATEDIF(I84,TODAY(),"Y"))</f>
        <v/>
      </c>
      <c r="K84" s="25"/>
      <c r="L84" s="28" t="str">
        <f aca="false">IF(K84="","",IF(LEFT(K84,6)="1 Pole","Alquiler",IF(LEFT(K84,7)="1 Clase","Clase suelta","Paquete")))</f>
        <v/>
      </c>
      <c r="M84" s="25"/>
      <c r="N84" s="25"/>
      <c r="O84" s="35"/>
      <c r="P84" s="29" t="str">
        <f aca="false">IF(O84="","",N84*O84)</f>
        <v/>
      </c>
      <c r="Q84" s="36"/>
      <c r="R84" s="25"/>
      <c r="S84" s="25"/>
      <c r="T84" s="28" t="str">
        <f aca="false">IF(OR(LEFT(W84,2)&lt;&gt;"A-",ISERROR(MATCH(W84,'🎓 Alumnas'!$A$2:$A$1000,0))),"",IF(COUNTIF($W$2:W84,W84)=1,"Nueva","Recurrente"))</f>
        <v/>
      </c>
      <c r="U84" s="28" t="str">
        <f aca="false">IF(OR(T84="",L84&lt;&gt;"Paquete"),"",COUNTIFS($W$2:W84,W84,$L$2:L84,"Paquete"))</f>
        <v/>
      </c>
      <c r="V84" s="25"/>
      <c r="W84" s="34" t="str">
        <f aca="false">IF(TRIM($C84)="","",IF(COUNTIF('🎓 Alumnas'!$P$2:$P$1000,TRIM($C84))&gt;0,INDEX('🎓 Alumnas'!$A$2:$A$1000,MATCH(TRIM($C84),'🎓 Alumnas'!$P$2:$P$1000,0)),IF(COUNTIF('🎓 Alumnas'!$O$2:$O$1000,TRIM($C84)&amp;"|*")=1,INDEX('🎓 Alumnas'!$A$2:$A$1000,MATCH(TRIM($C84)&amp;"|*",'🎓 Alumnas'!$O$2:$O$1000,0)),IF(COUNTIF('🎓 Alumnas'!$O$2:$O$1000,"*|"&amp;TRIM($C84))=1,INDEX('🎓 Alumnas'!$A$2:$A$1000,MATCH("*|"&amp;TRIM($C84),'🎓 Alumnas'!$O$2:$O$1000,0)),IF(COUNTIF('🎓 Alumnas'!$Q$2:$Q$1000,TRIM($C84))=1,INDEX('🎓 Alumnas'!$A$2:$A$1000,MATCH(TRIM($C84),'🎓 Alumnas'!$Q$2:$Q$1000,0)),IF(COUNTIF('🎓 Alumnas'!$P$2:$P$1000,"*"&amp;TRIM($C84)&amp;"*")=1,INDEX('🎓 Alumnas'!$A$2:$A$1000,MATCH("*"&amp;TRIM($C84)&amp;"*",'🎓 Alumnas'!$P$2:$P$1000,0)),IF(COUNTIF('🎓 Alumnas'!$Q$2:$Q$1000,"*"&amp;TRIM($C84)&amp;"*")=1,INDEX('🎓 Alumnas'!$A$2:$A$1000,MATCH("*"&amp;TRIM($C84)&amp;"*",'🎓 Alumnas'!$Q$2:$Q$1000,0)),IF(COUNTIF('🎓 Alumnas'!$P$2:$P$1000,"*"&amp;TRIM($C84)&amp;"*")+COUNTIF('🎓 Alumnas'!$Q$2:$Q$1000,"*"&amp;TRIM($C84)&amp;"*")&gt;1,"Varias: elige de la lista","No encontrada"))))))))</f>
        <v/>
      </c>
    </row>
    <row r="85" customFormat="false" ht="14.25" hidden="false" customHeight="true" outlineLevel="0" collapsed="false">
      <c r="A85" s="25" t="s">
        <v>630</v>
      </c>
      <c r="B85" s="27"/>
      <c r="C85" s="25"/>
      <c r="D85" s="34" t="str">
        <f aca="false">IF($W85="","",IFERROR(TRIM(INDEX('🎓 Alumnas'!$B$2:$B$1000,MATCH($W85,'🎓 Alumnas'!$A$2:$A$1000,0))),""))</f>
        <v/>
      </c>
      <c r="E85" s="34" t="str">
        <f aca="false">IF($W85="","",IFERROR(TRIM(INDEX('🎓 Alumnas'!$C$2:$C$1000,MATCH($W85,'🎓 Alumnas'!$A$2:$A$1000,0))),""))</f>
        <v/>
      </c>
      <c r="F85" s="34" t="str">
        <f aca="false">IF($W85="","",IFERROR(IF(INDEX('🎓 Alumnas'!$D$2:$D$1000,MATCH($W85,'🎓 Alumnas'!$A$2:$A$1000,0))="","",INDEX('🎓 Alumnas'!$D$2:$D$1000,MATCH($W85,'🎓 Alumnas'!$A$2:$A$1000,0))),""))</f>
        <v/>
      </c>
      <c r="G85" s="28" t="str">
        <f aca="false">IF($W85="","",IFERROR(IF(INDEX('🎓 Alumnas'!$E$2:$E$1000,MATCH($W85,'🎓 Alumnas'!$A$2:$A$1000,0))="","",INDEX('🎓 Alumnas'!$E$2:$E$1000,MATCH($W85,'🎓 Alumnas'!$A$2:$A$1000,0))),""))</f>
        <v/>
      </c>
      <c r="H85" s="28" t="str">
        <f aca="false">IF($W85="","",IFERROR(IF(INDEX('🎓 Alumnas'!$F$2:$F$1000,MATCH($W85,'🎓 Alumnas'!$A$2:$A$1000,0))="","",INDEX('🎓 Alumnas'!$F$2:$F$1000,MATCH($W85,'🎓 Alumnas'!$A$2:$A$1000,0))),""))</f>
        <v/>
      </c>
      <c r="I85" s="30" t="str">
        <f aca="false">IF($W85="","",IFERROR(IF(INDEX('🎓 Alumnas'!$G$2:$G$1000,MATCH($W85,'🎓 Alumnas'!$A$2:$A$1000,0))="","",INDEX('🎓 Alumnas'!$G$2:$G$1000,MATCH($W85,'🎓 Alumnas'!$A$2:$A$1000,0))),""))</f>
        <v/>
      </c>
      <c r="J85" s="28" t="str">
        <f aca="true">IF(I85="","",DATEDIF(I85,TODAY(),"Y"))</f>
        <v/>
      </c>
      <c r="K85" s="25"/>
      <c r="L85" s="28" t="str">
        <f aca="false">IF(K85="","",IF(LEFT(K85,6)="1 Pole","Alquiler",IF(LEFT(K85,7)="1 Clase","Clase suelta","Paquete")))</f>
        <v/>
      </c>
      <c r="M85" s="25"/>
      <c r="N85" s="25"/>
      <c r="O85" s="35"/>
      <c r="P85" s="29" t="str">
        <f aca="false">IF(O85="","",N85*O85)</f>
        <v/>
      </c>
      <c r="Q85" s="36"/>
      <c r="R85" s="25"/>
      <c r="S85" s="25"/>
      <c r="T85" s="28" t="str">
        <f aca="false">IF(OR(LEFT(W85,2)&lt;&gt;"A-",ISERROR(MATCH(W85,'🎓 Alumnas'!$A$2:$A$1000,0))),"",IF(COUNTIF($W$2:W85,W85)=1,"Nueva","Recurrente"))</f>
        <v/>
      </c>
      <c r="U85" s="28" t="str">
        <f aca="false">IF(OR(T85="",L85&lt;&gt;"Paquete"),"",COUNTIFS($W$2:W85,W85,$L$2:L85,"Paquete"))</f>
        <v/>
      </c>
      <c r="V85" s="25"/>
      <c r="W85" s="34" t="str">
        <f aca="false">IF(TRIM($C85)="","",IF(COUNTIF('🎓 Alumnas'!$P$2:$P$1000,TRIM($C85))&gt;0,INDEX('🎓 Alumnas'!$A$2:$A$1000,MATCH(TRIM($C85),'🎓 Alumnas'!$P$2:$P$1000,0)),IF(COUNTIF('🎓 Alumnas'!$O$2:$O$1000,TRIM($C85)&amp;"|*")=1,INDEX('🎓 Alumnas'!$A$2:$A$1000,MATCH(TRIM($C85)&amp;"|*",'🎓 Alumnas'!$O$2:$O$1000,0)),IF(COUNTIF('🎓 Alumnas'!$O$2:$O$1000,"*|"&amp;TRIM($C85))=1,INDEX('🎓 Alumnas'!$A$2:$A$1000,MATCH("*|"&amp;TRIM($C85),'🎓 Alumnas'!$O$2:$O$1000,0)),IF(COUNTIF('🎓 Alumnas'!$Q$2:$Q$1000,TRIM($C85))=1,INDEX('🎓 Alumnas'!$A$2:$A$1000,MATCH(TRIM($C85),'🎓 Alumnas'!$Q$2:$Q$1000,0)),IF(COUNTIF('🎓 Alumnas'!$P$2:$P$1000,"*"&amp;TRIM($C85)&amp;"*")=1,INDEX('🎓 Alumnas'!$A$2:$A$1000,MATCH("*"&amp;TRIM($C85)&amp;"*",'🎓 Alumnas'!$P$2:$P$1000,0)),IF(COUNTIF('🎓 Alumnas'!$Q$2:$Q$1000,"*"&amp;TRIM($C85)&amp;"*")=1,INDEX('🎓 Alumnas'!$A$2:$A$1000,MATCH("*"&amp;TRIM($C85)&amp;"*",'🎓 Alumnas'!$Q$2:$Q$1000,0)),IF(COUNTIF('🎓 Alumnas'!$P$2:$P$1000,"*"&amp;TRIM($C85)&amp;"*")+COUNTIF('🎓 Alumnas'!$Q$2:$Q$1000,"*"&amp;TRIM($C85)&amp;"*")&gt;1,"Varias: elige de la lista","No encontrada"))))))))</f>
        <v/>
      </c>
    </row>
    <row r="86" customFormat="false" ht="14.25" hidden="false" customHeight="true" outlineLevel="0" collapsed="false">
      <c r="A86" s="25" t="s">
        <v>631</v>
      </c>
      <c r="B86" s="27"/>
      <c r="C86" s="25"/>
      <c r="D86" s="34" t="str">
        <f aca="false">IF($W86="","",IFERROR(TRIM(INDEX('🎓 Alumnas'!$B$2:$B$1000,MATCH($W86,'🎓 Alumnas'!$A$2:$A$1000,0))),""))</f>
        <v/>
      </c>
      <c r="E86" s="34" t="str">
        <f aca="false">IF($W86="","",IFERROR(TRIM(INDEX('🎓 Alumnas'!$C$2:$C$1000,MATCH($W86,'🎓 Alumnas'!$A$2:$A$1000,0))),""))</f>
        <v/>
      </c>
      <c r="F86" s="34" t="str">
        <f aca="false">IF($W86="","",IFERROR(IF(INDEX('🎓 Alumnas'!$D$2:$D$1000,MATCH($W86,'🎓 Alumnas'!$A$2:$A$1000,0))="","",INDEX('🎓 Alumnas'!$D$2:$D$1000,MATCH($W86,'🎓 Alumnas'!$A$2:$A$1000,0))),""))</f>
        <v/>
      </c>
      <c r="G86" s="28" t="str">
        <f aca="false">IF($W86="","",IFERROR(IF(INDEX('🎓 Alumnas'!$E$2:$E$1000,MATCH($W86,'🎓 Alumnas'!$A$2:$A$1000,0))="","",INDEX('🎓 Alumnas'!$E$2:$E$1000,MATCH($W86,'🎓 Alumnas'!$A$2:$A$1000,0))),""))</f>
        <v/>
      </c>
      <c r="H86" s="28" t="str">
        <f aca="false">IF($W86="","",IFERROR(IF(INDEX('🎓 Alumnas'!$F$2:$F$1000,MATCH($W86,'🎓 Alumnas'!$A$2:$A$1000,0))="","",INDEX('🎓 Alumnas'!$F$2:$F$1000,MATCH($W86,'🎓 Alumnas'!$A$2:$A$1000,0))),""))</f>
        <v/>
      </c>
      <c r="I86" s="30" t="str">
        <f aca="false">IF($W86="","",IFERROR(IF(INDEX('🎓 Alumnas'!$G$2:$G$1000,MATCH($W86,'🎓 Alumnas'!$A$2:$A$1000,0))="","",INDEX('🎓 Alumnas'!$G$2:$G$1000,MATCH($W86,'🎓 Alumnas'!$A$2:$A$1000,0))),""))</f>
        <v/>
      </c>
      <c r="J86" s="28" t="str">
        <f aca="true">IF(I86="","",DATEDIF(I86,TODAY(),"Y"))</f>
        <v/>
      </c>
      <c r="K86" s="25"/>
      <c r="L86" s="28" t="str">
        <f aca="false">IF(K86="","",IF(LEFT(K86,6)="1 Pole","Alquiler",IF(LEFT(K86,7)="1 Clase","Clase suelta","Paquete")))</f>
        <v/>
      </c>
      <c r="M86" s="25"/>
      <c r="N86" s="25"/>
      <c r="O86" s="35"/>
      <c r="P86" s="29" t="str">
        <f aca="false">IF(O86="","",N86*O86)</f>
        <v/>
      </c>
      <c r="Q86" s="36"/>
      <c r="R86" s="25"/>
      <c r="S86" s="25"/>
      <c r="T86" s="28" t="str">
        <f aca="false">IF(OR(LEFT(W86,2)&lt;&gt;"A-",ISERROR(MATCH(W86,'🎓 Alumnas'!$A$2:$A$1000,0))),"",IF(COUNTIF($W$2:W86,W86)=1,"Nueva","Recurrente"))</f>
        <v/>
      </c>
      <c r="U86" s="28" t="str">
        <f aca="false">IF(OR(T86="",L86&lt;&gt;"Paquete"),"",COUNTIFS($W$2:W86,W86,$L$2:L86,"Paquete"))</f>
        <v/>
      </c>
      <c r="V86" s="25"/>
      <c r="W86" s="34" t="str">
        <f aca="false">IF(TRIM($C86)="","",IF(COUNTIF('🎓 Alumnas'!$P$2:$P$1000,TRIM($C86))&gt;0,INDEX('🎓 Alumnas'!$A$2:$A$1000,MATCH(TRIM($C86),'🎓 Alumnas'!$P$2:$P$1000,0)),IF(COUNTIF('🎓 Alumnas'!$O$2:$O$1000,TRIM($C86)&amp;"|*")=1,INDEX('🎓 Alumnas'!$A$2:$A$1000,MATCH(TRIM($C86)&amp;"|*",'🎓 Alumnas'!$O$2:$O$1000,0)),IF(COUNTIF('🎓 Alumnas'!$O$2:$O$1000,"*|"&amp;TRIM($C86))=1,INDEX('🎓 Alumnas'!$A$2:$A$1000,MATCH("*|"&amp;TRIM($C86),'🎓 Alumnas'!$O$2:$O$1000,0)),IF(COUNTIF('🎓 Alumnas'!$Q$2:$Q$1000,TRIM($C86))=1,INDEX('🎓 Alumnas'!$A$2:$A$1000,MATCH(TRIM($C86),'🎓 Alumnas'!$Q$2:$Q$1000,0)),IF(COUNTIF('🎓 Alumnas'!$P$2:$P$1000,"*"&amp;TRIM($C86)&amp;"*")=1,INDEX('🎓 Alumnas'!$A$2:$A$1000,MATCH("*"&amp;TRIM($C86)&amp;"*",'🎓 Alumnas'!$P$2:$P$1000,0)),IF(COUNTIF('🎓 Alumnas'!$Q$2:$Q$1000,"*"&amp;TRIM($C86)&amp;"*")=1,INDEX('🎓 Alumnas'!$A$2:$A$1000,MATCH("*"&amp;TRIM($C86)&amp;"*",'🎓 Alumnas'!$Q$2:$Q$1000,0)),IF(COUNTIF('🎓 Alumnas'!$P$2:$P$1000,"*"&amp;TRIM($C86)&amp;"*")+COUNTIF('🎓 Alumnas'!$Q$2:$Q$1000,"*"&amp;TRIM($C86)&amp;"*")&gt;1,"Varias: elige de la lista","No encontrada"))))))))</f>
        <v/>
      </c>
    </row>
    <row r="87" customFormat="false" ht="14.25" hidden="false" customHeight="true" outlineLevel="0" collapsed="false">
      <c r="A87" s="25" t="s">
        <v>632</v>
      </c>
      <c r="B87" s="27"/>
      <c r="C87" s="25"/>
      <c r="D87" s="34" t="str">
        <f aca="false">IF($W87="","",IFERROR(TRIM(INDEX('🎓 Alumnas'!$B$2:$B$1000,MATCH($W87,'🎓 Alumnas'!$A$2:$A$1000,0))),""))</f>
        <v/>
      </c>
      <c r="E87" s="34" t="str">
        <f aca="false">IF($W87="","",IFERROR(TRIM(INDEX('🎓 Alumnas'!$C$2:$C$1000,MATCH($W87,'🎓 Alumnas'!$A$2:$A$1000,0))),""))</f>
        <v/>
      </c>
      <c r="F87" s="34" t="str">
        <f aca="false">IF($W87="","",IFERROR(IF(INDEX('🎓 Alumnas'!$D$2:$D$1000,MATCH($W87,'🎓 Alumnas'!$A$2:$A$1000,0))="","",INDEX('🎓 Alumnas'!$D$2:$D$1000,MATCH($W87,'🎓 Alumnas'!$A$2:$A$1000,0))),""))</f>
        <v/>
      </c>
      <c r="G87" s="28" t="str">
        <f aca="false">IF($W87="","",IFERROR(IF(INDEX('🎓 Alumnas'!$E$2:$E$1000,MATCH($W87,'🎓 Alumnas'!$A$2:$A$1000,0))="","",INDEX('🎓 Alumnas'!$E$2:$E$1000,MATCH($W87,'🎓 Alumnas'!$A$2:$A$1000,0))),""))</f>
        <v/>
      </c>
      <c r="H87" s="28" t="str">
        <f aca="false">IF($W87="","",IFERROR(IF(INDEX('🎓 Alumnas'!$F$2:$F$1000,MATCH($W87,'🎓 Alumnas'!$A$2:$A$1000,0))="","",INDEX('🎓 Alumnas'!$F$2:$F$1000,MATCH($W87,'🎓 Alumnas'!$A$2:$A$1000,0))),""))</f>
        <v/>
      </c>
      <c r="I87" s="30" t="str">
        <f aca="false">IF($W87="","",IFERROR(IF(INDEX('🎓 Alumnas'!$G$2:$G$1000,MATCH($W87,'🎓 Alumnas'!$A$2:$A$1000,0))="","",INDEX('🎓 Alumnas'!$G$2:$G$1000,MATCH($W87,'🎓 Alumnas'!$A$2:$A$1000,0))),""))</f>
        <v/>
      </c>
      <c r="J87" s="28" t="str">
        <f aca="true">IF(I87="","",DATEDIF(I87,TODAY(),"Y"))</f>
        <v/>
      </c>
      <c r="K87" s="25"/>
      <c r="L87" s="28" t="str">
        <f aca="false">IF(K87="","",IF(LEFT(K87,6)="1 Pole","Alquiler",IF(LEFT(K87,7)="1 Clase","Clase suelta","Paquete")))</f>
        <v/>
      </c>
      <c r="M87" s="25"/>
      <c r="N87" s="25"/>
      <c r="O87" s="35"/>
      <c r="P87" s="29" t="str">
        <f aca="false">IF(O87="","",N87*O87)</f>
        <v/>
      </c>
      <c r="Q87" s="36"/>
      <c r="R87" s="25"/>
      <c r="S87" s="25"/>
      <c r="T87" s="28" t="str">
        <f aca="false">IF(OR(LEFT(W87,2)&lt;&gt;"A-",ISERROR(MATCH(W87,'🎓 Alumnas'!$A$2:$A$1000,0))),"",IF(COUNTIF($W$2:W87,W87)=1,"Nueva","Recurrente"))</f>
        <v/>
      </c>
      <c r="U87" s="28" t="str">
        <f aca="false">IF(OR(T87="",L87&lt;&gt;"Paquete"),"",COUNTIFS($W$2:W87,W87,$L$2:L87,"Paquete"))</f>
        <v/>
      </c>
      <c r="V87" s="25"/>
      <c r="W87" s="34" t="str">
        <f aca="false">IF(TRIM($C87)="","",IF(COUNTIF('🎓 Alumnas'!$P$2:$P$1000,TRIM($C87))&gt;0,INDEX('🎓 Alumnas'!$A$2:$A$1000,MATCH(TRIM($C87),'🎓 Alumnas'!$P$2:$P$1000,0)),IF(COUNTIF('🎓 Alumnas'!$O$2:$O$1000,TRIM($C87)&amp;"|*")=1,INDEX('🎓 Alumnas'!$A$2:$A$1000,MATCH(TRIM($C87)&amp;"|*",'🎓 Alumnas'!$O$2:$O$1000,0)),IF(COUNTIF('🎓 Alumnas'!$O$2:$O$1000,"*|"&amp;TRIM($C87))=1,INDEX('🎓 Alumnas'!$A$2:$A$1000,MATCH("*|"&amp;TRIM($C87),'🎓 Alumnas'!$O$2:$O$1000,0)),IF(COUNTIF('🎓 Alumnas'!$Q$2:$Q$1000,TRIM($C87))=1,INDEX('🎓 Alumnas'!$A$2:$A$1000,MATCH(TRIM($C87),'🎓 Alumnas'!$Q$2:$Q$1000,0)),IF(COUNTIF('🎓 Alumnas'!$P$2:$P$1000,"*"&amp;TRIM($C87)&amp;"*")=1,INDEX('🎓 Alumnas'!$A$2:$A$1000,MATCH("*"&amp;TRIM($C87)&amp;"*",'🎓 Alumnas'!$P$2:$P$1000,0)),IF(COUNTIF('🎓 Alumnas'!$Q$2:$Q$1000,"*"&amp;TRIM($C87)&amp;"*")=1,INDEX('🎓 Alumnas'!$A$2:$A$1000,MATCH("*"&amp;TRIM($C87)&amp;"*",'🎓 Alumnas'!$Q$2:$Q$1000,0)),IF(COUNTIF('🎓 Alumnas'!$P$2:$P$1000,"*"&amp;TRIM($C87)&amp;"*")+COUNTIF('🎓 Alumnas'!$Q$2:$Q$1000,"*"&amp;TRIM($C87)&amp;"*")&gt;1,"Varias: elige de la lista","No encontrada"))))))))</f>
        <v/>
      </c>
    </row>
    <row r="88" customFormat="false" ht="14.25" hidden="false" customHeight="true" outlineLevel="0" collapsed="false">
      <c r="A88" s="25" t="s">
        <v>633</v>
      </c>
      <c r="B88" s="27"/>
      <c r="C88" s="25"/>
      <c r="D88" s="34" t="str">
        <f aca="false">IF($W88="","",IFERROR(TRIM(INDEX('🎓 Alumnas'!$B$2:$B$1000,MATCH($W88,'🎓 Alumnas'!$A$2:$A$1000,0))),""))</f>
        <v/>
      </c>
      <c r="E88" s="34" t="str">
        <f aca="false">IF($W88="","",IFERROR(TRIM(INDEX('🎓 Alumnas'!$C$2:$C$1000,MATCH($W88,'🎓 Alumnas'!$A$2:$A$1000,0))),""))</f>
        <v/>
      </c>
      <c r="F88" s="34" t="str">
        <f aca="false">IF($W88="","",IFERROR(IF(INDEX('🎓 Alumnas'!$D$2:$D$1000,MATCH($W88,'🎓 Alumnas'!$A$2:$A$1000,0))="","",INDEX('🎓 Alumnas'!$D$2:$D$1000,MATCH($W88,'🎓 Alumnas'!$A$2:$A$1000,0))),""))</f>
        <v/>
      </c>
      <c r="G88" s="28" t="str">
        <f aca="false">IF($W88="","",IFERROR(IF(INDEX('🎓 Alumnas'!$E$2:$E$1000,MATCH($W88,'🎓 Alumnas'!$A$2:$A$1000,0))="","",INDEX('🎓 Alumnas'!$E$2:$E$1000,MATCH($W88,'🎓 Alumnas'!$A$2:$A$1000,0))),""))</f>
        <v/>
      </c>
      <c r="H88" s="28" t="str">
        <f aca="false">IF($W88="","",IFERROR(IF(INDEX('🎓 Alumnas'!$F$2:$F$1000,MATCH($W88,'🎓 Alumnas'!$A$2:$A$1000,0))="","",INDEX('🎓 Alumnas'!$F$2:$F$1000,MATCH($W88,'🎓 Alumnas'!$A$2:$A$1000,0))),""))</f>
        <v/>
      </c>
      <c r="I88" s="30" t="str">
        <f aca="false">IF($W88="","",IFERROR(IF(INDEX('🎓 Alumnas'!$G$2:$G$1000,MATCH($W88,'🎓 Alumnas'!$A$2:$A$1000,0))="","",INDEX('🎓 Alumnas'!$G$2:$G$1000,MATCH($W88,'🎓 Alumnas'!$A$2:$A$1000,0))),""))</f>
        <v/>
      </c>
      <c r="J88" s="28" t="str">
        <f aca="true">IF(I88="","",DATEDIF(I88,TODAY(),"Y"))</f>
        <v/>
      </c>
      <c r="K88" s="25"/>
      <c r="L88" s="28" t="str">
        <f aca="false">IF(K88="","",IF(LEFT(K88,6)="1 Pole","Alquiler",IF(LEFT(K88,7)="1 Clase","Clase suelta","Paquete")))</f>
        <v/>
      </c>
      <c r="M88" s="25"/>
      <c r="N88" s="25"/>
      <c r="O88" s="35"/>
      <c r="P88" s="29" t="str">
        <f aca="false">IF(O88="","",N88*O88)</f>
        <v/>
      </c>
      <c r="Q88" s="36"/>
      <c r="R88" s="25"/>
      <c r="S88" s="25"/>
      <c r="T88" s="28" t="str">
        <f aca="false">IF(OR(LEFT(W88,2)&lt;&gt;"A-",ISERROR(MATCH(W88,'🎓 Alumnas'!$A$2:$A$1000,0))),"",IF(COUNTIF($W$2:W88,W88)=1,"Nueva","Recurrente"))</f>
        <v/>
      </c>
      <c r="U88" s="28" t="str">
        <f aca="false">IF(OR(T88="",L88&lt;&gt;"Paquete"),"",COUNTIFS($W$2:W88,W88,$L$2:L88,"Paquete"))</f>
        <v/>
      </c>
      <c r="V88" s="25"/>
      <c r="W88" s="34" t="str">
        <f aca="false">IF(TRIM($C88)="","",IF(COUNTIF('🎓 Alumnas'!$P$2:$P$1000,TRIM($C88))&gt;0,INDEX('🎓 Alumnas'!$A$2:$A$1000,MATCH(TRIM($C88),'🎓 Alumnas'!$P$2:$P$1000,0)),IF(COUNTIF('🎓 Alumnas'!$O$2:$O$1000,TRIM($C88)&amp;"|*")=1,INDEX('🎓 Alumnas'!$A$2:$A$1000,MATCH(TRIM($C88)&amp;"|*",'🎓 Alumnas'!$O$2:$O$1000,0)),IF(COUNTIF('🎓 Alumnas'!$O$2:$O$1000,"*|"&amp;TRIM($C88))=1,INDEX('🎓 Alumnas'!$A$2:$A$1000,MATCH("*|"&amp;TRIM($C88),'🎓 Alumnas'!$O$2:$O$1000,0)),IF(COUNTIF('🎓 Alumnas'!$Q$2:$Q$1000,TRIM($C88))=1,INDEX('🎓 Alumnas'!$A$2:$A$1000,MATCH(TRIM($C88),'🎓 Alumnas'!$Q$2:$Q$1000,0)),IF(COUNTIF('🎓 Alumnas'!$P$2:$P$1000,"*"&amp;TRIM($C88)&amp;"*")=1,INDEX('🎓 Alumnas'!$A$2:$A$1000,MATCH("*"&amp;TRIM($C88)&amp;"*",'🎓 Alumnas'!$P$2:$P$1000,0)),IF(COUNTIF('🎓 Alumnas'!$Q$2:$Q$1000,"*"&amp;TRIM($C88)&amp;"*")=1,INDEX('🎓 Alumnas'!$A$2:$A$1000,MATCH("*"&amp;TRIM($C88)&amp;"*",'🎓 Alumnas'!$Q$2:$Q$1000,0)),IF(COUNTIF('🎓 Alumnas'!$P$2:$P$1000,"*"&amp;TRIM($C88)&amp;"*")+COUNTIF('🎓 Alumnas'!$Q$2:$Q$1000,"*"&amp;TRIM($C88)&amp;"*")&gt;1,"Varias: elige de la lista","No encontrada"))))))))</f>
        <v/>
      </c>
    </row>
    <row r="89" customFormat="false" ht="14.25" hidden="false" customHeight="true" outlineLevel="0" collapsed="false">
      <c r="A89" s="25" t="s">
        <v>634</v>
      </c>
      <c r="B89" s="27"/>
      <c r="C89" s="25"/>
      <c r="D89" s="34" t="str">
        <f aca="false">IF($W89="","",IFERROR(TRIM(INDEX('🎓 Alumnas'!$B$2:$B$1000,MATCH($W89,'🎓 Alumnas'!$A$2:$A$1000,0))),""))</f>
        <v/>
      </c>
      <c r="E89" s="34" t="str">
        <f aca="false">IF($W89="","",IFERROR(TRIM(INDEX('🎓 Alumnas'!$C$2:$C$1000,MATCH($W89,'🎓 Alumnas'!$A$2:$A$1000,0))),""))</f>
        <v/>
      </c>
      <c r="F89" s="34" t="str">
        <f aca="false">IF($W89="","",IFERROR(IF(INDEX('🎓 Alumnas'!$D$2:$D$1000,MATCH($W89,'🎓 Alumnas'!$A$2:$A$1000,0))="","",INDEX('🎓 Alumnas'!$D$2:$D$1000,MATCH($W89,'🎓 Alumnas'!$A$2:$A$1000,0))),""))</f>
        <v/>
      </c>
      <c r="G89" s="28" t="str">
        <f aca="false">IF($W89="","",IFERROR(IF(INDEX('🎓 Alumnas'!$E$2:$E$1000,MATCH($W89,'🎓 Alumnas'!$A$2:$A$1000,0))="","",INDEX('🎓 Alumnas'!$E$2:$E$1000,MATCH($W89,'🎓 Alumnas'!$A$2:$A$1000,0))),""))</f>
        <v/>
      </c>
      <c r="H89" s="28" t="str">
        <f aca="false">IF($W89="","",IFERROR(IF(INDEX('🎓 Alumnas'!$F$2:$F$1000,MATCH($W89,'🎓 Alumnas'!$A$2:$A$1000,0))="","",INDEX('🎓 Alumnas'!$F$2:$F$1000,MATCH($W89,'🎓 Alumnas'!$A$2:$A$1000,0))),""))</f>
        <v/>
      </c>
      <c r="I89" s="30" t="str">
        <f aca="false">IF($W89="","",IFERROR(IF(INDEX('🎓 Alumnas'!$G$2:$G$1000,MATCH($W89,'🎓 Alumnas'!$A$2:$A$1000,0))="","",INDEX('🎓 Alumnas'!$G$2:$G$1000,MATCH($W89,'🎓 Alumnas'!$A$2:$A$1000,0))),""))</f>
        <v/>
      </c>
      <c r="J89" s="28" t="str">
        <f aca="true">IF(I89="","",DATEDIF(I89,TODAY(),"Y"))</f>
        <v/>
      </c>
      <c r="K89" s="25"/>
      <c r="L89" s="28" t="str">
        <f aca="false">IF(K89="","",IF(LEFT(K89,6)="1 Pole","Alquiler",IF(LEFT(K89,7)="1 Clase","Clase suelta","Paquete")))</f>
        <v/>
      </c>
      <c r="M89" s="25"/>
      <c r="N89" s="25"/>
      <c r="O89" s="35"/>
      <c r="P89" s="29" t="str">
        <f aca="false">IF(O89="","",N89*O89)</f>
        <v/>
      </c>
      <c r="Q89" s="36"/>
      <c r="R89" s="25"/>
      <c r="S89" s="25"/>
      <c r="T89" s="28" t="str">
        <f aca="false">IF(OR(LEFT(W89,2)&lt;&gt;"A-",ISERROR(MATCH(W89,'🎓 Alumnas'!$A$2:$A$1000,0))),"",IF(COUNTIF($W$2:W89,W89)=1,"Nueva","Recurrente"))</f>
        <v/>
      </c>
      <c r="U89" s="28" t="str">
        <f aca="false">IF(OR(T89="",L89&lt;&gt;"Paquete"),"",COUNTIFS($W$2:W89,W89,$L$2:L89,"Paquete"))</f>
        <v/>
      </c>
      <c r="V89" s="25"/>
      <c r="W89" s="34" t="str">
        <f aca="false">IF(TRIM($C89)="","",IF(COUNTIF('🎓 Alumnas'!$P$2:$P$1000,TRIM($C89))&gt;0,INDEX('🎓 Alumnas'!$A$2:$A$1000,MATCH(TRIM($C89),'🎓 Alumnas'!$P$2:$P$1000,0)),IF(COUNTIF('🎓 Alumnas'!$O$2:$O$1000,TRIM($C89)&amp;"|*")=1,INDEX('🎓 Alumnas'!$A$2:$A$1000,MATCH(TRIM($C89)&amp;"|*",'🎓 Alumnas'!$O$2:$O$1000,0)),IF(COUNTIF('🎓 Alumnas'!$O$2:$O$1000,"*|"&amp;TRIM($C89))=1,INDEX('🎓 Alumnas'!$A$2:$A$1000,MATCH("*|"&amp;TRIM($C89),'🎓 Alumnas'!$O$2:$O$1000,0)),IF(COUNTIF('🎓 Alumnas'!$Q$2:$Q$1000,TRIM($C89))=1,INDEX('🎓 Alumnas'!$A$2:$A$1000,MATCH(TRIM($C89),'🎓 Alumnas'!$Q$2:$Q$1000,0)),IF(COUNTIF('🎓 Alumnas'!$P$2:$P$1000,"*"&amp;TRIM($C89)&amp;"*")=1,INDEX('🎓 Alumnas'!$A$2:$A$1000,MATCH("*"&amp;TRIM($C89)&amp;"*",'🎓 Alumnas'!$P$2:$P$1000,0)),IF(COUNTIF('🎓 Alumnas'!$Q$2:$Q$1000,"*"&amp;TRIM($C89)&amp;"*")=1,INDEX('🎓 Alumnas'!$A$2:$A$1000,MATCH("*"&amp;TRIM($C89)&amp;"*",'🎓 Alumnas'!$Q$2:$Q$1000,0)),IF(COUNTIF('🎓 Alumnas'!$P$2:$P$1000,"*"&amp;TRIM($C89)&amp;"*")+COUNTIF('🎓 Alumnas'!$Q$2:$Q$1000,"*"&amp;TRIM($C89)&amp;"*")&gt;1,"Varias: elige de la lista","No encontrada"))))))))</f>
        <v/>
      </c>
    </row>
    <row r="90" customFormat="false" ht="14.25" hidden="false" customHeight="true" outlineLevel="0" collapsed="false">
      <c r="A90" s="25" t="s">
        <v>635</v>
      </c>
      <c r="B90" s="27"/>
      <c r="C90" s="25"/>
      <c r="D90" s="34" t="str">
        <f aca="false">IF($W90="","",IFERROR(TRIM(INDEX('🎓 Alumnas'!$B$2:$B$1000,MATCH($W90,'🎓 Alumnas'!$A$2:$A$1000,0))),""))</f>
        <v/>
      </c>
      <c r="E90" s="34" t="str">
        <f aca="false">IF($W90="","",IFERROR(TRIM(INDEX('🎓 Alumnas'!$C$2:$C$1000,MATCH($W90,'🎓 Alumnas'!$A$2:$A$1000,0))),""))</f>
        <v/>
      </c>
      <c r="F90" s="34" t="str">
        <f aca="false">IF($W90="","",IFERROR(IF(INDEX('🎓 Alumnas'!$D$2:$D$1000,MATCH($W90,'🎓 Alumnas'!$A$2:$A$1000,0))="","",INDEX('🎓 Alumnas'!$D$2:$D$1000,MATCH($W90,'🎓 Alumnas'!$A$2:$A$1000,0))),""))</f>
        <v/>
      </c>
      <c r="G90" s="28" t="str">
        <f aca="false">IF($W90="","",IFERROR(IF(INDEX('🎓 Alumnas'!$E$2:$E$1000,MATCH($W90,'🎓 Alumnas'!$A$2:$A$1000,0))="","",INDEX('🎓 Alumnas'!$E$2:$E$1000,MATCH($W90,'🎓 Alumnas'!$A$2:$A$1000,0))),""))</f>
        <v/>
      </c>
      <c r="H90" s="28" t="str">
        <f aca="false">IF($W90="","",IFERROR(IF(INDEX('🎓 Alumnas'!$F$2:$F$1000,MATCH($W90,'🎓 Alumnas'!$A$2:$A$1000,0))="","",INDEX('🎓 Alumnas'!$F$2:$F$1000,MATCH($W90,'🎓 Alumnas'!$A$2:$A$1000,0))),""))</f>
        <v/>
      </c>
      <c r="I90" s="30" t="str">
        <f aca="false">IF($W90="","",IFERROR(IF(INDEX('🎓 Alumnas'!$G$2:$G$1000,MATCH($W90,'🎓 Alumnas'!$A$2:$A$1000,0))="","",INDEX('🎓 Alumnas'!$G$2:$G$1000,MATCH($W90,'🎓 Alumnas'!$A$2:$A$1000,0))),""))</f>
        <v/>
      </c>
      <c r="J90" s="28" t="str">
        <f aca="true">IF(I90="","",DATEDIF(I90,TODAY(),"Y"))</f>
        <v/>
      </c>
      <c r="K90" s="25"/>
      <c r="L90" s="28" t="str">
        <f aca="false">IF(K90="","",IF(LEFT(K90,6)="1 Pole","Alquiler",IF(LEFT(K90,7)="1 Clase","Clase suelta","Paquete")))</f>
        <v/>
      </c>
      <c r="M90" s="25"/>
      <c r="N90" s="25"/>
      <c r="O90" s="35"/>
      <c r="P90" s="29" t="str">
        <f aca="false">IF(O90="","",N90*O90)</f>
        <v/>
      </c>
      <c r="Q90" s="36"/>
      <c r="R90" s="25"/>
      <c r="S90" s="25"/>
      <c r="T90" s="28" t="str">
        <f aca="false">IF(OR(LEFT(W90,2)&lt;&gt;"A-",ISERROR(MATCH(W90,'🎓 Alumnas'!$A$2:$A$1000,0))),"",IF(COUNTIF($W$2:W90,W90)=1,"Nueva","Recurrente"))</f>
        <v/>
      </c>
      <c r="U90" s="28" t="str">
        <f aca="false">IF(OR(T90="",L90&lt;&gt;"Paquete"),"",COUNTIFS($W$2:W90,W90,$L$2:L90,"Paquete"))</f>
        <v/>
      </c>
      <c r="V90" s="25"/>
      <c r="W90" s="34" t="str">
        <f aca="false">IF(TRIM($C90)="","",IF(COUNTIF('🎓 Alumnas'!$P$2:$P$1000,TRIM($C90))&gt;0,INDEX('🎓 Alumnas'!$A$2:$A$1000,MATCH(TRIM($C90),'🎓 Alumnas'!$P$2:$P$1000,0)),IF(COUNTIF('🎓 Alumnas'!$O$2:$O$1000,TRIM($C90)&amp;"|*")=1,INDEX('🎓 Alumnas'!$A$2:$A$1000,MATCH(TRIM($C90)&amp;"|*",'🎓 Alumnas'!$O$2:$O$1000,0)),IF(COUNTIF('🎓 Alumnas'!$O$2:$O$1000,"*|"&amp;TRIM($C90))=1,INDEX('🎓 Alumnas'!$A$2:$A$1000,MATCH("*|"&amp;TRIM($C90),'🎓 Alumnas'!$O$2:$O$1000,0)),IF(COUNTIF('🎓 Alumnas'!$Q$2:$Q$1000,TRIM($C90))=1,INDEX('🎓 Alumnas'!$A$2:$A$1000,MATCH(TRIM($C90),'🎓 Alumnas'!$Q$2:$Q$1000,0)),IF(COUNTIF('🎓 Alumnas'!$P$2:$P$1000,"*"&amp;TRIM($C90)&amp;"*")=1,INDEX('🎓 Alumnas'!$A$2:$A$1000,MATCH("*"&amp;TRIM($C90)&amp;"*",'🎓 Alumnas'!$P$2:$P$1000,0)),IF(COUNTIF('🎓 Alumnas'!$Q$2:$Q$1000,"*"&amp;TRIM($C90)&amp;"*")=1,INDEX('🎓 Alumnas'!$A$2:$A$1000,MATCH("*"&amp;TRIM($C90)&amp;"*",'🎓 Alumnas'!$Q$2:$Q$1000,0)),IF(COUNTIF('🎓 Alumnas'!$P$2:$P$1000,"*"&amp;TRIM($C90)&amp;"*")+COUNTIF('🎓 Alumnas'!$Q$2:$Q$1000,"*"&amp;TRIM($C90)&amp;"*")&gt;1,"Varias: elige de la lista","No encontrada"))))))))</f>
        <v/>
      </c>
    </row>
    <row r="91" customFormat="false" ht="14.25" hidden="false" customHeight="true" outlineLevel="0" collapsed="false">
      <c r="A91" s="25" t="s">
        <v>636</v>
      </c>
      <c r="B91" s="27"/>
      <c r="C91" s="25"/>
      <c r="D91" s="34" t="str">
        <f aca="false">IF($W91="","",IFERROR(TRIM(INDEX('🎓 Alumnas'!$B$2:$B$1000,MATCH($W91,'🎓 Alumnas'!$A$2:$A$1000,0))),""))</f>
        <v/>
      </c>
      <c r="E91" s="34" t="str">
        <f aca="false">IF($W91="","",IFERROR(TRIM(INDEX('🎓 Alumnas'!$C$2:$C$1000,MATCH($W91,'🎓 Alumnas'!$A$2:$A$1000,0))),""))</f>
        <v/>
      </c>
      <c r="F91" s="34" t="str">
        <f aca="false">IF($W91="","",IFERROR(IF(INDEX('🎓 Alumnas'!$D$2:$D$1000,MATCH($W91,'🎓 Alumnas'!$A$2:$A$1000,0))="","",INDEX('🎓 Alumnas'!$D$2:$D$1000,MATCH($W91,'🎓 Alumnas'!$A$2:$A$1000,0))),""))</f>
        <v/>
      </c>
      <c r="G91" s="28" t="str">
        <f aca="false">IF($W91="","",IFERROR(IF(INDEX('🎓 Alumnas'!$E$2:$E$1000,MATCH($W91,'🎓 Alumnas'!$A$2:$A$1000,0))="","",INDEX('🎓 Alumnas'!$E$2:$E$1000,MATCH($W91,'🎓 Alumnas'!$A$2:$A$1000,0))),""))</f>
        <v/>
      </c>
      <c r="H91" s="28" t="str">
        <f aca="false">IF($W91="","",IFERROR(IF(INDEX('🎓 Alumnas'!$F$2:$F$1000,MATCH($W91,'🎓 Alumnas'!$A$2:$A$1000,0))="","",INDEX('🎓 Alumnas'!$F$2:$F$1000,MATCH($W91,'🎓 Alumnas'!$A$2:$A$1000,0))),""))</f>
        <v/>
      </c>
      <c r="I91" s="30" t="str">
        <f aca="false">IF($W91="","",IFERROR(IF(INDEX('🎓 Alumnas'!$G$2:$G$1000,MATCH($W91,'🎓 Alumnas'!$A$2:$A$1000,0))="","",INDEX('🎓 Alumnas'!$G$2:$G$1000,MATCH($W91,'🎓 Alumnas'!$A$2:$A$1000,0))),""))</f>
        <v/>
      </c>
      <c r="J91" s="28" t="str">
        <f aca="true">IF(I91="","",DATEDIF(I91,TODAY(),"Y"))</f>
        <v/>
      </c>
      <c r="K91" s="25"/>
      <c r="L91" s="28" t="str">
        <f aca="false">IF(K91="","",IF(LEFT(K91,6)="1 Pole","Alquiler",IF(LEFT(K91,7)="1 Clase","Clase suelta","Paquete")))</f>
        <v/>
      </c>
      <c r="M91" s="25"/>
      <c r="N91" s="25"/>
      <c r="O91" s="35"/>
      <c r="P91" s="29" t="str">
        <f aca="false">IF(O91="","",N91*O91)</f>
        <v/>
      </c>
      <c r="Q91" s="36"/>
      <c r="R91" s="25"/>
      <c r="S91" s="25"/>
      <c r="T91" s="28" t="str">
        <f aca="false">IF(OR(LEFT(W91,2)&lt;&gt;"A-",ISERROR(MATCH(W91,'🎓 Alumnas'!$A$2:$A$1000,0))),"",IF(COUNTIF($W$2:W91,W91)=1,"Nueva","Recurrente"))</f>
        <v/>
      </c>
      <c r="U91" s="28" t="str">
        <f aca="false">IF(OR(T91="",L91&lt;&gt;"Paquete"),"",COUNTIFS($W$2:W91,W91,$L$2:L91,"Paquete"))</f>
        <v/>
      </c>
      <c r="V91" s="25"/>
      <c r="W91" s="34" t="str">
        <f aca="false">IF(TRIM($C91)="","",IF(COUNTIF('🎓 Alumnas'!$P$2:$P$1000,TRIM($C91))&gt;0,INDEX('🎓 Alumnas'!$A$2:$A$1000,MATCH(TRIM($C91),'🎓 Alumnas'!$P$2:$P$1000,0)),IF(COUNTIF('🎓 Alumnas'!$O$2:$O$1000,TRIM($C91)&amp;"|*")=1,INDEX('🎓 Alumnas'!$A$2:$A$1000,MATCH(TRIM($C91)&amp;"|*",'🎓 Alumnas'!$O$2:$O$1000,0)),IF(COUNTIF('🎓 Alumnas'!$O$2:$O$1000,"*|"&amp;TRIM($C91))=1,INDEX('🎓 Alumnas'!$A$2:$A$1000,MATCH("*|"&amp;TRIM($C91),'🎓 Alumnas'!$O$2:$O$1000,0)),IF(COUNTIF('🎓 Alumnas'!$Q$2:$Q$1000,TRIM($C91))=1,INDEX('🎓 Alumnas'!$A$2:$A$1000,MATCH(TRIM($C91),'🎓 Alumnas'!$Q$2:$Q$1000,0)),IF(COUNTIF('🎓 Alumnas'!$P$2:$P$1000,"*"&amp;TRIM($C91)&amp;"*")=1,INDEX('🎓 Alumnas'!$A$2:$A$1000,MATCH("*"&amp;TRIM($C91)&amp;"*",'🎓 Alumnas'!$P$2:$P$1000,0)),IF(COUNTIF('🎓 Alumnas'!$Q$2:$Q$1000,"*"&amp;TRIM($C91)&amp;"*")=1,INDEX('🎓 Alumnas'!$A$2:$A$1000,MATCH("*"&amp;TRIM($C91)&amp;"*",'🎓 Alumnas'!$Q$2:$Q$1000,0)),IF(COUNTIF('🎓 Alumnas'!$P$2:$P$1000,"*"&amp;TRIM($C91)&amp;"*")+COUNTIF('🎓 Alumnas'!$Q$2:$Q$1000,"*"&amp;TRIM($C91)&amp;"*")&gt;1,"Varias: elige de la lista","No encontrada"))))))))</f>
        <v/>
      </c>
    </row>
    <row r="92" customFormat="false" ht="14.25" hidden="false" customHeight="true" outlineLevel="0" collapsed="false">
      <c r="A92" s="25" t="s">
        <v>637</v>
      </c>
      <c r="B92" s="27"/>
      <c r="C92" s="25"/>
      <c r="D92" s="34" t="str">
        <f aca="false">IF($W92="","",IFERROR(TRIM(INDEX('🎓 Alumnas'!$B$2:$B$1000,MATCH($W92,'🎓 Alumnas'!$A$2:$A$1000,0))),""))</f>
        <v/>
      </c>
      <c r="E92" s="34" t="str">
        <f aca="false">IF($W92="","",IFERROR(TRIM(INDEX('🎓 Alumnas'!$C$2:$C$1000,MATCH($W92,'🎓 Alumnas'!$A$2:$A$1000,0))),""))</f>
        <v/>
      </c>
      <c r="F92" s="34" t="str">
        <f aca="false">IF($W92="","",IFERROR(IF(INDEX('🎓 Alumnas'!$D$2:$D$1000,MATCH($W92,'🎓 Alumnas'!$A$2:$A$1000,0))="","",INDEX('🎓 Alumnas'!$D$2:$D$1000,MATCH($W92,'🎓 Alumnas'!$A$2:$A$1000,0))),""))</f>
        <v/>
      </c>
      <c r="G92" s="28" t="str">
        <f aca="false">IF($W92="","",IFERROR(IF(INDEX('🎓 Alumnas'!$E$2:$E$1000,MATCH($W92,'🎓 Alumnas'!$A$2:$A$1000,0))="","",INDEX('🎓 Alumnas'!$E$2:$E$1000,MATCH($W92,'🎓 Alumnas'!$A$2:$A$1000,0))),""))</f>
        <v/>
      </c>
      <c r="H92" s="28" t="str">
        <f aca="false">IF($W92="","",IFERROR(IF(INDEX('🎓 Alumnas'!$F$2:$F$1000,MATCH($W92,'🎓 Alumnas'!$A$2:$A$1000,0))="","",INDEX('🎓 Alumnas'!$F$2:$F$1000,MATCH($W92,'🎓 Alumnas'!$A$2:$A$1000,0))),""))</f>
        <v/>
      </c>
      <c r="I92" s="30" t="str">
        <f aca="false">IF($W92="","",IFERROR(IF(INDEX('🎓 Alumnas'!$G$2:$G$1000,MATCH($W92,'🎓 Alumnas'!$A$2:$A$1000,0))="","",INDEX('🎓 Alumnas'!$G$2:$G$1000,MATCH($W92,'🎓 Alumnas'!$A$2:$A$1000,0))),""))</f>
        <v/>
      </c>
      <c r="J92" s="28" t="str">
        <f aca="true">IF(I92="","",DATEDIF(I92,TODAY(),"Y"))</f>
        <v/>
      </c>
      <c r="K92" s="25"/>
      <c r="L92" s="28" t="str">
        <f aca="false">IF(K92="","",IF(LEFT(K92,6)="1 Pole","Alquiler",IF(LEFT(K92,7)="1 Clase","Clase suelta","Paquete")))</f>
        <v/>
      </c>
      <c r="M92" s="25"/>
      <c r="N92" s="25"/>
      <c r="O92" s="35"/>
      <c r="P92" s="29" t="str">
        <f aca="false">IF(O92="","",N92*O92)</f>
        <v/>
      </c>
      <c r="Q92" s="36"/>
      <c r="R92" s="25"/>
      <c r="S92" s="25"/>
      <c r="T92" s="28" t="str">
        <f aca="false">IF(OR(LEFT(W92,2)&lt;&gt;"A-",ISERROR(MATCH(W92,'🎓 Alumnas'!$A$2:$A$1000,0))),"",IF(COUNTIF($W$2:W92,W92)=1,"Nueva","Recurrente"))</f>
        <v/>
      </c>
      <c r="U92" s="28" t="str">
        <f aca="false">IF(OR(T92="",L92&lt;&gt;"Paquete"),"",COUNTIFS($W$2:W92,W92,$L$2:L92,"Paquete"))</f>
        <v/>
      </c>
      <c r="V92" s="25"/>
      <c r="W92" s="34" t="str">
        <f aca="false">IF(TRIM($C92)="","",IF(COUNTIF('🎓 Alumnas'!$P$2:$P$1000,TRIM($C92))&gt;0,INDEX('🎓 Alumnas'!$A$2:$A$1000,MATCH(TRIM($C92),'🎓 Alumnas'!$P$2:$P$1000,0)),IF(COUNTIF('🎓 Alumnas'!$O$2:$O$1000,TRIM($C92)&amp;"|*")=1,INDEX('🎓 Alumnas'!$A$2:$A$1000,MATCH(TRIM($C92)&amp;"|*",'🎓 Alumnas'!$O$2:$O$1000,0)),IF(COUNTIF('🎓 Alumnas'!$O$2:$O$1000,"*|"&amp;TRIM($C92))=1,INDEX('🎓 Alumnas'!$A$2:$A$1000,MATCH("*|"&amp;TRIM($C92),'🎓 Alumnas'!$O$2:$O$1000,0)),IF(COUNTIF('🎓 Alumnas'!$Q$2:$Q$1000,TRIM($C92))=1,INDEX('🎓 Alumnas'!$A$2:$A$1000,MATCH(TRIM($C92),'🎓 Alumnas'!$Q$2:$Q$1000,0)),IF(COUNTIF('🎓 Alumnas'!$P$2:$P$1000,"*"&amp;TRIM($C92)&amp;"*")=1,INDEX('🎓 Alumnas'!$A$2:$A$1000,MATCH("*"&amp;TRIM($C92)&amp;"*",'🎓 Alumnas'!$P$2:$P$1000,0)),IF(COUNTIF('🎓 Alumnas'!$Q$2:$Q$1000,"*"&amp;TRIM($C92)&amp;"*")=1,INDEX('🎓 Alumnas'!$A$2:$A$1000,MATCH("*"&amp;TRIM($C92)&amp;"*",'🎓 Alumnas'!$Q$2:$Q$1000,0)),IF(COUNTIF('🎓 Alumnas'!$P$2:$P$1000,"*"&amp;TRIM($C92)&amp;"*")+COUNTIF('🎓 Alumnas'!$Q$2:$Q$1000,"*"&amp;TRIM($C92)&amp;"*")&gt;1,"Varias: elige de la lista","No encontrada"))))))))</f>
        <v/>
      </c>
    </row>
    <row r="93" customFormat="false" ht="14.25" hidden="false" customHeight="true" outlineLevel="0" collapsed="false">
      <c r="A93" s="25" t="s">
        <v>638</v>
      </c>
      <c r="B93" s="27"/>
      <c r="C93" s="25"/>
      <c r="D93" s="34" t="str">
        <f aca="false">IF($W93="","",IFERROR(TRIM(INDEX('🎓 Alumnas'!$B$2:$B$1000,MATCH($W93,'🎓 Alumnas'!$A$2:$A$1000,0))),""))</f>
        <v/>
      </c>
      <c r="E93" s="34" t="str">
        <f aca="false">IF($W93="","",IFERROR(TRIM(INDEX('🎓 Alumnas'!$C$2:$C$1000,MATCH($W93,'🎓 Alumnas'!$A$2:$A$1000,0))),""))</f>
        <v/>
      </c>
      <c r="F93" s="34" t="str">
        <f aca="false">IF($W93="","",IFERROR(IF(INDEX('🎓 Alumnas'!$D$2:$D$1000,MATCH($W93,'🎓 Alumnas'!$A$2:$A$1000,0))="","",INDEX('🎓 Alumnas'!$D$2:$D$1000,MATCH($W93,'🎓 Alumnas'!$A$2:$A$1000,0))),""))</f>
        <v/>
      </c>
      <c r="G93" s="28" t="str">
        <f aca="false">IF($W93="","",IFERROR(IF(INDEX('🎓 Alumnas'!$E$2:$E$1000,MATCH($W93,'🎓 Alumnas'!$A$2:$A$1000,0))="","",INDEX('🎓 Alumnas'!$E$2:$E$1000,MATCH($W93,'🎓 Alumnas'!$A$2:$A$1000,0))),""))</f>
        <v/>
      </c>
      <c r="H93" s="28" t="str">
        <f aca="false">IF($W93="","",IFERROR(IF(INDEX('🎓 Alumnas'!$F$2:$F$1000,MATCH($W93,'🎓 Alumnas'!$A$2:$A$1000,0))="","",INDEX('🎓 Alumnas'!$F$2:$F$1000,MATCH($W93,'🎓 Alumnas'!$A$2:$A$1000,0))),""))</f>
        <v/>
      </c>
      <c r="I93" s="30" t="str">
        <f aca="false">IF($W93="","",IFERROR(IF(INDEX('🎓 Alumnas'!$G$2:$G$1000,MATCH($W93,'🎓 Alumnas'!$A$2:$A$1000,0))="","",INDEX('🎓 Alumnas'!$G$2:$G$1000,MATCH($W93,'🎓 Alumnas'!$A$2:$A$1000,0))),""))</f>
        <v/>
      </c>
      <c r="J93" s="28" t="str">
        <f aca="true">IF(I93="","",DATEDIF(I93,TODAY(),"Y"))</f>
        <v/>
      </c>
      <c r="K93" s="25"/>
      <c r="L93" s="28" t="str">
        <f aca="false">IF(K93="","",IF(LEFT(K93,6)="1 Pole","Alquiler",IF(LEFT(K93,7)="1 Clase","Clase suelta","Paquete")))</f>
        <v/>
      </c>
      <c r="M93" s="25"/>
      <c r="N93" s="25"/>
      <c r="O93" s="35"/>
      <c r="P93" s="29" t="str">
        <f aca="false">IF(O93="","",N93*O93)</f>
        <v/>
      </c>
      <c r="Q93" s="36"/>
      <c r="R93" s="25"/>
      <c r="S93" s="25"/>
      <c r="T93" s="28" t="str">
        <f aca="false">IF(OR(LEFT(W93,2)&lt;&gt;"A-",ISERROR(MATCH(W93,'🎓 Alumnas'!$A$2:$A$1000,0))),"",IF(COUNTIF($W$2:W93,W93)=1,"Nueva","Recurrente"))</f>
        <v/>
      </c>
      <c r="U93" s="28" t="str">
        <f aca="false">IF(OR(T93="",L93&lt;&gt;"Paquete"),"",COUNTIFS($W$2:W93,W93,$L$2:L93,"Paquete"))</f>
        <v/>
      </c>
      <c r="V93" s="25"/>
      <c r="W93" s="34" t="str">
        <f aca="false">IF(TRIM($C93)="","",IF(COUNTIF('🎓 Alumnas'!$P$2:$P$1000,TRIM($C93))&gt;0,INDEX('🎓 Alumnas'!$A$2:$A$1000,MATCH(TRIM($C93),'🎓 Alumnas'!$P$2:$P$1000,0)),IF(COUNTIF('🎓 Alumnas'!$O$2:$O$1000,TRIM($C93)&amp;"|*")=1,INDEX('🎓 Alumnas'!$A$2:$A$1000,MATCH(TRIM($C93)&amp;"|*",'🎓 Alumnas'!$O$2:$O$1000,0)),IF(COUNTIF('🎓 Alumnas'!$O$2:$O$1000,"*|"&amp;TRIM($C93))=1,INDEX('🎓 Alumnas'!$A$2:$A$1000,MATCH("*|"&amp;TRIM($C93),'🎓 Alumnas'!$O$2:$O$1000,0)),IF(COUNTIF('🎓 Alumnas'!$Q$2:$Q$1000,TRIM($C93))=1,INDEX('🎓 Alumnas'!$A$2:$A$1000,MATCH(TRIM($C93),'🎓 Alumnas'!$Q$2:$Q$1000,0)),IF(COUNTIF('🎓 Alumnas'!$P$2:$P$1000,"*"&amp;TRIM($C93)&amp;"*")=1,INDEX('🎓 Alumnas'!$A$2:$A$1000,MATCH("*"&amp;TRIM($C93)&amp;"*",'🎓 Alumnas'!$P$2:$P$1000,0)),IF(COUNTIF('🎓 Alumnas'!$Q$2:$Q$1000,"*"&amp;TRIM($C93)&amp;"*")=1,INDEX('🎓 Alumnas'!$A$2:$A$1000,MATCH("*"&amp;TRIM($C93)&amp;"*",'🎓 Alumnas'!$Q$2:$Q$1000,0)),IF(COUNTIF('🎓 Alumnas'!$P$2:$P$1000,"*"&amp;TRIM($C93)&amp;"*")+COUNTIF('🎓 Alumnas'!$Q$2:$Q$1000,"*"&amp;TRIM($C93)&amp;"*")&gt;1,"Varias: elige de la lista","No encontrada"))))))))</f>
        <v/>
      </c>
    </row>
    <row r="94" customFormat="false" ht="14.25" hidden="false" customHeight="true" outlineLevel="0" collapsed="false">
      <c r="A94" s="25" t="s">
        <v>639</v>
      </c>
      <c r="B94" s="27"/>
      <c r="C94" s="25"/>
      <c r="D94" s="34" t="str">
        <f aca="false">IF($W94="","",IFERROR(TRIM(INDEX('🎓 Alumnas'!$B$2:$B$1000,MATCH($W94,'🎓 Alumnas'!$A$2:$A$1000,0))),""))</f>
        <v/>
      </c>
      <c r="E94" s="34" t="str">
        <f aca="false">IF($W94="","",IFERROR(TRIM(INDEX('🎓 Alumnas'!$C$2:$C$1000,MATCH($W94,'🎓 Alumnas'!$A$2:$A$1000,0))),""))</f>
        <v/>
      </c>
      <c r="F94" s="34" t="str">
        <f aca="false">IF($W94="","",IFERROR(IF(INDEX('🎓 Alumnas'!$D$2:$D$1000,MATCH($W94,'🎓 Alumnas'!$A$2:$A$1000,0))="","",INDEX('🎓 Alumnas'!$D$2:$D$1000,MATCH($W94,'🎓 Alumnas'!$A$2:$A$1000,0))),""))</f>
        <v/>
      </c>
      <c r="G94" s="28" t="str">
        <f aca="false">IF($W94="","",IFERROR(IF(INDEX('🎓 Alumnas'!$E$2:$E$1000,MATCH($W94,'🎓 Alumnas'!$A$2:$A$1000,0))="","",INDEX('🎓 Alumnas'!$E$2:$E$1000,MATCH($W94,'🎓 Alumnas'!$A$2:$A$1000,0))),""))</f>
        <v/>
      </c>
      <c r="H94" s="28" t="str">
        <f aca="false">IF($W94="","",IFERROR(IF(INDEX('🎓 Alumnas'!$F$2:$F$1000,MATCH($W94,'🎓 Alumnas'!$A$2:$A$1000,0))="","",INDEX('🎓 Alumnas'!$F$2:$F$1000,MATCH($W94,'🎓 Alumnas'!$A$2:$A$1000,0))),""))</f>
        <v/>
      </c>
      <c r="I94" s="30" t="str">
        <f aca="false">IF($W94="","",IFERROR(IF(INDEX('🎓 Alumnas'!$G$2:$G$1000,MATCH($W94,'🎓 Alumnas'!$A$2:$A$1000,0))="","",INDEX('🎓 Alumnas'!$G$2:$G$1000,MATCH($W94,'🎓 Alumnas'!$A$2:$A$1000,0))),""))</f>
        <v/>
      </c>
      <c r="J94" s="28" t="str">
        <f aca="true">IF(I94="","",DATEDIF(I94,TODAY(),"Y"))</f>
        <v/>
      </c>
      <c r="K94" s="25"/>
      <c r="L94" s="28" t="str">
        <f aca="false">IF(K94="","",IF(LEFT(K94,6)="1 Pole","Alquiler",IF(LEFT(K94,7)="1 Clase","Clase suelta","Paquete")))</f>
        <v/>
      </c>
      <c r="M94" s="25"/>
      <c r="N94" s="25"/>
      <c r="O94" s="35"/>
      <c r="P94" s="29" t="str">
        <f aca="false">IF(O94="","",N94*O94)</f>
        <v/>
      </c>
      <c r="Q94" s="36"/>
      <c r="R94" s="25"/>
      <c r="S94" s="25"/>
      <c r="T94" s="28" t="str">
        <f aca="false">IF(OR(LEFT(W94,2)&lt;&gt;"A-",ISERROR(MATCH(W94,'🎓 Alumnas'!$A$2:$A$1000,0))),"",IF(COUNTIF($W$2:W94,W94)=1,"Nueva","Recurrente"))</f>
        <v/>
      </c>
      <c r="U94" s="28" t="str">
        <f aca="false">IF(OR(T94="",L94&lt;&gt;"Paquete"),"",COUNTIFS($W$2:W94,W94,$L$2:L94,"Paquete"))</f>
        <v/>
      </c>
      <c r="V94" s="25"/>
      <c r="W94" s="34" t="str">
        <f aca="false">IF(TRIM($C94)="","",IF(COUNTIF('🎓 Alumnas'!$P$2:$P$1000,TRIM($C94))&gt;0,INDEX('🎓 Alumnas'!$A$2:$A$1000,MATCH(TRIM($C94),'🎓 Alumnas'!$P$2:$P$1000,0)),IF(COUNTIF('🎓 Alumnas'!$O$2:$O$1000,TRIM($C94)&amp;"|*")=1,INDEX('🎓 Alumnas'!$A$2:$A$1000,MATCH(TRIM($C94)&amp;"|*",'🎓 Alumnas'!$O$2:$O$1000,0)),IF(COUNTIF('🎓 Alumnas'!$O$2:$O$1000,"*|"&amp;TRIM($C94))=1,INDEX('🎓 Alumnas'!$A$2:$A$1000,MATCH("*|"&amp;TRIM($C94),'🎓 Alumnas'!$O$2:$O$1000,0)),IF(COUNTIF('🎓 Alumnas'!$Q$2:$Q$1000,TRIM($C94))=1,INDEX('🎓 Alumnas'!$A$2:$A$1000,MATCH(TRIM($C94),'🎓 Alumnas'!$Q$2:$Q$1000,0)),IF(COUNTIF('🎓 Alumnas'!$P$2:$P$1000,"*"&amp;TRIM($C94)&amp;"*")=1,INDEX('🎓 Alumnas'!$A$2:$A$1000,MATCH("*"&amp;TRIM($C94)&amp;"*",'🎓 Alumnas'!$P$2:$P$1000,0)),IF(COUNTIF('🎓 Alumnas'!$Q$2:$Q$1000,"*"&amp;TRIM($C94)&amp;"*")=1,INDEX('🎓 Alumnas'!$A$2:$A$1000,MATCH("*"&amp;TRIM($C94)&amp;"*",'🎓 Alumnas'!$Q$2:$Q$1000,0)),IF(COUNTIF('🎓 Alumnas'!$P$2:$P$1000,"*"&amp;TRIM($C94)&amp;"*")+COUNTIF('🎓 Alumnas'!$Q$2:$Q$1000,"*"&amp;TRIM($C94)&amp;"*")&gt;1,"Varias: elige de la lista","No encontrada"))))))))</f>
        <v/>
      </c>
    </row>
    <row r="95" customFormat="false" ht="14.25" hidden="false" customHeight="true" outlineLevel="0" collapsed="false">
      <c r="A95" s="25" t="s">
        <v>640</v>
      </c>
      <c r="B95" s="27"/>
      <c r="C95" s="25"/>
      <c r="D95" s="34" t="str">
        <f aca="false">IF($W95="","",IFERROR(TRIM(INDEX('🎓 Alumnas'!$B$2:$B$1000,MATCH($W95,'🎓 Alumnas'!$A$2:$A$1000,0))),""))</f>
        <v/>
      </c>
      <c r="E95" s="34" t="str">
        <f aca="false">IF($W95="","",IFERROR(TRIM(INDEX('🎓 Alumnas'!$C$2:$C$1000,MATCH($W95,'🎓 Alumnas'!$A$2:$A$1000,0))),""))</f>
        <v/>
      </c>
      <c r="F95" s="34" t="str">
        <f aca="false">IF($W95="","",IFERROR(IF(INDEX('🎓 Alumnas'!$D$2:$D$1000,MATCH($W95,'🎓 Alumnas'!$A$2:$A$1000,0))="","",INDEX('🎓 Alumnas'!$D$2:$D$1000,MATCH($W95,'🎓 Alumnas'!$A$2:$A$1000,0))),""))</f>
        <v/>
      </c>
      <c r="G95" s="28" t="str">
        <f aca="false">IF($W95="","",IFERROR(IF(INDEX('🎓 Alumnas'!$E$2:$E$1000,MATCH($W95,'🎓 Alumnas'!$A$2:$A$1000,0))="","",INDEX('🎓 Alumnas'!$E$2:$E$1000,MATCH($W95,'🎓 Alumnas'!$A$2:$A$1000,0))),""))</f>
        <v/>
      </c>
      <c r="H95" s="28" t="str">
        <f aca="false">IF($W95="","",IFERROR(IF(INDEX('🎓 Alumnas'!$F$2:$F$1000,MATCH($W95,'🎓 Alumnas'!$A$2:$A$1000,0))="","",INDEX('🎓 Alumnas'!$F$2:$F$1000,MATCH($W95,'🎓 Alumnas'!$A$2:$A$1000,0))),""))</f>
        <v/>
      </c>
      <c r="I95" s="30" t="str">
        <f aca="false">IF($W95="","",IFERROR(IF(INDEX('🎓 Alumnas'!$G$2:$G$1000,MATCH($W95,'🎓 Alumnas'!$A$2:$A$1000,0))="","",INDEX('🎓 Alumnas'!$G$2:$G$1000,MATCH($W95,'🎓 Alumnas'!$A$2:$A$1000,0))),""))</f>
        <v/>
      </c>
      <c r="J95" s="28" t="str">
        <f aca="true">IF(I95="","",DATEDIF(I95,TODAY(),"Y"))</f>
        <v/>
      </c>
      <c r="K95" s="25"/>
      <c r="L95" s="28" t="str">
        <f aca="false">IF(K95="","",IF(LEFT(K95,6)="1 Pole","Alquiler",IF(LEFT(K95,7)="1 Clase","Clase suelta","Paquete")))</f>
        <v/>
      </c>
      <c r="M95" s="25"/>
      <c r="N95" s="25"/>
      <c r="O95" s="35"/>
      <c r="P95" s="29" t="str">
        <f aca="false">IF(O95="","",N95*O95)</f>
        <v/>
      </c>
      <c r="Q95" s="36"/>
      <c r="R95" s="25"/>
      <c r="S95" s="25"/>
      <c r="T95" s="28" t="str">
        <f aca="false">IF(OR(LEFT(W95,2)&lt;&gt;"A-",ISERROR(MATCH(W95,'🎓 Alumnas'!$A$2:$A$1000,0))),"",IF(COUNTIF($W$2:W95,W95)=1,"Nueva","Recurrente"))</f>
        <v/>
      </c>
      <c r="U95" s="28" t="str">
        <f aca="false">IF(OR(T95="",L95&lt;&gt;"Paquete"),"",COUNTIFS($W$2:W95,W95,$L$2:L95,"Paquete"))</f>
        <v/>
      </c>
      <c r="V95" s="25"/>
      <c r="W95" s="34" t="str">
        <f aca="false">IF(TRIM($C95)="","",IF(COUNTIF('🎓 Alumnas'!$P$2:$P$1000,TRIM($C95))&gt;0,INDEX('🎓 Alumnas'!$A$2:$A$1000,MATCH(TRIM($C95),'🎓 Alumnas'!$P$2:$P$1000,0)),IF(COUNTIF('🎓 Alumnas'!$O$2:$O$1000,TRIM($C95)&amp;"|*")=1,INDEX('🎓 Alumnas'!$A$2:$A$1000,MATCH(TRIM($C95)&amp;"|*",'🎓 Alumnas'!$O$2:$O$1000,0)),IF(COUNTIF('🎓 Alumnas'!$O$2:$O$1000,"*|"&amp;TRIM($C95))=1,INDEX('🎓 Alumnas'!$A$2:$A$1000,MATCH("*|"&amp;TRIM($C95),'🎓 Alumnas'!$O$2:$O$1000,0)),IF(COUNTIF('🎓 Alumnas'!$Q$2:$Q$1000,TRIM($C95))=1,INDEX('🎓 Alumnas'!$A$2:$A$1000,MATCH(TRIM($C95),'🎓 Alumnas'!$Q$2:$Q$1000,0)),IF(COUNTIF('🎓 Alumnas'!$P$2:$P$1000,"*"&amp;TRIM($C95)&amp;"*")=1,INDEX('🎓 Alumnas'!$A$2:$A$1000,MATCH("*"&amp;TRIM($C95)&amp;"*",'🎓 Alumnas'!$P$2:$P$1000,0)),IF(COUNTIF('🎓 Alumnas'!$Q$2:$Q$1000,"*"&amp;TRIM($C95)&amp;"*")=1,INDEX('🎓 Alumnas'!$A$2:$A$1000,MATCH("*"&amp;TRIM($C95)&amp;"*",'🎓 Alumnas'!$Q$2:$Q$1000,0)),IF(COUNTIF('🎓 Alumnas'!$P$2:$P$1000,"*"&amp;TRIM($C95)&amp;"*")+COUNTIF('🎓 Alumnas'!$Q$2:$Q$1000,"*"&amp;TRIM($C95)&amp;"*")&gt;1,"Varias: elige de la lista","No encontrada"))))))))</f>
        <v/>
      </c>
    </row>
    <row r="96" customFormat="false" ht="14.25" hidden="false" customHeight="true" outlineLevel="0" collapsed="false">
      <c r="A96" s="25" t="s">
        <v>641</v>
      </c>
      <c r="B96" s="27"/>
      <c r="C96" s="25"/>
      <c r="D96" s="34" t="str">
        <f aca="false">IF($W96="","",IFERROR(TRIM(INDEX('🎓 Alumnas'!$B$2:$B$1000,MATCH($W96,'🎓 Alumnas'!$A$2:$A$1000,0))),""))</f>
        <v/>
      </c>
      <c r="E96" s="34" t="str">
        <f aca="false">IF($W96="","",IFERROR(TRIM(INDEX('🎓 Alumnas'!$C$2:$C$1000,MATCH($W96,'🎓 Alumnas'!$A$2:$A$1000,0))),""))</f>
        <v/>
      </c>
      <c r="F96" s="34" t="str">
        <f aca="false">IF($W96="","",IFERROR(IF(INDEX('🎓 Alumnas'!$D$2:$D$1000,MATCH($W96,'🎓 Alumnas'!$A$2:$A$1000,0))="","",INDEX('🎓 Alumnas'!$D$2:$D$1000,MATCH($W96,'🎓 Alumnas'!$A$2:$A$1000,0))),""))</f>
        <v/>
      </c>
      <c r="G96" s="28" t="str">
        <f aca="false">IF($W96="","",IFERROR(IF(INDEX('🎓 Alumnas'!$E$2:$E$1000,MATCH($W96,'🎓 Alumnas'!$A$2:$A$1000,0))="","",INDEX('🎓 Alumnas'!$E$2:$E$1000,MATCH($W96,'🎓 Alumnas'!$A$2:$A$1000,0))),""))</f>
        <v/>
      </c>
      <c r="H96" s="28" t="str">
        <f aca="false">IF($W96="","",IFERROR(IF(INDEX('🎓 Alumnas'!$F$2:$F$1000,MATCH($W96,'🎓 Alumnas'!$A$2:$A$1000,0))="","",INDEX('🎓 Alumnas'!$F$2:$F$1000,MATCH($W96,'🎓 Alumnas'!$A$2:$A$1000,0))),""))</f>
        <v/>
      </c>
      <c r="I96" s="30" t="str">
        <f aca="false">IF($W96="","",IFERROR(IF(INDEX('🎓 Alumnas'!$G$2:$G$1000,MATCH($W96,'🎓 Alumnas'!$A$2:$A$1000,0))="","",INDEX('🎓 Alumnas'!$G$2:$G$1000,MATCH($W96,'🎓 Alumnas'!$A$2:$A$1000,0))),""))</f>
        <v/>
      </c>
      <c r="J96" s="28" t="str">
        <f aca="true">IF(I96="","",DATEDIF(I96,TODAY(),"Y"))</f>
        <v/>
      </c>
      <c r="K96" s="25"/>
      <c r="L96" s="28" t="str">
        <f aca="false">IF(K96="","",IF(LEFT(K96,6)="1 Pole","Alquiler",IF(LEFT(K96,7)="1 Clase","Clase suelta","Paquete")))</f>
        <v/>
      </c>
      <c r="M96" s="25"/>
      <c r="N96" s="25"/>
      <c r="O96" s="35"/>
      <c r="P96" s="29" t="str">
        <f aca="false">IF(O96="","",N96*O96)</f>
        <v/>
      </c>
      <c r="Q96" s="36"/>
      <c r="R96" s="25"/>
      <c r="S96" s="25"/>
      <c r="T96" s="28" t="str">
        <f aca="false">IF(OR(LEFT(W96,2)&lt;&gt;"A-",ISERROR(MATCH(W96,'🎓 Alumnas'!$A$2:$A$1000,0))),"",IF(COUNTIF($W$2:W96,W96)=1,"Nueva","Recurrente"))</f>
        <v/>
      </c>
      <c r="U96" s="28" t="str">
        <f aca="false">IF(OR(T96="",L96&lt;&gt;"Paquete"),"",COUNTIFS($W$2:W96,W96,$L$2:L96,"Paquete"))</f>
        <v/>
      </c>
      <c r="V96" s="25"/>
      <c r="W96" s="34" t="str">
        <f aca="false">IF(TRIM($C96)="","",IF(COUNTIF('🎓 Alumnas'!$P$2:$P$1000,TRIM($C96))&gt;0,INDEX('🎓 Alumnas'!$A$2:$A$1000,MATCH(TRIM($C96),'🎓 Alumnas'!$P$2:$P$1000,0)),IF(COUNTIF('🎓 Alumnas'!$O$2:$O$1000,TRIM($C96)&amp;"|*")=1,INDEX('🎓 Alumnas'!$A$2:$A$1000,MATCH(TRIM($C96)&amp;"|*",'🎓 Alumnas'!$O$2:$O$1000,0)),IF(COUNTIF('🎓 Alumnas'!$O$2:$O$1000,"*|"&amp;TRIM($C96))=1,INDEX('🎓 Alumnas'!$A$2:$A$1000,MATCH("*|"&amp;TRIM($C96),'🎓 Alumnas'!$O$2:$O$1000,0)),IF(COUNTIF('🎓 Alumnas'!$Q$2:$Q$1000,TRIM($C96))=1,INDEX('🎓 Alumnas'!$A$2:$A$1000,MATCH(TRIM($C96),'🎓 Alumnas'!$Q$2:$Q$1000,0)),IF(COUNTIF('🎓 Alumnas'!$P$2:$P$1000,"*"&amp;TRIM($C96)&amp;"*")=1,INDEX('🎓 Alumnas'!$A$2:$A$1000,MATCH("*"&amp;TRIM($C96)&amp;"*",'🎓 Alumnas'!$P$2:$P$1000,0)),IF(COUNTIF('🎓 Alumnas'!$Q$2:$Q$1000,"*"&amp;TRIM($C96)&amp;"*")=1,INDEX('🎓 Alumnas'!$A$2:$A$1000,MATCH("*"&amp;TRIM($C96)&amp;"*",'🎓 Alumnas'!$Q$2:$Q$1000,0)),IF(COUNTIF('🎓 Alumnas'!$P$2:$P$1000,"*"&amp;TRIM($C96)&amp;"*")+COUNTIF('🎓 Alumnas'!$Q$2:$Q$1000,"*"&amp;TRIM($C96)&amp;"*")&gt;1,"Varias: elige de la lista","No encontrada"))))))))</f>
        <v/>
      </c>
    </row>
    <row r="97" customFormat="false" ht="14.25" hidden="false" customHeight="true" outlineLevel="0" collapsed="false">
      <c r="A97" s="25" t="s">
        <v>642</v>
      </c>
      <c r="B97" s="27"/>
      <c r="C97" s="25"/>
      <c r="D97" s="34" t="str">
        <f aca="false">IF($W97="","",IFERROR(TRIM(INDEX('🎓 Alumnas'!$B$2:$B$1000,MATCH($W97,'🎓 Alumnas'!$A$2:$A$1000,0))),""))</f>
        <v/>
      </c>
      <c r="E97" s="34" t="str">
        <f aca="false">IF($W97="","",IFERROR(TRIM(INDEX('🎓 Alumnas'!$C$2:$C$1000,MATCH($W97,'🎓 Alumnas'!$A$2:$A$1000,0))),""))</f>
        <v/>
      </c>
      <c r="F97" s="34" t="str">
        <f aca="false">IF($W97="","",IFERROR(IF(INDEX('🎓 Alumnas'!$D$2:$D$1000,MATCH($W97,'🎓 Alumnas'!$A$2:$A$1000,0))="","",INDEX('🎓 Alumnas'!$D$2:$D$1000,MATCH($W97,'🎓 Alumnas'!$A$2:$A$1000,0))),""))</f>
        <v/>
      </c>
      <c r="G97" s="28" t="str">
        <f aca="false">IF($W97="","",IFERROR(IF(INDEX('🎓 Alumnas'!$E$2:$E$1000,MATCH($W97,'🎓 Alumnas'!$A$2:$A$1000,0))="","",INDEX('🎓 Alumnas'!$E$2:$E$1000,MATCH($W97,'🎓 Alumnas'!$A$2:$A$1000,0))),""))</f>
        <v/>
      </c>
      <c r="H97" s="28" t="str">
        <f aca="false">IF($W97="","",IFERROR(IF(INDEX('🎓 Alumnas'!$F$2:$F$1000,MATCH($W97,'🎓 Alumnas'!$A$2:$A$1000,0))="","",INDEX('🎓 Alumnas'!$F$2:$F$1000,MATCH($W97,'🎓 Alumnas'!$A$2:$A$1000,0))),""))</f>
        <v/>
      </c>
      <c r="I97" s="30" t="str">
        <f aca="false">IF($W97="","",IFERROR(IF(INDEX('🎓 Alumnas'!$G$2:$G$1000,MATCH($W97,'🎓 Alumnas'!$A$2:$A$1000,0))="","",INDEX('🎓 Alumnas'!$G$2:$G$1000,MATCH($W97,'🎓 Alumnas'!$A$2:$A$1000,0))),""))</f>
        <v/>
      </c>
      <c r="J97" s="28" t="str">
        <f aca="true">IF(I97="","",DATEDIF(I97,TODAY(),"Y"))</f>
        <v/>
      </c>
      <c r="K97" s="25"/>
      <c r="L97" s="28" t="str">
        <f aca="false">IF(K97="","",IF(LEFT(K97,6)="1 Pole","Alquiler",IF(LEFT(K97,7)="1 Clase","Clase suelta","Paquete")))</f>
        <v/>
      </c>
      <c r="M97" s="25"/>
      <c r="N97" s="25"/>
      <c r="O97" s="35"/>
      <c r="P97" s="29" t="str">
        <f aca="false">IF(O97="","",N97*O97)</f>
        <v/>
      </c>
      <c r="Q97" s="36"/>
      <c r="R97" s="25"/>
      <c r="S97" s="25"/>
      <c r="T97" s="28" t="str">
        <f aca="false">IF(OR(LEFT(W97,2)&lt;&gt;"A-",ISERROR(MATCH(W97,'🎓 Alumnas'!$A$2:$A$1000,0))),"",IF(COUNTIF($W$2:W97,W97)=1,"Nueva","Recurrente"))</f>
        <v/>
      </c>
      <c r="U97" s="28" t="str">
        <f aca="false">IF(OR(T97="",L97&lt;&gt;"Paquete"),"",COUNTIFS($W$2:W97,W97,$L$2:L97,"Paquete"))</f>
        <v/>
      </c>
      <c r="V97" s="25"/>
      <c r="W97" s="34" t="str">
        <f aca="false">IF(TRIM($C97)="","",IF(COUNTIF('🎓 Alumnas'!$P$2:$P$1000,TRIM($C97))&gt;0,INDEX('🎓 Alumnas'!$A$2:$A$1000,MATCH(TRIM($C97),'🎓 Alumnas'!$P$2:$P$1000,0)),IF(COUNTIF('🎓 Alumnas'!$O$2:$O$1000,TRIM($C97)&amp;"|*")=1,INDEX('🎓 Alumnas'!$A$2:$A$1000,MATCH(TRIM($C97)&amp;"|*",'🎓 Alumnas'!$O$2:$O$1000,0)),IF(COUNTIF('🎓 Alumnas'!$O$2:$O$1000,"*|"&amp;TRIM($C97))=1,INDEX('🎓 Alumnas'!$A$2:$A$1000,MATCH("*|"&amp;TRIM($C97),'🎓 Alumnas'!$O$2:$O$1000,0)),IF(COUNTIF('🎓 Alumnas'!$Q$2:$Q$1000,TRIM($C97))=1,INDEX('🎓 Alumnas'!$A$2:$A$1000,MATCH(TRIM($C97),'🎓 Alumnas'!$Q$2:$Q$1000,0)),IF(COUNTIF('🎓 Alumnas'!$P$2:$P$1000,"*"&amp;TRIM($C97)&amp;"*")=1,INDEX('🎓 Alumnas'!$A$2:$A$1000,MATCH("*"&amp;TRIM($C97)&amp;"*",'🎓 Alumnas'!$P$2:$P$1000,0)),IF(COUNTIF('🎓 Alumnas'!$Q$2:$Q$1000,"*"&amp;TRIM($C97)&amp;"*")=1,INDEX('🎓 Alumnas'!$A$2:$A$1000,MATCH("*"&amp;TRIM($C97)&amp;"*",'🎓 Alumnas'!$Q$2:$Q$1000,0)),IF(COUNTIF('🎓 Alumnas'!$P$2:$P$1000,"*"&amp;TRIM($C97)&amp;"*")+COUNTIF('🎓 Alumnas'!$Q$2:$Q$1000,"*"&amp;TRIM($C97)&amp;"*")&gt;1,"Varias: elige de la lista","No encontrada"))))))))</f>
        <v/>
      </c>
    </row>
    <row r="98" customFormat="false" ht="14.25" hidden="false" customHeight="true" outlineLevel="0" collapsed="false">
      <c r="A98" s="25" t="s">
        <v>643</v>
      </c>
      <c r="B98" s="27"/>
      <c r="C98" s="25"/>
      <c r="D98" s="34" t="str">
        <f aca="false">IF($W98="","",IFERROR(TRIM(INDEX('🎓 Alumnas'!$B$2:$B$1000,MATCH($W98,'🎓 Alumnas'!$A$2:$A$1000,0))),""))</f>
        <v/>
      </c>
      <c r="E98" s="34" t="str">
        <f aca="false">IF($W98="","",IFERROR(TRIM(INDEX('🎓 Alumnas'!$C$2:$C$1000,MATCH($W98,'🎓 Alumnas'!$A$2:$A$1000,0))),""))</f>
        <v/>
      </c>
      <c r="F98" s="34" t="str">
        <f aca="false">IF($W98="","",IFERROR(IF(INDEX('🎓 Alumnas'!$D$2:$D$1000,MATCH($W98,'🎓 Alumnas'!$A$2:$A$1000,0))="","",INDEX('🎓 Alumnas'!$D$2:$D$1000,MATCH($W98,'🎓 Alumnas'!$A$2:$A$1000,0))),""))</f>
        <v/>
      </c>
      <c r="G98" s="28" t="str">
        <f aca="false">IF($W98="","",IFERROR(IF(INDEX('🎓 Alumnas'!$E$2:$E$1000,MATCH($W98,'🎓 Alumnas'!$A$2:$A$1000,0))="","",INDEX('🎓 Alumnas'!$E$2:$E$1000,MATCH($W98,'🎓 Alumnas'!$A$2:$A$1000,0))),""))</f>
        <v/>
      </c>
      <c r="H98" s="28" t="str">
        <f aca="false">IF($W98="","",IFERROR(IF(INDEX('🎓 Alumnas'!$F$2:$F$1000,MATCH($W98,'🎓 Alumnas'!$A$2:$A$1000,0))="","",INDEX('🎓 Alumnas'!$F$2:$F$1000,MATCH($W98,'🎓 Alumnas'!$A$2:$A$1000,0))),""))</f>
        <v/>
      </c>
      <c r="I98" s="30" t="str">
        <f aca="false">IF($W98="","",IFERROR(IF(INDEX('🎓 Alumnas'!$G$2:$G$1000,MATCH($W98,'🎓 Alumnas'!$A$2:$A$1000,0))="","",INDEX('🎓 Alumnas'!$G$2:$G$1000,MATCH($W98,'🎓 Alumnas'!$A$2:$A$1000,0))),""))</f>
        <v/>
      </c>
      <c r="J98" s="28" t="str">
        <f aca="true">IF(I98="","",DATEDIF(I98,TODAY(),"Y"))</f>
        <v/>
      </c>
      <c r="K98" s="25"/>
      <c r="L98" s="28" t="str">
        <f aca="false">IF(K98="","",IF(LEFT(K98,6)="1 Pole","Alquiler",IF(LEFT(K98,7)="1 Clase","Clase suelta","Paquete")))</f>
        <v/>
      </c>
      <c r="M98" s="25"/>
      <c r="N98" s="25"/>
      <c r="O98" s="35"/>
      <c r="P98" s="29" t="str">
        <f aca="false">IF(O98="","",N98*O98)</f>
        <v/>
      </c>
      <c r="Q98" s="36"/>
      <c r="R98" s="25"/>
      <c r="S98" s="25"/>
      <c r="T98" s="28" t="str">
        <f aca="false">IF(OR(LEFT(W98,2)&lt;&gt;"A-",ISERROR(MATCH(W98,'🎓 Alumnas'!$A$2:$A$1000,0))),"",IF(COUNTIF($W$2:W98,W98)=1,"Nueva","Recurrente"))</f>
        <v/>
      </c>
      <c r="U98" s="28" t="str">
        <f aca="false">IF(OR(T98="",L98&lt;&gt;"Paquete"),"",COUNTIFS($W$2:W98,W98,$L$2:L98,"Paquete"))</f>
        <v/>
      </c>
      <c r="V98" s="25"/>
      <c r="W98" s="34" t="str">
        <f aca="false">IF(TRIM($C98)="","",IF(COUNTIF('🎓 Alumnas'!$P$2:$P$1000,TRIM($C98))&gt;0,INDEX('🎓 Alumnas'!$A$2:$A$1000,MATCH(TRIM($C98),'🎓 Alumnas'!$P$2:$P$1000,0)),IF(COUNTIF('🎓 Alumnas'!$O$2:$O$1000,TRIM($C98)&amp;"|*")=1,INDEX('🎓 Alumnas'!$A$2:$A$1000,MATCH(TRIM($C98)&amp;"|*",'🎓 Alumnas'!$O$2:$O$1000,0)),IF(COUNTIF('🎓 Alumnas'!$O$2:$O$1000,"*|"&amp;TRIM($C98))=1,INDEX('🎓 Alumnas'!$A$2:$A$1000,MATCH("*|"&amp;TRIM($C98),'🎓 Alumnas'!$O$2:$O$1000,0)),IF(COUNTIF('🎓 Alumnas'!$Q$2:$Q$1000,TRIM($C98))=1,INDEX('🎓 Alumnas'!$A$2:$A$1000,MATCH(TRIM($C98),'🎓 Alumnas'!$Q$2:$Q$1000,0)),IF(COUNTIF('🎓 Alumnas'!$P$2:$P$1000,"*"&amp;TRIM($C98)&amp;"*")=1,INDEX('🎓 Alumnas'!$A$2:$A$1000,MATCH("*"&amp;TRIM($C98)&amp;"*",'🎓 Alumnas'!$P$2:$P$1000,0)),IF(COUNTIF('🎓 Alumnas'!$Q$2:$Q$1000,"*"&amp;TRIM($C98)&amp;"*")=1,INDEX('🎓 Alumnas'!$A$2:$A$1000,MATCH("*"&amp;TRIM($C98)&amp;"*",'🎓 Alumnas'!$Q$2:$Q$1000,0)),IF(COUNTIF('🎓 Alumnas'!$P$2:$P$1000,"*"&amp;TRIM($C98)&amp;"*")+COUNTIF('🎓 Alumnas'!$Q$2:$Q$1000,"*"&amp;TRIM($C98)&amp;"*")&gt;1,"Varias: elige de la lista","No encontrada"))))))))</f>
        <v/>
      </c>
    </row>
    <row r="99" customFormat="false" ht="14.25" hidden="false" customHeight="true" outlineLevel="0" collapsed="false">
      <c r="A99" s="25" t="s">
        <v>644</v>
      </c>
      <c r="B99" s="27"/>
      <c r="C99" s="25"/>
      <c r="D99" s="34" t="str">
        <f aca="false">IF($W99="","",IFERROR(TRIM(INDEX('🎓 Alumnas'!$B$2:$B$1000,MATCH($W99,'🎓 Alumnas'!$A$2:$A$1000,0))),""))</f>
        <v/>
      </c>
      <c r="E99" s="34" t="str">
        <f aca="false">IF($W99="","",IFERROR(TRIM(INDEX('🎓 Alumnas'!$C$2:$C$1000,MATCH($W99,'🎓 Alumnas'!$A$2:$A$1000,0))),""))</f>
        <v/>
      </c>
      <c r="F99" s="34" t="str">
        <f aca="false">IF($W99="","",IFERROR(IF(INDEX('🎓 Alumnas'!$D$2:$D$1000,MATCH($W99,'🎓 Alumnas'!$A$2:$A$1000,0))="","",INDEX('🎓 Alumnas'!$D$2:$D$1000,MATCH($W99,'🎓 Alumnas'!$A$2:$A$1000,0))),""))</f>
        <v/>
      </c>
      <c r="G99" s="28" t="str">
        <f aca="false">IF($W99="","",IFERROR(IF(INDEX('🎓 Alumnas'!$E$2:$E$1000,MATCH($W99,'🎓 Alumnas'!$A$2:$A$1000,0))="","",INDEX('🎓 Alumnas'!$E$2:$E$1000,MATCH($W99,'🎓 Alumnas'!$A$2:$A$1000,0))),""))</f>
        <v/>
      </c>
      <c r="H99" s="28" t="str">
        <f aca="false">IF($W99="","",IFERROR(IF(INDEX('🎓 Alumnas'!$F$2:$F$1000,MATCH($W99,'🎓 Alumnas'!$A$2:$A$1000,0))="","",INDEX('🎓 Alumnas'!$F$2:$F$1000,MATCH($W99,'🎓 Alumnas'!$A$2:$A$1000,0))),""))</f>
        <v/>
      </c>
      <c r="I99" s="30" t="str">
        <f aca="false">IF($W99="","",IFERROR(IF(INDEX('🎓 Alumnas'!$G$2:$G$1000,MATCH($W99,'🎓 Alumnas'!$A$2:$A$1000,0))="","",INDEX('🎓 Alumnas'!$G$2:$G$1000,MATCH($W99,'🎓 Alumnas'!$A$2:$A$1000,0))),""))</f>
        <v/>
      </c>
      <c r="J99" s="28" t="str">
        <f aca="true">IF(I99="","",DATEDIF(I99,TODAY(),"Y"))</f>
        <v/>
      </c>
      <c r="K99" s="25"/>
      <c r="L99" s="28" t="str">
        <f aca="false">IF(K99="","",IF(LEFT(K99,6)="1 Pole","Alquiler",IF(LEFT(K99,7)="1 Clase","Clase suelta","Paquete")))</f>
        <v/>
      </c>
      <c r="M99" s="25"/>
      <c r="N99" s="25"/>
      <c r="O99" s="35"/>
      <c r="P99" s="29" t="str">
        <f aca="false">IF(O99="","",N99*O99)</f>
        <v/>
      </c>
      <c r="Q99" s="36"/>
      <c r="R99" s="25"/>
      <c r="S99" s="25"/>
      <c r="T99" s="28" t="str">
        <f aca="false">IF(OR(LEFT(W99,2)&lt;&gt;"A-",ISERROR(MATCH(W99,'🎓 Alumnas'!$A$2:$A$1000,0))),"",IF(COUNTIF($W$2:W99,W99)=1,"Nueva","Recurrente"))</f>
        <v/>
      </c>
      <c r="U99" s="28" t="str">
        <f aca="false">IF(OR(T99="",L99&lt;&gt;"Paquete"),"",COUNTIFS($W$2:W99,W99,$L$2:L99,"Paquete"))</f>
        <v/>
      </c>
      <c r="V99" s="25"/>
      <c r="W99" s="34" t="str">
        <f aca="false">IF(TRIM($C99)="","",IF(COUNTIF('🎓 Alumnas'!$P$2:$P$1000,TRIM($C99))&gt;0,INDEX('🎓 Alumnas'!$A$2:$A$1000,MATCH(TRIM($C99),'🎓 Alumnas'!$P$2:$P$1000,0)),IF(COUNTIF('🎓 Alumnas'!$O$2:$O$1000,TRIM($C99)&amp;"|*")=1,INDEX('🎓 Alumnas'!$A$2:$A$1000,MATCH(TRIM($C99)&amp;"|*",'🎓 Alumnas'!$O$2:$O$1000,0)),IF(COUNTIF('🎓 Alumnas'!$O$2:$O$1000,"*|"&amp;TRIM($C99))=1,INDEX('🎓 Alumnas'!$A$2:$A$1000,MATCH("*|"&amp;TRIM($C99),'🎓 Alumnas'!$O$2:$O$1000,0)),IF(COUNTIF('🎓 Alumnas'!$Q$2:$Q$1000,TRIM($C99))=1,INDEX('🎓 Alumnas'!$A$2:$A$1000,MATCH(TRIM($C99),'🎓 Alumnas'!$Q$2:$Q$1000,0)),IF(COUNTIF('🎓 Alumnas'!$P$2:$P$1000,"*"&amp;TRIM($C99)&amp;"*")=1,INDEX('🎓 Alumnas'!$A$2:$A$1000,MATCH("*"&amp;TRIM($C99)&amp;"*",'🎓 Alumnas'!$P$2:$P$1000,0)),IF(COUNTIF('🎓 Alumnas'!$Q$2:$Q$1000,"*"&amp;TRIM($C99)&amp;"*")=1,INDEX('🎓 Alumnas'!$A$2:$A$1000,MATCH("*"&amp;TRIM($C99)&amp;"*",'🎓 Alumnas'!$Q$2:$Q$1000,0)),IF(COUNTIF('🎓 Alumnas'!$P$2:$P$1000,"*"&amp;TRIM($C99)&amp;"*")+COUNTIF('🎓 Alumnas'!$Q$2:$Q$1000,"*"&amp;TRIM($C99)&amp;"*")&gt;1,"Varias: elige de la lista","No encontrada"))))))))</f>
        <v/>
      </c>
    </row>
    <row r="100" customFormat="false" ht="14.25" hidden="false" customHeight="true" outlineLevel="0" collapsed="false">
      <c r="A100" s="25" t="s">
        <v>645</v>
      </c>
      <c r="B100" s="27"/>
      <c r="C100" s="25"/>
      <c r="D100" s="34" t="str">
        <f aca="false">IF($W100="","",IFERROR(TRIM(INDEX('🎓 Alumnas'!$B$2:$B$1000,MATCH($W100,'🎓 Alumnas'!$A$2:$A$1000,0))),""))</f>
        <v/>
      </c>
      <c r="E100" s="34" t="str">
        <f aca="false">IF($W100="","",IFERROR(TRIM(INDEX('🎓 Alumnas'!$C$2:$C$1000,MATCH($W100,'🎓 Alumnas'!$A$2:$A$1000,0))),""))</f>
        <v/>
      </c>
      <c r="F100" s="34" t="str">
        <f aca="false">IF($W100="","",IFERROR(IF(INDEX('🎓 Alumnas'!$D$2:$D$1000,MATCH($W100,'🎓 Alumnas'!$A$2:$A$1000,0))="","",INDEX('🎓 Alumnas'!$D$2:$D$1000,MATCH($W100,'🎓 Alumnas'!$A$2:$A$1000,0))),""))</f>
        <v/>
      </c>
      <c r="G100" s="28" t="str">
        <f aca="false">IF($W100="","",IFERROR(IF(INDEX('🎓 Alumnas'!$E$2:$E$1000,MATCH($W100,'🎓 Alumnas'!$A$2:$A$1000,0))="","",INDEX('🎓 Alumnas'!$E$2:$E$1000,MATCH($W100,'🎓 Alumnas'!$A$2:$A$1000,0))),""))</f>
        <v/>
      </c>
      <c r="H100" s="28" t="str">
        <f aca="false">IF($W100="","",IFERROR(IF(INDEX('🎓 Alumnas'!$F$2:$F$1000,MATCH($W100,'🎓 Alumnas'!$A$2:$A$1000,0))="","",INDEX('🎓 Alumnas'!$F$2:$F$1000,MATCH($W100,'🎓 Alumnas'!$A$2:$A$1000,0))),""))</f>
        <v/>
      </c>
      <c r="I100" s="30" t="str">
        <f aca="false">IF($W100="","",IFERROR(IF(INDEX('🎓 Alumnas'!$G$2:$G$1000,MATCH($W100,'🎓 Alumnas'!$A$2:$A$1000,0))="","",INDEX('🎓 Alumnas'!$G$2:$G$1000,MATCH($W100,'🎓 Alumnas'!$A$2:$A$1000,0))),""))</f>
        <v/>
      </c>
      <c r="J100" s="28" t="str">
        <f aca="true">IF(I100="","",DATEDIF(I100,TODAY(),"Y"))</f>
        <v/>
      </c>
      <c r="K100" s="25"/>
      <c r="L100" s="28" t="str">
        <f aca="false">IF(K100="","",IF(LEFT(K100,6)="1 Pole","Alquiler",IF(LEFT(K100,7)="1 Clase","Clase suelta","Paquete")))</f>
        <v/>
      </c>
      <c r="M100" s="25"/>
      <c r="N100" s="25"/>
      <c r="O100" s="35"/>
      <c r="P100" s="29" t="str">
        <f aca="false">IF(O100="","",N100*O100)</f>
        <v/>
      </c>
      <c r="Q100" s="36"/>
      <c r="R100" s="25"/>
      <c r="S100" s="25"/>
      <c r="T100" s="28" t="str">
        <f aca="false">IF(OR(LEFT(W100,2)&lt;&gt;"A-",ISERROR(MATCH(W100,'🎓 Alumnas'!$A$2:$A$1000,0))),"",IF(COUNTIF($W$2:W100,W100)=1,"Nueva","Recurrente"))</f>
        <v/>
      </c>
      <c r="U100" s="28" t="str">
        <f aca="false">IF(OR(T100="",L100&lt;&gt;"Paquete"),"",COUNTIFS($W$2:W100,W100,$L$2:L100,"Paquete"))</f>
        <v/>
      </c>
      <c r="V100" s="25"/>
      <c r="W100" s="34" t="str">
        <f aca="false">IF(TRIM($C100)="","",IF(COUNTIF('🎓 Alumnas'!$P$2:$P$1000,TRIM($C100))&gt;0,INDEX('🎓 Alumnas'!$A$2:$A$1000,MATCH(TRIM($C100),'🎓 Alumnas'!$P$2:$P$1000,0)),IF(COUNTIF('🎓 Alumnas'!$O$2:$O$1000,TRIM($C100)&amp;"|*")=1,INDEX('🎓 Alumnas'!$A$2:$A$1000,MATCH(TRIM($C100)&amp;"|*",'🎓 Alumnas'!$O$2:$O$1000,0)),IF(COUNTIF('🎓 Alumnas'!$O$2:$O$1000,"*|"&amp;TRIM($C100))=1,INDEX('🎓 Alumnas'!$A$2:$A$1000,MATCH("*|"&amp;TRIM($C100),'🎓 Alumnas'!$O$2:$O$1000,0)),IF(COUNTIF('🎓 Alumnas'!$Q$2:$Q$1000,TRIM($C100))=1,INDEX('🎓 Alumnas'!$A$2:$A$1000,MATCH(TRIM($C100),'🎓 Alumnas'!$Q$2:$Q$1000,0)),IF(COUNTIF('🎓 Alumnas'!$P$2:$P$1000,"*"&amp;TRIM($C100)&amp;"*")=1,INDEX('🎓 Alumnas'!$A$2:$A$1000,MATCH("*"&amp;TRIM($C100)&amp;"*",'🎓 Alumnas'!$P$2:$P$1000,0)),IF(COUNTIF('🎓 Alumnas'!$Q$2:$Q$1000,"*"&amp;TRIM($C100)&amp;"*")=1,INDEX('🎓 Alumnas'!$A$2:$A$1000,MATCH("*"&amp;TRIM($C100)&amp;"*",'🎓 Alumnas'!$Q$2:$Q$1000,0)),IF(COUNTIF('🎓 Alumnas'!$P$2:$P$1000,"*"&amp;TRIM($C100)&amp;"*")+COUNTIF('🎓 Alumnas'!$Q$2:$Q$1000,"*"&amp;TRIM($C100)&amp;"*")&gt;1,"Varias: elige de la lista","No encontrada"))))))))</f>
        <v/>
      </c>
    </row>
    <row r="101" customFormat="false" ht="14.25" hidden="false" customHeight="true" outlineLevel="0" collapsed="false">
      <c r="A101" s="25" t="s">
        <v>646</v>
      </c>
      <c r="B101" s="27"/>
      <c r="C101" s="25"/>
      <c r="D101" s="34" t="str">
        <f aca="false">IF($W101="","",IFERROR(TRIM(INDEX('🎓 Alumnas'!$B$2:$B$1000,MATCH($W101,'🎓 Alumnas'!$A$2:$A$1000,0))),""))</f>
        <v/>
      </c>
      <c r="E101" s="34" t="str">
        <f aca="false">IF($W101="","",IFERROR(TRIM(INDEX('🎓 Alumnas'!$C$2:$C$1000,MATCH($W101,'🎓 Alumnas'!$A$2:$A$1000,0))),""))</f>
        <v/>
      </c>
      <c r="F101" s="34" t="str">
        <f aca="false">IF($W101="","",IFERROR(IF(INDEX('🎓 Alumnas'!$D$2:$D$1000,MATCH($W101,'🎓 Alumnas'!$A$2:$A$1000,0))="","",INDEX('🎓 Alumnas'!$D$2:$D$1000,MATCH($W101,'🎓 Alumnas'!$A$2:$A$1000,0))),""))</f>
        <v/>
      </c>
      <c r="G101" s="28" t="str">
        <f aca="false">IF($W101="","",IFERROR(IF(INDEX('🎓 Alumnas'!$E$2:$E$1000,MATCH($W101,'🎓 Alumnas'!$A$2:$A$1000,0))="","",INDEX('🎓 Alumnas'!$E$2:$E$1000,MATCH($W101,'🎓 Alumnas'!$A$2:$A$1000,0))),""))</f>
        <v/>
      </c>
      <c r="H101" s="28" t="str">
        <f aca="false">IF($W101="","",IFERROR(IF(INDEX('🎓 Alumnas'!$F$2:$F$1000,MATCH($W101,'🎓 Alumnas'!$A$2:$A$1000,0))="","",INDEX('🎓 Alumnas'!$F$2:$F$1000,MATCH($W101,'🎓 Alumnas'!$A$2:$A$1000,0))),""))</f>
        <v/>
      </c>
      <c r="I101" s="30" t="str">
        <f aca="false">IF($W101="","",IFERROR(IF(INDEX('🎓 Alumnas'!$G$2:$G$1000,MATCH($W101,'🎓 Alumnas'!$A$2:$A$1000,0))="","",INDEX('🎓 Alumnas'!$G$2:$G$1000,MATCH($W101,'🎓 Alumnas'!$A$2:$A$1000,0))),""))</f>
        <v/>
      </c>
      <c r="J101" s="28" t="str">
        <f aca="true">IF(I101="","",DATEDIF(I101,TODAY(),"Y"))</f>
        <v/>
      </c>
      <c r="K101" s="25"/>
      <c r="L101" s="28" t="str">
        <f aca="false">IF(K101="","",IF(LEFT(K101,6)="1 Pole","Alquiler",IF(LEFT(K101,7)="1 Clase","Clase suelta","Paquete")))</f>
        <v/>
      </c>
      <c r="M101" s="25"/>
      <c r="N101" s="25"/>
      <c r="O101" s="35"/>
      <c r="P101" s="29" t="str">
        <f aca="false">IF(O101="","",N101*O101)</f>
        <v/>
      </c>
      <c r="Q101" s="36"/>
      <c r="R101" s="25"/>
      <c r="S101" s="25"/>
      <c r="T101" s="28" t="str">
        <f aca="false">IF(OR(LEFT(W101,2)&lt;&gt;"A-",ISERROR(MATCH(W101,'🎓 Alumnas'!$A$2:$A$1000,0))),"",IF(COUNTIF($W$2:W101,W101)=1,"Nueva","Recurrente"))</f>
        <v/>
      </c>
      <c r="U101" s="28" t="str">
        <f aca="false">IF(OR(T101="",L101&lt;&gt;"Paquete"),"",COUNTIFS($W$2:W101,W101,$L$2:L101,"Paquete"))</f>
        <v/>
      </c>
      <c r="V101" s="25"/>
      <c r="W101" s="34" t="str">
        <f aca="false">IF(TRIM($C101)="","",IF(COUNTIF('🎓 Alumnas'!$P$2:$P$1000,TRIM($C101))&gt;0,INDEX('🎓 Alumnas'!$A$2:$A$1000,MATCH(TRIM($C101),'🎓 Alumnas'!$P$2:$P$1000,0)),IF(COUNTIF('🎓 Alumnas'!$O$2:$O$1000,TRIM($C101)&amp;"|*")=1,INDEX('🎓 Alumnas'!$A$2:$A$1000,MATCH(TRIM($C101)&amp;"|*",'🎓 Alumnas'!$O$2:$O$1000,0)),IF(COUNTIF('🎓 Alumnas'!$O$2:$O$1000,"*|"&amp;TRIM($C101))=1,INDEX('🎓 Alumnas'!$A$2:$A$1000,MATCH("*|"&amp;TRIM($C101),'🎓 Alumnas'!$O$2:$O$1000,0)),IF(COUNTIF('🎓 Alumnas'!$Q$2:$Q$1000,TRIM($C101))=1,INDEX('🎓 Alumnas'!$A$2:$A$1000,MATCH(TRIM($C101),'🎓 Alumnas'!$Q$2:$Q$1000,0)),IF(COUNTIF('🎓 Alumnas'!$P$2:$P$1000,"*"&amp;TRIM($C101)&amp;"*")=1,INDEX('🎓 Alumnas'!$A$2:$A$1000,MATCH("*"&amp;TRIM($C101)&amp;"*",'🎓 Alumnas'!$P$2:$P$1000,0)),IF(COUNTIF('🎓 Alumnas'!$Q$2:$Q$1000,"*"&amp;TRIM($C101)&amp;"*")=1,INDEX('🎓 Alumnas'!$A$2:$A$1000,MATCH("*"&amp;TRIM($C101)&amp;"*",'🎓 Alumnas'!$Q$2:$Q$1000,0)),IF(COUNTIF('🎓 Alumnas'!$P$2:$P$1000,"*"&amp;TRIM($C101)&amp;"*")+COUNTIF('🎓 Alumnas'!$Q$2:$Q$1000,"*"&amp;TRIM($C101)&amp;"*")&gt;1,"Varias: elige de la lista","No encontrada"))))))))</f>
        <v/>
      </c>
    </row>
    <row r="102" customFormat="false" ht="14.25" hidden="false" customHeight="true" outlineLevel="0" collapsed="false">
      <c r="A102" s="25" t="s">
        <v>647</v>
      </c>
      <c r="B102" s="27"/>
      <c r="C102" s="25"/>
      <c r="D102" s="34" t="str">
        <f aca="false">IF($W102="","",IFERROR(TRIM(INDEX('🎓 Alumnas'!$B$2:$B$1000,MATCH($W102,'🎓 Alumnas'!$A$2:$A$1000,0))),""))</f>
        <v/>
      </c>
      <c r="E102" s="34" t="str">
        <f aca="false">IF($W102="","",IFERROR(TRIM(INDEX('🎓 Alumnas'!$C$2:$C$1000,MATCH($W102,'🎓 Alumnas'!$A$2:$A$1000,0))),""))</f>
        <v/>
      </c>
      <c r="F102" s="34" t="str">
        <f aca="false">IF($W102="","",IFERROR(IF(INDEX('🎓 Alumnas'!$D$2:$D$1000,MATCH($W102,'🎓 Alumnas'!$A$2:$A$1000,0))="","",INDEX('🎓 Alumnas'!$D$2:$D$1000,MATCH($W102,'🎓 Alumnas'!$A$2:$A$1000,0))),""))</f>
        <v/>
      </c>
      <c r="G102" s="28" t="str">
        <f aca="false">IF($W102="","",IFERROR(IF(INDEX('🎓 Alumnas'!$E$2:$E$1000,MATCH($W102,'🎓 Alumnas'!$A$2:$A$1000,0))="","",INDEX('🎓 Alumnas'!$E$2:$E$1000,MATCH($W102,'🎓 Alumnas'!$A$2:$A$1000,0))),""))</f>
        <v/>
      </c>
      <c r="H102" s="28" t="str">
        <f aca="false">IF($W102="","",IFERROR(IF(INDEX('🎓 Alumnas'!$F$2:$F$1000,MATCH($W102,'🎓 Alumnas'!$A$2:$A$1000,0))="","",INDEX('🎓 Alumnas'!$F$2:$F$1000,MATCH($W102,'🎓 Alumnas'!$A$2:$A$1000,0))),""))</f>
        <v/>
      </c>
      <c r="I102" s="30" t="str">
        <f aca="false">IF($W102="","",IFERROR(IF(INDEX('🎓 Alumnas'!$G$2:$G$1000,MATCH($W102,'🎓 Alumnas'!$A$2:$A$1000,0))="","",INDEX('🎓 Alumnas'!$G$2:$G$1000,MATCH($W102,'🎓 Alumnas'!$A$2:$A$1000,0))),""))</f>
        <v/>
      </c>
      <c r="J102" s="28" t="str">
        <f aca="true">IF(I102="","",DATEDIF(I102,TODAY(),"Y"))</f>
        <v/>
      </c>
      <c r="K102" s="25"/>
      <c r="L102" s="28" t="str">
        <f aca="false">IF(K102="","",IF(LEFT(K102,6)="1 Pole","Alquiler",IF(LEFT(K102,7)="1 Clase","Clase suelta","Paquete")))</f>
        <v/>
      </c>
      <c r="M102" s="25"/>
      <c r="N102" s="25"/>
      <c r="O102" s="35"/>
      <c r="P102" s="29" t="str">
        <f aca="false">IF(O102="","",N102*O102)</f>
        <v/>
      </c>
      <c r="Q102" s="36"/>
      <c r="R102" s="25"/>
      <c r="S102" s="25"/>
      <c r="T102" s="28" t="str">
        <f aca="false">IF(OR(LEFT(W102,2)&lt;&gt;"A-",ISERROR(MATCH(W102,'🎓 Alumnas'!$A$2:$A$1000,0))),"",IF(COUNTIF($W$2:W102,W102)=1,"Nueva","Recurrente"))</f>
        <v/>
      </c>
      <c r="U102" s="28" t="str">
        <f aca="false">IF(OR(T102="",L102&lt;&gt;"Paquete"),"",COUNTIFS($W$2:W102,W102,$L$2:L102,"Paquete"))</f>
        <v/>
      </c>
      <c r="V102" s="25"/>
      <c r="W102" s="34" t="str">
        <f aca="false">IF(TRIM($C102)="","",IF(COUNTIF('🎓 Alumnas'!$P$2:$P$1000,TRIM($C102))&gt;0,INDEX('🎓 Alumnas'!$A$2:$A$1000,MATCH(TRIM($C102),'🎓 Alumnas'!$P$2:$P$1000,0)),IF(COUNTIF('🎓 Alumnas'!$O$2:$O$1000,TRIM($C102)&amp;"|*")=1,INDEX('🎓 Alumnas'!$A$2:$A$1000,MATCH(TRIM($C102)&amp;"|*",'🎓 Alumnas'!$O$2:$O$1000,0)),IF(COUNTIF('🎓 Alumnas'!$O$2:$O$1000,"*|"&amp;TRIM($C102))=1,INDEX('🎓 Alumnas'!$A$2:$A$1000,MATCH("*|"&amp;TRIM($C102),'🎓 Alumnas'!$O$2:$O$1000,0)),IF(COUNTIF('🎓 Alumnas'!$Q$2:$Q$1000,TRIM($C102))=1,INDEX('🎓 Alumnas'!$A$2:$A$1000,MATCH(TRIM($C102),'🎓 Alumnas'!$Q$2:$Q$1000,0)),IF(COUNTIF('🎓 Alumnas'!$P$2:$P$1000,"*"&amp;TRIM($C102)&amp;"*")=1,INDEX('🎓 Alumnas'!$A$2:$A$1000,MATCH("*"&amp;TRIM($C102)&amp;"*",'🎓 Alumnas'!$P$2:$P$1000,0)),IF(COUNTIF('🎓 Alumnas'!$Q$2:$Q$1000,"*"&amp;TRIM($C102)&amp;"*")=1,INDEX('🎓 Alumnas'!$A$2:$A$1000,MATCH("*"&amp;TRIM($C102)&amp;"*",'🎓 Alumnas'!$Q$2:$Q$1000,0)),IF(COUNTIF('🎓 Alumnas'!$P$2:$P$1000,"*"&amp;TRIM($C102)&amp;"*")+COUNTIF('🎓 Alumnas'!$Q$2:$Q$1000,"*"&amp;TRIM($C102)&amp;"*")&gt;1,"Varias: elige de la lista","No encontrada"))))))))</f>
        <v/>
      </c>
    </row>
    <row r="103" customFormat="false" ht="14.25" hidden="false" customHeight="true" outlineLevel="0" collapsed="false">
      <c r="A103" s="25" t="s">
        <v>648</v>
      </c>
      <c r="B103" s="27"/>
      <c r="C103" s="25"/>
      <c r="D103" s="34" t="str">
        <f aca="false">IF($W103="","",IFERROR(TRIM(INDEX('🎓 Alumnas'!$B$2:$B$1000,MATCH($W103,'🎓 Alumnas'!$A$2:$A$1000,0))),""))</f>
        <v/>
      </c>
      <c r="E103" s="34" t="str">
        <f aca="false">IF($W103="","",IFERROR(TRIM(INDEX('🎓 Alumnas'!$C$2:$C$1000,MATCH($W103,'🎓 Alumnas'!$A$2:$A$1000,0))),""))</f>
        <v/>
      </c>
      <c r="F103" s="34" t="str">
        <f aca="false">IF($W103="","",IFERROR(IF(INDEX('🎓 Alumnas'!$D$2:$D$1000,MATCH($W103,'🎓 Alumnas'!$A$2:$A$1000,0))="","",INDEX('🎓 Alumnas'!$D$2:$D$1000,MATCH($W103,'🎓 Alumnas'!$A$2:$A$1000,0))),""))</f>
        <v/>
      </c>
      <c r="G103" s="28" t="str">
        <f aca="false">IF($W103="","",IFERROR(IF(INDEX('🎓 Alumnas'!$E$2:$E$1000,MATCH($W103,'🎓 Alumnas'!$A$2:$A$1000,0))="","",INDEX('🎓 Alumnas'!$E$2:$E$1000,MATCH($W103,'🎓 Alumnas'!$A$2:$A$1000,0))),""))</f>
        <v/>
      </c>
      <c r="H103" s="28" t="str">
        <f aca="false">IF($W103="","",IFERROR(IF(INDEX('🎓 Alumnas'!$F$2:$F$1000,MATCH($W103,'🎓 Alumnas'!$A$2:$A$1000,0))="","",INDEX('🎓 Alumnas'!$F$2:$F$1000,MATCH($W103,'🎓 Alumnas'!$A$2:$A$1000,0))),""))</f>
        <v/>
      </c>
      <c r="I103" s="30" t="str">
        <f aca="false">IF($W103="","",IFERROR(IF(INDEX('🎓 Alumnas'!$G$2:$G$1000,MATCH($W103,'🎓 Alumnas'!$A$2:$A$1000,0))="","",INDEX('🎓 Alumnas'!$G$2:$G$1000,MATCH($W103,'🎓 Alumnas'!$A$2:$A$1000,0))),""))</f>
        <v/>
      </c>
      <c r="J103" s="28" t="str">
        <f aca="true">IF(I103="","",DATEDIF(I103,TODAY(),"Y"))</f>
        <v/>
      </c>
      <c r="K103" s="25"/>
      <c r="L103" s="28" t="str">
        <f aca="false">IF(K103="","",IF(LEFT(K103,6)="1 Pole","Alquiler",IF(LEFT(K103,7)="1 Clase","Clase suelta","Paquete")))</f>
        <v/>
      </c>
      <c r="M103" s="25"/>
      <c r="N103" s="25"/>
      <c r="O103" s="35"/>
      <c r="P103" s="29" t="str">
        <f aca="false">IF(O103="","",N103*O103)</f>
        <v/>
      </c>
      <c r="Q103" s="36"/>
      <c r="R103" s="25"/>
      <c r="S103" s="25"/>
      <c r="T103" s="28" t="str">
        <f aca="false">IF(OR(LEFT(W103,2)&lt;&gt;"A-",ISERROR(MATCH(W103,'🎓 Alumnas'!$A$2:$A$1000,0))),"",IF(COUNTIF($W$2:W103,W103)=1,"Nueva","Recurrente"))</f>
        <v/>
      </c>
      <c r="U103" s="28" t="str">
        <f aca="false">IF(OR(T103="",L103&lt;&gt;"Paquete"),"",COUNTIFS($W$2:W103,W103,$L$2:L103,"Paquete"))</f>
        <v/>
      </c>
      <c r="V103" s="25"/>
      <c r="W103" s="34" t="str">
        <f aca="false">IF(TRIM($C103)="","",IF(COUNTIF('🎓 Alumnas'!$P$2:$P$1000,TRIM($C103))&gt;0,INDEX('🎓 Alumnas'!$A$2:$A$1000,MATCH(TRIM($C103),'🎓 Alumnas'!$P$2:$P$1000,0)),IF(COUNTIF('🎓 Alumnas'!$O$2:$O$1000,TRIM($C103)&amp;"|*")=1,INDEX('🎓 Alumnas'!$A$2:$A$1000,MATCH(TRIM($C103)&amp;"|*",'🎓 Alumnas'!$O$2:$O$1000,0)),IF(COUNTIF('🎓 Alumnas'!$O$2:$O$1000,"*|"&amp;TRIM($C103))=1,INDEX('🎓 Alumnas'!$A$2:$A$1000,MATCH("*|"&amp;TRIM($C103),'🎓 Alumnas'!$O$2:$O$1000,0)),IF(COUNTIF('🎓 Alumnas'!$Q$2:$Q$1000,TRIM($C103))=1,INDEX('🎓 Alumnas'!$A$2:$A$1000,MATCH(TRIM($C103),'🎓 Alumnas'!$Q$2:$Q$1000,0)),IF(COUNTIF('🎓 Alumnas'!$P$2:$P$1000,"*"&amp;TRIM($C103)&amp;"*")=1,INDEX('🎓 Alumnas'!$A$2:$A$1000,MATCH("*"&amp;TRIM($C103)&amp;"*",'🎓 Alumnas'!$P$2:$P$1000,0)),IF(COUNTIF('🎓 Alumnas'!$Q$2:$Q$1000,"*"&amp;TRIM($C103)&amp;"*")=1,INDEX('🎓 Alumnas'!$A$2:$A$1000,MATCH("*"&amp;TRIM($C103)&amp;"*",'🎓 Alumnas'!$Q$2:$Q$1000,0)),IF(COUNTIF('🎓 Alumnas'!$P$2:$P$1000,"*"&amp;TRIM($C103)&amp;"*")+COUNTIF('🎓 Alumnas'!$Q$2:$Q$1000,"*"&amp;TRIM($C103)&amp;"*")&gt;1,"Varias: elige de la lista","No encontrada"))))))))</f>
        <v/>
      </c>
    </row>
    <row r="104" customFormat="false" ht="14.25" hidden="false" customHeight="true" outlineLevel="0" collapsed="false">
      <c r="A104" s="25" t="s">
        <v>649</v>
      </c>
      <c r="B104" s="27"/>
      <c r="C104" s="25"/>
      <c r="D104" s="34" t="str">
        <f aca="false">IF($W104="","",IFERROR(TRIM(INDEX('🎓 Alumnas'!$B$2:$B$1000,MATCH($W104,'🎓 Alumnas'!$A$2:$A$1000,0))),""))</f>
        <v/>
      </c>
      <c r="E104" s="34" t="str">
        <f aca="false">IF($W104="","",IFERROR(TRIM(INDEX('🎓 Alumnas'!$C$2:$C$1000,MATCH($W104,'🎓 Alumnas'!$A$2:$A$1000,0))),""))</f>
        <v/>
      </c>
      <c r="F104" s="34" t="str">
        <f aca="false">IF($W104="","",IFERROR(IF(INDEX('🎓 Alumnas'!$D$2:$D$1000,MATCH($W104,'🎓 Alumnas'!$A$2:$A$1000,0))="","",INDEX('🎓 Alumnas'!$D$2:$D$1000,MATCH($W104,'🎓 Alumnas'!$A$2:$A$1000,0))),""))</f>
        <v/>
      </c>
      <c r="G104" s="28" t="str">
        <f aca="false">IF($W104="","",IFERROR(IF(INDEX('🎓 Alumnas'!$E$2:$E$1000,MATCH($W104,'🎓 Alumnas'!$A$2:$A$1000,0))="","",INDEX('🎓 Alumnas'!$E$2:$E$1000,MATCH($W104,'🎓 Alumnas'!$A$2:$A$1000,0))),""))</f>
        <v/>
      </c>
      <c r="H104" s="28" t="str">
        <f aca="false">IF($W104="","",IFERROR(IF(INDEX('🎓 Alumnas'!$F$2:$F$1000,MATCH($W104,'🎓 Alumnas'!$A$2:$A$1000,0))="","",INDEX('🎓 Alumnas'!$F$2:$F$1000,MATCH($W104,'🎓 Alumnas'!$A$2:$A$1000,0))),""))</f>
        <v/>
      </c>
      <c r="I104" s="30" t="str">
        <f aca="false">IF($W104="","",IFERROR(IF(INDEX('🎓 Alumnas'!$G$2:$G$1000,MATCH($W104,'🎓 Alumnas'!$A$2:$A$1000,0))="","",INDEX('🎓 Alumnas'!$G$2:$G$1000,MATCH($W104,'🎓 Alumnas'!$A$2:$A$1000,0))),""))</f>
        <v/>
      </c>
      <c r="J104" s="28" t="str">
        <f aca="true">IF(I104="","",DATEDIF(I104,TODAY(),"Y"))</f>
        <v/>
      </c>
      <c r="K104" s="25"/>
      <c r="L104" s="28" t="str">
        <f aca="false">IF(K104="","",IF(LEFT(K104,6)="1 Pole","Alquiler",IF(LEFT(K104,7)="1 Clase","Clase suelta","Paquete")))</f>
        <v/>
      </c>
      <c r="M104" s="25"/>
      <c r="N104" s="25"/>
      <c r="O104" s="35"/>
      <c r="P104" s="29" t="str">
        <f aca="false">IF(O104="","",N104*O104)</f>
        <v/>
      </c>
      <c r="Q104" s="36"/>
      <c r="R104" s="25"/>
      <c r="S104" s="25"/>
      <c r="T104" s="28" t="str">
        <f aca="false">IF(OR(LEFT(W104,2)&lt;&gt;"A-",ISERROR(MATCH(W104,'🎓 Alumnas'!$A$2:$A$1000,0))),"",IF(COUNTIF($W$2:W104,W104)=1,"Nueva","Recurrente"))</f>
        <v/>
      </c>
      <c r="U104" s="28" t="str">
        <f aca="false">IF(OR(T104="",L104&lt;&gt;"Paquete"),"",COUNTIFS($W$2:W104,W104,$L$2:L104,"Paquete"))</f>
        <v/>
      </c>
      <c r="V104" s="25"/>
      <c r="W104" s="34" t="str">
        <f aca="false">IF(TRIM($C104)="","",IF(COUNTIF('🎓 Alumnas'!$P$2:$P$1000,TRIM($C104))&gt;0,INDEX('🎓 Alumnas'!$A$2:$A$1000,MATCH(TRIM($C104),'🎓 Alumnas'!$P$2:$P$1000,0)),IF(COUNTIF('🎓 Alumnas'!$O$2:$O$1000,TRIM($C104)&amp;"|*")=1,INDEX('🎓 Alumnas'!$A$2:$A$1000,MATCH(TRIM($C104)&amp;"|*",'🎓 Alumnas'!$O$2:$O$1000,0)),IF(COUNTIF('🎓 Alumnas'!$O$2:$O$1000,"*|"&amp;TRIM($C104))=1,INDEX('🎓 Alumnas'!$A$2:$A$1000,MATCH("*|"&amp;TRIM($C104),'🎓 Alumnas'!$O$2:$O$1000,0)),IF(COUNTIF('🎓 Alumnas'!$Q$2:$Q$1000,TRIM($C104))=1,INDEX('🎓 Alumnas'!$A$2:$A$1000,MATCH(TRIM($C104),'🎓 Alumnas'!$Q$2:$Q$1000,0)),IF(COUNTIF('🎓 Alumnas'!$P$2:$P$1000,"*"&amp;TRIM($C104)&amp;"*")=1,INDEX('🎓 Alumnas'!$A$2:$A$1000,MATCH("*"&amp;TRIM($C104)&amp;"*",'🎓 Alumnas'!$P$2:$P$1000,0)),IF(COUNTIF('🎓 Alumnas'!$Q$2:$Q$1000,"*"&amp;TRIM($C104)&amp;"*")=1,INDEX('🎓 Alumnas'!$A$2:$A$1000,MATCH("*"&amp;TRIM($C104)&amp;"*",'🎓 Alumnas'!$Q$2:$Q$1000,0)),IF(COUNTIF('🎓 Alumnas'!$P$2:$P$1000,"*"&amp;TRIM($C104)&amp;"*")+COUNTIF('🎓 Alumnas'!$Q$2:$Q$1000,"*"&amp;TRIM($C104)&amp;"*")&gt;1,"Varias: elige de la lista","No encontrada"))))))))</f>
        <v/>
      </c>
    </row>
    <row r="105" customFormat="false" ht="14.25" hidden="false" customHeight="true" outlineLevel="0" collapsed="false">
      <c r="A105" s="25" t="s">
        <v>650</v>
      </c>
      <c r="B105" s="27"/>
      <c r="C105" s="25"/>
      <c r="D105" s="34" t="str">
        <f aca="false">IF($W105="","",IFERROR(TRIM(INDEX('🎓 Alumnas'!$B$2:$B$1000,MATCH($W105,'🎓 Alumnas'!$A$2:$A$1000,0))),""))</f>
        <v/>
      </c>
      <c r="E105" s="34" t="str">
        <f aca="false">IF($W105="","",IFERROR(TRIM(INDEX('🎓 Alumnas'!$C$2:$C$1000,MATCH($W105,'🎓 Alumnas'!$A$2:$A$1000,0))),""))</f>
        <v/>
      </c>
      <c r="F105" s="34" t="str">
        <f aca="false">IF($W105="","",IFERROR(IF(INDEX('🎓 Alumnas'!$D$2:$D$1000,MATCH($W105,'🎓 Alumnas'!$A$2:$A$1000,0))="","",INDEX('🎓 Alumnas'!$D$2:$D$1000,MATCH($W105,'🎓 Alumnas'!$A$2:$A$1000,0))),""))</f>
        <v/>
      </c>
      <c r="G105" s="28" t="str">
        <f aca="false">IF($W105="","",IFERROR(IF(INDEX('🎓 Alumnas'!$E$2:$E$1000,MATCH($W105,'🎓 Alumnas'!$A$2:$A$1000,0))="","",INDEX('🎓 Alumnas'!$E$2:$E$1000,MATCH($W105,'🎓 Alumnas'!$A$2:$A$1000,0))),""))</f>
        <v/>
      </c>
      <c r="H105" s="28" t="str">
        <f aca="false">IF($W105="","",IFERROR(IF(INDEX('🎓 Alumnas'!$F$2:$F$1000,MATCH($W105,'🎓 Alumnas'!$A$2:$A$1000,0))="","",INDEX('🎓 Alumnas'!$F$2:$F$1000,MATCH($W105,'🎓 Alumnas'!$A$2:$A$1000,0))),""))</f>
        <v/>
      </c>
      <c r="I105" s="30" t="str">
        <f aca="false">IF($W105="","",IFERROR(IF(INDEX('🎓 Alumnas'!$G$2:$G$1000,MATCH($W105,'🎓 Alumnas'!$A$2:$A$1000,0))="","",INDEX('🎓 Alumnas'!$G$2:$G$1000,MATCH($W105,'🎓 Alumnas'!$A$2:$A$1000,0))),""))</f>
        <v/>
      </c>
      <c r="J105" s="28" t="str">
        <f aca="true">IF(I105="","",DATEDIF(I105,TODAY(),"Y"))</f>
        <v/>
      </c>
      <c r="K105" s="25"/>
      <c r="L105" s="28" t="str">
        <f aca="false">IF(K105="","",IF(LEFT(K105,6)="1 Pole","Alquiler",IF(LEFT(K105,7)="1 Clase","Clase suelta","Paquete")))</f>
        <v/>
      </c>
      <c r="M105" s="25"/>
      <c r="N105" s="25"/>
      <c r="O105" s="35"/>
      <c r="P105" s="29" t="str">
        <f aca="false">IF(O105="","",N105*O105)</f>
        <v/>
      </c>
      <c r="Q105" s="36"/>
      <c r="R105" s="25"/>
      <c r="S105" s="25"/>
      <c r="T105" s="28" t="str">
        <f aca="false">IF(OR(LEFT(W105,2)&lt;&gt;"A-",ISERROR(MATCH(W105,'🎓 Alumnas'!$A$2:$A$1000,0))),"",IF(COUNTIF($W$2:W105,W105)=1,"Nueva","Recurrente"))</f>
        <v/>
      </c>
      <c r="U105" s="28" t="str">
        <f aca="false">IF(OR(T105="",L105&lt;&gt;"Paquete"),"",COUNTIFS($W$2:W105,W105,$L$2:L105,"Paquete"))</f>
        <v/>
      </c>
      <c r="V105" s="25"/>
      <c r="W105" s="34" t="str">
        <f aca="false">IF(TRIM($C105)="","",IF(COUNTIF('🎓 Alumnas'!$P$2:$P$1000,TRIM($C105))&gt;0,INDEX('🎓 Alumnas'!$A$2:$A$1000,MATCH(TRIM($C105),'🎓 Alumnas'!$P$2:$P$1000,0)),IF(COUNTIF('🎓 Alumnas'!$O$2:$O$1000,TRIM($C105)&amp;"|*")=1,INDEX('🎓 Alumnas'!$A$2:$A$1000,MATCH(TRIM($C105)&amp;"|*",'🎓 Alumnas'!$O$2:$O$1000,0)),IF(COUNTIF('🎓 Alumnas'!$O$2:$O$1000,"*|"&amp;TRIM($C105))=1,INDEX('🎓 Alumnas'!$A$2:$A$1000,MATCH("*|"&amp;TRIM($C105),'🎓 Alumnas'!$O$2:$O$1000,0)),IF(COUNTIF('🎓 Alumnas'!$Q$2:$Q$1000,TRIM($C105))=1,INDEX('🎓 Alumnas'!$A$2:$A$1000,MATCH(TRIM($C105),'🎓 Alumnas'!$Q$2:$Q$1000,0)),IF(COUNTIF('🎓 Alumnas'!$P$2:$P$1000,"*"&amp;TRIM($C105)&amp;"*")=1,INDEX('🎓 Alumnas'!$A$2:$A$1000,MATCH("*"&amp;TRIM($C105)&amp;"*",'🎓 Alumnas'!$P$2:$P$1000,0)),IF(COUNTIF('🎓 Alumnas'!$Q$2:$Q$1000,"*"&amp;TRIM($C105)&amp;"*")=1,INDEX('🎓 Alumnas'!$A$2:$A$1000,MATCH("*"&amp;TRIM($C105)&amp;"*",'🎓 Alumnas'!$Q$2:$Q$1000,0)),IF(COUNTIF('🎓 Alumnas'!$P$2:$P$1000,"*"&amp;TRIM($C105)&amp;"*")+COUNTIF('🎓 Alumnas'!$Q$2:$Q$1000,"*"&amp;TRIM($C105)&amp;"*")&gt;1,"Varias: elige de la lista","No encontrada"))))))))</f>
        <v/>
      </c>
    </row>
    <row r="106" customFormat="false" ht="14.25" hidden="false" customHeight="true" outlineLevel="0" collapsed="false">
      <c r="A106" s="25" t="s">
        <v>651</v>
      </c>
      <c r="B106" s="27"/>
      <c r="C106" s="25"/>
      <c r="D106" s="34" t="str">
        <f aca="false">IF($W106="","",IFERROR(TRIM(INDEX('🎓 Alumnas'!$B$2:$B$1000,MATCH($W106,'🎓 Alumnas'!$A$2:$A$1000,0))),""))</f>
        <v/>
      </c>
      <c r="E106" s="34" t="str">
        <f aca="false">IF($W106="","",IFERROR(TRIM(INDEX('🎓 Alumnas'!$C$2:$C$1000,MATCH($W106,'🎓 Alumnas'!$A$2:$A$1000,0))),""))</f>
        <v/>
      </c>
      <c r="F106" s="34" t="str">
        <f aca="false">IF($W106="","",IFERROR(IF(INDEX('🎓 Alumnas'!$D$2:$D$1000,MATCH($W106,'🎓 Alumnas'!$A$2:$A$1000,0))="","",INDEX('🎓 Alumnas'!$D$2:$D$1000,MATCH($W106,'🎓 Alumnas'!$A$2:$A$1000,0))),""))</f>
        <v/>
      </c>
      <c r="G106" s="28" t="str">
        <f aca="false">IF($W106="","",IFERROR(IF(INDEX('🎓 Alumnas'!$E$2:$E$1000,MATCH($W106,'🎓 Alumnas'!$A$2:$A$1000,0))="","",INDEX('🎓 Alumnas'!$E$2:$E$1000,MATCH($W106,'🎓 Alumnas'!$A$2:$A$1000,0))),""))</f>
        <v/>
      </c>
      <c r="H106" s="28" t="str">
        <f aca="false">IF($W106="","",IFERROR(IF(INDEX('🎓 Alumnas'!$F$2:$F$1000,MATCH($W106,'🎓 Alumnas'!$A$2:$A$1000,0))="","",INDEX('🎓 Alumnas'!$F$2:$F$1000,MATCH($W106,'🎓 Alumnas'!$A$2:$A$1000,0))),""))</f>
        <v/>
      </c>
      <c r="I106" s="30" t="str">
        <f aca="false">IF($W106="","",IFERROR(IF(INDEX('🎓 Alumnas'!$G$2:$G$1000,MATCH($W106,'🎓 Alumnas'!$A$2:$A$1000,0))="","",INDEX('🎓 Alumnas'!$G$2:$G$1000,MATCH($W106,'🎓 Alumnas'!$A$2:$A$1000,0))),""))</f>
        <v/>
      </c>
      <c r="J106" s="28" t="str">
        <f aca="true">IF(I106="","",DATEDIF(I106,TODAY(),"Y"))</f>
        <v/>
      </c>
      <c r="K106" s="25"/>
      <c r="L106" s="28" t="str">
        <f aca="false">IF(K106="","",IF(LEFT(K106,6)="1 Pole","Alquiler",IF(LEFT(K106,7)="1 Clase","Clase suelta","Paquete")))</f>
        <v/>
      </c>
      <c r="M106" s="25"/>
      <c r="N106" s="25"/>
      <c r="O106" s="35"/>
      <c r="P106" s="29" t="str">
        <f aca="false">IF(O106="","",N106*O106)</f>
        <v/>
      </c>
      <c r="Q106" s="36"/>
      <c r="R106" s="25"/>
      <c r="S106" s="25"/>
      <c r="T106" s="28" t="str">
        <f aca="false">IF(OR(LEFT(W106,2)&lt;&gt;"A-",ISERROR(MATCH(W106,'🎓 Alumnas'!$A$2:$A$1000,0))),"",IF(COUNTIF($W$2:W106,W106)=1,"Nueva","Recurrente"))</f>
        <v/>
      </c>
      <c r="U106" s="28" t="str">
        <f aca="false">IF(OR(T106="",L106&lt;&gt;"Paquete"),"",COUNTIFS($W$2:W106,W106,$L$2:L106,"Paquete"))</f>
        <v/>
      </c>
      <c r="V106" s="25"/>
      <c r="W106" s="34" t="str">
        <f aca="false">IF(TRIM($C106)="","",IF(COUNTIF('🎓 Alumnas'!$P$2:$P$1000,TRIM($C106))&gt;0,INDEX('🎓 Alumnas'!$A$2:$A$1000,MATCH(TRIM($C106),'🎓 Alumnas'!$P$2:$P$1000,0)),IF(COUNTIF('🎓 Alumnas'!$O$2:$O$1000,TRIM($C106)&amp;"|*")=1,INDEX('🎓 Alumnas'!$A$2:$A$1000,MATCH(TRIM($C106)&amp;"|*",'🎓 Alumnas'!$O$2:$O$1000,0)),IF(COUNTIF('🎓 Alumnas'!$O$2:$O$1000,"*|"&amp;TRIM($C106))=1,INDEX('🎓 Alumnas'!$A$2:$A$1000,MATCH("*|"&amp;TRIM($C106),'🎓 Alumnas'!$O$2:$O$1000,0)),IF(COUNTIF('🎓 Alumnas'!$Q$2:$Q$1000,TRIM($C106))=1,INDEX('🎓 Alumnas'!$A$2:$A$1000,MATCH(TRIM($C106),'🎓 Alumnas'!$Q$2:$Q$1000,0)),IF(COUNTIF('🎓 Alumnas'!$P$2:$P$1000,"*"&amp;TRIM($C106)&amp;"*")=1,INDEX('🎓 Alumnas'!$A$2:$A$1000,MATCH("*"&amp;TRIM($C106)&amp;"*",'🎓 Alumnas'!$P$2:$P$1000,0)),IF(COUNTIF('🎓 Alumnas'!$Q$2:$Q$1000,"*"&amp;TRIM($C106)&amp;"*")=1,INDEX('🎓 Alumnas'!$A$2:$A$1000,MATCH("*"&amp;TRIM($C106)&amp;"*",'🎓 Alumnas'!$Q$2:$Q$1000,0)),IF(COUNTIF('🎓 Alumnas'!$P$2:$P$1000,"*"&amp;TRIM($C106)&amp;"*")+COUNTIF('🎓 Alumnas'!$Q$2:$Q$1000,"*"&amp;TRIM($C106)&amp;"*")&gt;1,"Varias: elige de la lista","No encontrada"))))))))</f>
        <v/>
      </c>
    </row>
    <row r="107" customFormat="false" ht="14.25" hidden="false" customHeight="true" outlineLevel="0" collapsed="false">
      <c r="A107" s="25" t="s">
        <v>652</v>
      </c>
      <c r="B107" s="27"/>
      <c r="C107" s="25"/>
      <c r="D107" s="34" t="str">
        <f aca="false">IF($W107="","",IFERROR(TRIM(INDEX('🎓 Alumnas'!$B$2:$B$1000,MATCH($W107,'🎓 Alumnas'!$A$2:$A$1000,0))),""))</f>
        <v/>
      </c>
      <c r="E107" s="34" t="str">
        <f aca="false">IF($W107="","",IFERROR(TRIM(INDEX('🎓 Alumnas'!$C$2:$C$1000,MATCH($W107,'🎓 Alumnas'!$A$2:$A$1000,0))),""))</f>
        <v/>
      </c>
      <c r="F107" s="34" t="str">
        <f aca="false">IF($W107="","",IFERROR(IF(INDEX('🎓 Alumnas'!$D$2:$D$1000,MATCH($W107,'🎓 Alumnas'!$A$2:$A$1000,0))="","",INDEX('🎓 Alumnas'!$D$2:$D$1000,MATCH($W107,'🎓 Alumnas'!$A$2:$A$1000,0))),""))</f>
        <v/>
      </c>
      <c r="G107" s="28" t="str">
        <f aca="false">IF($W107="","",IFERROR(IF(INDEX('🎓 Alumnas'!$E$2:$E$1000,MATCH($W107,'🎓 Alumnas'!$A$2:$A$1000,0))="","",INDEX('🎓 Alumnas'!$E$2:$E$1000,MATCH($W107,'🎓 Alumnas'!$A$2:$A$1000,0))),""))</f>
        <v/>
      </c>
      <c r="H107" s="28" t="str">
        <f aca="false">IF($W107="","",IFERROR(IF(INDEX('🎓 Alumnas'!$F$2:$F$1000,MATCH($W107,'🎓 Alumnas'!$A$2:$A$1000,0))="","",INDEX('🎓 Alumnas'!$F$2:$F$1000,MATCH($W107,'🎓 Alumnas'!$A$2:$A$1000,0))),""))</f>
        <v/>
      </c>
      <c r="I107" s="30" t="str">
        <f aca="false">IF($W107="","",IFERROR(IF(INDEX('🎓 Alumnas'!$G$2:$G$1000,MATCH($W107,'🎓 Alumnas'!$A$2:$A$1000,0))="","",INDEX('🎓 Alumnas'!$G$2:$G$1000,MATCH($W107,'🎓 Alumnas'!$A$2:$A$1000,0))),""))</f>
        <v/>
      </c>
      <c r="J107" s="28" t="str">
        <f aca="true">IF(I107="","",DATEDIF(I107,TODAY(),"Y"))</f>
        <v/>
      </c>
      <c r="K107" s="25"/>
      <c r="L107" s="28" t="str">
        <f aca="false">IF(K107="","",IF(LEFT(K107,6)="1 Pole","Alquiler",IF(LEFT(K107,7)="1 Clase","Clase suelta","Paquete")))</f>
        <v/>
      </c>
      <c r="M107" s="25"/>
      <c r="N107" s="25"/>
      <c r="O107" s="35"/>
      <c r="P107" s="29" t="str">
        <f aca="false">IF(O107="","",N107*O107)</f>
        <v/>
      </c>
      <c r="Q107" s="36"/>
      <c r="R107" s="25"/>
      <c r="S107" s="25"/>
      <c r="T107" s="28" t="str">
        <f aca="false">IF(OR(LEFT(W107,2)&lt;&gt;"A-",ISERROR(MATCH(W107,'🎓 Alumnas'!$A$2:$A$1000,0))),"",IF(COUNTIF($W$2:W107,W107)=1,"Nueva","Recurrente"))</f>
        <v/>
      </c>
      <c r="U107" s="28" t="str">
        <f aca="false">IF(OR(T107="",L107&lt;&gt;"Paquete"),"",COUNTIFS($W$2:W107,W107,$L$2:L107,"Paquete"))</f>
        <v/>
      </c>
      <c r="V107" s="25"/>
      <c r="W107" s="34" t="str">
        <f aca="false">IF(TRIM($C107)="","",IF(COUNTIF('🎓 Alumnas'!$P$2:$P$1000,TRIM($C107))&gt;0,INDEX('🎓 Alumnas'!$A$2:$A$1000,MATCH(TRIM($C107),'🎓 Alumnas'!$P$2:$P$1000,0)),IF(COUNTIF('🎓 Alumnas'!$O$2:$O$1000,TRIM($C107)&amp;"|*")=1,INDEX('🎓 Alumnas'!$A$2:$A$1000,MATCH(TRIM($C107)&amp;"|*",'🎓 Alumnas'!$O$2:$O$1000,0)),IF(COUNTIF('🎓 Alumnas'!$O$2:$O$1000,"*|"&amp;TRIM($C107))=1,INDEX('🎓 Alumnas'!$A$2:$A$1000,MATCH("*|"&amp;TRIM($C107),'🎓 Alumnas'!$O$2:$O$1000,0)),IF(COUNTIF('🎓 Alumnas'!$Q$2:$Q$1000,TRIM($C107))=1,INDEX('🎓 Alumnas'!$A$2:$A$1000,MATCH(TRIM($C107),'🎓 Alumnas'!$Q$2:$Q$1000,0)),IF(COUNTIF('🎓 Alumnas'!$P$2:$P$1000,"*"&amp;TRIM($C107)&amp;"*")=1,INDEX('🎓 Alumnas'!$A$2:$A$1000,MATCH("*"&amp;TRIM($C107)&amp;"*",'🎓 Alumnas'!$P$2:$P$1000,0)),IF(COUNTIF('🎓 Alumnas'!$Q$2:$Q$1000,"*"&amp;TRIM($C107)&amp;"*")=1,INDEX('🎓 Alumnas'!$A$2:$A$1000,MATCH("*"&amp;TRIM($C107)&amp;"*",'🎓 Alumnas'!$Q$2:$Q$1000,0)),IF(COUNTIF('🎓 Alumnas'!$P$2:$P$1000,"*"&amp;TRIM($C107)&amp;"*")+COUNTIF('🎓 Alumnas'!$Q$2:$Q$1000,"*"&amp;TRIM($C107)&amp;"*")&gt;1,"Varias: elige de la lista","No encontrada"))))))))</f>
        <v/>
      </c>
    </row>
    <row r="108" customFormat="false" ht="14.25" hidden="false" customHeight="true" outlineLevel="0" collapsed="false">
      <c r="A108" s="25" t="s">
        <v>653</v>
      </c>
      <c r="B108" s="27"/>
      <c r="C108" s="25"/>
      <c r="D108" s="34" t="str">
        <f aca="false">IF($W108="","",IFERROR(TRIM(INDEX('🎓 Alumnas'!$B$2:$B$1000,MATCH($W108,'🎓 Alumnas'!$A$2:$A$1000,0))),""))</f>
        <v/>
      </c>
      <c r="E108" s="34" t="str">
        <f aca="false">IF($W108="","",IFERROR(TRIM(INDEX('🎓 Alumnas'!$C$2:$C$1000,MATCH($W108,'🎓 Alumnas'!$A$2:$A$1000,0))),""))</f>
        <v/>
      </c>
      <c r="F108" s="34" t="str">
        <f aca="false">IF($W108="","",IFERROR(IF(INDEX('🎓 Alumnas'!$D$2:$D$1000,MATCH($W108,'🎓 Alumnas'!$A$2:$A$1000,0))="","",INDEX('🎓 Alumnas'!$D$2:$D$1000,MATCH($W108,'🎓 Alumnas'!$A$2:$A$1000,0))),""))</f>
        <v/>
      </c>
      <c r="G108" s="28" t="str">
        <f aca="false">IF($W108="","",IFERROR(IF(INDEX('🎓 Alumnas'!$E$2:$E$1000,MATCH($W108,'🎓 Alumnas'!$A$2:$A$1000,0))="","",INDEX('🎓 Alumnas'!$E$2:$E$1000,MATCH($W108,'🎓 Alumnas'!$A$2:$A$1000,0))),""))</f>
        <v/>
      </c>
      <c r="H108" s="28" t="str">
        <f aca="false">IF($W108="","",IFERROR(IF(INDEX('🎓 Alumnas'!$F$2:$F$1000,MATCH($W108,'🎓 Alumnas'!$A$2:$A$1000,0))="","",INDEX('🎓 Alumnas'!$F$2:$F$1000,MATCH($W108,'🎓 Alumnas'!$A$2:$A$1000,0))),""))</f>
        <v/>
      </c>
      <c r="I108" s="30" t="str">
        <f aca="false">IF($W108="","",IFERROR(IF(INDEX('🎓 Alumnas'!$G$2:$G$1000,MATCH($W108,'🎓 Alumnas'!$A$2:$A$1000,0))="","",INDEX('🎓 Alumnas'!$G$2:$G$1000,MATCH($W108,'🎓 Alumnas'!$A$2:$A$1000,0))),""))</f>
        <v/>
      </c>
      <c r="J108" s="28" t="str">
        <f aca="true">IF(I108="","",DATEDIF(I108,TODAY(),"Y"))</f>
        <v/>
      </c>
      <c r="K108" s="25"/>
      <c r="L108" s="28" t="str">
        <f aca="false">IF(K108="","",IF(LEFT(K108,6)="1 Pole","Alquiler",IF(LEFT(K108,7)="1 Clase","Clase suelta","Paquete")))</f>
        <v/>
      </c>
      <c r="M108" s="25"/>
      <c r="N108" s="25"/>
      <c r="O108" s="35"/>
      <c r="P108" s="29" t="str">
        <f aca="false">IF(O108="","",N108*O108)</f>
        <v/>
      </c>
      <c r="Q108" s="36"/>
      <c r="R108" s="25"/>
      <c r="S108" s="25"/>
      <c r="T108" s="28" t="str">
        <f aca="false">IF(OR(LEFT(W108,2)&lt;&gt;"A-",ISERROR(MATCH(W108,'🎓 Alumnas'!$A$2:$A$1000,0))),"",IF(COUNTIF($W$2:W108,W108)=1,"Nueva","Recurrente"))</f>
        <v/>
      </c>
      <c r="U108" s="28" t="str">
        <f aca="false">IF(OR(T108="",L108&lt;&gt;"Paquete"),"",COUNTIFS($W$2:W108,W108,$L$2:L108,"Paquete"))</f>
        <v/>
      </c>
      <c r="V108" s="25"/>
      <c r="W108" s="34" t="str">
        <f aca="false">IF(TRIM($C108)="","",IF(COUNTIF('🎓 Alumnas'!$P$2:$P$1000,TRIM($C108))&gt;0,INDEX('🎓 Alumnas'!$A$2:$A$1000,MATCH(TRIM($C108),'🎓 Alumnas'!$P$2:$P$1000,0)),IF(COUNTIF('🎓 Alumnas'!$O$2:$O$1000,TRIM($C108)&amp;"|*")=1,INDEX('🎓 Alumnas'!$A$2:$A$1000,MATCH(TRIM($C108)&amp;"|*",'🎓 Alumnas'!$O$2:$O$1000,0)),IF(COUNTIF('🎓 Alumnas'!$O$2:$O$1000,"*|"&amp;TRIM($C108))=1,INDEX('🎓 Alumnas'!$A$2:$A$1000,MATCH("*|"&amp;TRIM($C108),'🎓 Alumnas'!$O$2:$O$1000,0)),IF(COUNTIF('🎓 Alumnas'!$Q$2:$Q$1000,TRIM($C108))=1,INDEX('🎓 Alumnas'!$A$2:$A$1000,MATCH(TRIM($C108),'🎓 Alumnas'!$Q$2:$Q$1000,0)),IF(COUNTIF('🎓 Alumnas'!$P$2:$P$1000,"*"&amp;TRIM($C108)&amp;"*")=1,INDEX('🎓 Alumnas'!$A$2:$A$1000,MATCH("*"&amp;TRIM($C108)&amp;"*",'🎓 Alumnas'!$P$2:$P$1000,0)),IF(COUNTIF('🎓 Alumnas'!$Q$2:$Q$1000,"*"&amp;TRIM($C108)&amp;"*")=1,INDEX('🎓 Alumnas'!$A$2:$A$1000,MATCH("*"&amp;TRIM($C108)&amp;"*",'🎓 Alumnas'!$Q$2:$Q$1000,0)),IF(COUNTIF('🎓 Alumnas'!$P$2:$P$1000,"*"&amp;TRIM($C108)&amp;"*")+COUNTIF('🎓 Alumnas'!$Q$2:$Q$1000,"*"&amp;TRIM($C108)&amp;"*")&gt;1,"Varias: elige de la lista","No encontrada"))))))))</f>
        <v/>
      </c>
    </row>
    <row r="109" customFormat="false" ht="14.25" hidden="false" customHeight="true" outlineLevel="0" collapsed="false">
      <c r="A109" s="25" t="s">
        <v>654</v>
      </c>
      <c r="B109" s="27"/>
      <c r="C109" s="25"/>
      <c r="D109" s="34" t="str">
        <f aca="false">IF($W109="","",IFERROR(TRIM(INDEX('🎓 Alumnas'!$B$2:$B$1000,MATCH($W109,'🎓 Alumnas'!$A$2:$A$1000,0))),""))</f>
        <v/>
      </c>
      <c r="E109" s="34" t="str">
        <f aca="false">IF($W109="","",IFERROR(TRIM(INDEX('🎓 Alumnas'!$C$2:$C$1000,MATCH($W109,'🎓 Alumnas'!$A$2:$A$1000,0))),""))</f>
        <v/>
      </c>
      <c r="F109" s="34" t="str">
        <f aca="false">IF($W109="","",IFERROR(IF(INDEX('🎓 Alumnas'!$D$2:$D$1000,MATCH($W109,'🎓 Alumnas'!$A$2:$A$1000,0))="","",INDEX('🎓 Alumnas'!$D$2:$D$1000,MATCH($W109,'🎓 Alumnas'!$A$2:$A$1000,0))),""))</f>
        <v/>
      </c>
      <c r="G109" s="28" t="str">
        <f aca="false">IF($W109="","",IFERROR(IF(INDEX('🎓 Alumnas'!$E$2:$E$1000,MATCH($W109,'🎓 Alumnas'!$A$2:$A$1000,0))="","",INDEX('🎓 Alumnas'!$E$2:$E$1000,MATCH($W109,'🎓 Alumnas'!$A$2:$A$1000,0))),""))</f>
        <v/>
      </c>
      <c r="H109" s="28" t="str">
        <f aca="false">IF($W109="","",IFERROR(IF(INDEX('🎓 Alumnas'!$F$2:$F$1000,MATCH($W109,'🎓 Alumnas'!$A$2:$A$1000,0))="","",INDEX('🎓 Alumnas'!$F$2:$F$1000,MATCH($W109,'🎓 Alumnas'!$A$2:$A$1000,0))),""))</f>
        <v/>
      </c>
      <c r="I109" s="30" t="str">
        <f aca="false">IF($W109="","",IFERROR(IF(INDEX('🎓 Alumnas'!$G$2:$G$1000,MATCH($W109,'🎓 Alumnas'!$A$2:$A$1000,0))="","",INDEX('🎓 Alumnas'!$G$2:$G$1000,MATCH($W109,'🎓 Alumnas'!$A$2:$A$1000,0))),""))</f>
        <v/>
      </c>
      <c r="J109" s="28" t="str">
        <f aca="true">IF(I109="","",DATEDIF(I109,TODAY(),"Y"))</f>
        <v/>
      </c>
      <c r="K109" s="25"/>
      <c r="L109" s="28" t="str">
        <f aca="false">IF(K109="","",IF(LEFT(K109,6)="1 Pole","Alquiler",IF(LEFT(K109,7)="1 Clase","Clase suelta","Paquete")))</f>
        <v/>
      </c>
      <c r="M109" s="25"/>
      <c r="N109" s="25"/>
      <c r="O109" s="35"/>
      <c r="P109" s="29" t="str">
        <f aca="false">IF(O109="","",N109*O109)</f>
        <v/>
      </c>
      <c r="Q109" s="36"/>
      <c r="R109" s="25"/>
      <c r="S109" s="25"/>
      <c r="T109" s="28" t="str">
        <f aca="false">IF(OR(LEFT(W109,2)&lt;&gt;"A-",ISERROR(MATCH(W109,'🎓 Alumnas'!$A$2:$A$1000,0))),"",IF(COUNTIF($W$2:W109,W109)=1,"Nueva","Recurrente"))</f>
        <v/>
      </c>
      <c r="U109" s="28" t="str">
        <f aca="false">IF(OR(T109="",L109&lt;&gt;"Paquete"),"",COUNTIFS($W$2:W109,W109,$L$2:L109,"Paquete"))</f>
        <v/>
      </c>
      <c r="V109" s="25"/>
      <c r="W109" s="34" t="str">
        <f aca="false">IF(TRIM($C109)="","",IF(COUNTIF('🎓 Alumnas'!$P$2:$P$1000,TRIM($C109))&gt;0,INDEX('🎓 Alumnas'!$A$2:$A$1000,MATCH(TRIM($C109),'🎓 Alumnas'!$P$2:$P$1000,0)),IF(COUNTIF('🎓 Alumnas'!$O$2:$O$1000,TRIM($C109)&amp;"|*")=1,INDEX('🎓 Alumnas'!$A$2:$A$1000,MATCH(TRIM($C109)&amp;"|*",'🎓 Alumnas'!$O$2:$O$1000,0)),IF(COUNTIF('🎓 Alumnas'!$O$2:$O$1000,"*|"&amp;TRIM($C109))=1,INDEX('🎓 Alumnas'!$A$2:$A$1000,MATCH("*|"&amp;TRIM($C109),'🎓 Alumnas'!$O$2:$O$1000,0)),IF(COUNTIF('🎓 Alumnas'!$Q$2:$Q$1000,TRIM($C109))=1,INDEX('🎓 Alumnas'!$A$2:$A$1000,MATCH(TRIM($C109),'🎓 Alumnas'!$Q$2:$Q$1000,0)),IF(COUNTIF('🎓 Alumnas'!$P$2:$P$1000,"*"&amp;TRIM($C109)&amp;"*")=1,INDEX('🎓 Alumnas'!$A$2:$A$1000,MATCH("*"&amp;TRIM($C109)&amp;"*",'🎓 Alumnas'!$P$2:$P$1000,0)),IF(COUNTIF('🎓 Alumnas'!$Q$2:$Q$1000,"*"&amp;TRIM($C109)&amp;"*")=1,INDEX('🎓 Alumnas'!$A$2:$A$1000,MATCH("*"&amp;TRIM($C109)&amp;"*",'🎓 Alumnas'!$Q$2:$Q$1000,0)),IF(COUNTIF('🎓 Alumnas'!$P$2:$P$1000,"*"&amp;TRIM($C109)&amp;"*")+COUNTIF('🎓 Alumnas'!$Q$2:$Q$1000,"*"&amp;TRIM($C109)&amp;"*")&gt;1,"Varias: elige de la lista","No encontrada"))))))))</f>
        <v/>
      </c>
    </row>
    <row r="110" customFormat="false" ht="14.25" hidden="false" customHeight="true" outlineLevel="0" collapsed="false">
      <c r="A110" s="25" t="s">
        <v>655</v>
      </c>
      <c r="B110" s="27"/>
      <c r="C110" s="25"/>
      <c r="D110" s="34" t="str">
        <f aca="false">IF($W110="","",IFERROR(TRIM(INDEX('🎓 Alumnas'!$B$2:$B$1000,MATCH($W110,'🎓 Alumnas'!$A$2:$A$1000,0))),""))</f>
        <v/>
      </c>
      <c r="E110" s="34" t="str">
        <f aca="false">IF($W110="","",IFERROR(TRIM(INDEX('🎓 Alumnas'!$C$2:$C$1000,MATCH($W110,'🎓 Alumnas'!$A$2:$A$1000,0))),""))</f>
        <v/>
      </c>
      <c r="F110" s="34" t="str">
        <f aca="false">IF($W110="","",IFERROR(IF(INDEX('🎓 Alumnas'!$D$2:$D$1000,MATCH($W110,'🎓 Alumnas'!$A$2:$A$1000,0))="","",INDEX('🎓 Alumnas'!$D$2:$D$1000,MATCH($W110,'🎓 Alumnas'!$A$2:$A$1000,0))),""))</f>
        <v/>
      </c>
      <c r="G110" s="28" t="str">
        <f aca="false">IF($W110="","",IFERROR(IF(INDEX('🎓 Alumnas'!$E$2:$E$1000,MATCH($W110,'🎓 Alumnas'!$A$2:$A$1000,0))="","",INDEX('🎓 Alumnas'!$E$2:$E$1000,MATCH($W110,'🎓 Alumnas'!$A$2:$A$1000,0))),""))</f>
        <v/>
      </c>
      <c r="H110" s="28" t="str">
        <f aca="false">IF($W110="","",IFERROR(IF(INDEX('🎓 Alumnas'!$F$2:$F$1000,MATCH($W110,'🎓 Alumnas'!$A$2:$A$1000,0))="","",INDEX('🎓 Alumnas'!$F$2:$F$1000,MATCH($W110,'🎓 Alumnas'!$A$2:$A$1000,0))),""))</f>
        <v/>
      </c>
      <c r="I110" s="30" t="str">
        <f aca="false">IF($W110="","",IFERROR(IF(INDEX('🎓 Alumnas'!$G$2:$G$1000,MATCH($W110,'🎓 Alumnas'!$A$2:$A$1000,0))="","",INDEX('🎓 Alumnas'!$G$2:$G$1000,MATCH($W110,'🎓 Alumnas'!$A$2:$A$1000,0))),""))</f>
        <v/>
      </c>
      <c r="J110" s="28" t="str">
        <f aca="true">IF(I110="","",DATEDIF(I110,TODAY(),"Y"))</f>
        <v/>
      </c>
      <c r="K110" s="25"/>
      <c r="L110" s="28" t="str">
        <f aca="false">IF(K110="","",IF(LEFT(K110,6)="1 Pole","Alquiler",IF(LEFT(K110,7)="1 Clase","Clase suelta","Paquete")))</f>
        <v/>
      </c>
      <c r="M110" s="25"/>
      <c r="N110" s="25"/>
      <c r="O110" s="35"/>
      <c r="P110" s="29" t="str">
        <f aca="false">IF(O110="","",N110*O110)</f>
        <v/>
      </c>
      <c r="Q110" s="36"/>
      <c r="R110" s="25"/>
      <c r="S110" s="25"/>
      <c r="T110" s="28" t="str">
        <f aca="false">IF(OR(LEFT(W110,2)&lt;&gt;"A-",ISERROR(MATCH(W110,'🎓 Alumnas'!$A$2:$A$1000,0))),"",IF(COUNTIF($W$2:W110,W110)=1,"Nueva","Recurrente"))</f>
        <v/>
      </c>
      <c r="U110" s="28" t="str">
        <f aca="false">IF(OR(T110="",L110&lt;&gt;"Paquete"),"",COUNTIFS($W$2:W110,W110,$L$2:L110,"Paquete"))</f>
        <v/>
      </c>
      <c r="V110" s="25"/>
      <c r="W110" s="34" t="str">
        <f aca="false">IF(TRIM($C110)="","",IF(COUNTIF('🎓 Alumnas'!$P$2:$P$1000,TRIM($C110))&gt;0,INDEX('🎓 Alumnas'!$A$2:$A$1000,MATCH(TRIM($C110),'🎓 Alumnas'!$P$2:$P$1000,0)),IF(COUNTIF('🎓 Alumnas'!$O$2:$O$1000,TRIM($C110)&amp;"|*")=1,INDEX('🎓 Alumnas'!$A$2:$A$1000,MATCH(TRIM($C110)&amp;"|*",'🎓 Alumnas'!$O$2:$O$1000,0)),IF(COUNTIF('🎓 Alumnas'!$O$2:$O$1000,"*|"&amp;TRIM($C110))=1,INDEX('🎓 Alumnas'!$A$2:$A$1000,MATCH("*|"&amp;TRIM($C110),'🎓 Alumnas'!$O$2:$O$1000,0)),IF(COUNTIF('🎓 Alumnas'!$Q$2:$Q$1000,TRIM($C110))=1,INDEX('🎓 Alumnas'!$A$2:$A$1000,MATCH(TRIM($C110),'🎓 Alumnas'!$Q$2:$Q$1000,0)),IF(COUNTIF('🎓 Alumnas'!$P$2:$P$1000,"*"&amp;TRIM($C110)&amp;"*")=1,INDEX('🎓 Alumnas'!$A$2:$A$1000,MATCH("*"&amp;TRIM($C110)&amp;"*",'🎓 Alumnas'!$P$2:$P$1000,0)),IF(COUNTIF('🎓 Alumnas'!$Q$2:$Q$1000,"*"&amp;TRIM($C110)&amp;"*")=1,INDEX('🎓 Alumnas'!$A$2:$A$1000,MATCH("*"&amp;TRIM($C110)&amp;"*",'🎓 Alumnas'!$Q$2:$Q$1000,0)),IF(COUNTIF('🎓 Alumnas'!$P$2:$P$1000,"*"&amp;TRIM($C110)&amp;"*")+COUNTIF('🎓 Alumnas'!$Q$2:$Q$1000,"*"&amp;TRIM($C110)&amp;"*")&gt;1,"Varias: elige de la lista","No encontrada"))))))))</f>
        <v/>
      </c>
    </row>
    <row r="111" customFormat="false" ht="14.25" hidden="false" customHeight="true" outlineLevel="0" collapsed="false">
      <c r="A111" s="25" t="s">
        <v>656</v>
      </c>
      <c r="B111" s="27"/>
      <c r="C111" s="25"/>
      <c r="D111" s="34" t="str">
        <f aca="false">IF($W111="","",IFERROR(TRIM(INDEX('🎓 Alumnas'!$B$2:$B$1000,MATCH($W111,'🎓 Alumnas'!$A$2:$A$1000,0))),""))</f>
        <v/>
      </c>
      <c r="E111" s="34" t="str">
        <f aca="false">IF($W111="","",IFERROR(TRIM(INDEX('🎓 Alumnas'!$C$2:$C$1000,MATCH($W111,'🎓 Alumnas'!$A$2:$A$1000,0))),""))</f>
        <v/>
      </c>
      <c r="F111" s="34" t="str">
        <f aca="false">IF($W111="","",IFERROR(IF(INDEX('🎓 Alumnas'!$D$2:$D$1000,MATCH($W111,'🎓 Alumnas'!$A$2:$A$1000,0))="","",INDEX('🎓 Alumnas'!$D$2:$D$1000,MATCH($W111,'🎓 Alumnas'!$A$2:$A$1000,0))),""))</f>
        <v/>
      </c>
      <c r="G111" s="28" t="str">
        <f aca="false">IF($W111="","",IFERROR(IF(INDEX('🎓 Alumnas'!$E$2:$E$1000,MATCH($W111,'🎓 Alumnas'!$A$2:$A$1000,0))="","",INDEX('🎓 Alumnas'!$E$2:$E$1000,MATCH($W111,'🎓 Alumnas'!$A$2:$A$1000,0))),""))</f>
        <v/>
      </c>
      <c r="H111" s="28" t="str">
        <f aca="false">IF($W111="","",IFERROR(IF(INDEX('🎓 Alumnas'!$F$2:$F$1000,MATCH($W111,'🎓 Alumnas'!$A$2:$A$1000,0))="","",INDEX('🎓 Alumnas'!$F$2:$F$1000,MATCH($W111,'🎓 Alumnas'!$A$2:$A$1000,0))),""))</f>
        <v/>
      </c>
      <c r="I111" s="30" t="str">
        <f aca="false">IF($W111="","",IFERROR(IF(INDEX('🎓 Alumnas'!$G$2:$G$1000,MATCH($W111,'🎓 Alumnas'!$A$2:$A$1000,0))="","",INDEX('🎓 Alumnas'!$G$2:$G$1000,MATCH($W111,'🎓 Alumnas'!$A$2:$A$1000,0))),""))</f>
        <v/>
      </c>
      <c r="J111" s="28" t="str">
        <f aca="true">IF(I111="","",DATEDIF(I111,TODAY(),"Y"))</f>
        <v/>
      </c>
      <c r="K111" s="25"/>
      <c r="L111" s="28" t="str">
        <f aca="false">IF(K111="","",IF(LEFT(K111,6)="1 Pole","Alquiler",IF(LEFT(K111,7)="1 Clase","Clase suelta","Paquete")))</f>
        <v/>
      </c>
      <c r="M111" s="25"/>
      <c r="N111" s="25"/>
      <c r="O111" s="35"/>
      <c r="P111" s="29" t="str">
        <f aca="false">IF(O111="","",N111*O111)</f>
        <v/>
      </c>
      <c r="Q111" s="36"/>
      <c r="R111" s="25"/>
      <c r="S111" s="25"/>
      <c r="T111" s="28" t="str">
        <f aca="false">IF(OR(LEFT(W111,2)&lt;&gt;"A-",ISERROR(MATCH(W111,'🎓 Alumnas'!$A$2:$A$1000,0))),"",IF(COUNTIF($W$2:W111,W111)=1,"Nueva","Recurrente"))</f>
        <v/>
      </c>
      <c r="U111" s="28" t="str">
        <f aca="false">IF(OR(T111="",L111&lt;&gt;"Paquete"),"",COUNTIFS($W$2:W111,W111,$L$2:L111,"Paquete"))</f>
        <v/>
      </c>
      <c r="V111" s="25"/>
      <c r="W111" s="34" t="str">
        <f aca="false">IF(TRIM($C111)="","",IF(COUNTIF('🎓 Alumnas'!$P$2:$P$1000,TRIM($C111))&gt;0,INDEX('🎓 Alumnas'!$A$2:$A$1000,MATCH(TRIM($C111),'🎓 Alumnas'!$P$2:$P$1000,0)),IF(COUNTIF('🎓 Alumnas'!$O$2:$O$1000,TRIM($C111)&amp;"|*")=1,INDEX('🎓 Alumnas'!$A$2:$A$1000,MATCH(TRIM($C111)&amp;"|*",'🎓 Alumnas'!$O$2:$O$1000,0)),IF(COUNTIF('🎓 Alumnas'!$O$2:$O$1000,"*|"&amp;TRIM($C111))=1,INDEX('🎓 Alumnas'!$A$2:$A$1000,MATCH("*|"&amp;TRIM($C111),'🎓 Alumnas'!$O$2:$O$1000,0)),IF(COUNTIF('🎓 Alumnas'!$Q$2:$Q$1000,TRIM($C111))=1,INDEX('🎓 Alumnas'!$A$2:$A$1000,MATCH(TRIM($C111),'🎓 Alumnas'!$Q$2:$Q$1000,0)),IF(COUNTIF('🎓 Alumnas'!$P$2:$P$1000,"*"&amp;TRIM($C111)&amp;"*")=1,INDEX('🎓 Alumnas'!$A$2:$A$1000,MATCH("*"&amp;TRIM($C111)&amp;"*",'🎓 Alumnas'!$P$2:$P$1000,0)),IF(COUNTIF('🎓 Alumnas'!$Q$2:$Q$1000,"*"&amp;TRIM($C111)&amp;"*")=1,INDEX('🎓 Alumnas'!$A$2:$A$1000,MATCH("*"&amp;TRIM($C111)&amp;"*",'🎓 Alumnas'!$Q$2:$Q$1000,0)),IF(COUNTIF('🎓 Alumnas'!$P$2:$P$1000,"*"&amp;TRIM($C111)&amp;"*")+COUNTIF('🎓 Alumnas'!$Q$2:$Q$1000,"*"&amp;TRIM($C111)&amp;"*")&gt;1,"Varias: elige de la lista","No encontrada"))))))))</f>
        <v/>
      </c>
    </row>
    <row r="112" customFormat="false" ht="14.25" hidden="false" customHeight="true" outlineLevel="0" collapsed="false">
      <c r="A112" s="25" t="s">
        <v>657</v>
      </c>
      <c r="B112" s="27"/>
      <c r="C112" s="25"/>
      <c r="D112" s="34" t="str">
        <f aca="false">IF($W112="","",IFERROR(TRIM(INDEX('🎓 Alumnas'!$B$2:$B$1000,MATCH($W112,'🎓 Alumnas'!$A$2:$A$1000,0))),""))</f>
        <v/>
      </c>
      <c r="E112" s="34" t="str">
        <f aca="false">IF($W112="","",IFERROR(TRIM(INDEX('🎓 Alumnas'!$C$2:$C$1000,MATCH($W112,'🎓 Alumnas'!$A$2:$A$1000,0))),""))</f>
        <v/>
      </c>
      <c r="F112" s="34" t="str">
        <f aca="false">IF($W112="","",IFERROR(IF(INDEX('🎓 Alumnas'!$D$2:$D$1000,MATCH($W112,'🎓 Alumnas'!$A$2:$A$1000,0))="","",INDEX('🎓 Alumnas'!$D$2:$D$1000,MATCH($W112,'🎓 Alumnas'!$A$2:$A$1000,0))),""))</f>
        <v/>
      </c>
      <c r="G112" s="28" t="str">
        <f aca="false">IF($W112="","",IFERROR(IF(INDEX('🎓 Alumnas'!$E$2:$E$1000,MATCH($W112,'🎓 Alumnas'!$A$2:$A$1000,0))="","",INDEX('🎓 Alumnas'!$E$2:$E$1000,MATCH($W112,'🎓 Alumnas'!$A$2:$A$1000,0))),""))</f>
        <v/>
      </c>
      <c r="H112" s="28" t="str">
        <f aca="false">IF($W112="","",IFERROR(IF(INDEX('🎓 Alumnas'!$F$2:$F$1000,MATCH($W112,'🎓 Alumnas'!$A$2:$A$1000,0))="","",INDEX('🎓 Alumnas'!$F$2:$F$1000,MATCH($W112,'🎓 Alumnas'!$A$2:$A$1000,0))),""))</f>
        <v/>
      </c>
      <c r="I112" s="30" t="str">
        <f aca="false">IF($W112="","",IFERROR(IF(INDEX('🎓 Alumnas'!$G$2:$G$1000,MATCH($W112,'🎓 Alumnas'!$A$2:$A$1000,0))="","",INDEX('🎓 Alumnas'!$G$2:$G$1000,MATCH($W112,'🎓 Alumnas'!$A$2:$A$1000,0))),""))</f>
        <v/>
      </c>
      <c r="J112" s="28" t="str">
        <f aca="true">IF(I112="","",DATEDIF(I112,TODAY(),"Y"))</f>
        <v/>
      </c>
      <c r="K112" s="25"/>
      <c r="L112" s="28" t="str">
        <f aca="false">IF(K112="","",IF(LEFT(K112,6)="1 Pole","Alquiler",IF(LEFT(K112,7)="1 Clase","Clase suelta","Paquete")))</f>
        <v/>
      </c>
      <c r="M112" s="25"/>
      <c r="N112" s="25"/>
      <c r="O112" s="35"/>
      <c r="P112" s="29" t="str">
        <f aca="false">IF(O112="","",N112*O112)</f>
        <v/>
      </c>
      <c r="Q112" s="36"/>
      <c r="R112" s="25"/>
      <c r="S112" s="25"/>
      <c r="T112" s="28" t="str">
        <f aca="false">IF(OR(LEFT(W112,2)&lt;&gt;"A-",ISERROR(MATCH(W112,'🎓 Alumnas'!$A$2:$A$1000,0))),"",IF(COUNTIF($W$2:W112,W112)=1,"Nueva","Recurrente"))</f>
        <v/>
      </c>
      <c r="U112" s="28" t="str">
        <f aca="false">IF(OR(T112="",L112&lt;&gt;"Paquete"),"",COUNTIFS($W$2:W112,W112,$L$2:L112,"Paquete"))</f>
        <v/>
      </c>
      <c r="V112" s="25"/>
      <c r="W112" s="34" t="str">
        <f aca="false">IF(TRIM($C112)="","",IF(COUNTIF('🎓 Alumnas'!$P$2:$P$1000,TRIM($C112))&gt;0,INDEX('🎓 Alumnas'!$A$2:$A$1000,MATCH(TRIM($C112),'🎓 Alumnas'!$P$2:$P$1000,0)),IF(COUNTIF('🎓 Alumnas'!$O$2:$O$1000,TRIM($C112)&amp;"|*")=1,INDEX('🎓 Alumnas'!$A$2:$A$1000,MATCH(TRIM($C112)&amp;"|*",'🎓 Alumnas'!$O$2:$O$1000,0)),IF(COUNTIF('🎓 Alumnas'!$O$2:$O$1000,"*|"&amp;TRIM($C112))=1,INDEX('🎓 Alumnas'!$A$2:$A$1000,MATCH("*|"&amp;TRIM($C112),'🎓 Alumnas'!$O$2:$O$1000,0)),IF(COUNTIF('🎓 Alumnas'!$Q$2:$Q$1000,TRIM($C112))=1,INDEX('🎓 Alumnas'!$A$2:$A$1000,MATCH(TRIM($C112),'🎓 Alumnas'!$Q$2:$Q$1000,0)),IF(COUNTIF('🎓 Alumnas'!$P$2:$P$1000,"*"&amp;TRIM($C112)&amp;"*")=1,INDEX('🎓 Alumnas'!$A$2:$A$1000,MATCH("*"&amp;TRIM($C112)&amp;"*",'🎓 Alumnas'!$P$2:$P$1000,0)),IF(COUNTIF('🎓 Alumnas'!$Q$2:$Q$1000,"*"&amp;TRIM($C112)&amp;"*")=1,INDEX('🎓 Alumnas'!$A$2:$A$1000,MATCH("*"&amp;TRIM($C112)&amp;"*",'🎓 Alumnas'!$Q$2:$Q$1000,0)),IF(COUNTIF('🎓 Alumnas'!$P$2:$P$1000,"*"&amp;TRIM($C112)&amp;"*")+COUNTIF('🎓 Alumnas'!$Q$2:$Q$1000,"*"&amp;TRIM($C112)&amp;"*")&gt;1,"Varias: elige de la lista","No encontrada"))))))))</f>
        <v/>
      </c>
    </row>
    <row r="113" customFormat="false" ht="14.25" hidden="false" customHeight="true" outlineLevel="0" collapsed="false">
      <c r="A113" s="25" t="s">
        <v>658</v>
      </c>
      <c r="B113" s="27"/>
      <c r="C113" s="25"/>
      <c r="D113" s="34" t="str">
        <f aca="false">IF($W113="","",IFERROR(TRIM(INDEX('🎓 Alumnas'!$B$2:$B$1000,MATCH($W113,'🎓 Alumnas'!$A$2:$A$1000,0))),""))</f>
        <v/>
      </c>
      <c r="E113" s="34" t="str">
        <f aca="false">IF($W113="","",IFERROR(TRIM(INDEX('🎓 Alumnas'!$C$2:$C$1000,MATCH($W113,'🎓 Alumnas'!$A$2:$A$1000,0))),""))</f>
        <v/>
      </c>
      <c r="F113" s="34" t="str">
        <f aca="false">IF($W113="","",IFERROR(IF(INDEX('🎓 Alumnas'!$D$2:$D$1000,MATCH($W113,'🎓 Alumnas'!$A$2:$A$1000,0))="","",INDEX('🎓 Alumnas'!$D$2:$D$1000,MATCH($W113,'🎓 Alumnas'!$A$2:$A$1000,0))),""))</f>
        <v/>
      </c>
      <c r="G113" s="28" t="str">
        <f aca="false">IF($W113="","",IFERROR(IF(INDEX('🎓 Alumnas'!$E$2:$E$1000,MATCH($W113,'🎓 Alumnas'!$A$2:$A$1000,0))="","",INDEX('🎓 Alumnas'!$E$2:$E$1000,MATCH($W113,'🎓 Alumnas'!$A$2:$A$1000,0))),""))</f>
        <v/>
      </c>
      <c r="H113" s="28" t="str">
        <f aca="false">IF($W113="","",IFERROR(IF(INDEX('🎓 Alumnas'!$F$2:$F$1000,MATCH($W113,'🎓 Alumnas'!$A$2:$A$1000,0))="","",INDEX('🎓 Alumnas'!$F$2:$F$1000,MATCH($W113,'🎓 Alumnas'!$A$2:$A$1000,0))),""))</f>
        <v/>
      </c>
      <c r="I113" s="30" t="str">
        <f aca="false">IF($W113="","",IFERROR(IF(INDEX('🎓 Alumnas'!$G$2:$G$1000,MATCH($W113,'🎓 Alumnas'!$A$2:$A$1000,0))="","",INDEX('🎓 Alumnas'!$G$2:$G$1000,MATCH($W113,'🎓 Alumnas'!$A$2:$A$1000,0))),""))</f>
        <v/>
      </c>
      <c r="J113" s="28" t="str">
        <f aca="true">IF(I113="","",DATEDIF(I113,TODAY(),"Y"))</f>
        <v/>
      </c>
      <c r="K113" s="25"/>
      <c r="L113" s="28" t="str">
        <f aca="false">IF(K113="","",IF(LEFT(K113,6)="1 Pole","Alquiler",IF(LEFT(K113,7)="1 Clase","Clase suelta","Paquete")))</f>
        <v/>
      </c>
      <c r="M113" s="25"/>
      <c r="N113" s="25"/>
      <c r="O113" s="35"/>
      <c r="P113" s="29" t="str">
        <f aca="false">IF(O113="","",N113*O113)</f>
        <v/>
      </c>
      <c r="Q113" s="36"/>
      <c r="R113" s="25"/>
      <c r="S113" s="25"/>
      <c r="T113" s="28" t="str">
        <f aca="false">IF(OR(LEFT(W113,2)&lt;&gt;"A-",ISERROR(MATCH(W113,'🎓 Alumnas'!$A$2:$A$1000,0))),"",IF(COUNTIF($W$2:W113,W113)=1,"Nueva","Recurrente"))</f>
        <v/>
      </c>
      <c r="U113" s="28" t="str">
        <f aca="false">IF(OR(T113="",L113&lt;&gt;"Paquete"),"",COUNTIFS($W$2:W113,W113,$L$2:L113,"Paquete"))</f>
        <v/>
      </c>
      <c r="V113" s="25"/>
      <c r="W113" s="34" t="str">
        <f aca="false">IF(TRIM($C113)="","",IF(COUNTIF('🎓 Alumnas'!$P$2:$P$1000,TRIM($C113))&gt;0,INDEX('🎓 Alumnas'!$A$2:$A$1000,MATCH(TRIM($C113),'🎓 Alumnas'!$P$2:$P$1000,0)),IF(COUNTIF('🎓 Alumnas'!$O$2:$O$1000,TRIM($C113)&amp;"|*")=1,INDEX('🎓 Alumnas'!$A$2:$A$1000,MATCH(TRIM($C113)&amp;"|*",'🎓 Alumnas'!$O$2:$O$1000,0)),IF(COUNTIF('🎓 Alumnas'!$O$2:$O$1000,"*|"&amp;TRIM($C113))=1,INDEX('🎓 Alumnas'!$A$2:$A$1000,MATCH("*|"&amp;TRIM($C113),'🎓 Alumnas'!$O$2:$O$1000,0)),IF(COUNTIF('🎓 Alumnas'!$Q$2:$Q$1000,TRIM($C113))=1,INDEX('🎓 Alumnas'!$A$2:$A$1000,MATCH(TRIM($C113),'🎓 Alumnas'!$Q$2:$Q$1000,0)),IF(COUNTIF('🎓 Alumnas'!$P$2:$P$1000,"*"&amp;TRIM($C113)&amp;"*")=1,INDEX('🎓 Alumnas'!$A$2:$A$1000,MATCH("*"&amp;TRIM($C113)&amp;"*",'🎓 Alumnas'!$P$2:$P$1000,0)),IF(COUNTIF('🎓 Alumnas'!$Q$2:$Q$1000,"*"&amp;TRIM($C113)&amp;"*")=1,INDEX('🎓 Alumnas'!$A$2:$A$1000,MATCH("*"&amp;TRIM($C113)&amp;"*",'🎓 Alumnas'!$Q$2:$Q$1000,0)),IF(COUNTIF('🎓 Alumnas'!$P$2:$P$1000,"*"&amp;TRIM($C113)&amp;"*")+COUNTIF('🎓 Alumnas'!$Q$2:$Q$1000,"*"&amp;TRIM($C113)&amp;"*")&gt;1,"Varias: elige de la lista","No encontrada"))))))))</f>
        <v/>
      </c>
    </row>
    <row r="114" customFormat="false" ht="14.25" hidden="false" customHeight="true" outlineLevel="0" collapsed="false">
      <c r="A114" s="25" t="s">
        <v>659</v>
      </c>
      <c r="B114" s="27"/>
      <c r="C114" s="25"/>
      <c r="D114" s="34" t="str">
        <f aca="false">IF($W114="","",IFERROR(TRIM(INDEX('🎓 Alumnas'!$B$2:$B$1000,MATCH($W114,'🎓 Alumnas'!$A$2:$A$1000,0))),""))</f>
        <v/>
      </c>
      <c r="E114" s="34" t="str">
        <f aca="false">IF($W114="","",IFERROR(TRIM(INDEX('🎓 Alumnas'!$C$2:$C$1000,MATCH($W114,'🎓 Alumnas'!$A$2:$A$1000,0))),""))</f>
        <v/>
      </c>
      <c r="F114" s="34" t="str">
        <f aca="false">IF($W114="","",IFERROR(IF(INDEX('🎓 Alumnas'!$D$2:$D$1000,MATCH($W114,'🎓 Alumnas'!$A$2:$A$1000,0))="","",INDEX('🎓 Alumnas'!$D$2:$D$1000,MATCH($W114,'🎓 Alumnas'!$A$2:$A$1000,0))),""))</f>
        <v/>
      </c>
      <c r="G114" s="28" t="str">
        <f aca="false">IF($W114="","",IFERROR(IF(INDEX('🎓 Alumnas'!$E$2:$E$1000,MATCH($W114,'🎓 Alumnas'!$A$2:$A$1000,0))="","",INDEX('🎓 Alumnas'!$E$2:$E$1000,MATCH($W114,'🎓 Alumnas'!$A$2:$A$1000,0))),""))</f>
        <v/>
      </c>
      <c r="H114" s="28" t="str">
        <f aca="false">IF($W114="","",IFERROR(IF(INDEX('🎓 Alumnas'!$F$2:$F$1000,MATCH($W114,'🎓 Alumnas'!$A$2:$A$1000,0))="","",INDEX('🎓 Alumnas'!$F$2:$F$1000,MATCH($W114,'🎓 Alumnas'!$A$2:$A$1000,0))),""))</f>
        <v/>
      </c>
      <c r="I114" s="30" t="str">
        <f aca="false">IF($W114="","",IFERROR(IF(INDEX('🎓 Alumnas'!$G$2:$G$1000,MATCH($W114,'🎓 Alumnas'!$A$2:$A$1000,0))="","",INDEX('🎓 Alumnas'!$G$2:$G$1000,MATCH($W114,'🎓 Alumnas'!$A$2:$A$1000,0))),""))</f>
        <v/>
      </c>
      <c r="J114" s="28" t="str">
        <f aca="true">IF(I114="","",DATEDIF(I114,TODAY(),"Y"))</f>
        <v/>
      </c>
      <c r="K114" s="25"/>
      <c r="L114" s="28" t="str">
        <f aca="false">IF(K114="","",IF(LEFT(K114,6)="1 Pole","Alquiler",IF(LEFT(K114,7)="1 Clase","Clase suelta","Paquete")))</f>
        <v/>
      </c>
      <c r="M114" s="25"/>
      <c r="N114" s="25"/>
      <c r="O114" s="35"/>
      <c r="P114" s="29" t="str">
        <f aca="false">IF(O114="","",N114*O114)</f>
        <v/>
      </c>
      <c r="Q114" s="36"/>
      <c r="R114" s="25"/>
      <c r="S114" s="25"/>
      <c r="T114" s="28" t="str">
        <f aca="false">IF(OR(LEFT(W114,2)&lt;&gt;"A-",ISERROR(MATCH(W114,'🎓 Alumnas'!$A$2:$A$1000,0))),"",IF(COUNTIF($W$2:W114,W114)=1,"Nueva","Recurrente"))</f>
        <v/>
      </c>
      <c r="U114" s="28" t="str">
        <f aca="false">IF(OR(T114="",L114&lt;&gt;"Paquete"),"",COUNTIFS($W$2:W114,W114,$L$2:L114,"Paquete"))</f>
        <v/>
      </c>
      <c r="V114" s="25"/>
      <c r="W114" s="34" t="str">
        <f aca="false">IF(TRIM($C114)="","",IF(COUNTIF('🎓 Alumnas'!$P$2:$P$1000,TRIM($C114))&gt;0,INDEX('🎓 Alumnas'!$A$2:$A$1000,MATCH(TRIM($C114),'🎓 Alumnas'!$P$2:$P$1000,0)),IF(COUNTIF('🎓 Alumnas'!$O$2:$O$1000,TRIM($C114)&amp;"|*")=1,INDEX('🎓 Alumnas'!$A$2:$A$1000,MATCH(TRIM($C114)&amp;"|*",'🎓 Alumnas'!$O$2:$O$1000,0)),IF(COUNTIF('🎓 Alumnas'!$O$2:$O$1000,"*|"&amp;TRIM($C114))=1,INDEX('🎓 Alumnas'!$A$2:$A$1000,MATCH("*|"&amp;TRIM($C114),'🎓 Alumnas'!$O$2:$O$1000,0)),IF(COUNTIF('🎓 Alumnas'!$Q$2:$Q$1000,TRIM($C114))=1,INDEX('🎓 Alumnas'!$A$2:$A$1000,MATCH(TRIM($C114),'🎓 Alumnas'!$Q$2:$Q$1000,0)),IF(COUNTIF('🎓 Alumnas'!$P$2:$P$1000,"*"&amp;TRIM($C114)&amp;"*")=1,INDEX('🎓 Alumnas'!$A$2:$A$1000,MATCH("*"&amp;TRIM($C114)&amp;"*",'🎓 Alumnas'!$P$2:$P$1000,0)),IF(COUNTIF('🎓 Alumnas'!$Q$2:$Q$1000,"*"&amp;TRIM($C114)&amp;"*")=1,INDEX('🎓 Alumnas'!$A$2:$A$1000,MATCH("*"&amp;TRIM($C114)&amp;"*",'🎓 Alumnas'!$Q$2:$Q$1000,0)),IF(COUNTIF('🎓 Alumnas'!$P$2:$P$1000,"*"&amp;TRIM($C114)&amp;"*")+COUNTIF('🎓 Alumnas'!$Q$2:$Q$1000,"*"&amp;TRIM($C114)&amp;"*")&gt;1,"Varias: elige de la lista","No encontrada"))))))))</f>
        <v/>
      </c>
    </row>
    <row r="115" customFormat="false" ht="14.25" hidden="false" customHeight="true" outlineLevel="0" collapsed="false">
      <c r="A115" s="25" t="s">
        <v>660</v>
      </c>
      <c r="B115" s="27"/>
      <c r="C115" s="25"/>
      <c r="D115" s="34" t="str">
        <f aca="false">IF($W115="","",IFERROR(TRIM(INDEX('🎓 Alumnas'!$B$2:$B$1000,MATCH($W115,'🎓 Alumnas'!$A$2:$A$1000,0))),""))</f>
        <v/>
      </c>
      <c r="E115" s="34" t="str">
        <f aca="false">IF($W115="","",IFERROR(TRIM(INDEX('🎓 Alumnas'!$C$2:$C$1000,MATCH($W115,'🎓 Alumnas'!$A$2:$A$1000,0))),""))</f>
        <v/>
      </c>
      <c r="F115" s="34" t="str">
        <f aca="false">IF($W115="","",IFERROR(IF(INDEX('🎓 Alumnas'!$D$2:$D$1000,MATCH($W115,'🎓 Alumnas'!$A$2:$A$1000,0))="","",INDEX('🎓 Alumnas'!$D$2:$D$1000,MATCH($W115,'🎓 Alumnas'!$A$2:$A$1000,0))),""))</f>
        <v/>
      </c>
      <c r="G115" s="28" t="str">
        <f aca="false">IF($W115="","",IFERROR(IF(INDEX('🎓 Alumnas'!$E$2:$E$1000,MATCH($W115,'🎓 Alumnas'!$A$2:$A$1000,0))="","",INDEX('🎓 Alumnas'!$E$2:$E$1000,MATCH($W115,'🎓 Alumnas'!$A$2:$A$1000,0))),""))</f>
        <v/>
      </c>
      <c r="H115" s="28" t="str">
        <f aca="false">IF($W115="","",IFERROR(IF(INDEX('🎓 Alumnas'!$F$2:$F$1000,MATCH($W115,'🎓 Alumnas'!$A$2:$A$1000,0))="","",INDEX('🎓 Alumnas'!$F$2:$F$1000,MATCH($W115,'🎓 Alumnas'!$A$2:$A$1000,0))),""))</f>
        <v/>
      </c>
      <c r="I115" s="30" t="str">
        <f aca="false">IF($W115="","",IFERROR(IF(INDEX('🎓 Alumnas'!$G$2:$G$1000,MATCH($W115,'🎓 Alumnas'!$A$2:$A$1000,0))="","",INDEX('🎓 Alumnas'!$G$2:$G$1000,MATCH($W115,'🎓 Alumnas'!$A$2:$A$1000,0))),""))</f>
        <v/>
      </c>
      <c r="J115" s="28" t="str">
        <f aca="true">IF(I115="","",DATEDIF(I115,TODAY(),"Y"))</f>
        <v/>
      </c>
      <c r="K115" s="25"/>
      <c r="L115" s="28" t="str">
        <f aca="false">IF(K115="","",IF(LEFT(K115,6)="1 Pole","Alquiler",IF(LEFT(K115,7)="1 Clase","Clase suelta","Paquete")))</f>
        <v/>
      </c>
      <c r="M115" s="25"/>
      <c r="N115" s="25"/>
      <c r="O115" s="35"/>
      <c r="P115" s="29" t="str">
        <f aca="false">IF(O115="","",N115*O115)</f>
        <v/>
      </c>
      <c r="Q115" s="36"/>
      <c r="R115" s="25"/>
      <c r="S115" s="25"/>
      <c r="T115" s="28" t="str">
        <f aca="false">IF(OR(LEFT(W115,2)&lt;&gt;"A-",ISERROR(MATCH(W115,'🎓 Alumnas'!$A$2:$A$1000,0))),"",IF(COUNTIF($W$2:W115,W115)=1,"Nueva","Recurrente"))</f>
        <v/>
      </c>
      <c r="U115" s="28" t="str">
        <f aca="false">IF(OR(T115="",L115&lt;&gt;"Paquete"),"",COUNTIFS($W$2:W115,W115,$L$2:L115,"Paquete"))</f>
        <v/>
      </c>
      <c r="V115" s="25"/>
      <c r="W115" s="34" t="str">
        <f aca="false">IF(TRIM($C115)="","",IF(COUNTIF('🎓 Alumnas'!$P$2:$P$1000,TRIM($C115))&gt;0,INDEX('🎓 Alumnas'!$A$2:$A$1000,MATCH(TRIM($C115),'🎓 Alumnas'!$P$2:$P$1000,0)),IF(COUNTIF('🎓 Alumnas'!$O$2:$O$1000,TRIM($C115)&amp;"|*")=1,INDEX('🎓 Alumnas'!$A$2:$A$1000,MATCH(TRIM($C115)&amp;"|*",'🎓 Alumnas'!$O$2:$O$1000,0)),IF(COUNTIF('🎓 Alumnas'!$O$2:$O$1000,"*|"&amp;TRIM($C115))=1,INDEX('🎓 Alumnas'!$A$2:$A$1000,MATCH("*|"&amp;TRIM($C115),'🎓 Alumnas'!$O$2:$O$1000,0)),IF(COUNTIF('🎓 Alumnas'!$Q$2:$Q$1000,TRIM($C115))=1,INDEX('🎓 Alumnas'!$A$2:$A$1000,MATCH(TRIM($C115),'🎓 Alumnas'!$Q$2:$Q$1000,0)),IF(COUNTIF('🎓 Alumnas'!$P$2:$P$1000,"*"&amp;TRIM($C115)&amp;"*")=1,INDEX('🎓 Alumnas'!$A$2:$A$1000,MATCH("*"&amp;TRIM($C115)&amp;"*",'🎓 Alumnas'!$P$2:$P$1000,0)),IF(COUNTIF('🎓 Alumnas'!$Q$2:$Q$1000,"*"&amp;TRIM($C115)&amp;"*")=1,INDEX('🎓 Alumnas'!$A$2:$A$1000,MATCH("*"&amp;TRIM($C115)&amp;"*",'🎓 Alumnas'!$Q$2:$Q$1000,0)),IF(COUNTIF('🎓 Alumnas'!$P$2:$P$1000,"*"&amp;TRIM($C115)&amp;"*")+COUNTIF('🎓 Alumnas'!$Q$2:$Q$1000,"*"&amp;TRIM($C115)&amp;"*")&gt;1,"Varias: elige de la lista","No encontrada"))))))))</f>
        <v/>
      </c>
    </row>
    <row r="116" customFormat="false" ht="14.25" hidden="false" customHeight="true" outlineLevel="0" collapsed="false">
      <c r="A116" s="25" t="s">
        <v>661</v>
      </c>
      <c r="B116" s="27"/>
      <c r="C116" s="25"/>
      <c r="D116" s="34" t="str">
        <f aca="false">IF($W116="","",IFERROR(TRIM(INDEX('🎓 Alumnas'!$B$2:$B$1000,MATCH($W116,'🎓 Alumnas'!$A$2:$A$1000,0))),""))</f>
        <v/>
      </c>
      <c r="E116" s="34" t="str">
        <f aca="false">IF($W116="","",IFERROR(TRIM(INDEX('🎓 Alumnas'!$C$2:$C$1000,MATCH($W116,'🎓 Alumnas'!$A$2:$A$1000,0))),""))</f>
        <v/>
      </c>
      <c r="F116" s="34" t="str">
        <f aca="false">IF($W116="","",IFERROR(IF(INDEX('🎓 Alumnas'!$D$2:$D$1000,MATCH($W116,'🎓 Alumnas'!$A$2:$A$1000,0))="","",INDEX('🎓 Alumnas'!$D$2:$D$1000,MATCH($W116,'🎓 Alumnas'!$A$2:$A$1000,0))),""))</f>
        <v/>
      </c>
      <c r="G116" s="28" t="str">
        <f aca="false">IF($W116="","",IFERROR(IF(INDEX('🎓 Alumnas'!$E$2:$E$1000,MATCH($W116,'🎓 Alumnas'!$A$2:$A$1000,0))="","",INDEX('🎓 Alumnas'!$E$2:$E$1000,MATCH($W116,'🎓 Alumnas'!$A$2:$A$1000,0))),""))</f>
        <v/>
      </c>
      <c r="H116" s="28" t="str">
        <f aca="false">IF($W116="","",IFERROR(IF(INDEX('🎓 Alumnas'!$F$2:$F$1000,MATCH($W116,'🎓 Alumnas'!$A$2:$A$1000,0))="","",INDEX('🎓 Alumnas'!$F$2:$F$1000,MATCH($W116,'🎓 Alumnas'!$A$2:$A$1000,0))),""))</f>
        <v/>
      </c>
      <c r="I116" s="30" t="str">
        <f aca="false">IF($W116="","",IFERROR(IF(INDEX('🎓 Alumnas'!$G$2:$G$1000,MATCH($W116,'🎓 Alumnas'!$A$2:$A$1000,0))="","",INDEX('🎓 Alumnas'!$G$2:$G$1000,MATCH($W116,'🎓 Alumnas'!$A$2:$A$1000,0))),""))</f>
        <v/>
      </c>
      <c r="J116" s="28" t="str">
        <f aca="true">IF(I116="","",DATEDIF(I116,TODAY(),"Y"))</f>
        <v/>
      </c>
      <c r="K116" s="25"/>
      <c r="L116" s="28" t="str">
        <f aca="false">IF(K116="","",IF(LEFT(K116,6)="1 Pole","Alquiler",IF(LEFT(K116,7)="1 Clase","Clase suelta","Paquete")))</f>
        <v/>
      </c>
      <c r="M116" s="25"/>
      <c r="N116" s="25"/>
      <c r="O116" s="35"/>
      <c r="P116" s="29" t="str">
        <f aca="false">IF(O116="","",N116*O116)</f>
        <v/>
      </c>
      <c r="Q116" s="36"/>
      <c r="R116" s="25"/>
      <c r="S116" s="25"/>
      <c r="T116" s="28" t="str">
        <f aca="false">IF(OR(LEFT(W116,2)&lt;&gt;"A-",ISERROR(MATCH(W116,'🎓 Alumnas'!$A$2:$A$1000,0))),"",IF(COUNTIF($W$2:W116,W116)=1,"Nueva","Recurrente"))</f>
        <v/>
      </c>
      <c r="U116" s="28" t="str">
        <f aca="false">IF(OR(T116="",L116&lt;&gt;"Paquete"),"",COUNTIFS($W$2:W116,W116,$L$2:L116,"Paquete"))</f>
        <v/>
      </c>
      <c r="V116" s="25"/>
      <c r="W116" s="34" t="str">
        <f aca="false">IF(TRIM($C116)="","",IF(COUNTIF('🎓 Alumnas'!$P$2:$P$1000,TRIM($C116))&gt;0,INDEX('🎓 Alumnas'!$A$2:$A$1000,MATCH(TRIM($C116),'🎓 Alumnas'!$P$2:$P$1000,0)),IF(COUNTIF('🎓 Alumnas'!$O$2:$O$1000,TRIM($C116)&amp;"|*")=1,INDEX('🎓 Alumnas'!$A$2:$A$1000,MATCH(TRIM($C116)&amp;"|*",'🎓 Alumnas'!$O$2:$O$1000,0)),IF(COUNTIF('🎓 Alumnas'!$O$2:$O$1000,"*|"&amp;TRIM($C116))=1,INDEX('🎓 Alumnas'!$A$2:$A$1000,MATCH("*|"&amp;TRIM($C116),'🎓 Alumnas'!$O$2:$O$1000,0)),IF(COUNTIF('🎓 Alumnas'!$Q$2:$Q$1000,TRIM($C116))=1,INDEX('🎓 Alumnas'!$A$2:$A$1000,MATCH(TRIM($C116),'🎓 Alumnas'!$Q$2:$Q$1000,0)),IF(COUNTIF('🎓 Alumnas'!$P$2:$P$1000,"*"&amp;TRIM($C116)&amp;"*")=1,INDEX('🎓 Alumnas'!$A$2:$A$1000,MATCH("*"&amp;TRIM($C116)&amp;"*",'🎓 Alumnas'!$P$2:$P$1000,0)),IF(COUNTIF('🎓 Alumnas'!$Q$2:$Q$1000,"*"&amp;TRIM($C116)&amp;"*")=1,INDEX('🎓 Alumnas'!$A$2:$A$1000,MATCH("*"&amp;TRIM($C116)&amp;"*",'🎓 Alumnas'!$Q$2:$Q$1000,0)),IF(COUNTIF('🎓 Alumnas'!$P$2:$P$1000,"*"&amp;TRIM($C116)&amp;"*")+COUNTIF('🎓 Alumnas'!$Q$2:$Q$1000,"*"&amp;TRIM($C116)&amp;"*")&gt;1,"Varias: elige de la lista","No encontrada"))))))))</f>
        <v/>
      </c>
    </row>
    <row r="117" customFormat="false" ht="14.25" hidden="false" customHeight="true" outlineLevel="0" collapsed="false">
      <c r="A117" s="25" t="s">
        <v>662</v>
      </c>
      <c r="B117" s="27"/>
      <c r="C117" s="25"/>
      <c r="D117" s="34" t="str">
        <f aca="false">IF($W117="","",IFERROR(TRIM(INDEX('🎓 Alumnas'!$B$2:$B$1000,MATCH($W117,'🎓 Alumnas'!$A$2:$A$1000,0))),""))</f>
        <v/>
      </c>
      <c r="E117" s="34" t="str">
        <f aca="false">IF($W117="","",IFERROR(TRIM(INDEX('🎓 Alumnas'!$C$2:$C$1000,MATCH($W117,'🎓 Alumnas'!$A$2:$A$1000,0))),""))</f>
        <v/>
      </c>
      <c r="F117" s="34" t="str">
        <f aca="false">IF($W117="","",IFERROR(IF(INDEX('🎓 Alumnas'!$D$2:$D$1000,MATCH($W117,'🎓 Alumnas'!$A$2:$A$1000,0))="","",INDEX('🎓 Alumnas'!$D$2:$D$1000,MATCH($W117,'🎓 Alumnas'!$A$2:$A$1000,0))),""))</f>
        <v/>
      </c>
      <c r="G117" s="28" t="str">
        <f aca="false">IF($W117="","",IFERROR(IF(INDEX('🎓 Alumnas'!$E$2:$E$1000,MATCH($W117,'🎓 Alumnas'!$A$2:$A$1000,0))="","",INDEX('🎓 Alumnas'!$E$2:$E$1000,MATCH($W117,'🎓 Alumnas'!$A$2:$A$1000,0))),""))</f>
        <v/>
      </c>
      <c r="H117" s="28" t="str">
        <f aca="false">IF($W117="","",IFERROR(IF(INDEX('🎓 Alumnas'!$F$2:$F$1000,MATCH($W117,'🎓 Alumnas'!$A$2:$A$1000,0))="","",INDEX('🎓 Alumnas'!$F$2:$F$1000,MATCH($W117,'🎓 Alumnas'!$A$2:$A$1000,0))),""))</f>
        <v/>
      </c>
      <c r="I117" s="30" t="str">
        <f aca="false">IF($W117="","",IFERROR(IF(INDEX('🎓 Alumnas'!$G$2:$G$1000,MATCH($W117,'🎓 Alumnas'!$A$2:$A$1000,0))="","",INDEX('🎓 Alumnas'!$G$2:$G$1000,MATCH($W117,'🎓 Alumnas'!$A$2:$A$1000,0))),""))</f>
        <v/>
      </c>
      <c r="J117" s="28" t="str">
        <f aca="true">IF(I117="","",DATEDIF(I117,TODAY(),"Y"))</f>
        <v/>
      </c>
      <c r="K117" s="25"/>
      <c r="L117" s="28" t="str">
        <f aca="false">IF(K117="","",IF(LEFT(K117,6)="1 Pole","Alquiler",IF(LEFT(K117,7)="1 Clase","Clase suelta","Paquete")))</f>
        <v/>
      </c>
      <c r="M117" s="25"/>
      <c r="N117" s="25"/>
      <c r="O117" s="35"/>
      <c r="P117" s="29" t="str">
        <f aca="false">IF(O117="","",N117*O117)</f>
        <v/>
      </c>
      <c r="Q117" s="36"/>
      <c r="R117" s="25"/>
      <c r="S117" s="25"/>
      <c r="T117" s="28" t="str">
        <f aca="false">IF(OR(LEFT(W117,2)&lt;&gt;"A-",ISERROR(MATCH(W117,'🎓 Alumnas'!$A$2:$A$1000,0))),"",IF(COUNTIF($W$2:W117,W117)=1,"Nueva","Recurrente"))</f>
        <v/>
      </c>
      <c r="U117" s="28" t="str">
        <f aca="false">IF(OR(T117="",L117&lt;&gt;"Paquete"),"",COUNTIFS($W$2:W117,W117,$L$2:L117,"Paquete"))</f>
        <v/>
      </c>
      <c r="V117" s="25"/>
      <c r="W117" s="34" t="str">
        <f aca="false">IF(TRIM($C117)="","",IF(COUNTIF('🎓 Alumnas'!$P$2:$P$1000,TRIM($C117))&gt;0,INDEX('🎓 Alumnas'!$A$2:$A$1000,MATCH(TRIM($C117),'🎓 Alumnas'!$P$2:$P$1000,0)),IF(COUNTIF('🎓 Alumnas'!$O$2:$O$1000,TRIM($C117)&amp;"|*")=1,INDEX('🎓 Alumnas'!$A$2:$A$1000,MATCH(TRIM($C117)&amp;"|*",'🎓 Alumnas'!$O$2:$O$1000,0)),IF(COUNTIF('🎓 Alumnas'!$O$2:$O$1000,"*|"&amp;TRIM($C117))=1,INDEX('🎓 Alumnas'!$A$2:$A$1000,MATCH("*|"&amp;TRIM($C117),'🎓 Alumnas'!$O$2:$O$1000,0)),IF(COUNTIF('🎓 Alumnas'!$Q$2:$Q$1000,TRIM($C117))=1,INDEX('🎓 Alumnas'!$A$2:$A$1000,MATCH(TRIM($C117),'🎓 Alumnas'!$Q$2:$Q$1000,0)),IF(COUNTIF('🎓 Alumnas'!$P$2:$P$1000,"*"&amp;TRIM($C117)&amp;"*")=1,INDEX('🎓 Alumnas'!$A$2:$A$1000,MATCH("*"&amp;TRIM($C117)&amp;"*",'🎓 Alumnas'!$P$2:$P$1000,0)),IF(COUNTIF('🎓 Alumnas'!$Q$2:$Q$1000,"*"&amp;TRIM($C117)&amp;"*")=1,INDEX('🎓 Alumnas'!$A$2:$A$1000,MATCH("*"&amp;TRIM($C117)&amp;"*",'🎓 Alumnas'!$Q$2:$Q$1000,0)),IF(COUNTIF('🎓 Alumnas'!$P$2:$P$1000,"*"&amp;TRIM($C117)&amp;"*")+COUNTIF('🎓 Alumnas'!$Q$2:$Q$1000,"*"&amp;TRIM($C117)&amp;"*")&gt;1,"Varias: elige de la lista","No encontrada"))))))))</f>
        <v/>
      </c>
    </row>
    <row r="118" customFormat="false" ht="14.25" hidden="false" customHeight="true" outlineLevel="0" collapsed="false">
      <c r="A118" s="25" t="s">
        <v>663</v>
      </c>
      <c r="B118" s="27"/>
      <c r="C118" s="25"/>
      <c r="D118" s="34" t="str">
        <f aca="false">IF($W118="","",IFERROR(TRIM(INDEX('🎓 Alumnas'!$B$2:$B$1000,MATCH($W118,'🎓 Alumnas'!$A$2:$A$1000,0))),""))</f>
        <v/>
      </c>
      <c r="E118" s="34" t="str">
        <f aca="false">IF($W118="","",IFERROR(TRIM(INDEX('🎓 Alumnas'!$C$2:$C$1000,MATCH($W118,'🎓 Alumnas'!$A$2:$A$1000,0))),""))</f>
        <v/>
      </c>
      <c r="F118" s="34" t="str">
        <f aca="false">IF($W118="","",IFERROR(IF(INDEX('🎓 Alumnas'!$D$2:$D$1000,MATCH($W118,'🎓 Alumnas'!$A$2:$A$1000,0))="","",INDEX('🎓 Alumnas'!$D$2:$D$1000,MATCH($W118,'🎓 Alumnas'!$A$2:$A$1000,0))),""))</f>
        <v/>
      </c>
      <c r="G118" s="28" t="str">
        <f aca="false">IF($W118="","",IFERROR(IF(INDEX('🎓 Alumnas'!$E$2:$E$1000,MATCH($W118,'🎓 Alumnas'!$A$2:$A$1000,0))="","",INDEX('🎓 Alumnas'!$E$2:$E$1000,MATCH($W118,'🎓 Alumnas'!$A$2:$A$1000,0))),""))</f>
        <v/>
      </c>
      <c r="H118" s="28" t="str">
        <f aca="false">IF($W118="","",IFERROR(IF(INDEX('🎓 Alumnas'!$F$2:$F$1000,MATCH($W118,'🎓 Alumnas'!$A$2:$A$1000,0))="","",INDEX('🎓 Alumnas'!$F$2:$F$1000,MATCH($W118,'🎓 Alumnas'!$A$2:$A$1000,0))),""))</f>
        <v/>
      </c>
      <c r="I118" s="30" t="str">
        <f aca="false">IF($W118="","",IFERROR(IF(INDEX('🎓 Alumnas'!$G$2:$G$1000,MATCH($W118,'🎓 Alumnas'!$A$2:$A$1000,0))="","",INDEX('🎓 Alumnas'!$G$2:$G$1000,MATCH($W118,'🎓 Alumnas'!$A$2:$A$1000,0))),""))</f>
        <v/>
      </c>
      <c r="J118" s="28" t="str">
        <f aca="true">IF(I118="","",DATEDIF(I118,TODAY(),"Y"))</f>
        <v/>
      </c>
      <c r="K118" s="25"/>
      <c r="L118" s="28" t="str">
        <f aca="false">IF(K118="","",IF(LEFT(K118,6)="1 Pole","Alquiler",IF(LEFT(K118,7)="1 Clase","Clase suelta","Paquete")))</f>
        <v/>
      </c>
      <c r="M118" s="25"/>
      <c r="N118" s="25"/>
      <c r="O118" s="35"/>
      <c r="P118" s="29" t="str">
        <f aca="false">IF(O118="","",N118*O118)</f>
        <v/>
      </c>
      <c r="Q118" s="36"/>
      <c r="R118" s="25"/>
      <c r="S118" s="25"/>
      <c r="T118" s="28" t="str">
        <f aca="false">IF(OR(LEFT(W118,2)&lt;&gt;"A-",ISERROR(MATCH(W118,'🎓 Alumnas'!$A$2:$A$1000,0))),"",IF(COUNTIF($W$2:W118,W118)=1,"Nueva","Recurrente"))</f>
        <v/>
      </c>
      <c r="U118" s="28" t="str">
        <f aca="false">IF(OR(T118="",L118&lt;&gt;"Paquete"),"",COUNTIFS($W$2:W118,W118,$L$2:L118,"Paquete"))</f>
        <v/>
      </c>
      <c r="V118" s="25"/>
      <c r="W118" s="34" t="str">
        <f aca="false">IF(TRIM($C118)="","",IF(COUNTIF('🎓 Alumnas'!$P$2:$P$1000,TRIM($C118))&gt;0,INDEX('🎓 Alumnas'!$A$2:$A$1000,MATCH(TRIM($C118),'🎓 Alumnas'!$P$2:$P$1000,0)),IF(COUNTIF('🎓 Alumnas'!$O$2:$O$1000,TRIM($C118)&amp;"|*")=1,INDEX('🎓 Alumnas'!$A$2:$A$1000,MATCH(TRIM($C118)&amp;"|*",'🎓 Alumnas'!$O$2:$O$1000,0)),IF(COUNTIF('🎓 Alumnas'!$O$2:$O$1000,"*|"&amp;TRIM($C118))=1,INDEX('🎓 Alumnas'!$A$2:$A$1000,MATCH("*|"&amp;TRIM($C118),'🎓 Alumnas'!$O$2:$O$1000,0)),IF(COUNTIF('🎓 Alumnas'!$Q$2:$Q$1000,TRIM($C118))=1,INDEX('🎓 Alumnas'!$A$2:$A$1000,MATCH(TRIM($C118),'🎓 Alumnas'!$Q$2:$Q$1000,0)),IF(COUNTIF('🎓 Alumnas'!$P$2:$P$1000,"*"&amp;TRIM($C118)&amp;"*")=1,INDEX('🎓 Alumnas'!$A$2:$A$1000,MATCH("*"&amp;TRIM($C118)&amp;"*",'🎓 Alumnas'!$P$2:$P$1000,0)),IF(COUNTIF('🎓 Alumnas'!$Q$2:$Q$1000,"*"&amp;TRIM($C118)&amp;"*")=1,INDEX('🎓 Alumnas'!$A$2:$A$1000,MATCH("*"&amp;TRIM($C118)&amp;"*",'🎓 Alumnas'!$Q$2:$Q$1000,0)),IF(COUNTIF('🎓 Alumnas'!$P$2:$P$1000,"*"&amp;TRIM($C118)&amp;"*")+COUNTIF('🎓 Alumnas'!$Q$2:$Q$1000,"*"&amp;TRIM($C118)&amp;"*")&gt;1,"Varias: elige de la lista","No encontrada"))))))))</f>
        <v/>
      </c>
    </row>
    <row r="119" customFormat="false" ht="14.25" hidden="false" customHeight="true" outlineLevel="0" collapsed="false">
      <c r="A119" s="25" t="s">
        <v>664</v>
      </c>
      <c r="B119" s="27"/>
      <c r="C119" s="25"/>
      <c r="D119" s="34" t="str">
        <f aca="false">IF($W119="","",IFERROR(TRIM(INDEX('🎓 Alumnas'!$B$2:$B$1000,MATCH($W119,'🎓 Alumnas'!$A$2:$A$1000,0))),""))</f>
        <v/>
      </c>
      <c r="E119" s="34" t="str">
        <f aca="false">IF($W119="","",IFERROR(TRIM(INDEX('🎓 Alumnas'!$C$2:$C$1000,MATCH($W119,'🎓 Alumnas'!$A$2:$A$1000,0))),""))</f>
        <v/>
      </c>
      <c r="F119" s="34" t="str">
        <f aca="false">IF($W119="","",IFERROR(IF(INDEX('🎓 Alumnas'!$D$2:$D$1000,MATCH($W119,'🎓 Alumnas'!$A$2:$A$1000,0))="","",INDEX('🎓 Alumnas'!$D$2:$D$1000,MATCH($W119,'🎓 Alumnas'!$A$2:$A$1000,0))),""))</f>
        <v/>
      </c>
      <c r="G119" s="28" t="str">
        <f aca="false">IF($W119="","",IFERROR(IF(INDEX('🎓 Alumnas'!$E$2:$E$1000,MATCH($W119,'🎓 Alumnas'!$A$2:$A$1000,0))="","",INDEX('🎓 Alumnas'!$E$2:$E$1000,MATCH($W119,'🎓 Alumnas'!$A$2:$A$1000,0))),""))</f>
        <v/>
      </c>
      <c r="H119" s="28" t="str">
        <f aca="false">IF($W119="","",IFERROR(IF(INDEX('🎓 Alumnas'!$F$2:$F$1000,MATCH($W119,'🎓 Alumnas'!$A$2:$A$1000,0))="","",INDEX('🎓 Alumnas'!$F$2:$F$1000,MATCH($W119,'🎓 Alumnas'!$A$2:$A$1000,0))),""))</f>
        <v/>
      </c>
      <c r="I119" s="30" t="str">
        <f aca="false">IF($W119="","",IFERROR(IF(INDEX('🎓 Alumnas'!$G$2:$G$1000,MATCH($W119,'🎓 Alumnas'!$A$2:$A$1000,0))="","",INDEX('🎓 Alumnas'!$G$2:$G$1000,MATCH($W119,'🎓 Alumnas'!$A$2:$A$1000,0))),""))</f>
        <v/>
      </c>
      <c r="J119" s="28" t="str">
        <f aca="true">IF(I119="","",DATEDIF(I119,TODAY(),"Y"))</f>
        <v/>
      </c>
      <c r="K119" s="25"/>
      <c r="L119" s="28" t="str">
        <f aca="false">IF(K119="","",IF(LEFT(K119,6)="1 Pole","Alquiler",IF(LEFT(K119,7)="1 Clase","Clase suelta","Paquete")))</f>
        <v/>
      </c>
      <c r="M119" s="25"/>
      <c r="N119" s="25"/>
      <c r="O119" s="35"/>
      <c r="P119" s="29" t="str">
        <f aca="false">IF(O119="","",N119*O119)</f>
        <v/>
      </c>
      <c r="Q119" s="36"/>
      <c r="R119" s="25"/>
      <c r="S119" s="25"/>
      <c r="T119" s="28" t="str">
        <f aca="false">IF(OR(LEFT(W119,2)&lt;&gt;"A-",ISERROR(MATCH(W119,'🎓 Alumnas'!$A$2:$A$1000,0))),"",IF(COUNTIF($W$2:W119,W119)=1,"Nueva","Recurrente"))</f>
        <v/>
      </c>
      <c r="U119" s="28" t="str">
        <f aca="false">IF(OR(T119="",L119&lt;&gt;"Paquete"),"",COUNTIFS($W$2:W119,W119,$L$2:L119,"Paquete"))</f>
        <v/>
      </c>
      <c r="V119" s="25"/>
      <c r="W119" s="34" t="str">
        <f aca="false">IF(TRIM($C119)="","",IF(COUNTIF('🎓 Alumnas'!$P$2:$P$1000,TRIM($C119))&gt;0,INDEX('🎓 Alumnas'!$A$2:$A$1000,MATCH(TRIM($C119),'🎓 Alumnas'!$P$2:$P$1000,0)),IF(COUNTIF('🎓 Alumnas'!$O$2:$O$1000,TRIM($C119)&amp;"|*")=1,INDEX('🎓 Alumnas'!$A$2:$A$1000,MATCH(TRIM($C119)&amp;"|*",'🎓 Alumnas'!$O$2:$O$1000,0)),IF(COUNTIF('🎓 Alumnas'!$O$2:$O$1000,"*|"&amp;TRIM($C119))=1,INDEX('🎓 Alumnas'!$A$2:$A$1000,MATCH("*|"&amp;TRIM($C119),'🎓 Alumnas'!$O$2:$O$1000,0)),IF(COUNTIF('🎓 Alumnas'!$Q$2:$Q$1000,TRIM($C119))=1,INDEX('🎓 Alumnas'!$A$2:$A$1000,MATCH(TRIM($C119),'🎓 Alumnas'!$Q$2:$Q$1000,0)),IF(COUNTIF('🎓 Alumnas'!$P$2:$P$1000,"*"&amp;TRIM($C119)&amp;"*")=1,INDEX('🎓 Alumnas'!$A$2:$A$1000,MATCH("*"&amp;TRIM($C119)&amp;"*",'🎓 Alumnas'!$P$2:$P$1000,0)),IF(COUNTIF('🎓 Alumnas'!$Q$2:$Q$1000,"*"&amp;TRIM($C119)&amp;"*")=1,INDEX('🎓 Alumnas'!$A$2:$A$1000,MATCH("*"&amp;TRIM($C119)&amp;"*",'🎓 Alumnas'!$Q$2:$Q$1000,0)),IF(COUNTIF('🎓 Alumnas'!$P$2:$P$1000,"*"&amp;TRIM($C119)&amp;"*")+COUNTIF('🎓 Alumnas'!$Q$2:$Q$1000,"*"&amp;TRIM($C119)&amp;"*")&gt;1,"Varias: elige de la lista","No encontrada"))))))))</f>
        <v/>
      </c>
    </row>
    <row r="120" customFormat="false" ht="14.25" hidden="false" customHeight="true" outlineLevel="0" collapsed="false">
      <c r="A120" s="25" t="s">
        <v>665</v>
      </c>
      <c r="B120" s="27"/>
      <c r="C120" s="25"/>
      <c r="D120" s="34" t="str">
        <f aca="false">IF($W120="","",IFERROR(TRIM(INDEX('🎓 Alumnas'!$B$2:$B$1000,MATCH($W120,'🎓 Alumnas'!$A$2:$A$1000,0))),""))</f>
        <v/>
      </c>
      <c r="E120" s="34" t="str">
        <f aca="false">IF($W120="","",IFERROR(TRIM(INDEX('🎓 Alumnas'!$C$2:$C$1000,MATCH($W120,'🎓 Alumnas'!$A$2:$A$1000,0))),""))</f>
        <v/>
      </c>
      <c r="F120" s="34" t="str">
        <f aca="false">IF($W120="","",IFERROR(IF(INDEX('🎓 Alumnas'!$D$2:$D$1000,MATCH($W120,'🎓 Alumnas'!$A$2:$A$1000,0))="","",INDEX('🎓 Alumnas'!$D$2:$D$1000,MATCH($W120,'🎓 Alumnas'!$A$2:$A$1000,0))),""))</f>
        <v/>
      </c>
      <c r="G120" s="28" t="str">
        <f aca="false">IF($W120="","",IFERROR(IF(INDEX('🎓 Alumnas'!$E$2:$E$1000,MATCH($W120,'🎓 Alumnas'!$A$2:$A$1000,0))="","",INDEX('🎓 Alumnas'!$E$2:$E$1000,MATCH($W120,'🎓 Alumnas'!$A$2:$A$1000,0))),""))</f>
        <v/>
      </c>
      <c r="H120" s="28" t="str">
        <f aca="false">IF($W120="","",IFERROR(IF(INDEX('🎓 Alumnas'!$F$2:$F$1000,MATCH($W120,'🎓 Alumnas'!$A$2:$A$1000,0))="","",INDEX('🎓 Alumnas'!$F$2:$F$1000,MATCH($W120,'🎓 Alumnas'!$A$2:$A$1000,0))),""))</f>
        <v/>
      </c>
      <c r="I120" s="30" t="str">
        <f aca="false">IF($W120="","",IFERROR(IF(INDEX('🎓 Alumnas'!$G$2:$G$1000,MATCH($W120,'🎓 Alumnas'!$A$2:$A$1000,0))="","",INDEX('🎓 Alumnas'!$G$2:$G$1000,MATCH($W120,'🎓 Alumnas'!$A$2:$A$1000,0))),""))</f>
        <v/>
      </c>
      <c r="J120" s="28" t="str">
        <f aca="true">IF(I120="","",DATEDIF(I120,TODAY(),"Y"))</f>
        <v/>
      </c>
      <c r="K120" s="25"/>
      <c r="L120" s="28" t="str">
        <f aca="false">IF(K120="","",IF(LEFT(K120,6)="1 Pole","Alquiler",IF(LEFT(K120,7)="1 Clase","Clase suelta","Paquete")))</f>
        <v/>
      </c>
      <c r="M120" s="25"/>
      <c r="N120" s="25"/>
      <c r="O120" s="35"/>
      <c r="P120" s="29" t="str">
        <f aca="false">IF(O120="","",N120*O120)</f>
        <v/>
      </c>
      <c r="Q120" s="36"/>
      <c r="R120" s="25"/>
      <c r="S120" s="25"/>
      <c r="T120" s="28" t="str">
        <f aca="false">IF(OR(LEFT(W120,2)&lt;&gt;"A-",ISERROR(MATCH(W120,'🎓 Alumnas'!$A$2:$A$1000,0))),"",IF(COUNTIF($W$2:W120,W120)=1,"Nueva","Recurrente"))</f>
        <v/>
      </c>
      <c r="U120" s="28" t="str">
        <f aca="false">IF(OR(T120="",L120&lt;&gt;"Paquete"),"",COUNTIFS($W$2:W120,W120,$L$2:L120,"Paquete"))</f>
        <v/>
      </c>
      <c r="V120" s="25"/>
      <c r="W120" s="34" t="str">
        <f aca="false">IF(TRIM($C120)="","",IF(COUNTIF('🎓 Alumnas'!$P$2:$P$1000,TRIM($C120))&gt;0,INDEX('🎓 Alumnas'!$A$2:$A$1000,MATCH(TRIM($C120),'🎓 Alumnas'!$P$2:$P$1000,0)),IF(COUNTIF('🎓 Alumnas'!$O$2:$O$1000,TRIM($C120)&amp;"|*")=1,INDEX('🎓 Alumnas'!$A$2:$A$1000,MATCH(TRIM($C120)&amp;"|*",'🎓 Alumnas'!$O$2:$O$1000,0)),IF(COUNTIF('🎓 Alumnas'!$O$2:$O$1000,"*|"&amp;TRIM($C120))=1,INDEX('🎓 Alumnas'!$A$2:$A$1000,MATCH("*|"&amp;TRIM($C120),'🎓 Alumnas'!$O$2:$O$1000,0)),IF(COUNTIF('🎓 Alumnas'!$Q$2:$Q$1000,TRIM($C120))=1,INDEX('🎓 Alumnas'!$A$2:$A$1000,MATCH(TRIM($C120),'🎓 Alumnas'!$Q$2:$Q$1000,0)),IF(COUNTIF('🎓 Alumnas'!$P$2:$P$1000,"*"&amp;TRIM($C120)&amp;"*")=1,INDEX('🎓 Alumnas'!$A$2:$A$1000,MATCH("*"&amp;TRIM($C120)&amp;"*",'🎓 Alumnas'!$P$2:$P$1000,0)),IF(COUNTIF('🎓 Alumnas'!$Q$2:$Q$1000,"*"&amp;TRIM($C120)&amp;"*")=1,INDEX('🎓 Alumnas'!$A$2:$A$1000,MATCH("*"&amp;TRIM($C120)&amp;"*",'🎓 Alumnas'!$Q$2:$Q$1000,0)),IF(COUNTIF('🎓 Alumnas'!$P$2:$P$1000,"*"&amp;TRIM($C120)&amp;"*")+COUNTIF('🎓 Alumnas'!$Q$2:$Q$1000,"*"&amp;TRIM($C120)&amp;"*")&gt;1,"Varias: elige de la lista","No encontrada"))))))))</f>
        <v/>
      </c>
    </row>
    <row r="121" customFormat="false" ht="14.25" hidden="false" customHeight="true" outlineLevel="0" collapsed="false">
      <c r="A121" s="25" t="s">
        <v>666</v>
      </c>
      <c r="B121" s="27"/>
      <c r="C121" s="25"/>
      <c r="D121" s="34" t="str">
        <f aca="false">IF($W121="","",IFERROR(TRIM(INDEX('🎓 Alumnas'!$B$2:$B$1000,MATCH($W121,'🎓 Alumnas'!$A$2:$A$1000,0))),""))</f>
        <v/>
      </c>
      <c r="E121" s="34" t="str">
        <f aca="false">IF($W121="","",IFERROR(TRIM(INDEX('🎓 Alumnas'!$C$2:$C$1000,MATCH($W121,'🎓 Alumnas'!$A$2:$A$1000,0))),""))</f>
        <v/>
      </c>
      <c r="F121" s="34" t="str">
        <f aca="false">IF($W121="","",IFERROR(IF(INDEX('🎓 Alumnas'!$D$2:$D$1000,MATCH($W121,'🎓 Alumnas'!$A$2:$A$1000,0))="","",INDEX('🎓 Alumnas'!$D$2:$D$1000,MATCH($W121,'🎓 Alumnas'!$A$2:$A$1000,0))),""))</f>
        <v/>
      </c>
      <c r="G121" s="28" t="str">
        <f aca="false">IF($W121="","",IFERROR(IF(INDEX('🎓 Alumnas'!$E$2:$E$1000,MATCH($W121,'🎓 Alumnas'!$A$2:$A$1000,0))="","",INDEX('🎓 Alumnas'!$E$2:$E$1000,MATCH($W121,'🎓 Alumnas'!$A$2:$A$1000,0))),""))</f>
        <v/>
      </c>
      <c r="H121" s="28" t="str">
        <f aca="false">IF($W121="","",IFERROR(IF(INDEX('🎓 Alumnas'!$F$2:$F$1000,MATCH($W121,'🎓 Alumnas'!$A$2:$A$1000,0))="","",INDEX('🎓 Alumnas'!$F$2:$F$1000,MATCH($W121,'🎓 Alumnas'!$A$2:$A$1000,0))),""))</f>
        <v/>
      </c>
      <c r="I121" s="30" t="str">
        <f aca="false">IF($W121="","",IFERROR(IF(INDEX('🎓 Alumnas'!$G$2:$G$1000,MATCH($W121,'🎓 Alumnas'!$A$2:$A$1000,0))="","",INDEX('🎓 Alumnas'!$G$2:$G$1000,MATCH($W121,'🎓 Alumnas'!$A$2:$A$1000,0))),""))</f>
        <v/>
      </c>
      <c r="J121" s="28" t="str">
        <f aca="true">IF(I121="","",DATEDIF(I121,TODAY(),"Y"))</f>
        <v/>
      </c>
      <c r="K121" s="25"/>
      <c r="L121" s="28" t="str">
        <f aca="false">IF(K121="","",IF(LEFT(K121,6)="1 Pole","Alquiler",IF(LEFT(K121,7)="1 Clase","Clase suelta","Paquete")))</f>
        <v/>
      </c>
      <c r="M121" s="25"/>
      <c r="N121" s="25"/>
      <c r="O121" s="35"/>
      <c r="P121" s="29" t="str">
        <f aca="false">IF(O121="","",N121*O121)</f>
        <v/>
      </c>
      <c r="Q121" s="36"/>
      <c r="R121" s="25"/>
      <c r="S121" s="25"/>
      <c r="T121" s="28" t="str">
        <f aca="false">IF(OR(LEFT(W121,2)&lt;&gt;"A-",ISERROR(MATCH(W121,'🎓 Alumnas'!$A$2:$A$1000,0))),"",IF(COUNTIF($W$2:W121,W121)=1,"Nueva","Recurrente"))</f>
        <v/>
      </c>
      <c r="U121" s="28" t="str">
        <f aca="false">IF(OR(T121="",L121&lt;&gt;"Paquete"),"",COUNTIFS($W$2:W121,W121,$L$2:L121,"Paquete"))</f>
        <v/>
      </c>
      <c r="V121" s="25"/>
      <c r="W121" s="34" t="str">
        <f aca="false">IF(TRIM($C121)="","",IF(COUNTIF('🎓 Alumnas'!$P$2:$P$1000,TRIM($C121))&gt;0,INDEX('🎓 Alumnas'!$A$2:$A$1000,MATCH(TRIM($C121),'🎓 Alumnas'!$P$2:$P$1000,0)),IF(COUNTIF('🎓 Alumnas'!$O$2:$O$1000,TRIM($C121)&amp;"|*")=1,INDEX('🎓 Alumnas'!$A$2:$A$1000,MATCH(TRIM($C121)&amp;"|*",'🎓 Alumnas'!$O$2:$O$1000,0)),IF(COUNTIF('🎓 Alumnas'!$O$2:$O$1000,"*|"&amp;TRIM($C121))=1,INDEX('🎓 Alumnas'!$A$2:$A$1000,MATCH("*|"&amp;TRIM($C121),'🎓 Alumnas'!$O$2:$O$1000,0)),IF(COUNTIF('🎓 Alumnas'!$Q$2:$Q$1000,TRIM($C121))=1,INDEX('🎓 Alumnas'!$A$2:$A$1000,MATCH(TRIM($C121),'🎓 Alumnas'!$Q$2:$Q$1000,0)),IF(COUNTIF('🎓 Alumnas'!$P$2:$P$1000,"*"&amp;TRIM($C121)&amp;"*")=1,INDEX('🎓 Alumnas'!$A$2:$A$1000,MATCH("*"&amp;TRIM($C121)&amp;"*",'🎓 Alumnas'!$P$2:$P$1000,0)),IF(COUNTIF('🎓 Alumnas'!$Q$2:$Q$1000,"*"&amp;TRIM($C121)&amp;"*")=1,INDEX('🎓 Alumnas'!$A$2:$A$1000,MATCH("*"&amp;TRIM($C121)&amp;"*",'🎓 Alumnas'!$Q$2:$Q$1000,0)),IF(COUNTIF('🎓 Alumnas'!$P$2:$P$1000,"*"&amp;TRIM($C121)&amp;"*")+COUNTIF('🎓 Alumnas'!$Q$2:$Q$1000,"*"&amp;TRIM($C121)&amp;"*")&gt;1,"Varias: elige de la lista","No encontrada"))))))))</f>
        <v/>
      </c>
    </row>
    <row r="122" customFormat="false" ht="14.25" hidden="false" customHeight="true" outlineLevel="0" collapsed="false">
      <c r="A122" s="25" t="s">
        <v>667</v>
      </c>
      <c r="B122" s="27"/>
      <c r="C122" s="25"/>
      <c r="D122" s="34" t="str">
        <f aca="false">IF($W122="","",IFERROR(TRIM(INDEX('🎓 Alumnas'!$B$2:$B$1000,MATCH($W122,'🎓 Alumnas'!$A$2:$A$1000,0))),""))</f>
        <v/>
      </c>
      <c r="E122" s="34" t="str">
        <f aca="false">IF($W122="","",IFERROR(TRIM(INDEX('🎓 Alumnas'!$C$2:$C$1000,MATCH($W122,'🎓 Alumnas'!$A$2:$A$1000,0))),""))</f>
        <v/>
      </c>
      <c r="F122" s="34" t="str">
        <f aca="false">IF($W122="","",IFERROR(IF(INDEX('🎓 Alumnas'!$D$2:$D$1000,MATCH($W122,'🎓 Alumnas'!$A$2:$A$1000,0))="","",INDEX('🎓 Alumnas'!$D$2:$D$1000,MATCH($W122,'🎓 Alumnas'!$A$2:$A$1000,0))),""))</f>
        <v/>
      </c>
      <c r="G122" s="28" t="str">
        <f aca="false">IF($W122="","",IFERROR(IF(INDEX('🎓 Alumnas'!$E$2:$E$1000,MATCH($W122,'🎓 Alumnas'!$A$2:$A$1000,0))="","",INDEX('🎓 Alumnas'!$E$2:$E$1000,MATCH($W122,'🎓 Alumnas'!$A$2:$A$1000,0))),""))</f>
        <v/>
      </c>
      <c r="H122" s="28" t="str">
        <f aca="false">IF($W122="","",IFERROR(IF(INDEX('🎓 Alumnas'!$F$2:$F$1000,MATCH($W122,'🎓 Alumnas'!$A$2:$A$1000,0))="","",INDEX('🎓 Alumnas'!$F$2:$F$1000,MATCH($W122,'🎓 Alumnas'!$A$2:$A$1000,0))),""))</f>
        <v/>
      </c>
      <c r="I122" s="30" t="str">
        <f aca="false">IF($W122="","",IFERROR(IF(INDEX('🎓 Alumnas'!$G$2:$G$1000,MATCH($W122,'🎓 Alumnas'!$A$2:$A$1000,0))="","",INDEX('🎓 Alumnas'!$G$2:$G$1000,MATCH($W122,'🎓 Alumnas'!$A$2:$A$1000,0))),""))</f>
        <v/>
      </c>
      <c r="J122" s="28" t="str">
        <f aca="true">IF(I122="","",DATEDIF(I122,TODAY(),"Y"))</f>
        <v/>
      </c>
      <c r="K122" s="25"/>
      <c r="L122" s="28" t="str">
        <f aca="false">IF(K122="","",IF(LEFT(K122,6)="1 Pole","Alquiler",IF(LEFT(K122,7)="1 Clase","Clase suelta","Paquete")))</f>
        <v/>
      </c>
      <c r="M122" s="25"/>
      <c r="N122" s="25"/>
      <c r="O122" s="35"/>
      <c r="P122" s="29" t="str">
        <f aca="false">IF(O122="","",N122*O122)</f>
        <v/>
      </c>
      <c r="Q122" s="36"/>
      <c r="R122" s="25"/>
      <c r="S122" s="25"/>
      <c r="T122" s="28" t="str">
        <f aca="false">IF(OR(LEFT(W122,2)&lt;&gt;"A-",ISERROR(MATCH(W122,'🎓 Alumnas'!$A$2:$A$1000,0))),"",IF(COUNTIF($W$2:W122,W122)=1,"Nueva","Recurrente"))</f>
        <v/>
      </c>
      <c r="U122" s="28" t="str">
        <f aca="false">IF(OR(T122="",L122&lt;&gt;"Paquete"),"",COUNTIFS($W$2:W122,W122,$L$2:L122,"Paquete"))</f>
        <v/>
      </c>
      <c r="V122" s="25"/>
      <c r="W122" s="34" t="str">
        <f aca="false">IF(TRIM($C122)="","",IF(COUNTIF('🎓 Alumnas'!$P$2:$P$1000,TRIM($C122))&gt;0,INDEX('🎓 Alumnas'!$A$2:$A$1000,MATCH(TRIM($C122),'🎓 Alumnas'!$P$2:$P$1000,0)),IF(COUNTIF('🎓 Alumnas'!$O$2:$O$1000,TRIM($C122)&amp;"|*")=1,INDEX('🎓 Alumnas'!$A$2:$A$1000,MATCH(TRIM($C122)&amp;"|*",'🎓 Alumnas'!$O$2:$O$1000,0)),IF(COUNTIF('🎓 Alumnas'!$O$2:$O$1000,"*|"&amp;TRIM($C122))=1,INDEX('🎓 Alumnas'!$A$2:$A$1000,MATCH("*|"&amp;TRIM($C122),'🎓 Alumnas'!$O$2:$O$1000,0)),IF(COUNTIF('🎓 Alumnas'!$Q$2:$Q$1000,TRIM($C122))=1,INDEX('🎓 Alumnas'!$A$2:$A$1000,MATCH(TRIM($C122),'🎓 Alumnas'!$Q$2:$Q$1000,0)),IF(COUNTIF('🎓 Alumnas'!$P$2:$P$1000,"*"&amp;TRIM($C122)&amp;"*")=1,INDEX('🎓 Alumnas'!$A$2:$A$1000,MATCH("*"&amp;TRIM($C122)&amp;"*",'🎓 Alumnas'!$P$2:$P$1000,0)),IF(COUNTIF('🎓 Alumnas'!$Q$2:$Q$1000,"*"&amp;TRIM($C122)&amp;"*")=1,INDEX('🎓 Alumnas'!$A$2:$A$1000,MATCH("*"&amp;TRIM($C122)&amp;"*",'🎓 Alumnas'!$Q$2:$Q$1000,0)),IF(COUNTIF('🎓 Alumnas'!$P$2:$P$1000,"*"&amp;TRIM($C122)&amp;"*")+COUNTIF('🎓 Alumnas'!$Q$2:$Q$1000,"*"&amp;TRIM($C122)&amp;"*")&gt;1,"Varias: elige de la lista","No encontrada"))))))))</f>
        <v/>
      </c>
    </row>
    <row r="123" customFormat="false" ht="14.25" hidden="false" customHeight="true" outlineLevel="0" collapsed="false">
      <c r="A123" s="25" t="s">
        <v>668</v>
      </c>
      <c r="B123" s="27"/>
      <c r="C123" s="25"/>
      <c r="D123" s="34" t="str">
        <f aca="false">IF($W123="","",IFERROR(TRIM(INDEX('🎓 Alumnas'!$B$2:$B$1000,MATCH($W123,'🎓 Alumnas'!$A$2:$A$1000,0))),""))</f>
        <v/>
      </c>
      <c r="E123" s="34" t="str">
        <f aca="false">IF($W123="","",IFERROR(TRIM(INDEX('🎓 Alumnas'!$C$2:$C$1000,MATCH($W123,'🎓 Alumnas'!$A$2:$A$1000,0))),""))</f>
        <v/>
      </c>
      <c r="F123" s="34" t="str">
        <f aca="false">IF($W123="","",IFERROR(IF(INDEX('🎓 Alumnas'!$D$2:$D$1000,MATCH($W123,'🎓 Alumnas'!$A$2:$A$1000,0))="","",INDEX('🎓 Alumnas'!$D$2:$D$1000,MATCH($W123,'🎓 Alumnas'!$A$2:$A$1000,0))),""))</f>
        <v/>
      </c>
      <c r="G123" s="28" t="str">
        <f aca="false">IF($W123="","",IFERROR(IF(INDEX('🎓 Alumnas'!$E$2:$E$1000,MATCH($W123,'🎓 Alumnas'!$A$2:$A$1000,0))="","",INDEX('🎓 Alumnas'!$E$2:$E$1000,MATCH($W123,'🎓 Alumnas'!$A$2:$A$1000,0))),""))</f>
        <v/>
      </c>
      <c r="H123" s="28" t="str">
        <f aca="false">IF($W123="","",IFERROR(IF(INDEX('🎓 Alumnas'!$F$2:$F$1000,MATCH($W123,'🎓 Alumnas'!$A$2:$A$1000,0))="","",INDEX('🎓 Alumnas'!$F$2:$F$1000,MATCH($W123,'🎓 Alumnas'!$A$2:$A$1000,0))),""))</f>
        <v/>
      </c>
      <c r="I123" s="30" t="str">
        <f aca="false">IF($W123="","",IFERROR(IF(INDEX('🎓 Alumnas'!$G$2:$G$1000,MATCH($W123,'🎓 Alumnas'!$A$2:$A$1000,0))="","",INDEX('🎓 Alumnas'!$G$2:$G$1000,MATCH($W123,'🎓 Alumnas'!$A$2:$A$1000,0))),""))</f>
        <v/>
      </c>
      <c r="J123" s="28" t="str">
        <f aca="true">IF(I123="","",DATEDIF(I123,TODAY(),"Y"))</f>
        <v/>
      </c>
      <c r="K123" s="25"/>
      <c r="L123" s="28" t="str">
        <f aca="false">IF(K123="","",IF(LEFT(K123,6)="1 Pole","Alquiler",IF(LEFT(K123,7)="1 Clase","Clase suelta","Paquete")))</f>
        <v/>
      </c>
      <c r="M123" s="25"/>
      <c r="N123" s="25"/>
      <c r="O123" s="35"/>
      <c r="P123" s="29" t="str">
        <f aca="false">IF(O123="","",N123*O123)</f>
        <v/>
      </c>
      <c r="Q123" s="36"/>
      <c r="R123" s="25"/>
      <c r="S123" s="25"/>
      <c r="T123" s="28" t="str">
        <f aca="false">IF(OR(LEFT(W123,2)&lt;&gt;"A-",ISERROR(MATCH(W123,'🎓 Alumnas'!$A$2:$A$1000,0))),"",IF(COUNTIF($W$2:W123,W123)=1,"Nueva","Recurrente"))</f>
        <v/>
      </c>
      <c r="U123" s="28" t="str">
        <f aca="false">IF(OR(T123="",L123&lt;&gt;"Paquete"),"",COUNTIFS($W$2:W123,W123,$L$2:L123,"Paquete"))</f>
        <v/>
      </c>
      <c r="V123" s="25"/>
      <c r="W123" s="34" t="str">
        <f aca="false">IF(TRIM($C123)="","",IF(COUNTIF('🎓 Alumnas'!$P$2:$P$1000,TRIM($C123))&gt;0,INDEX('🎓 Alumnas'!$A$2:$A$1000,MATCH(TRIM($C123),'🎓 Alumnas'!$P$2:$P$1000,0)),IF(COUNTIF('🎓 Alumnas'!$O$2:$O$1000,TRIM($C123)&amp;"|*")=1,INDEX('🎓 Alumnas'!$A$2:$A$1000,MATCH(TRIM($C123)&amp;"|*",'🎓 Alumnas'!$O$2:$O$1000,0)),IF(COUNTIF('🎓 Alumnas'!$O$2:$O$1000,"*|"&amp;TRIM($C123))=1,INDEX('🎓 Alumnas'!$A$2:$A$1000,MATCH("*|"&amp;TRIM($C123),'🎓 Alumnas'!$O$2:$O$1000,0)),IF(COUNTIF('🎓 Alumnas'!$Q$2:$Q$1000,TRIM($C123))=1,INDEX('🎓 Alumnas'!$A$2:$A$1000,MATCH(TRIM($C123),'🎓 Alumnas'!$Q$2:$Q$1000,0)),IF(COUNTIF('🎓 Alumnas'!$P$2:$P$1000,"*"&amp;TRIM($C123)&amp;"*")=1,INDEX('🎓 Alumnas'!$A$2:$A$1000,MATCH("*"&amp;TRIM($C123)&amp;"*",'🎓 Alumnas'!$P$2:$P$1000,0)),IF(COUNTIF('🎓 Alumnas'!$Q$2:$Q$1000,"*"&amp;TRIM($C123)&amp;"*")=1,INDEX('🎓 Alumnas'!$A$2:$A$1000,MATCH("*"&amp;TRIM($C123)&amp;"*",'🎓 Alumnas'!$Q$2:$Q$1000,0)),IF(COUNTIF('🎓 Alumnas'!$P$2:$P$1000,"*"&amp;TRIM($C123)&amp;"*")+COUNTIF('🎓 Alumnas'!$Q$2:$Q$1000,"*"&amp;TRIM($C123)&amp;"*")&gt;1,"Varias: elige de la lista","No encontrada"))))))))</f>
        <v/>
      </c>
    </row>
    <row r="124" customFormat="false" ht="14.25" hidden="false" customHeight="true" outlineLevel="0" collapsed="false">
      <c r="A124" s="25" t="s">
        <v>669</v>
      </c>
      <c r="B124" s="27"/>
      <c r="C124" s="25"/>
      <c r="D124" s="34" t="str">
        <f aca="false">IF($W124="","",IFERROR(TRIM(INDEX('🎓 Alumnas'!$B$2:$B$1000,MATCH($W124,'🎓 Alumnas'!$A$2:$A$1000,0))),""))</f>
        <v/>
      </c>
      <c r="E124" s="34" t="str">
        <f aca="false">IF($W124="","",IFERROR(TRIM(INDEX('🎓 Alumnas'!$C$2:$C$1000,MATCH($W124,'🎓 Alumnas'!$A$2:$A$1000,0))),""))</f>
        <v/>
      </c>
      <c r="F124" s="34" t="str">
        <f aca="false">IF($W124="","",IFERROR(IF(INDEX('🎓 Alumnas'!$D$2:$D$1000,MATCH($W124,'🎓 Alumnas'!$A$2:$A$1000,0))="","",INDEX('🎓 Alumnas'!$D$2:$D$1000,MATCH($W124,'🎓 Alumnas'!$A$2:$A$1000,0))),""))</f>
        <v/>
      </c>
      <c r="G124" s="28" t="str">
        <f aca="false">IF($W124="","",IFERROR(IF(INDEX('🎓 Alumnas'!$E$2:$E$1000,MATCH($W124,'🎓 Alumnas'!$A$2:$A$1000,0))="","",INDEX('🎓 Alumnas'!$E$2:$E$1000,MATCH($W124,'🎓 Alumnas'!$A$2:$A$1000,0))),""))</f>
        <v/>
      </c>
      <c r="H124" s="28" t="str">
        <f aca="false">IF($W124="","",IFERROR(IF(INDEX('🎓 Alumnas'!$F$2:$F$1000,MATCH($W124,'🎓 Alumnas'!$A$2:$A$1000,0))="","",INDEX('🎓 Alumnas'!$F$2:$F$1000,MATCH($W124,'🎓 Alumnas'!$A$2:$A$1000,0))),""))</f>
        <v/>
      </c>
      <c r="I124" s="30" t="str">
        <f aca="false">IF($W124="","",IFERROR(IF(INDEX('🎓 Alumnas'!$G$2:$G$1000,MATCH($W124,'🎓 Alumnas'!$A$2:$A$1000,0))="","",INDEX('🎓 Alumnas'!$G$2:$G$1000,MATCH($W124,'🎓 Alumnas'!$A$2:$A$1000,0))),""))</f>
        <v/>
      </c>
      <c r="J124" s="28" t="str">
        <f aca="true">IF(I124="","",DATEDIF(I124,TODAY(),"Y"))</f>
        <v/>
      </c>
      <c r="K124" s="25"/>
      <c r="L124" s="28" t="str">
        <f aca="false">IF(K124="","",IF(LEFT(K124,6)="1 Pole","Alquiler",IF(LEFT(K124,7)="1 Clase","Clase suelta","Paquete")))</f>
        <v/>
      </c>
      <c r="M124" s="25"/>
      <c r="N124" s="25"/>
      <c r="O124" s="35"/>
      <c r="P124" s="29" t="str">
        <f aca="false">IF(O124="","",N124*O124)</f>
        <v/>
      </c>
      <c r="Q124" s="36"/>
      <c r="R124" s="25"/>
      <c r="S124" s="25"/>
      <c r="T124" s="28" t="str">
        <f aca="false">IF(OR(LEFT(W124,2)&lt;&gt;"A-",ISERROR(MATCH(W124,'🎓 Alumnas'!$A$2:$A$1000,0))),"",IF(COUNTIF($W$2:W124,W124)=1,"Nueva","Recurrente"))</f>
        <v/>
      </c>
      <c r="U124" s="28" t="str">
        <f aca="false">IF(OR(T124="",L124&lt;&gt;"Paquete"),"",COUNTIFS($W$2:W124,W124,$L$2:L124,"Paquete"))</f>
        <v/>
      </c>
      <c r="V124" s="25"/>
      <c r="W124" s="34" t="str">
        <f aca="false">IF(TRIM($C124)="","",IF(COUNTIF('🎓 Alumnas'!$P$2:$P$1000,TRIM($C124))&gt;0,INDEX('🎓 Alumnas'!$A$2:$A$1000,MATCH(TRIM($C124),'🎓 Alumnas'!$P$2:$P$1000,0)),IF(COUNTIF('🎓 Alumnas'!$O$2:$O$1000,TRIM($C124)&amp;"|*")=1,INDEX('🎓 Alumnas'!$A$2:$A$1000,MATCH(TRIM($C124)&amp;"|*",'🎓 Alumnas'!$O$2:$O$1000,0)),IF(COUNTIF('🎓 Alumnas'!$O$2:$O$1000,"*|"&amp;TRIM($C124))=1,INDEX('🎓 Alumnas'!$A$2:$A$1000,MATCH("*|"&amp;TRIM($C124),'🎓 Alumnas'!$O$2:$O$1000,0)),IF(COUNTIF('🎓 Alumnas'!$Q$2:$Q$1000,TRIM($C124))=1,INDEX('🎓 Alumnas'!$A$2:$A$1000,MATCH(TRIM($C124),'🎓 Alumnas'!$Q$2:$Q$1000,0)),IF(COUNTIF('🎓 Alumnas'!$P$2:$P$1000,"*"&amp;TRIM($C124)&amp;"*")=1,INDEX('🎓 Alumnas'!$A$2:$A$1000,MATCH("*"&amp;TRIM($C124)&amp;"*",'🎓 Alumnas'!$P$2:$P$1000,0)),IF(COUNTIF('🎓 Alumnas'!$Q$2:$Q$1000,"*"&amp;TRIM($C124)&amp;"*")=1,INDEX('🎓 Alumnas'!$A$2:$A$1000,MATCH("*"&amp;TRIM($C124)&amp;"*",'🎓 Alumnas'!$Q$2:$Q$1000,0)),IF(COUNTIF('🎓 Alumnas'!$P$2:$P$1000,"*"&amp;TRIM($C124)&amp;"*")+COUNTIF('🎓 Alumnas'!$Q$2:$Q$1000,"*"&amp;TRIM($C124)&amp;"*")&gt;1,"Varias: elige de la lista","No encontrada"))))))))</f>
        <v/>
      </c>
    </row>
    <row r="125" customFormat="false" ht="14.25" hidden="false" customHeight="true" outlineLevel="0" collapsed="false">
      <c r="A125" s="25" t="s">
        <v>670</v>
      </c>
      <c r="B125" s="27"/>
      <c r="C125" s="25"/>
      <c r="D125" s="34" t="str">
        <f aca="false">IF($W125="","",IFERROR(TRIM(INDEX('🎓 Alumnas'!$B$2:$B$1000,MATCH($W125,'🎓 Alumnas'!$A$2:$A$1000,0))),""))</f>
        <v/>
      </c>
      <c r="E125" s="34" t="str">
        <f aca="false">IF($W125="","",IFERROR(TRIM(INDEX('🎓 Alumnas'!$C$2:$C$1000,MATCH($W125,'🎓 Alumnas'!$A$2:$A$1000,0))),""))</f>
        <v/>
      </c>
      <c r="F125" s="34" t="str">
        <f aca="false">IF($W125="","",IFERROR(IF(INDEX('🎓 Alumnas'!$D$2:$D$1000,MATCH($W125,'🎓 Alumnas'!$A$2:$A$1000,0))="","",INDEX('🎓 Alumnas'!$D$2:$D$1000,MATCH($W125,'🎓 Alumnas'!$A$2:$A$1000,0))),""))</f>
        <v/>
      </c>
      <c r="G125" s="28" t="str">
        <f aca="false">IF($W125="","",IFERROR(IF(INDEX('🎓 Alumnas'!$E$2:$E$1000,MATCH($W125,'🎓 Alumnas'!$A$2:$A$1000,0))="","",INDEX('🎓 Alumnas'!$E$2:$E$1000,MATCH($W125,'🎓 Alumnas'!$A$2:$A$1000,0))),""))</f>
        <v/>
      </c>
      <c r="H125" s="28" t="str">
        <f aca="false">IF($W125="","",IFERROR(IF(INDEX('🎓 Alumnas'!$F$2:$F$1000,MATCH($W125,'🎓 Alumnas'!$A$2:$A$1000,0))="","",INDEX('🎓 Alumnas'!$F$2:$F$1000,MATCH($W125,'🎓 Alumnas'!$A$2:$A$1000,0))),""))</f>
        <v/>
      </c>
      <c r="I125" s="30" t="str">
        <f aca="false">IF($W125="","",IFERROR(IF(INDEX('🎓 Alumnas'!$G$2:$G$1000,MATCH($W125,'🎓 Alumnas'!$A$2:$A$1000,0))="","",INDEX('🎓 Alumnas'!$G$2:$G$1000,MATCH($W125,'🎓 Alumnas'!$A$2:$A$1000,0))),""))</f>
        <v/>
      </c>
      <c r="J125" s="28" t="str">
        <f aca="true">IF(I125="","",DATEDIF(I125,TODAY(),"Y"))</f>
        <v/>
      </c>
      <c r="K125" s="25"/>
      <c r="L125" s="28" t="str">
        <f aca="false">IF(K125="","",IF(LEFT(K125,6)="1 Pole","Alquiler",IF(LEFT(K125,7)="1 Clase","Clase suelta","Paquete")))</f>
        <v/>
      </c>
      <c r="M125" s="25"/>
      <c r="N125" s="25"/>
      <c r="O125" s="35"/>
      <c r="P125" s="29" t="str">
        <f aca="false">IF(O125="","",N125*O125)</f>
        <v/>
      </c>
      <c r="Q125" s="36"/>
      <c r="R125" s="25"/>
      <c r="S125" s="25"/>
      <c r="T125" s="28" t="str">
        <f aca="false">IF(OR(LEFT(W125,2)&lt;&gt;"A-",ISERROR(MATCH(W125,'🎓 Alumnas'!$A$2:$A$1000,0))),"",IF(COUNTIF($W$2:W125,W125)=1,"Nueva","Recurrente"))</f>
        <v/>
      </c>
      <c r="U125" s="28" t="str">
        <f aca="false">IF(OR(T125="",L125&lt;&gt;"Paquete"),"",COUNTIFS($W$2:W125,W125,$L$2:L125,"Paquete"))</f>
        <v/>
      </c>
      <c r="V125" s="25"/>
      <c r="W125" s="34" t="str">
        <f aca="false">IF(TRIM($C125)="","",IF(COUNTIF('🎓 Alumnas'!$P$2:$P$1000,TRIM($C125))&gt;0,INDEX('🎓 Alumnas'!$A$2:$A$1000,MATCH(TRIM($C125),'🎓 Alumnas'!$P$2:$P$1000,0)),IF(COUNTIF('🎓 Alumnas'!$O$2:$O$1000,TRIM($C125)&amp;"|*")=1,INDEX('🎓 Alumnas'!$A$2:$A$1000,MATCH(TRIM($C125)&amp;"|*",'🎓 Alumnas'!$O$2:$O$1000,0)),IF(COUNTIF('🎓 Alumnas'!$O$2:$O$1000,"*|"&amp;TRIM($C125))=1,INDEX('🎓 Alumnas'!$A$2:$A$1000,MATCH("*|"&amp;TRIM($C125),'🎓 Alumnas'!$O$2:$O$1000,0)),IF(COUNTIF('🎓 Alumnas'!$Q$2:$Q$1000,TRIM($C125))=1,INDEX('🎓 Alumnas'!$A$2:$A$1000,MATCH(TRIM($C125),'🎓 Alumnas'!$Q$2:$Q$1000,0)),IF(COUNTIF('🎓 Alumnas'!$P$2:$P$1000,"*"&amp;TRIM($C125)&amp;"*")=1,INDEX('🎓 Alumnas'!$A$2:$A$1000,MATCH("*"&amp;TRIM($C125)&amp;"*",'🎓 Alumnas'!$P$2:$P$1000,0)),IF(COUNTIF('🎓 Alumnas'!$Q$2:$Q$1000,"*"&amp;TRIM($C125)&amp;"*")=1,INDEX('🎓 Alumnas'!$A$2:$A$1000,MATCH("*"&amp;TRIM($C125)&amp;"*",'🎓 Alumnas'!$Q$2:$Q$1000,0)),IF(COUNTIF('🎓 Alumnas'!$P$2:$P$1000,"*"&amp;TRIM($C125)&amp;"*")+COUNTIF('🎓 Alumnas'!$Q$2:$Q$1000,"*"&amp;TRIM($C125)&amp;"*")&gt;1,"Varias: elige de la lista","No encontrada"))))))))</f>
        <v/>
      </c>
    </row>
    <row r="126" customFormat="false" ht="14.25" hidden="false" customHeight="true" outlineLevel="0" collapsed="false">
      <c r="A126" s="25" t="s">
        <v>671</v>
      </c>
      <c r="B126" s="27"/>
      <c r="C126" s="25"/>
      <c r="D126" s="34" t="str">
        <f aca="false">IF($W126="","",IFERROR(TRIM(INDEX('🎓 Alumnas'!$B$2:$B$1000,MATCH($W126,'🎓 Alumnas'!$A$2:$A$1000,0))),""))</f>
        <v/>
      </c>
      <c r="E126" s="34" t="str">
        <f aca="false">IF($W126="","",IFERROR(TRIM(INDEX('🎓 Alumnas'!$C$2:$C$1000,MATCH($W126,'🎓 Alumnas'!$A$2:$A$1000,0))),""))</f>
        <v/>
      </c>
      <c r="F126" s="34" t="str">
        <f aca="false">IF($W126="","",IFERROR(IF(INDEX('🎓 Alumnas'!$D$2:$D$1000,MATCH($W126,'🎓 Alumnas'!$A$2:$A$1000,0))="","",INDEX('🎓 Alumnas'!$D$2:$D$1000,MATCH($W126,'🎓 Alumnas'!$A$2:$A$1000,0))),""))</f>
        <v/>
      </c>
      <c r="G126" s="28" t="str">
        <f aca="false">IF($W126="","",IFERROR(IF(INDEX('🎓 Alumnas'!$E$2:$E$1000,MATCH($W126,'🎓 Alumnas'!$A$2:$A$1000,0))="","",INDEX('🎓 Alumnas'!$E$2:$E$1000,MATCH($W126,'🎓 Alumnas'!$A$2:$A$1000,0))),""))</f>
        <v/>
      </c>
      <c r="H126" s="28" t="str">
        <f aca="false">IF($W126="","",IFERROR(IF(INDEX('🎓 Alumnas'!$F$2:$F$1000,MATCH($W126,'🎓 Alumnas'!$A$2:$A$1000,0))="","",INDEX('🎓 Alumnas'!$F$2:$F$1000,MATCH($W126,'🎓 Alumnas'!$A$2:$A$1000,0))),""))</f>
        <v/>
      </c>
      <c r="I126" s="30" t="str">
        <f aca="false">IF($W126="","",IFERROR(IF(INDEX('🎓 Alumnas'!$G$2:$G$1000,MATCH($W126,'🎓 Alumnas'!$A$2:$A$1000,0))="","",INDEX('🎓 Alumnas'!$G$2:$G$1000,MATCH($W126,'🎓 Alumnas'!$A$2:$A$1000,0))),""))</f>
        <v/>
      </c>
      <c r="J126" s="28" t="str">
        <f aca="true">IF(I126="","",DATEDIF(I126,TODAY(),"Y"))</f>
        <v/>
      </c>
      <c r="K126" s="25"/>
      <c r="L126" s="28" t="str">
        <f aca="false">IF(K126="","",IF(LEFT(K126,6)="1 Pole","Alquiler",IF(LEFT(K126,7)="1 Clase","Clase suelta","Paquete")))</f>
        <v/>
      </c>
      <c r="M126" s="25"/>
      <c r="N126" s="25"/>
      <c r="O126" s="35"/>
      <c r="P126" s="29" t="str">
        <f aca="false">IF(O126="","",N126*O126)</f>
        <v/>
      </c>
      <c r="Q126" s="36"/>
      <c r="R126" s="25"/>
      <c r="S126" s="25"/>
      <c r="T126" s="28" t="str">
        <f aca="false">IF(OR(LEFT(W126,2)&lt;&gt;"A-",ISERROR(MATCH(W126,'🎓 Alumnas'!$A$2:$A$1000,0))),"",IF(COUNTIF($W$2:W126,W126)=1,"Nueva","Recurrente"))</f>
        <v/>
      </c>
      <c r="U126" s="28" t="str">
        <f aca="false">IF(OR(T126="",L126&lt;&gt;"Paquete"),"",COUNTIFS($W$2:W126,W126,$L$2:L126,"Paquete"))</f>
        <v/>
      </c>
      <c r="V126" s="25"/>
      <c r="W126" s="34" t="str">
        <f aca="false">IF(TRIM($C126)="","",IF(COUNTIF('🎓 Alumnas'!$P$2:$P$1000,TRIM($C126))&gt;0,INDEX('🎓 Alumnas'!$A$2:$A$1000,MATCH(TRIM($C126),'🎓 Alumnas'!$P$2:$P$1000,0)),IF(COUNTIF('🎓 Alumnas'!$O$2:$O$1000,TRIM($C126)&amp;"|*")=1,INDEX('🎓 Alumnas'!$A$2:$A$1000,MATCH(TRIM($C126)&amp;"|*",'🎓 Alumnas'!$O$2:$O$1000,0)),IF(COUNTIF('🎓 Alumnas'!$O$2:$O$1000,"*|"&amp;TRIM($C126))=1,INDEX('🎓 Alumnas'!$A$2:$A$1000,MATCH("*|"&amp;TRIM($C126),'🎓 Alumnas'!$O$2:$O$1000,0)),IF(COUNTIF('🎓 Alumnas'!$Q$2:$Q$1000,TRIM($C126))=1,INDEX('🎓 Alumnas'!$A$2:$A$1000,MATCH(TRIM($C126),'🎓 Alumnas'!$Q$2:$Q$1000,0)),IF(COUNTIF('🎓 Alumnas'!$P$2:$P$1000,"*"&amp;TRIM($C126)&amp;"*")=1,INDEX('🎓 Alumnas'!$A$2:$A$1000,MATCH("*"&amp;TRIM($C126)&amp;"*",'🎓 Alumnas'!$P$2:$P$1000,0)),IF(COUNTIF('🎓 Alumnas'!$Q$2:$Q$1000,"*"&amp;TRIM($C126)&amp;"*")=1,INDEX('🎓 Alumnas'!$A$2:$A$1000,MATCH("*"&amp;TRIM($C126)&amp;"*",'🎓 Alumnas'!$Q$2:$Q$1000,0)),IF(COUNTIF('🎓 Alumnas'!$P$2:$P$1000,"*"&amp;TRIM($C126)&amp;"*")+COUNTIF('🎓 Alumnas'!$Q$2:$Q$1000,"*"&amp;TRIM($C126)&amp;"*")&gt;1,"Varias: elige de la lista","No encontrada"))))))))</f>
        <v/>
      </c>
    </row>
    <row r="127" customFormat="false" ht="14.25" hidden="false" customHeight="true" outlineLevel="0" collapsed="false">
      <c r="A127" s="25" t="s">
        <v>672</v>
      </c>
      <c r="B127" s="27"/>
      <c r="C127" s="25"/>
      <c r="D127" s="34" t="str">
        <f aca="false">IF($W127="","",IFERROR(TRIM(INDEX('🎓 Alumnas'!$B$2:$B$1000,MATCH($W127,'🎓 Alumnas'!$A$2:$A$1000,0))),""))</f>
        <v/>
      </c>
      <c r="E127" s="34" t="str">
        <f aca="false">IF($W127="","",IFERROR(TRIM(INDEX('🎓 Alumnas'!$C$2:$C$1000,MATCH($W127,'🎓 Alumnas'!$A$2:$A$1000,0))),""))</f>
        <v/>
      </c>
      <c r="F127" s="34" t="str">
        <f aca="false">IF($W127="","",IFERROR(IF(INDEX('🎓 Alumnas'!$D$2:$D$1000,MATCH($W127,'🎓 Alumnas'!$A$2:$A$1000,0))="","",INDEX('🎓 Alumnas'!$D$2:$D$1000,MATCH($W127,'🎓 Alumnas'!$A$2:$A$1000,0))),""))</f>
        <v/>
      </c>
      <c r="G127" s="28" t="str">
        <f aca="false">IF($W127="","",IFERROR(IF(INDEX('🎓 Alumnas'!$E$2:$E$1000,MATCH($W127,'🎓 Alumnas'!$A$2:$A$1000,0))="","",INDEX('🎓 Alumnas'!$E$2:$E$1000,MATCH($W127,'🎓 Alumnas'!$A$2:$A$1000,0))),""))</f>
        <v/>
      </c>
      <c r="H127" s="28" t="str">
        <f aca="false">IF($W127="","",IFERROR(IF(INDEX('🎓 Alumnas'!$F$2:$F$1000,MATCH($W127,'🎓 Alumnas'!$A$2:$A$1000,0))="","",INDEX('🎓 Alumnas'!$F$2:$F$1000,MATCH($W127,'🎓 Alumnas'!$A$2:$A$1000,0))),""))</f>
        <v/>
      </c>
      <c r="I127" s="30" t="str">
        <f aca="false">IF($W127="","",IFERROR(IF(INDEX('🎓 Alumnas'!$G$2:$G$1000,MATCH($W127,'🎓 Alumnas'!$A$2:$A$1000,0))="","",INDEX('🎓 Alumnas'!$G$2:$G$1000,MATCH($W127,'🎓 Alumnas'!$A$2:$A$1000,0))),""))</f>
        <v/>
      </c>
      <c r="J127" s="28" t="str">
        <f aca="true">IF(I127="","",DATEDIF(I127,TODAY(),"Y"))</f>
        <v/>
      </c>
      <c r="K127" s="25"/>
      <c r="L127" s="28" t="str">
        <f aca="false">IF(K127="","",IF(LEFT(K127,6)="1 Pole","Alquiler",IF(LEFT(K127,7)="1 Clase","Clase suelta","Paquete")))</f>
        <v/>
      </c>
      <c r="M127" s="25"/>
      <c r="N127" s="25"/>
      <c r="O127" s="35"/>
      <c r="P127" s="29" t="str">
        <f aca="false">IF(O127="","",N127*O127)</f>
        <v/>
      </c>
      <c r="Q127" s="36"/>
      <c r="R127" s="25"/>
      <c r="S127" s="25"/>
      <c r="T127" s="28" t="str">
        <f aca="false">IF(OR(LEFT(W127,2)&lt;&gt;"A-",ISERROR(MATCH(W127,'🎓 Alumnas'!$A$2:$A$1000,0))),"",IF(COUNTIF($W$2:W127,W127)=1,"Nueva","Recurrente"))</f>
        <v/>
      </c>
      <c r="U127" s="28" t="str">
        <f aca="false">IF(OR(T127="",L127&lt;&gt;"Paquete"),"",COUNTIFS($W$2:W127,W127,$L$2:L127,"Paquete"))</f>
        <v/>
      </c>
      <c r="V127" s="25"/>
      <c r="W127" s="34" t="str">
        <f aca="false">IF(TRIM($C127)="","",IF(COUNTIF('🎓 Alumnas'!$P$2:$P$1000,TRIM($C127))&gt;0,INDEX('🎓 Alumnas'!$A$2:$A$1000,MATCH(TRIM($C127),'🎓 Alumnas'!$P$2:$P$1000,0)),IF(COUNTIF('🎓 Alumnas'!$O$2:$O$1000,TRIM($C127)&amp;"|*")=1,INDEX('🎓 Alumnas'!$A$2:$A$1000,MATCH(TRIM($C127)&amp;"|*",'🎓 Alumnas'!$O$2:$O$1000,0)),IF(COUNTIF('🎓 Alumnas'!$O$2:$O$1000,"*|"&amp;TRIM($C127))=1,INDEX('🎓 Alumnas'!$A$2:$A$1000,MATCH("*|"&amp;TRIM($C127),'🎓 Alumnas'!$O$2:$O$1000,0)),IF(COUNTIF('🎓 Alumnas'!$Q$2:$Q$1000,TRIM($C127))=1,INDEX('🎓 Alumnas'!$A$2:$A$1000,MATCH(TRIM($C127),'🎓 Alumnas'!$Q$2:$Q$1000,0)),IF(COUNTIF('🎓 Alumnas'!$P$2:$P$1000,"*"&amp;TRIM($C127)&amp;"*")=1,INDEX('🎓 Alumnas'!$A$2:$A$1000,MATCH("*"&amp;TRIM($C127)&amp;"*",'🎓 Alumnas'!$P$2:$P$1000,0)),IF(COUNTIF('🎓 Alumnas'!$Q$2:$Q$1000,"*"&amp;TRIM($C127)&amp;"*")=1,INDEX('🎓 Alumnas'!$A$2:$A$1000,MATCH("*"&amp;TRIM($C127)&amp;"*",'🎓 Alumnas'!$Q$2:$Q$1000,0)),IF(COUNTIF('🎓 Alumnas'!$P$2:$P$1000,"*"&amp;TRIM($C127)&amp;"*")+COUNTIF('🎓 Alumnas'!$Q$2:$Q$1000,"*"&amp;TRIM($C127)&amp;"*")&gt;1,"Varias: elige de la lista","No encontrada"))))))))</f>
        <v/>
      </c>
    </row>
    <row r="128" customFormat="false" ht="14.25" hidden="false" customHeight="true" outlineLevel="0" collapsed="false">
      <c r="A128" s="25" t="s">
        <v>673</v>
      </c>
      <c r="B128" s="27"/>
      <c r="C128" s="25"/>
      <c r="D128" s="34" t="str">
        <f aca="false">IF($W128="","",IFERROR(TRIM(INDEX('🎓 Alumnas'!$B$2:$B$1000,MATCH($W128,'🎓 Alumnas'!$A$2:$A$1000,0))),""))</f>
        <v/>
      </c>
      <c r="E128" s="34" t="str">
        <f aca="false">IF($W128="","",IFERROR(TRIM(INDEX('🎓 Alumnas'!$C$2:$C$1000,MATCH($W128,'🎓 Alumnas'!$A$2:$A$1000,0))),""))</f>
        <v/>
      </c>
      <c r="F128" s="34" t="str">
        <f aca="false">IF($W128="","",IFERROR(IF(INDEX('🎓 Alumnas'!$D$2:$D$1000,MATCH($W128,'🎓 Alumnas'!$A$2:$A$1000,0))="","",INDEX('🎓 Alumnas'!$D$2:$D$1000,MATCH($W128,'🎓 Alumnas'!$A$2:$A$1000,0))),""))</f>
        <v/>
      </c>
      <c r="G128" s="28" t="str">
        <f aca="false">IF($W128="","",IFERROR(IF(INDEX('🎓 Alumnas'!$E$2:$E$1000,MATCH($W128,'🎓 Alumnas'!$A$2:$A$1000,0))="","",INDEX('🎓 Alumnas'!$E$2:$E$1000,MATCH($W128,'🎓 Alumnas'!$A$2:$A$1000,0))),""))</f>
        <v/>
      </c>
      <c r="H128" s="28" t="str">
        <f aca="false">IF($W128="","",IFERROR(IF(INDEX('🎓 Alumnas'!$F$2:$F$1000,MATCH($W128,'🎓 Alumnas'!$A$2:$A$1000,0))="","",INDEX('🎓 Alumnas'!$F$2:$F$1000,MATCH($W128,'🎓 Alumnas'!$A$2:$A$1000,0))),""))</f>
        <v/>
      </c>
      <c r="I128" s="30" t="str">
        <f aca="false">IF($W128="","",IFERROR(IF(INDEX('🎓 Alumnas'!$G$2:$G$1000,MATCH($W128,'🎓 Alumnas'!$A$2:$A$1000,0))="","",INDEX('🎓 Alumnas'!$G$2:$G$1000,MATCH($W128,'🎓 Alumnas'!$A$2:$A$1000,0))),""))</f>
        <v/>
      </c>
      <c r="J128" s="28" t="str">
        <f aca="true">IF(I128="","",DATEDIF(I128,TODAY(),"Y"))</f>
        <v/>
      </c>
      <c r="K128" s="25"/>
      <c r="L128" s="28" t="str">
        <f aca="false">IF(K128="","",IF(LEFT(K128,6)="1 Pole","Alquiler",IF(LEFT(K128,7)="1 Clase","Clase suelta","Paquete")))</f>
        <v/>
      </c>
      <c r="M128" s="25"/>
      <c r="N128" s="25"/>
      <c r="O128" s="35"/>
      <c r="P128" s="29" t="str">
        <f aca="false">IF(O128="","",N128*O128)</f>
        <v/>
      </c>
      <c r="Q128" s="36"/>
      <c r="R128" s="25"/>
      <c r="S128" s="25"/>
      <c r="T128" s="28" t="str">
        <f aca="false">IF(OR(LEFT(W128,2)&lt;&gt;"A-",ISERROR(MATCH(W128,'🎓 Alumnas'!$A$2:$A$1000,0))),"",IF(COUNTIF($W$2:W128,W128)=1,"Nueva","Recurrente"))</f>
        <v/>
      </c>
      <c r="U128" s="28" t="str">
        <f aca="false">IF(OR(T128="",L128&lt;&gt;"Paquete"),"",COUNTIFS($W$2:W128,W128,$L$2:L128,"Paquete"))</f>
        <v/>
      </c>
      <c r="V128" s="25"/>
      <c r="W128" s="34" t="str">
        <f aca="false">IF(TRIM($C128)="","",IF(COUNTIF('🎓 Alumnas'!$P$2:$P$1000,TRIM($C128))&gt;0,INDEX('🎓 Alumnas'!$A$2:$A$1000,MATCH(TRIM($C128),'🎓 Alumnas'!$P$2:$P$1000,0)),IF(COUNTIF('🎓 Alumnas'!$O$2:$O$1000,TRIM($C128)&amp;"|*")=1,INDEX('🎓 Alumnas'!$A$2:$A$1000,MATCH(TRIM($C128)&amp;"|*",'🎓 Alumnas'!$O$2:$O$1000,0)),IF(COUNTIF('🎓 Alumnas'!$O$2:$O$1000,"*|"&amp;TRIM($C128))=1,INDEX('🎓 Alumnas'!$A$2:$A$1000,MATCH("*|"&amp;TRIM($C128),'🎓 Alumnas'!$O$2:$O$1000,0)),IF(COUNTIF('🎓 Alumnas'!$Q$2:$Q$1000,TRIM($C128))=1,INDEX('🎓 Alumnas'!$A$2:$A$1000,MATCH(TRIM($C128),'🎓 Alumnas'!$Q$2:$Q$1000,0)),IF(COUNTIF('🎓 Alumnas'!$P$2:$P$1000,"*"&amp;TRIM($C128)&amp;"*")=1,INDEX('🎓 Alumnas'!$A$2:$A$1000,MATCH("*"&amp;TRIM($C128)&amp;"*",'🎓 Alumnas'!$P$2:$P$1000,0)),IF(COUNTIF('🎓 Alumnas'!$Q$2:$Q$1000,"*"&amp;TRIM($C128)&amp;"*")=1,INDEX('🎓 Alumnas'!$A$2:$A$1000,MATCH("*"&amp;TRIM($C128)&amp;"*",'🎓 Alumnas'!$Q$2:$Q$1000,0)),IF(COUNTIF('🎓 Alumnas'!$P$2:$P$1000,"*"&amp;TRIM($C128)&amp;"*")+COUNTIF('🎓 Alumnas'!$Q$2:$Q$1000,"*"&amp;TRIM($C128)&amp;"*")&gt;1,"Varias: elige de la lista","No encontrada"))))))))</f>
        <v/>
      </c>
    </row>
    <row r="129" customFormat="false" ht="14.25" hidden="false" customHeight="true" outlineLevel="0" collapsed="false">
      <c r="A129" s="25" t="s">
        <v>674</v>
      </c>
      <c r="B129" s="27"/>
      <c r="C129" s="25"/>
      <c r="D129" s="34" t="str">
        <f aca="false">IF($W129="","",IFERROR(TRIM(INDEX('🎓 Alumnas'!$B$2:$B$1000,MATCH($W129,'🎓 Alumnas'!$A$2:$A$1000,0))),""))</f>
        <v/>
      </c>
      <c r="E129" s="34" t="str">
        <f aca="false">IF($W129="","",IFERROR(TRIM(INDEX('🎓 Alumnas'!$C$2:$C$1000,MATCH($W129,'🎓 Alumnas'!$A$2:$A$1000,0))),""))</f>
        <v/>
      </c>
      <c r="F129" s="34" t="str">
        <f aca="false">IF($W129="","",IFERROR(IF(INDEX('🎓 Alumnas'!$D$2:$D$1000,MATCH($W129,'🎓 Alumnas'!$A$2:$A$1000,0))="","",INDEX('🎓 Alumnas'!$D$2:$D$1000,MATCH($W129,'🎓 Alumnas'!$A$2:$A$1000,0))),""))</f>
        <v/>
      </c>
      <c r="G129" s="28" t="str">
        <f aca="false">IF($W129="","",IFERROR(IF(INDEX('🎓 Alumnas'!$E$2:$E$1000,MATCH($W129,'🎓 Alumnas'!$A$2:$A$1000,0))="","",INDEX('🎓 Alumnas'!$E$2:$E$1000,MATCH($W129,'🎓 Alumnas'!$A$2:$A$1000,0))),""))</f>
        <v/>
      </c>
      <c r="H129" s="28" t="str">
        <f aca="false">IF($W129="","",IFERROR(IF(INDEX('🎓 Alumnas'!$F$2:$F$1000,MATCH($W129,'🎓 Alumnas'!$A$2:$A$1000,0))="","",INDEX('🎓 Alumnas'!$F$2:$F$1000,MATCH($W129,'🎓 Alumnas'!$A$2:$A$1000,0))),""))</f>
        <v/>
      </c>
      <c r="I129" s="30" t="str">
        <f aca="false">IF($W129="","",IFERROR(IF(INDEX('🎓 Alumnas'!$G$2:$G$1000,MATCH($W129,'🎓 Alumnas'!$A$2:$A$1000,0))="","",INDEX('🎓 Alumnas'!$G$2:$G$1000,MATCH($W129,'🎓 Alumnas'!$A$2:$A$1000,0))),""))</f>
        <v/>
      </c>
      <c r="J129" s="28" t="str">
        <f aca="true">IF(I129="","",DATEDIF(I129,TODAY(),"Y"))</f>
        <v/>
      </c>
      <c r="K129" s="25"/>
      <c r="L129" s="28" t="str">
        <f aca="false">IF(K129="","",IF(LEFT(K129,6)="1 Pole","Alquiler",IF(LEFT(K129,7)="1 Clase","Clase suelta","Paquete")))</f>
        <v/>
      </c>
      <c r="M129" s="25"/>
      <c r="N129" s="25"/>
      <c r="O129" s="35"/>
      <c r="P129" s="29" t="str">
        <f aca="false">IF(O129="","",N129*O129)</f>
        <v/>
      </c>
      <c r="Q129" s="36"/>
      <c r="R129" s="25"/>
      <c r="S129" s="25"/>
      <c r="T129" s="28" t="str">
        <f aca="false">IF(OR(LEFT(W129,2)&lt;&gt;"A-",ISERROR(MATCH(W129,'🎓 Alumnas'!$A$2:$A$1000,0))),"",IF(COUNTIF($W$2:W129,W129)=1,"Nueva","Recurrente"))</f>
        <v/>
      </c>
      <c r="U129" s="28" t="str">
        <f aca="false">IF(OR(T129="",L129&lt;&gt;"Paquete"),"",COUNTIFS($W$2:W129,W129,$L$2:L129,"Paquete"))</f>
        <v/>
      </c>
      <c r="V129" s="25"/>
      <c r="W129" s="34" t="str">
        <f aca="false">IF(TRIM($C129)="","",IF(COUNTIF('🎓 Alumnas'!$P$2:$P$1000,TRIM($C129))&gt;0,INDEX('🎓 Alumnas'!$A$2:$A$1000,MATCH(TRIM($C129),'🎓 Alumnas'!$P$2:$P$1000,0)),IF(COUNTIF('🎓 Alumnas'!$O$2:$O$1000,TRIM($C129)&amp;"|*")=1,INDEX('🎓 Alumnas'!$A$2:$A$1000,MATCH(TRIM($C129)&amp;"|*",'🎓 Alumnas'!$O$2:$O$1000,0)),IF(COUNTIF('🎓 Alumnas'!$O$2:$O$1000,"*|"&amp;TRIM($C129))=1,INDEX('🎓 Alumnas'!$A$2:$A$1000,MATCH("*|"&amp;TRIM($C129),'🎓 Alumnas'!$O$2:$O$1000,0)),IF(COUNTIF('🎓 Alumnas'!$Q$2:$Q$1000,TRIM($C129))=1,INDEX('🎓 Alumnas'!$A$2:$A$1000,MATCH(TRIM($C129),'🎓 Alumnas'!$Q$2:$Q$1000,0)),IF(COUNTIF('🎓 Alumnas'!$P$2:$P$1000,"*"&amp;TRIM($C129)&amp;"*")=1,INDEX('🎓 Alumnas'!$A$2:$A$1000,MATCH("*"&amp;TRIM($C129)&amp;"*",'🎓 Alumnas'!$P$2:$P$1000,0)),IF(COUNTIF('🎓 Alumnas'!$Q$2:$Q$1000,"*"&amp;TRIM($C129)&amp;"*")=1,INDEX('🎓 Alumnas'!$A$2:$A$1000,MATCH("*"&amp;TRIM($C129)&amp;"*",'🎓 Alumnas'!$Q$2:$Q$1000,0)),IF(COUNTIF('🎓 Alumnas'!$P$2:$P$1000,"*"&amp;TRIM($C129)&amp;"*")+COUNTIF('🎓 Alumnas'!$Q$2:$Q$1000,"*"&amp;TRIM($C129)&amp;"*")&gt;1,"Varias: elige de la lista","No encontrada"))))))))</f>
        <v/>
      </c>
    </row>
    <row r="130" customFormat="false" ht="14.25" hidden="false" customHeight="true" outlineLevel="0" collapsed="false">
      <c r="A130" s="25" t="s">
        <v>675</v>
      </c>
      <c r="B130" s="27"/>
      <c r="C130" s="25"/>
      <c r="D130" s="34" t="str">
        <f aca="false">IF($W130="","",IFERROR(TRIM(INDEX('🎓 Alumnas'!$B$2:$B$1000,MATCH($W130,'🎓 Alumnas'!$A$2:$A$1000,0))),""))</f>
        <v/>
      </c>
      <c r="E130" s="34" t="str">
        <f aca="false">IF($W130="","",IFERROR(TRIM(INDEX('🎓 Alumnas'!$C$2:$C$1000,MATCH($W130,'🎓 Alumnas'!$A$2:$A$1000,0))),""))</f>
        <v/>
      </c>
      <c r="F130" s="34" t="str">
        <f aca="false">IF($W130="","",IFERROR(IF(INDEX('🎓 Alumnas'!$D$2:$D$1000,MATCH($W130,'🎓 Alumnas'!$A$2:$A$1000,0))="","",INDEX('🎓 Alumnas'!$D$2:$D$1000,MATCH($W130,'🎓 Alumnas'!$A$2:$A$1000,0))),""))</f>
        <v/>
      </c>
      <c r="G130" s="28" t="str">
        <f aca="false">IF($W130="","",IFERROR(IF(INDEX('🎓 Alumnas'!$E$2:$E$1000,MATCH($W130,'🎓 Alumnas'!$A$2:$A$1000,0))="","",INDEX('🎓 Alumnas'!$E$2:$E$1000,MATCH($W130,'🎓 Alumnas'!$A$2:$A$1000,0))),""))</f>
        <v/>
      </c>
      <c r="H130" s="28" t="str">
        <f aca="false">IF($W130="","",IFERROR(IF(INDEX('🎓 Alumnas'!$F$2:$F$1000,MATCH($W130,'🎓 Alumnas'!$A$2:$A$1000,0))="","",INDEX('🎓 Alumnas'!$F$2:$F$1000,MATCH($W130,'🎓 Alumnas'!$A$2:$A$1000,0))),""))</f>
        <v/>
      </c>
      <c r="I130" s="30" t="str">
        <f aca="false">IF($W130="","",IFERROR(IF(INDEX('🎓 Alumnas'!$G$2:$G$1000,MATCH($W130,'🎓 Alumnas'!$A$2:$A$1000,0))="","",INDEX('🎓 Alumnas'!$G$2:$G$1000,MATCH($W130,'🎓 Alumnas'!$A$2:$A$1000,0))),""))</f>
        <v/>
      </c>
      <c r="J130" s="28" t="str">
        <f aca="true">IF(I130="","",DATEDIF(I130,TODAY(),"Y"))</f>
        <v/>
      </c>
      <c r="K130" s="25"/>
      <c r="L130" s="28" t="str">
        <f aca="false">IF(K130="","",IF(LEFT(K130,6)="1 Pole","Alquiler",IF(LEFT(K130,7)="1 Clase","Clase suelta","Paquete")))</f>
        <v/>
      </c>
      <c r="M130" s="25"/>
      <c r="N130" s="25"/>
      <c r="O130" s="35"/>
      <c r="P130" s="29" t="str">
        <f aca="false">IF(O130="","",N130*O130)</f>
        <v/>
      </c>
      <c r="Q130" s="36"/>
      <c r="R130" s="25"/>
      <c r="S130" s="25"/>
      <c r="T130" s="28" t="str">
        <f aca="false">IF(OR(LEFT(W130,2)&lt;&gt;"A-",ISERROR(MATCH(W130,'🎓 Alumnas'!$A$2:$A$1000,0))),"",IF(COUNTIF($W$2:W130,W130)=1,"Nueva","Recurrente"))</f>
        <v/>
      </c>
      <c r="U130" s="28" t="str">
        <f aca="false">IF(OR(T130="",L130&lt;&gt;"Paquete"),"",COUNTIFS($W$2:W130,W130,$L$2:L130,"Paquete"))</f>
        <v/>
      </c>
      <c r="V130" s="25"/>
      <c r="W130" s="34" t="str">
        <f aca="false">IF(TRIM($C130)="","",IF(COUNTIF('🎓 Alumnas'!$P$2:$P$1000,TRIM($C130))&gt;0,INDEX('🎓 Alumnas'!$A$2:$A$1000,MATCH(TRIM($C130),'🎓 Alumnas'!$P$2:$P$1000,0)),IF(COUNTIF('🎓 Alumnas'!$O$2:$O$1000,TRIM($C130)&amp;"|*")=1,INDEX('🎓 Alumnas'!$A$2:$A$1000,MATCH(TRIM($C130)&amp;"|*",'🎓 Alumnas'!$O$2:$O$1000,0)),IF(COUNTIF('🎓 Alumnas'!$O$2:$O$1000,"*|"&amp;TRIM($C130))=1,INDEX('🎓 Alumnas'!$A$2:$A$1000,MATCH("*|"&amp;TRIM($C130),'🎓 Alumnas'!$O$2:$O$1000,0)),IF(COUNTIF('🎓 Alumnas'!$Q$2:$Q$1000,TRIM($C130))=1,INDEX('🎓 Alumnas'!$A$2:$A$1000,MATCH(TRIM($C130),'🎓 Alumnas'!$Q$2:$Q$1000,0)),IF(COUNTIF('🎓 Alumnas'!$P$2:$P$1000,"*"&amp;TRIM($C130)&amp;"*")=1,INDEX('🎓 Alumnas'!$A$2:$A$1000,MATCH("*"&amp;TRIM($C130)&amp;"*",'🎓 Alumnas'!$P$2:$P$1000,0)),IF(COUNTIF('🎓 Alumnas'!$Q$2:$Q$1000,"*"&amp;TRIM($C130)&amp;"*")=1,INDEX('🎓 Alumnas'!$A$2:$A$1000,MATCH("*"&amp;TRIM($C130)&amp;"*",'🎓 Alumnas'!$Q$2:$Q$1000,0)),IF(COUNTIF('🎓 Alumnas'!$P$2:$P$1000,"*"&amp;TRIM($C130)&amp;"*")+COUNTIF('🎓 Alumnas'!$Q$2:$Q$1000,"*"&amp;TRIM($C130)&amp;"*")&gt;1,"Varias: elige de la lista","No encontrada"))))))))</f>
        <v/>
      </c>
    </row>
    <row r="131" customFormat="false" ht="14.25" hidden="false" customHeight="true" outlineLevel="0" collapsed="false">
      <c r="A131" s="25" t="s">
        <v>676</v>
      </c>
      <c r="B131" s="27"/>
      <c r="C131" s="25"/>
      <c r="D131" s="34" t="str">
        <f aca="false">IF($W131="","",IFERROR(TRIM(INDEX('🎓 Alumnas'!$B$2:$B$1000,MATCH($W131,'🎓 Alumnas'!$A$2:$A$1000,0))),""))</f>
        <v/>
      </c>
      <c r="E131" s="34" t="str">
        <f aca="false">IF($W131="","",IFERROR(TRIM(INDEX('🎓 Alumnas'!$C$2:$C$1000,MATCH($W131,'🎓 Alumnas'!$A$2:$A$1000,0))),""))</f>
        <v/>
      </c>
      <c r="F131" s="34" t="str">
        <f aca="false">IF($W131="","",IFERROR(IF(INDEX('🎓 Alumnas'!$D$2:$D$1000,MATCH($W131,'🎓 Alumnas'!$A$2:$A$1000,0))="","",INDEX('🎓 Alumnas'!$D$2:$D$1000,MATCH($W131,'🎓 Alumnas'!$A$2:$A$1000,0))),""))</f>
        <v/>
      </c>
      <c r="G131" s="28" t="str">
        <f aca="false">IF($W131="","",IFERROR(IF(INDEX('🎓 Alumnas'!$E$2:$E$1000,MATCH($W131,'🎓 Alumnas'!$A$2:$A$1000,0))="","",INDEX('🎓 Alumnas'!$E$2:$E$1000,MATCH($W131,'🎓 Alumnas'!$A$2:$A$1000,0))),""))</f>
        <v/>
      </c>
      <c r="H131" s="28" t="str">
        <f aca="false">IF($W131="","",IFERROR(IF(INDEX('🎓 Alumnas'!$F$2:$F$1000,MATCH($W131,'🎓 Alumnas'!$A$2:$A$1000,0))="","",INDEX('🎓 Alumnas'!$F$2:$F$1000,MATCH($W131,'🎓 Alumnas'!$A$2:$A$1000,0))),""))</f>
        <v/>
      </c>
      <c r="I131" s="30" t="str">
        <f aca="false">IF($W131="","",IFERROR(IF(INDEX('🎓 Alumnas'!$G$2:$G$1000,MATCH($W131,'🎓 Alumnas'!$A$2:$A$1000,0))="","",INDEX('🎓 Alumnas'!$G$2:$G$1000,MATCH($W131,'🎓 Alumnas'!$A$2:$A$1000,0))),""))</f>
        <v/>
      </c>
      <c r="J131" s="28" t="str">
        <f aca="true">IF(I131="","",DATEDIF(I131,TODAY(),"Y"))</f>
        <v/>
      </c>
      <c r="K131" s="25"/>
      <c r="L131" s="28" t="str">
        <f aca="false">IF(K131="","",IF(LEFT(K131,6)="1 Pole","Alquiler",IF(LEFT(K131,7)="1 Clase","Clase suelta","Paquete")))</f>
        <v/>
      </c>
      <c r="M131" s="25"/>
      <c r="N131" s="25"/>
      <c r="O131" s="35"/>
      <c r="P131" s="29" t="str">
        <f aca="false">IF(O131="","",N131*O131)</f>
        <v/>
      </c>
      <c r="Q131" s="36"/>
      <c r="R131" s="25"/>
      <c r="S131" s="25"/>
      <c r="T131" s="28" t="str">
        <f aca="false">IF(OR(LEFT(W131,2)&lt;&gt;"A-",ISERROR(MATCH(W131,'🎓 Alumnas'!$A$2:$A$1000,0))),"",IF(COUNTIF($W$2:W131,W131)=1,"Nueva","Recurrente"))</f>
        <v/>
      </c>
      <c r="U131" s="28" t="str">
        <f aca="false">IF(OR(T131="",L131&lt;&gt;"Paquete"),"",COUNTIFS($W$2:W131,W131,$L$2:L131,"Paquete"))</f>
        <v/>
      </c>
      <c r="V131" s="25"/>
      <c r="W131" s="34" t="str">
        <f aca="false">IF(TRIM($C131)="","",IF(COUNTIF('🎓 Alumnas'!$P$2:$P$1000,TRIM($C131))&gt;0,INDEX('🎓 Alumnas'!$A$2:$A$1000,MATCH(TRIM($C131),'🎓 Alumnas'!$P$2:$P$1000,0)),IF(COUNTIF('🎓 Alumnas'!$O$2:$O$1000,TRIM($C131)&amp;"|*")=1,INDEX('🎓 Alumnas'!$A$2:$A$1000,MATCH(TRIM($C131)&amp;"|*",'🎓 Alumnas'!$O$2:$O$1000,0)),IF(COUNTIF('🎓 Alumnas'!$O$2:$O$1000,"*|"&amp;TRIM($C131))=1,INDEX('🎓 Alumnas'!$A$2:$A$1000,MATCH("*|"&amp;TRIM($C131),'🎓 Alumnas'!$O$2:$O$1000,0)),IF(COUNTIF('🎓 Alumnas'!$Q$2:$Q$1000,TRIM($C131))=1,INDEX('🎓 Alumnas'!$A$2:$A$1000,MATCH(TRIM($C131),'🎓 Alumnas'!$Q$2:$Q$1000,0)),IF(COUNTIF('🎓 Alumnas'!$P$2:$P$1000,"*"&amp;TRIM($C131)&amp;"*")=1,INDEX('🎓 Alumnas'!$A$2:$A$1000,MATCH("*"&amp;TRIM($C131)&amp;"*",'🎓 Alumnas'!$P$2:$P$1000,0)),IF(COUNTIF('🎓 Alumnas'!$Q$2:$Q$1000,"*"&amp;TRIM($C131)&amp;"*")=1,INDEX('🎓 Alumnas'!$A$2:$A$1000,MATCH("*"&amp;TRIM($C131)&amp;"*",'🎓 Alumnas'!$Q$2:$Q$1000,0)),IF(COUNTIF('🎓 Alumnas'!$P$2:$P$1000,"*"&amp;TRIM($C131)&amp;"*")+COUNTIF('🎓 Alumnas'!$Q$2:$Q$1000,"*"&amp;TRIM($C131)&amp;"*")&gt;1,"Varias: elige de la lista","No encontrada"))))))))</f>
        <v/>
      </c>
    </row>
    <row r="132" customFormat="false" ht="14.25" hidden="false" customHeight="true" outlineLevel="0" collapsed="false">
      <c r="A132" s="25" t="s">
        <v>677</v>
      </c>
      <c r="B132" s="27"/>
      <c r="C132" s="25"/>
      <c r="D132" s="34" t="str">
        <f aca="false">IF($W132="","",IFERROR(TRIM(INDEX('🎓 Alumnas'!$B$2:$B$1000,MATCH($W132,'🎓 Alumnas'!$A$2:$A$1000,0))),""))</f>
        <v/>
      </c>
      <c r="E132" s="34" t="str">
        <f aca="false">IF($W132="","",IFERROR(TRIM(INDEX('🎓 Alumnas'!$C$2:$C$1000,MATCH($W132,'🎓 Alumnas'!$A$2:$A$1000,0))),""))</f>
        <v/>
      </c>
      <c r="F132" s="34" t="str">
        <f aca="false">IF($W132="","",IFERROR(IF(INDEX('🎓 Alumnas'!$D$2:$D$1000,MATCH($W132,'🎓 Alumnas'!$A$2:$A$1000,0))="","",INDEX('🎓 Alumnas'!$D$2:$D$1000,MATCH($W132,'🎓 Alumnas'!$A$2:$A$1000,0))),""))</f>
        <v/>
      </c>
      <c r="G132" s="28" t="str">
        <f aca="false">IF($W132="","",IFERROR(IF(INDEX('🎓 Alumnas'!$E$2:$E$1000,MATCH($W132,'🎓 Alumnas'!$A$2:$A$1000,0))="","",INDEX('🎓 Alumnas'!$E$2:$E$1000,MATCH($W132,'🎓 Alumnas'!$A$2:$A$1000,0))),""))</f>
        <v/>
      </c>
      <c r="H132" s="28" t="str">
        <f aca="false">IF($W132="","",IFERROR(IF(INDEX('🎓 Alumnas'!$F$2:$F$1000,MATCH($W132,'🎓 Alumnas'!$A$2:$A$1000,0))="","",INDEX('🎓 Alumnas'!$F$2:$F$1000,MATCH($W132,'🎓 Alumnas'!$A$2:$A$1000,0))),""))</f>
        <v/>
      </c>
      <c r="I132" s="30" t="str">
        <f aca="false">IF($W132="","",IFERROR(IF(INDEX('🎓 Alumnas'!$G$2:$G$1000,MATCH($W132,'🎓 Alumnas'!$A$2:$A$1000,0))="","",INDEX('🎓 Alumnas'!$G$2:$G$1000,MATCH($W132,'🎓 Alumnas'!$A$2:$A$1000,0))),""))</f>
        <v/>
      </c>
      <c r="J132" s="28" t="str">
        <f aca="true">IF(I132="","",DATEDIF(I132,TODAY(),"Y"))</f>
        <v/>
      </c>
      <c r="K132" s="25"/>
      <c r="L132" s="28" t="str">
        <f aca="false">IF(K132="","",IF(LEFT(K132,6)="1 Pole","Alquiler",IF(LEFT(K132,7)="1 Clase","Clase suelta","Paquete")))</f>
        <v/>
      </c>
      <c r="M132" s="25"/>
      <c r="N132" s="25"/>
      <c r="O132" s="35"/>
      <c r="P132" s="29" t="str">
        <f aca="false">IF(O132="","",N132*O132)</f>
        <v/>
      </c>
      <c r="Q132" s="36"/>
      <c r="R132" s="25"/>
      <c r="S132" s="25"/>
      <c r="T132" s="28" t="str">
        <f aca="false">IF(OR(LEFT(W132,2)&lt;&gt;"A-",ISERROR(MATCH(W132,'🎓 Alumnas'!$A$2:$A$1000,0))),"",IF(COUNTIF($W$2:W132,W132)=1,"Nueva","Recurrente"))</f>
        <v/>
      </c>
      <c r="U132" s="28" t="str">
        <f aca="false">IF(OR(T132="",L132&lt;&gt;"Paquete"),"",COUNTIFS($W$2:W132,W132,$L$2:L132,"Paquete"))</f>
        <v/>
      </c>
      <c r="V132" s="25"/>
      <c r="W132" s="34" t="str">
        <f aca="false">IF(TRIM($C132)="","",IF(COUNTIF('🎓 Alumnas'!$P$2:$P$1000,TRIM($C132))&gt;0,INDEX('🎓 Alumnas'!$A$2:$A$1000,MATCH(TRIM($C132),'🎓 Alumnas'!$P$2:$P$1000,0)),IF(COUNTIF('🎓 Alumnas'!$O$2:$O$1000,TRIM($C132)&amp;"|*")=1,INDEX('🎓 Alumnas'!$A$2:$A$1000,MATCH(TRIM($C132)&amp;"|*",'🎓 Alumnas'!$O$2:$O$1000,0)),IF(COUNTIF('🎓 Alumnas'!$O$2:$O$1000,"*|"&amp;TRIM($C132))=1,INDEX('🎓 Alumnas'!$A$2:$A$1000,MATCH("*|"&amp;TRIM($C132),'🎓 Alumnas'!$O$2:$O$1000,0)),IF(COUNTIF('🎓 Alumnas'!$Q$2:$Q$1000,TRIM($C132))=1,INDEX('🎓 Alumnas'!$A$2:$A$1000,MATCH(TRIM($C132),'🎓 Alumnas'!$Q$2:$Q$1000,0)),IF(COUNTIF('🎓 Alumnas'!$P$2:$P$1000,"*"&amp;TRIM($C132)&amp;"*")=1,INDEX('🎓 Alumnas'!$A$2:$A$1000,MATCH("*"&amp;TRIM($C132)&amp;"*",'🎓 Alumnas'!$P$2:$P$1000,0)),IF(COUNTIF('🎓 Alumnas'!$Q$2:$Q$1000,"*"&amp;TRIM($C132)&amp;"*")=1,INDEX('🎓 Alumnas'!$A$2:$A$1000,MATCH("*"&amp;TRIM($C132)&amp;"*",'🎓 Alumnas'!$Q$2:$Q$1000,0)),IF(COUNTIF('🎓 Alumnas'!$P$2:$P$1000,"*"&amp;TRIM($C132)&amp;"*")+COUNTIF('🎓 Alumnas'!$Q$2:$Q$1000,"*"&amp;TRIM($C132)&amp;"*")&gt;1,"Varias: elige de la lista","No encontrada"))))))))</f>
        <v/>
      </c>
    </row>
    <row r="133" customFormat="false" ht="14.25" hidden="false" customHeight="true" outlineLevel="0" collapsed="false">
      <c r="A133" s="25" t="s">
        <v>678</v>
      </c>
      <c r="B133" s="27"/>
      <c r="C133" s="25"/>
      <c r="D133" s="34" t="str">
        <f aca="false">IF($W133="","",IFERROR(TRIM(INDEX('🎓 Alumnas'!$B$2:$B$1000,MATCH($W133,'🎓 Alumnas'!$A$2:$A$1000,0))),""))</f>
        <v/>
      </c>
      <c r="E133" s="34" t="str">
        <f aca="false">IF($W133="","",IFERROR(TRIM(INDEX('🎓 Alumnas'!$C$2:$C$1000,MATCH($W133,'🎓 Alumnas'!$A$2:$A$1000,0))),""))</f>
        <v/>
      </c>
      <c r="F133" s="34" t="str">
        <f aca="false">IF($W133="","",IFERROR(IF(INDEX('🎓 Alumnas'!$D$2:$D$1000,MATCH($W133,'🎓 Alumnas'!$A$2:$A$1000,0))="","",INDEX('🎓 Alumnas'!$D$2:$D$1000,MATCH($W133,'🎓 Alumnas'!$A$2:$A$1000,0))),""))</f>
        <v/>
      </c>
      <c r="G133" s="28" t="str">
        <f aca="false">IF($W133="","",IFERROR(IF(INDEX('🎓 Alumnas'!$E$2:$E$1000,MATCH($W133,'🎓 Alumnas'!$A$2:$A$1000,0))="","",INDEX('🎓 Alumnas'!$E$2:$E$1000,MATCH($W133,'🎓 Alumnas'!$A$2:$A$1000,0))),""))</f>
        <v/>
      </c>
      <c r="H133" s="28" t="str">
        <f aca="false">IF($W133="","",IFERROR(IF(INDEX('🎓 Alumnas'!$F$2:$F$1000,MATCH($W133,'🎓 Alumnas'!$A$2:$A$1000,0))="","",INDEX('🎓 Alumnas'!$F$2:$F$1000,MATCH($W133,'🎓 Alumnas'!$A$2:$A$1000,0))),""))</f>
        <v/>
      </c>
      <c r="I133" s="30" t="str">
        <f aca="false">IF($W133="","",IFERROR(IF(INDEX('🎓 Alumnas'!$G$2:$G$1000,MATCH($W133,'🎓 Alumnas'!$A$2:$A$1000,0))="","",INDEX('🎓 Alumnas'!$G$2:$G$1000,MATCH($W133,'🎓 Alumnas'!$A$2:$A$1000,0))),""))</f>
        <v/>
      </c>
      <c r="J133" s="28" t="str">
        <f aca="true">IF(I133="","",DATEDIF(I133,TODAY(),"Y"))</f>
        <v/>
      </c>
      <c r="K133" s="25"/>
      <c r="L133" s="28" t="str">
        <f aca="false">IF(K133="","",IF(LEFT(K133,6)="1 Pole","Alquiler",IF(LEFT(K133,7)="1 Clase","Clase suelta","Paquete")))</f>
        <v/>
      </c>
      <c r="M133" s="25"/>
      <c r="N133" s="25"/>
      <c r="O133" s="35"/>
      <c r="P133" s="29" t="str">
        <f aca="false">IF(O133="","",N133*O133)</f>
        <v/>
      </c>
      <c r="Q133" s="36"/>
      <c r="R133" s="25"/>
      <c r="S133" s="25"/>
      <c r="T133" s="28" t="str">
        <f aca="false">IF(OR(LEFT(W133,2)&lt;&gt;"A-",ISERROR(MATCH(W133,'🎓 Alumnas'!$A$2:$A$1000,0))),"",IF(COUNTIF($W$2:W133,W133)=1,"Nueva","Recurrente"))</f>
        <v/>
      </c>
      <c r="U133" s="28" t="str">
        <f aca="false">IF(OR(T133="",L133&lt;&gt;"Paquete"),"",COUNTIFS($W$2:W133,W133,$L$2:L133,"Paquete"))</f>
        <v/>
      </c>
      <c r="V133" s="25"/>
      <c r="W133" s="34" t="str">
        <f aca="false">IF(TRIM($C133)="","",IF(COUNTIF('🎓 Alumnas'!$P$2:$P$1000,TRIM($C133))&gt;0,INDEX('🎓 Alumnas'!$A$2:$A$1000,MATCH(TRIM($C133),'🎓 Alumnas'!$P$2:$P$1000,0)),IF(COUNTIF('🎓 Alumnas'!$O$2:$O$1000,TRIM($C133)&amp;"|*")=1,INDEX('🎓 Alumnas'!$A$2:$A$1000,MATCH(TRIM($C133)&amp;"|*",'🎓 Alumnas'!$O$2:$O$1000,0)),IF(COUNTIF('🎓 Alumnas'!$O$2:$O$1000,"*|"&amp;TRIM($C133))=1,INDEX('🎓 Alumnas'!$A$2:$A$1000,MATCH("*|"&amp;TRIM($C133),'🎓 Alumnas'!$O$2:$O$1000,0)),IF(COUNTIF('🎓 Alumnas'!$Q$2:$Q$1000,TRIM($C133))=1,INDEX('🎓 Alumnas'!$A$2:$A$1000,MATCH(TRIM($C133),'🎓 Alumnas'!$Q$2:$Q$1000,0)),IF(COUNTIF('🎓 Alumnas'!$P$2:$P$1000,"*"&amp;TRIM($C133)&amp;"*")=1,INDEX('🎓 Alumnas'!$A$2:$A$1000,MATCH("*"&amp;TRIM($C133)&amp;"*",'🎓 Alumnas'!$P$2:$P$1000,0)),IF(COUNTIF('🎓 Alumnas'!$Q$2:$Q$1000,"*"&amp;TRIM($C133)&amp;"*")=1,INDEX('🎓 Alumnas'!$A$2:$A$1000,MATCH("*"&amp;TRIM($C133)&amp;"*",'🎓 Alumnas'!$Q$2:$Q$1000,0)),IF(COUNTIF('🎓 Alumnas'!$P$2:$P$1000,"*"&amp;TRIM($C133)&amp;"*")+COUNTIF('🎓 Alumnas'!$Q$2:$Q$1000,"*"&amp;TRIM($C133)&amp;"*")&gt;1,"Varias: elige de la lista","No encontrada"))))))))</f>
        <v/>
      </c>
    </row>
    <row r="134" customFormat="false" ht="14.25" hidden="false" customHeight="true" outlineLevel="0" collapsed="false">
      <c r="A134" s="25" t="s">
        <v>679</v>
      </c>
      <c r="B134" s="27"/>
      <c r="C134" s="25"/>
      <c r="D134" s="34" t="str">
        <f aca="false">IF($W134="","",IFERROR(TRIM(INDEX('🎓 Alumnas'!$B$2:$B$1000,MATCH($W134,'🎓 Alumnas'!$A$2:$A$1000,0))),""))</f>
        <v/>
      </c>
      <c r="E134" s="34" t="str">
        <f aca="false">IF($W134="","",IFERROR(TRIM(INDEX('🎓 Alumnas'!$C$2:$C$1000,MATCH($W134,'🎓 Alumnas'!$A$2:$A$1000,0))),""))</f>
        <v/>
      </c>
      <c r="F134" s="34" t="str">
        <f aca="false">IF($W134="","",IFERROR(IF(INDEX('🎓 Alumnas'!$D$2:$D$1000,MATCH($W134,'🎓 Alumnas'!$A$2:$A$1000,0))="","",INDEX('🎓 Alumnas'!$D$2:$D$1000,MATCH($W134,'🎓 Alumnas'!$A$2:$A$1000,0))),""))</f>
        <v/>
      </c>
      <c r="G134" s="28" t="str">
        <f aca="false">IF($W134="","",IFERROR(IF(INDEX('🎓 Alumnas'!$E$2:$E$1000,MATCH($W134,'🎓 Alumnas'!$A$2:$A$1000,0))="","",INDEX('🎓 Alumnas'!$E$2:$E$1000,MATCH($W134,'🎓 Alumnas'!$A$2:$A$1000,0))),""))</f>
        <v/>
      </c>
      <c r="H134" s="28" t="str">
        <f aca="false">IF($W134="","",IFERROR(IF(INDEX('🎓 Alumnas'!$F$2:$F$1000,MATCH($W134,'🎓 Alumnas'!$A$2:$A$1000,0))="","",INDEX('🎓 Alumnas'!$F$2:$F$1000,MATCH($W134,'🎓 Alumnas'!$A$2:$A$1000,0))),""))</f>
        <v/>
      </c>
      <c r="I134" s="30" t="str">
        <f aca="false">IF($W134="","",IFERROR(IF(INDEX('🎓 Alumnas'!$G$2:$G$1000,MATCH($W134,'🎓 Alumnas'!$A$2:$A$1000,0))="","",INDEX('🎓 Alumnas'!$G$2:$G$1000,MATCH($W134,'🎓 Alumnas'!$A$2:$A$1000,0))),""))</f>
        <v/>
      </c>
      <c r="J134" s="28" t="str">
        <f aca="true">IF(I134="","",DATEDIF(I134,TODAY(),"Y"))</f>
        <v/>
      </c>
      <c r="K134" s="25"/>
      <c r="L134" s="28" t="str">
        <f aca="false">IF(K134="","",IF(LEFT(K134,6)="1 Pole","Alquiler",IF(LEFT(K134,7)="1 Clase","Clase suelta","Paquete")))</f>
        <v/>
      </c>
      <c r="M134" s="25"/>
      <c r="N134" s="25"/>
      <c r="O134" s="35"/>
      <c r="P134" s="29" t="str">
        <f aca="false">IF(O134="","",N134*O134)</f>
        <v/>
      </c>
      <c r="Q134" s="36"/>
      <c r="R134" s="25"/>
      <c r="S134" s="25"/>
      <c r="T134" s="28" t="str">
        <f aca="false">IF(OR(LEFT(W134,2)&lt;&gt;"A-",ISERROR(MATCH(W134,'🎓 Alumnas'!$A$2:$A$1000,0))),"",IF(COUNTIF($W$2:W134,W134)=1,"Nueva","Recurrente"))</f>
        <v/>
      </c>
      <c r="U134" s="28" t="str">
        <f aca="false">IF(OR(T134="",L134&lt;&gt;"Paquete"),"",COUNTIFS($W$2:W134,W134,$L$2:L134,"Paquete"))</f>
        <v/>
      </c>
      <c r="V134" s="25"/>
      <c r="W134" s="34" t="str">
        <f aca="false">IF(TRIM($C134)="","",IF(COUNTIF('🎓 Alumnas'!$P$2:$P$1000,TRIM($C134))&gt;0,INDEX('🎓 Alumnas'!$A$2:$A$1000,MATCH(TRIM($C134),'🎓 Alumnas'!$P$2:$P$1000,0)),IF(COUNTIF('🎓 Alumnas'!$O$2:$O$1000,TRIM($C134)&amp;"|*")=1,INDEX('🎓 Alumnas'!$A$2:$A$1000,MATCH(TRIM($C134)&amp;"|*",'🎓 Alumnas'!$O$2:$O$1000,0)),IF(COUNTIF('🎓 Alumnas'!$O$2:$O$1000,"*|"&amp;TRIM($C134))=1,INDEX('🎓 Alumnas'!$A$2:$A$1000,MATCH("*|"&amp;TRIM($C134),'🎓 Alumnas'!$O$2:$O$1000,0)),IF(COUNTIF('🎓 Alumnas'!$Q$2:$Q$1000,TRIM($C134))=1,INDEX('🎓 Alumnas'!$A$2:$A$1000,MATCH(TRIM($C134),'🎓 Alumnas'!$Q$2:$Q$1000,0)),IF(COUNTIF('🎓 Alumnas'!$P$2:$P$1000,"*"&amp;TRIM($C134)&amp;"*")=1,INDEX('🎓 Alumnas'!$A$2:$A$1000,MATCH("*"&amp;TRIM($C134)&amp;"*",'🎓 Alumnas'!$P$2:$P$1000,0)),IF(COUNTIF('🎓 Alumnas'!$Q$2:$Q$1000,"*"&amp;TRIM($C134)&amp;"*")=1,INDEX('🎓 Alumnas'!$A$2:$A$1000,MATCH("*"&amp;TRIM($C134)&amp;"*",'🎓 Alumnas'!$Q$2:$Q$1000,0)),IF(COUNTIF('🎓 Alumnas'!$P$2:$P$1000,"*"&amp;TRIM($C134)&amp;"*")+COUNTIF('🎓 Alumnas'!$Q$2:$Q$1000,"*"&amp;TRIM($C134)&amp;"*")&gt;1,"Varias: elige de la lista","No encontrada"))))))))</f>
        <v/>
      </c>
    </row>
    <row r="135" customFormat="false" ht="14.25" hidden="false" customHeight="true" outlineLevel="0" collapsed="false">
      <c r="A135" s="25" t="s">
        <v>680</v>
      </c>
      <c r="B135" s="27"/>
      <c r="C135" s="25"/>
      <c r="D135" s="34" t="str">
        <f aca="false">IF($W135="","",IFERROR(TRIM(INDEX('🎓 Alumnas'!$B$2:$B$1000,MATCH($W135,'🎓 Alumnas'!$A$2:$A$1000,0))),""))</f>
        <v/>
      </c>
      <c r="E135" s="34" t="str">
        <f aca="false">IF($W135="","",IFERROR(TRIM(INDEX('🎓 Alumnas'!$C$2:$C$1000,MATCH($W135,'🎓 Alumnas'!$A$2:$A$1000,0))),""))</f>
        <v/>
      </c>
      <c r="F135" s="34" t="str">
        <f aca="false">IF($W135="","",IFERROR(IF(INDEX('🎓 Alumnas'!$D$2:$D$1000,MATCH($W135,'🎓 Alumnas'!$A$2:$A$1000,0))="","",INDEX('🎓 Alumnas'!$D$2:$D$1000,MATCH($W135,'🎓 Alumnas'!$A$2:$A$1000,0))),""))</f>
        <v/>
      </c>
      <c r="G135" s="28" t="str">
        <f aca="false">IF($W135="","",IFERROR(IF(INDEX('🎓 Alumnas'!$E$2:$E$1000,MATCH($W135,'🎓 Alumnas'!$A$2:$A$1000,0))="","",INDEX('🎓 Alumnas'!$E$2:$E$1000,MATCH($W135,'🎓 Alumnas'!$A$2:$A$1000,0))),""))</f>
        <v/>
      </c>
      <c r="H135" s="28" t="str">
        <f aca="false">IF($W135="","",IFERROR(IF(INDEX('🎓 Alumnas'!$F$2:$F$1000,MATCH($W135,'🎓 Alumnas'!$A$2:$A$1000,0))="","",INDEX('🎓 Alumnas'!$F$2:$F$1000,MATCH($W135,'🎓 Alumnas'!$A$2:$A$1000,0))),""))</f>
        <v/>
      </c>
      <c r="I135" s="30" t="str">
        <f aca="false">IF($W135="","",IFERROR(IF(INDEX('🎓 Alumnas'!$G$2:$G$1000,MATCH($W135,'🎓 Alumnas'!$A$2:$A$1000,0))="","",INDEX('🎓 Alumnas'!$G$2:$G$1000,MATCH($W135,'🎓 Alumnas'!$A$2:$A$1000,0))),""))</f>
        <v/>
      </c>
      <c r="J135" s="28" t="str">
        <f aca="true">IF(I135="","",DATEDIF(I135,TODAY(),"Y"))</f>
        <v/>
      </c>
      <c r="K135" s="25"/>
      <c r="L135" s="28" t="str">
        <f aca="false">IF(K135="","",IF(LEFT(K135,6)="1 Pole","Alquiler",IF(LEFT(K135,7)="1 Clase","Clase suelta","Paquete")))</f>
        <v/>
      </c>
      <c r="M135" s="25"/>
      <c r="N135" s="25"/>
      <c r="O135" s="35"/>
      <c r="P135" s="29" t="str">
        <f aca="false">IF(O135="","",N135*O135)</f>
        <v/>
      </c>
      <c r="Q135" s="36"/>
      <c r="R135" s="25"/>
      <c r="S135" s="25"/>
      <c r="T135" s="28" t="str">
        <f aca="false">IF(OR(LEFT(W135,2)&lt;&gt;"A-",ISERROR(MATCH(W135,'🎓 Alumnas'!$A$2:$A$1000,0))),"",IF(COUNTIF($W$2:W135,W135)=1,"Nueva","Recurrente"))</f>
        <v/>
      </c>
      <c r="U135" s="28" t="str">
        <f aca="false">IF(OR(T135="",L135&lt;&gt;"Paquete"),"",COUNTIFS($W$2:W135,W135,$L$2:L135,"Paquete"))</f>
        <v/>
      </c>
      <c r="V135" s="25"/>
      <c r="W135" s="34" t="str">
        <f aca="false">IF(TRIM($C135)="","",IF(COUNTIF('🎓 Alumnas'!$P$2:$P$1000,TRIM($C135))&gt;0,INDEX('🎓 Alumnas'!$A$2:$A$1000,MATCH(TRIM($C135),'🎓 Alumnas'!$P$2:$P$1000,0)),IF(COUNTIF('🎓 Alumnas'!$O$2:$O$1000,TRIM($C135)&amp;"|*")=1,INDEX('🎓 Alumnas'!$A$2:$A$1000,MATCH(TRIM($C135)&amp;"|*",'🎓 Alumnas'!$O$2:$O$1000,0)),IF(COUNTIF('🎓 Alumnas'!$O$2:$O$1000,"*|"&amp;TRIM($C135))=1,INDEX('🎓 Alumnas'!$A$2:$A$1000,MATCH("*|"&amp;TRIM($C135),'🎓 Alumnas'!$O$2:$O$1000,0)),IF(COUNTIF('🎓 Alumnas'!$Q$2:$Q$1000,TRIM($C135))=1,INDEX('🎓 Alumnas'!$A$2:$A$1000,MATCH(TRIM($C135),'🎓 Alumnas'!$Q$2:$Q$1000,0)),IF(COUNTIF('🎓 Alumnas'!$P$2:$P$1000,"*"&amp;TRIM($C135)&amp;"*")=1,INDEX('🎓 Alumnas'!$A$2:$A$1000,MATCH("*"&amp;TRIM($C135)&amp;"*",'🎓 Alumnas'!$P$2:$P$1000,0)),IF(COUNTIF('🎓 Alumnas'!$Q$2:$Q$1000,"*"&amp;TRIM($C135)&amp;"*")=1,INDEX('🎓 Alumnas'!$A$2:$A$1000,MATCH("*"&amp;TRIM($C135)&amp;"*",'🎓 Alumnas'!$Q$2:$Q$1000,0)),IF(COUNTIF('🎓 Alumnas'!$P$2:$P$1000,"*"&amp;TRIM($C135)&amp;"*")+COUNTIF('🎓 Alumnas'!$Q$2:$Q$1000,"*"&amp;TRIM($C135)&amp;"*")&gt;1,"Varias: elige de la lista","No encontrada"))))))))</f>
        <v/>
      </c>
    </row>
    <row r="136" customFormat="false" ht="14.25" hidden="false" customHeight="true" outlineLevel="0" collapsed="false">
      <c r="A136" s="25" t="s">
        <v>681</v>
      </c>
      <c r="B136" s="27"/>
      <c r="C136" s="25"/>
      <c r="D136" s="34" t="str">
        <f aca="false">IF($W136="","",IFERROR(TRIM(INDEX('🎓 Alumnas'!$B$2:$B$1000,MATCH($W136,'🎓 Alumnas'!$A$2:$A$1000,0))),""))</f>
        <v/>
      </c>
      <c r="E136" s="34" t="str">
        <f aca="false">IF($W136="","",IFERROR(TRIM(INDEX('🎓 Alumnas'!$C$2:$C$1000,MATCH($W136,'🎓 Alumnas'!$A$2:$A$1000,0))),""))</f>
        <v/>
      </c>
      <c r="F136" s="34" t="str">
        <f aca="false">IF($W136="","",IFERROR(IF(INDEX('🎓 Alumnas'!$D$2:$D$1000,MATCH($W136,'🎓 Alumnas'!$A$2:$A$1000,0))="","",INDEX('🎓 Alumnas'!$D$2:$D$1000,MATCH($W136,'🎓 Alumnas'!$A$2:$A$1000,0))),""))</f>
        <v/>
      </c>
      <c r="G136" s="28" t="str">
        <f aca="false">IF($W136="","",IFERROR(IF(INDEX('🎓 Alumnas'!$E$2:$E$1000,MATCH($W136,'🎓 Alumnas'!$A$2:$A$1000,0))="","",INDEX('🎓 Alumnas'!$E$2:$E$1000,MATCH($W136,'🎓 Alumnas'!$A$2:$A$1000,0))),""))</f>
        <v/>
      </c>
      <c r="H136" s="28" t="str">
        <f aca="false">IF($W136="","",IFERROR(IF(INDEX('🎓 Alumnas'!$F$2:$F$1000,MATCH($W136,'🎓 Alumnas'!$A$2:$A$1000,0))="","",INDEX('🎓 Alumnas'!$F$2:$F$1000,MATCH($W136,'🎓 Alumnas'!$A$2:$A$1000,0))),""))</f>
        <v/>
      </c>
      <c r="I136" s="30" t="str">
        <f aca="false">IF($W136="","",IFERROR(IF(INDEX('🎓 Alumnas'!$G$2:$G$1000,MATCH($W136,'🎓 Alumnas'!$A$2:$A$1000,0))="","",INDEX('🎓 Alumnas'!$G$2:$G$1000,MATCH($W136,'🎓 Alumnas'!$A$2:$A$1000,0))),""))</f>
        <v/>
      </c>
      <c r="J136" s="28" t="str">
        <f aca="true">IF(I136="","",DATEDIF(I136,TODAY(),"Y"))</f>
        <v/>
      </c>
      <c r="K136" s="25"/>
      <c r="L136" s="28" t="str">
        <f aca="false">IF(K136="","",IF(LEFT(K136,6)="1 Pole","Alquiler",IF(LEFT(K136,7)="1 Clase","Clase suelta","Paquete")))</f>
        <v/>
      </c>
      <c r="M136" s="25"/>
      <c r="N136" s="25"/>
      <c r="O136" s="35"/>
      <c r="P136" s="29" t="str">
        <f aca="false">IF(O136="","",N136*O136)</f>
        <v/>
      </c>
      <c r="Q136" s="36"/>
      <c r="R136" s="25"/>
      <c r="S136" s="25"/>
      <c r="T136" s="28" t="str">
        <f aca="false">IF(OR(LEFT(W136,2)&lt;&gt;"A-",ISERROR(MATCH(W136,'🎓 Alumnas'!$A$2:$A$1000,0))),"",IF(COUNTIF($W$2:W136,W136)=1,"Nueva","Recurrente"))</f>
        <v/>
      </c>
      <c r="U136" s="28" t="str">
        <f aca="false">IF(OR(T136="",L136&lt;&gt;"Paquete"),"",COUNTIFS($W$2:W136,W136,$L$2:L136,"Paquete"))</f>
        <v/>
      </c>
      <c r="V136" s="25"/>
      <c r="W136" s="34" t="str">
        <f aca="false">IF(TRIM($C136)="","",IF(COUNTIF('🎓 Alumnas'!$P$2:$P$1000,TRIM($C136))&gt;0,INDEX('🎓 Alumnas'!$A$2:$A$1000,MATCH(TRIM($C136),'🎓 Alumnas'!$P$2:$P$1000,0)),IF(COUNTIF('🎓 Alumnas'!$O$2:$O$1000,TRIM($C136)&amp;"|*")=1,INDEX('🎓 Alumnas'!$A$2:$A$1000,MATCH(TRIM($C136)&amp;"|*",'🎓 Alumnas'!$O$2:$O$1000,0)),IF(COUNTIF('🎓 Alumnas'!$O$2:$O$1000,"*|"&amp;TRIM($C136))=1,INDEX('🎓 Alumnas'!$A$2:$A$1000,MATCH("*|"&amp;TRIM($C136),'🎓 Alumnas'!$O$2:$O$1000,0)),IF(COUNTIF('🎓 Alumnas'!$Q$2:$Q$1000,TRIM($C136))=1,INDEX('🎓 Alumnas'!$A$2:$A$1000,MATCH(TRIM($C136),'🎓 Alumnas'!$Q$2:$Q$1000,0)),IF(COUNTIF('🎓 Alumnas'!$P$2:$P$1000,"*"&amp;TRIM($C136)&amp;"*")=1,INDEX('🎓 Alumnas'!$A$2:$A$1000,MATCH("*"&amp;TRIM($C136)&amp;"*",'🎓 Alumnas'!$P$2:$P$1000,0)),IF(COUNTIF('🎓 Alumnas'!$Q$2:$Q$1000,"*"&amp;TRIM($C136)&amp;"*")=1,INDEX('🎓 Alumnas'!$A$2:$A$1000,MATCH("*"&amp;TRIM($C136)&amp;"*",'🎓 Alumnas'!$Q$2:$Q$1000,0)),IF(COUNTIF('🎓 Alumnas'!$P$2:$P$1000,"*"&amp;TRIM($C136)&amp;"*")+COUNTIF('🎓 Alumnas'!$Q$2:$Q$1000,"*"&amp;TRIM($C136)&amp;"*")&gt;1,"Varias: elige de la lista","No encontrada"))))))))</f>
        <v/>
      </c>
    </row>
    <row r="137" customFormat="false" ht="14.25" hidden="false" customHeight="true" outlineLevel="0" collapsed="false">
      <c r="A137" s="25" t="s">
        <v>682</v>
      </c>
      <c r="B137" s="27"/>
      <c r="C137" s="25"/>
      <c r="D137" s="34" t="str">
        <f aca="false">IF($W137="","",IFERROR(TRIM(INDEX('🎓 Alumnas'!$B$2:$B$1000,MATCH($W137,'🎓 Alumnas'!$A$2:$A$1000,0))),""))</f>
        <v/>
      </c>
      <c r="E137" s="34" t="str">
        <f aca="false">IF($W137="","",IFERROR(TRIM(INDEX('🎓 Alumnas'!$C$2:$C$1000,MATCH($W137,'🎓 Alumnas'!$A$2:$A$1000,0))),""))</f>
        <v/>
      </c>
      <c r="F137" s="34" t="str">
        <f aca="false">IF($W137="","",IFERROR(IF(INDEX('🎓 Alumnas'!$D$2:$D$1000,MATCH($W137,'🎓 Alumnas'!$A$2:$A$1000,0))="","",INDEX('🎓 Alumnas'!$D$2:$D$1000,MATCH($W137,'🎓 Alumnas'!$A$2:$A$1000,0))),""))</f>
        <v/>
      </c>
      <c r="G137" s="28" t="str">
        <f aca="false">IF($W137="","",IFERROR(IF(INDEX('🎓 Alumnas'!$E$2:$E$1000,MATCH($W137,'🎓 Alumnas'!$A$2:$A$1000,0))="","",INDEX('🎓 Alumnas'!$E$2:$E$1000,MATCH($W137,'🎓 Alumnas'!$A$2:$A$1000,0))),""))</f>
        <v/>
      </c>
      <c r="H137" s="28" t="str">
        <f aca="false">IF($W137="","",IFERROR(IF(INDEX('🎓 Alumnas'!$F$2:$F$1000,MATCH($W137,'🎓 Alumnas'!$A$2:$A$1000,0))="","",INDEX('🎓 Alumnas'!$F$2:$F$1000,MATCH($W137,'🎓 Alumnas'!$A$2:$A$1000,0))),""))</f>
        <v/>
      </c>
      <c r="I137" s="30" t="str">
        <f aca="false">IF($W137="","",IFERROR(IF(INDEX('🎓 Alumnas'!$G$2:$G$1000,MATCH($W137,'🎓 Alumnas'!$A$2:$A$1000,0))="","",INDEX('🎓 Alumnas'!$G$2:$G$1000,MATCH($W137,'🎓 Alumnas'!$A$2:$A$1000,0))),""))</f>
        <v/>
      </c>
      <c r="J137" s="28" t="str">
        <f aca="true">IF(I137="","",DATEDIF(I137,TODAY(),"Y"))</f>
        <v/>
      </c>
      <c r="K137" s="25"/>
      <c r="L137" s="28" t="str">
        <f aca="false">IF(K137="","",IF(LEFT(K137,6)="1 Pole","Alquiler",IF(LEFT(K137,7)="1 Clase","Clase suelta","Paquete")))</f>
        <v/>
      </c>
      <c r="M137" s="25"/>
      <c r="N137" s="25"/>
      <c r="O137" s="35"/>
      <c r="P137" s="29" t="str">
        <f aca="false">IF(O137="","",N137*O137)</f>
        <v/>
      </c>
      <c r="Q137" s="36"/>
      <c r="R137" s="25"/>
      <c r="S137" s="25"/>
      <c r="T137" s="28" t="str">
        <f aca="false">IF(OR(LEFT(W137,2)&lt;&gt;"A-",ISERROR(MATCH(W137,'🎓 Alumnas'!$A$2:$A$1000,0))),"",IF(COUNTIF($W$2:W137,W137)=1,"Nueva","Recurrente"))</f>
        <v/>
      </c>
      <c r="U137" s="28" t="str">
        <f aca="false">IF(OR(T137="",L137&lt;&gt;"Paquete"),"",COUNTIFS($W$2:W137,W137,$L$2:L137,"Paquete"))</f>
        <v/>
      </c>
      <c r="V137" s="25"/>
      <c r="W137" s="34" t="str">
        <f aca="false">IF(TRIM($C137)="","",IF(COUNTIF('🎓 Alumnas'!$P$2:$P$1000,TRIM($C137))&gt;0,INDEX('🎓 Alumnas'!$A$2:$A$1000,MATCH(TRIM($C137),'🎓 Alumnas'!$P$2:$P$1000,0)),IF(COUNTIF('🎓 Alumnas'!$O$2:$O$1000,TRIM($C137)&amp;"|*")=1,INDEX('🎓 Alumnas'!$A$2:$A$1000,MATCH(TRIM($C137)&amp;"|*",'🎓 Alumnas'!$O$2:$O$1000,0)),IF(COUNTIF('🎓 Alumnas'!$O$2:$O$1000,"*|"&amp;TRIM($C137))=1,INDEX('🎓 Alumnas'!$A$2:$A$1000,MATCH("*|"&amp;TRIM($C137),'🎓 Alumnas'!$O$2:$O$1000,0)),IF(COUNTIF('🎓 Alumnas'!$Q$2:$Q$1000,TRIM($C137))=1,INDEX('🎓 Alumnas'!$A$2:$A$1000,MATCH(TRIM($C137),'🎓 Alumnas'!$Q$2:$Q$1000,0)),IF(COUNTIF('🎓 Alumnas'!$P$2:$P$1000,"*"&amp;TRIM($C137)&amp;"*")=1,INDEX('🎓 Alumnas'!$A$2:$A$1000,MATCH("*"&amp;TRIM($C137)&amp;"*",'🎓 Alumnas'!$P$2:$P$1000,0)),IF(COUNTIF('🎓 Alumnas'!$Q$2:$Q$1000,"*"&amp;TRIM($C137)&amp;"*")=1,INDEX('🎓 Alumnas'!$A$2:$A$1000,MATCH("*"&amp;TRIM($C137)&amp;"*",'🎓 Alumnas'!$Q$2:$Q$1000,0)),IF(COUNTIF('🎓 Alumnas'!$P$2:$P$1000,"*"&amp;TRIM($C137)&amp;"*")+COUNTIF('🎓 Alumnas'!$Q$2:$Q$1000,"*"&amp;TRIM($C137)&amp;"*")&gt;1,"Varias: elige de la lista","No encontrada"))))))))</f>
        <v/>
      </c>
    </row>
    <row r="138" customFormat="false" ht="14.25" hidden="false" customHeight="true" outlineLevel="0" collapsed="false">
      <c r="A138" s="25" t="s">
        <v>683</v>
      </c>
      <c r="B138" s="27"/>
      <c r="C138" s="25"/>
      <c r="D138" s="34" t="str">
        <f aca="false">IF($W138="","",IFERROR(TRIM(INDEX('🎓 Alumnas'!$B$2:$B$1000,MATCH($W138,'🎓 Alumnas'!$A$2:$A$1000,0))),""))</f>
        <v/>
      </c>
      <c r="E138" s="34" t="str">
        <f aca="false">IF($W138="","",IFERROR(TRIM(INDEX('🎓 Alumnas'!$C$2:$C$1000,MATCH($W138,'🎓 Alumnas'!$A$2:$A$1000,0))),""))</f>
        <v/>
      </c>
      <c r="F138" s="34" t="str">
        <f aca="false">IF($W138="","",IFERROR(IF(INDEX('🎓 Alumnas'!$D$2:$D$1000,MATCH($W138,'🎓 Alumnas'!$A$2:$A$1000,0))="","",INDEX('🎓 Alumnas'!$D$2:$D$1000,MATCH($W138,'🎓 Alumnas'!$A$2:$A$1000,0))),""))</f>
        <v/>
      </c>
      <c r="G138" s="28" t="str">
        <f aca="false">IF($W138="","",IFERROR(IF(INDEX('🎓 Alumnas'!$E$2:$E$1000,MATCH($W138,'🎓 Alumnas'!$A$2:$A$1000,0))="","",INDEX('🎓 Alumnas'!$E$2:$E$1000,MATCH($W138,'🎓 Alumnas'!$A$2:$A$1000,0))),""))</f>
        <v/>
      </c>
      <c r="H138" s="28" t="str">
        <f aca="false">IF($W138="","",IFERROR(IF(INDEX('🎓 Alumnas'!$F$2:$F$1000,MATCH($W138,'🎓 Alumnas'!$A$2:$A$1000,0))="","",INDEX('🎓 Alumnas'!$F$2:$F$1000,MATCH($W138,'🎓 Alumnas'!$A$2:$A$1000,0))),""))</f>
        <v/>
      </c>
      <c r="I138" s="30" t="str">
        <f aca="false">IF($W138="","",IFERROR(IF(INDEX('🎓 Alumnas'!$G$2:$G$1000,MATCH($W138,'🎓 Alumnas'!$A$2:$A$1000,0))="","",INDEX('🎓 Alumnas'!$G$2:$G$1000,MATCH($W138,'🎓 Alumnas'!$A$2:$A$1000,0))),""))</f>
        <v/>
      </c>
      <c r="J138" s="28" t="str">
        <f aca="true">IF(I138="","",DATEDIF(I138,TODAY(),"Y"))</f>
        <v/>
      </c>
      <c r="K138" s="25"/>
      <c r="L138" s="28" t="str">
        <f aca="false">IF(K138="","",IF(LEFT(K138,6)="1 Pole","Alquiler",IF(LEFT(K138,7)="1 Clase","Clase suelta","Paquete")))</f>
        <v/>
      </c>
      <c r="M138" s="25"/>
      <c r="N138" s="25"/>
      <c r="O138" s="35"/>
      <c r="P138" s="29" t="str">
        <f aca="false">IF(O138="","",N138*O138)</f>
        <v/>
      </c>
      <c r="Q138" s="36"/>
      <c r="R138" s="25"/>
      <c r="S138" s="25"/>
      <c r="T138" s="28" t="str">
        <f aca="false">IF(OR(LEFT(W138,2)&lt;&gt;"A-",ISERROR(MATCH(W138,'🎓 Alumnas'!$A$2:$A$1000,0))),"",IF(COUNTIF($W$2:W138,W138)=1,"Nueva","Recurrente"))</f>
        <v/>
      </c>
      <c r="U138" s="28" t="str">
        <f aca="false">IF(OR(T138="",L138&lt;&gt;"Paquete"),"",COUNTIFS($W$2:W138,W138,$L$2:L138,"Paquete"))</f>
        <v/>
      </c>
      <c r="V138" s="25"/>
      <c r="W138" s="34" t="str">
        <f aca="false">IF(TRIM($C138)="","",IF(COUNTIF('🎓 Alumnas'!$P$2:$P$1000,TRIM($C138))&gt;0,INDEX('🎓 Alumnas'!$A$2:$A$1000,MATCH(TRIM($C138),'🎓 Alumnas'!$P$2:$P$1000,0)),IF(COUNTIF('🎓 Alumnas'!$O$2:$O$1000,TRIM($C138)&amp;"|*")=1,INDEX('🎓 Alumnas'!$A$2:$A$1000,MATCH(TRIM($C138)&amp;"|*",'🎓 Alumnas'!$O$2:$O$1000,0)),IF(COUNTIF('🎓 Alumnas'!$O$2:$O$1000,"*|"&amp;TRIM($C138))=1,INDEX('🎓 Alumnas'!$A$2:$A$1000,MATCH("*|"&amp;TRIM($C138),'🎓 Alumnas'!$O$2:$O$1000,0)),IF(COUNTIF('🎓 Alumnas'!$Q$2:$Q$1000,TRIM($C138))=1,INDEX('🎓 Alumnas'!$A$2:$A$1000,MATCH(TRIM($C138),'🎓 Alumnas'!$Q$2:$Q$1000,0)),IF(COUNTIF('🎓 Alumnas'!$P$2:$P$1000,"*"&amp;TRIM($C138)&amp;"*")=1,INDEX('🎓 Alumnas'!$A$2:$A$1000,MATCH("*"&amp;TRIM($C138)&amp;"*",'🎓 Alumnas'!$P$2:$P$1000,0)),IF(COUNTIF('🎓 Alumnas'!$Q$2:$Q$1000,"*"&amp;TRIM($C138)&amp;"*")=1,INDEX('🎓 Alumnas'!$A$2:$A$1000,MATCH("*"&amp;TRIM($C138)&amp;"*",'🎓 Alumnas'!$Q$2:$Q$1000,0)),IF(COUNTIF('🎓 Alumnas'!$P$2:$P$1000,"*"&amp;TRIM($C138)&amp;"*")+COUNTIF('🎓 Alumnas'!$Q$2:$Q$1000,"*"&amp;TRIM($C138)&amp;"*")&gt;1,"Varias: elige de la lista","No encontrada"))))))))</f>
        <v/>
      </c>
    </row>
    <row r="139" customFormat="false" ht="14.25" hidden="false" customHeight="true" outlineLevel="0" collapsed="false">
      <c r="A139" s="25" t="s">
        <v>684</v>
      </c>
      <c r="B139" s="27"/>
      <c r="C139" s="25"/>
      <c r="D139" s="34" t="str">
        <f aca="false">IF($W139="","",IFERROR(TRIM(INDEX('🎓 Alumnas'!$B$2:$B$1000,MATCH($W139,'🎓 Alumnas'!$A$2:$A$1000,0))),""))</f>
        <v/>
      </c>
      <c r="E139" s="34" t="str">
        <f aca="false">IF($W139="","",IFERROR(TRIM(INDEX('🎓 Alumnas'!$C$2:$C$1000,MATCH($W139,'🎓 Alumnas'!$A$2:$A$1000,0))),""))</f>
        <v/>
      </c>
      <c r="F139" s="34" t="str">
        <f aca="false">IF($W139="","",IFERROR(IF(INDEX('🎓 Alumnas'!$D$2:$D$1000,MATCH($W139,'🎓 Alumnas'!$A$2:$A$1000,0))="","",INDEX('🎓 Alumnas'!$D$2:$D$1000,MATCH($W139,'🎓 Alumnas'!$A$2:$A$1000,0))),""))</f>
        <v/>
      </c>
      <c r="G139" s="28" t="str">
        <f aca="false">IF($W139="","",IFERROR(IF(INDEX('🎓 Alumnas'!$E$2:$E$1000,MATCH($W139,'🎓 Alumnas'!$A$2:$A$1000,0))="","",INDEX('🎓 Alumnas'!$E$2:$E$1000,MATCH($W139,'🎓 Alumnas'!$A$2:$A$1000,0))),""))</f>
        <v/>
      </c>
      <c r="H139" s="28" t="str">
        <f aca="false">IF($W139="","",IFERROR(IF(INDEX('🎓 Alumnas'!$F$2:$F$1000,MATCH($W139,'🎓 Alumnas'!$A$2:$A$1000,0))="","",INDEX('🎓 Alumnas'!$F$2:$F$1000,MATCH($W139,'🎓 Alumnas'!$A$2:$A$1000,0))),""))</f>
        <v/>
      </c>
      <c r="I139" s="30" t="str">
        <f aca="false">IF($W139="","",IFERROR(IF(INDEX('🎓 Alumnas'!$G$2:$G$1000,MATCH($W139,'🎓 Alumnas'!$A$2:$A$1000,0))="","",INDEX('🎓 Alumnas'!$G$2:$G$1000,MATCH($W139,'🎓 Alumnas'!$A$2:$A$1000,0))),""))</f>
        <v/>
      </c>
      <c r="J139" s="28" t="str">
        <f aca="true">IF(I139="","",DATEDIF(I139,TODAY(),"Y"))</f>
        <v/>
      </c>
      <c r="K139" s="25"/>
      <c r="L139" s="28" t="str">
        <f aca="false">IF(K139="","",IF(LEFT(K139,6)="1 Pole","Alquiler",IF(LEFT(K139,7)="1 Clase","Clase suelta","Paquete")))</f>
        <v/>
      </c>
      <c r="M139" s="25"/>
      <c r="N139" s="25"/>
      <c r="O139" s="35"/>
      <c r="P139" s="29" t="str">
        <f aca="false">IF(O139="","",N139*O139)</f>
        <v/>
      </c>
      <c r="Q139" s="36"/>
      <c r="R139" s="25"/>
      <c r="S139" s="25"/>
      <c r="T139" s="28" t="str">
        <f aca="false">IF(OR(LEFT(W139,2)&lt;&gt;"A-",ISERROR(MATCH(W139,'🎓 Alumnas'!$A$2:$A$1000,0))),"",IF(COUNTIF($W$2:W139,W139)=1,"Nueva","Recurrente"))</f>
        <v/>
      </c>
      <c r="U139" s="28" t="str">
        <f aca="false">IF(OR(T139="",L139&lt;&gt;"Paquete"),"",COUNTIFS($W$2:W139,W139,$L$2:L139,"Paquete"))</f>
        <v/>
      </c>
      <c r="V139" s="25"/>
      <c r="W139" s="34" t="str">
        <f aca="false">IF(TRIM($C139)="","",IF(COUNTIF('🎓 Alumnas'!$P$2:$P$1000,TRIM($C139))&gt;0,INDEX('🎓 Alumnas'!$A$2:$A$1000,MATCH(TRIM($C139),'🎓 Alumnas'!$P$2:$P$1000,0)),IF(COUNTIF('🎓 Alumnas'!$O$2:$O$1000,TRIM($C139)&amp;"|*")=1,INDEX('🎓 Alumnas'!$A$2:$A$1000,MATCH(TRIM($C139)&amp;"|*",'🎓 Alumnas'!$O$2:$O$1000,0)),IF(COUNTIF('🎓 Alumnas'!$O$2:$O$1000,"*|"&amp;TRIM($C139))=1,INDEX('🎓 Alumnas'!$A$2:$A$1000,MATCH("*|"&amp;TRIM($C139),'🎓 Alumnas'!$O$2:$O$1000,0)),IF(COUNTIF('🎓 Alumnas'!$Q$2:$Q$1000,TRIM($C139))=1,INDEX('🎓 Alumnas'!$A$2:$A$1000,MATCH(TRIM($C139),'🎓 Alumnas'!$Q$2:$Q$1000,0)),IF(COUNTIF('🎓 Alumnas'!$P$2:$P$1000,"*"&amp;TRIM($C139)&amp;"*")=1,INDEX('🎓 Alumnas'!$A$2:$A$1000,MATCH("*"&amp;TRIM($C139)&amp;"*",'🎓 Alumnas'!$P$2:$P$1000,0)),IF(COUNTIF('🎓 Alumnas'!$Q$2:$Q$1000,"*"&amp;TRIM($C139)&amp;"*")=1,INDEX('🎓 Alumnas'!$A$2:$A$1000,MATCH("*"&amp;TRIM($C139)&amp;"*",'🎓 Alumnas'!$Q$2:$Q$1000,0)),IF(COUNTIF('🎓 Alumnas'!$P$2:$P$1000,"*"&amp;TRIM($C139)&amp;"*")+COUNTIF('🎓 Alumnas'!$Q$2:$Q$1000,"*"&amp;TRIM($C139)&amp;"*")&gt;1,"Varias: elige de la lista","No encontrada"))))))))</f>
        <v/>
      </c>
    </row>
    <row r="140" customFormat="false" ht="14.25" hidden="false" customHeight="true" outlineLevel="0" collapsed="false">
      <c r="A140" s="25" t="s">
        <v>685</v>
      </c>
      <c r="B140" s="27"/>
      <c r="C140" s="25"/>
      <c r="D140" s="34" t="str">
        <f aca="false">IF($W140="","",IFERROR(TRIM(INDEX('🎓 Alumnas'!$B$2:$B$1000,MATCH($W140,'🎓 Alumnas'!$A$2:$A$1000,0))),""))</f>
        <v/>
      </c>
      <c r="E140" s="34" t="str">
        <f aca="false">IF($W140="","",IFERROR(TRIM(INDEX('🎓 Alumnas'!$C$2:$C$1000,MATCH($W140,'🎓 Alumnas'!$A$2:$A$1000,0))),""))</f>
        <v/>
      </c>
      <c r="F140" s="34" t="str">
        <f aca="false">IF($W140="","",IFERROR(IF(INDEX('🎓 Alumnas'!$D$2:$D$1000,MATCH($W140,'🎓 Alumnas'!$A$2:$A$1000,0))="","",INDEX('🎓 Alumnas'!$D$2:$D$1000,MATCH($W140,'🎓 Alumnas'!$A$2:$A$1000,0))),""))</f>
        <v/>
      </c>
      <c r="G140" s="28" t="str">
        <f aca="false">IF($W140="","",IFERROR(IF(INDEX('🎓 Alumnas'!$E$2:$E$1000,MATCH($W140,'🎓 Alumnas'!$A$2:$A$1000,0))="","",INDEX('🎓 Alumnas'!$E$2:$E$1000,MATCH($W140,'🎓 Alumnas'!$A$2:$A$1000,0))),""))</f>
        <v/>
      </c>
      <c r="H140" s="28" t="str">
        <f aca="false">IF($W140="","",IFERROR(IF(INDEX('🎓 Alumnas'!$F$2:$F$1000,MATCH($W140,'🎓 Alumnas'!$A$2:$A$1000,0))="","",INDEX('🎓 Alumnas'!$F$2:$F$1000,MATCH($W140,'🎓 Alumnas'!$A$2:$A$1000,0))),""))</f>
        <v/>
      </c>
      <c r="I140" s="30" t="str">
        <f aca="false">IF($W140="","",IFERROR(IF(INDEX('🎓 Alumnas'!$G$2:$G$1000,MATCH($W140,'🎓 Alumnas'!$A$2:$A$1000,0))="","",INDEX('🎓 Alumnas'!$G$2:$G$1000,MATCH($W140,'🎓 Alumnas'!$A$2:$A$1000,0))),""))</f>
        <v/>
      </c>
      <c r="J140" s="28" t="str">
        <f aca="true">IF(I140="","",DATEDIF(I140,TODAY(),"Y"))</f>
        <v/>
      </c>
      <c r="K140" s="25"/>
      <c r="L140" s="28" t="str">
        <f aca="false">IF(K140="","",IF(LEFT(K140,6)="1 Pole","Alquiler",IF(LEFT(K140,7)="1 Clase","Clase suelta","Paquete")))</f>
        <v/>
      </c>
      <c r="M140" s="25"/>
      <c r="N140" s="25"/>
      <c r="O140" s="35"/>
      <c r="P140" s="29" t="str">
        <f aca="false">IF(O140="","",N140*O140)</f>
        <v/>
      </c>
      <c r="Q140" s="36"/>
      <c r="R140" s="25"/>
      <c r="S140" s="25"/>
      <c r="T140" s="28" t="str">
        <f aca="false">IF(OR(LEFT(W140,2)&lt;&gt;"A-",ISERROR(MATCH(W140,'🎓 Alumnas'!$A$2:$A$1000,0))),"",IF(COUNTIF($W$2:W140,W140)=1,"Nueva","Recurrente"))</f>
        <v/>
      </c>
      <c r="U140" s="28" t="str">
        <f aca="false">IF(OR(T140="",L140&lt;&gt;"Paquete"),"",COUNTIFS($W$2:W140,W140,$L$2:L140,"Paquete"))</f>
        <v/>
      </c>
      <c r="V140" s="25"/>
      <c r="W140" s="34" t="str">
        <f aca="false">IF(TRIM($C140)="","",IF(COUNTIF('🎓 Alumnas'!$P$2:$P$1000,TRIM($C140))&gt;0,INDEX('🎓 Alumnas'!$A$2:$A$1000,MATCH(TRIM($C140),'🎓 Alumnas'!$P$2:$P$1000,0)),IF(COUNTIF('🎓 Alumnas'!$O$2:$O$1000,TRIM($C140)&amp;"|*")=1,INDEX('🎓 Alumnas'!$A$2:$A$1000,MATCH(TRIM($C140)&amp;"|*",'🎓 Alumnas'!$O$2:$O$1000,0)),IF(COUNTIF('🎓 Alumnas'!$O$2:$O$1000,"*|"&amp;TRIM($C140))=1,INDEX('🎓 Alumnas'!$A$2:$A$1000,MATCH("*|"&amp;TRIM($C140),'🎓 Alumnas'!$O$2:$O$1000,0)),IF(COUNTIF('🎓 Alumnas'!$Q$2:$Q$1000,TRIM($C140))=1,INDEX('🎓 Alumnas'!$A$2:$A$1000,MATCH(TRIM($C140),'🎓 Alumnas'!$Q$2:$Q$1000,0)),IF(COUNTIF('🎓 Alumnas'!$P$2:$P$1000,"*"&amp;TRIM($C140)&amp;"*")=1,INDEX('🎓 Alumnas'!$A$2:$A$1000,MATCH("*"&amp;TRIM($C140)&amp;"*",'🎓 Alumnas'!$P$2:$P$1000,0)),IF(COUNTIF('🎓 Alumnas'!$Q$2:$Q$1000,"*"&amp;TRIM($C140)&amp;"*")=1,INDEX('🎓 Alumnas'!$A$2:$A$1000,MATCH("*"&amp;TRIM($C140)&amp;"*",'🎓 Alumnas'!$Q$2:$Q$1000,0)),IF(COUNTIF('🎓 Alumnas'!$P$2:$P$1000,"*"&amp;TRIM($C140)&amp;"*")+COUNTIF('🎓 Alumnas'!$Q$2:$Q$1000,"*"&amp;TRIM($C140)&amp;"*")&gt;1,"Varias: elige de la lista","No encontrada"))))))))</f>
        <v/>
      </c>
    </row>
    <row r="141" customFormat="false" ht="14.25" hidden="false" customHeight="true" outlineLevel="0" collapsed="false">
      <c r="A141" s="25" t="s">
        <v>686</v>
      </c>
      <c r="B141" s="27"/>
      <c r="C141" s="25"/>
      <c r="D141" s="34" t="str">
        <f aca="false">IF($W141="","",IFERROR(TRIM(INDEX('🎓 Alumnas'!$B$2:$B$1000,MATCH($W141,'🎓 Alumnas'!$A$2:$A$1000,0))),""))</f>
        <v/>
      </c>
      <c r="E141" s="34" t="str">
        <f aca="false">IF($W141="","",IFERROR(TRIM(INDEX('🎓 Alumnas'!$C$2:$C$1000,MATCH($W141,'🎓 Alumnas'!$A$2:$A$1000,0))),""))</f>
        <v/>
      </c>
      <c r="F141" s="34" t="str">
        <f aca="false">IF($W141="","",IFERROR(IF(INDEX('🎓 Alumnas'!$D$2:$D$1000,MATCH($W141,'🎓 Alumnas'!$A$2:$A$1000,0))="","",INDEX('🎓 Alumnas'!$D$2:$D$1000,MATCH($W141,'🎓 Alumnas'!$A$2:$A$1000,0))),""))</f>
        <v/>
      </c>
      <c r="G141" s="28" t="str">
        <f aca="false">IF($W141="","",IFERROR(IF(INDEX('🎓 Alumnas'!$E$2:$E$1000,MATCH($W141,'🎓 Alumnas'!$A$2:$A$1000,0))="","",INDEX('🎓 Alumnas'!$E$2:$E$1000,MATCH($W141,'🎓 Alumnas'!$A$2:$A$1000,0))),""))</f>
        <v/>
      </c>
      <c r="H141" s="28" t="str">
        <f aca="false">IF($W141="","",IFERROR(IF(INDEX('🎓 Alumnas'!$F$2:$F$1000,MATCH($W141,'🎓 Alumnas'!$A$2:$A$1000,0))="","",INDEX('🎓 Alumnas'!$F$2:$F$1000,MATCH($W141,'🎓 Alumnas'!$A$2:$A$1000,0))),""))</f>
        <v/>
      </c>
      <c r="I141" s="30" t="str">
        <f aca="false">IF($W141="","",IFERROR(IF(INDEX('🎓 Alumnas'!$G$2:$G$1000,MATCH($W141,'🎓 Alumnas'!$A$2:$A$1000,0))="","",INDEX('🎓 Alumnas'!$G$2:$G$1000,MATCH($W141,'🎓 Alumnas'!$A$2:$A$1000,0))),""))</f>
        <v/>
      </c>
      <c r="J141" s="28" t="str">
        <f aca="true">IF(I141="","",DATEDIF(I141,TODAY(),"Y"))</f>
        <v/>
      </c>
      <c r="K141" s="25"/>
      <c r="L141" s="28" t="str">
        <f aca="false">IF(K141="","",IF(LEFT(K141,6)="1 Pole","Alquiler",IF(LEFT(K141,7)="1 Clase","Clase suelta","Paquete")))</f>
        <v/>
      </c>
      <c r="M141" s="25"/>
      <c r="N141" s="25"/>
      <c r="O141" s="35"/>
      <c r="P141" s="29" t="str">
        <f aca="false">IF(O141="","",N141*O141)</f>
        <v/>
      </c>
      <c r="Q141" s="36"/>
      <c r="R141" s="25"/>
      <c r="S141" s="25"/>
      <c r="T141" s="28" t="str">
        <f aca="false">IF(OR(LEFT(W141,2)&lt;&gt;"A-",ISERROR(MATCH(W141,'🎓 Alumnas'!$A$2:$A$1000,0))),"",IF(COUNTIF($W$2:W141,W141)=1,"Nueva","Recurrente"))</f>
        <v/>
      </c>
      <c r="U141" s="28" t="str">
        <f aca="false">IF(OR(T141="",L141&lt;&gt;"Paquete"),"",COUNTIFS($W$2:W141,W141,$L$2:L141,"Paquete"))</f>
        <v/>
      </c>
      <c r="V141" s="25"/>
      <c r="W141" s="34" t="str">
        <f aca="false">IF(TRIM($C141)="","",IF(COUNTIF('🎓 Alumnas'!$P$2:$P$1000,TRIM($C141))&gt;0,INDEX('🎓 Alumnas'!$A$2:$A$1000,MATCH(TRIM($C141),'🎓 Alumnas'!$P$2:$P$1000,0)),IF(COUNTIF('🎓 Alumnas'!$O$2:$O$1000,TRIM($C141)&amp;"|*")=1,INDEX('🎓 Alumnas'!$A$2:$A$1000,MATCH(TRIM($C141)&amp;"|*",'🎓 Alumnas'!$O$2:$O$1000,0)),IF(COUNTIF('🎓 Alumnas'!$O$2:$O$1000,"*|"&amp;TRIM($C141))=1,INDEX('🎓 Alumnas'!$A$2:$A$1000,MATCH("*|"&amp;TRIM($C141),'🎓 Alumnas'!$O$2:$O$1000,0)),IF(COUNTIF('🎓 Alumnas'!$Q$2:$Q$1000,TRIM($C141))=1,INDEX('🎓 Alumnas'!$A$2:$A$1000,MATCH(TRIM($C141),'🎓 Alumnas'!$Q$2:$Q$1000,0)),IF(COUNTIF('🎓 Alumnas'!$P$2:$P$1000,"*"&amp;TRIM($C141)&amp;"*")=1,INDEX('🎓 Alumnas'!$A$2:$A$1000,MATCH("*"&amp;TRIM($C141)&amp;"*",'🎓 Alumnas'!$P$2:$P$1000,0)),IF(COUNTIF('🎓 Alumnas'!$Q$2:$Q$1000,"*"&amp;TRIM($C141)&amp;"*")=1,INDEX('🎓 Alumnas'!$A$2:$A$1000,MATCH("*"&amp;TRIM($C141)&amp;"*",'🎓 Alumnas'!$Q$2:$Q$1000,0)),IF(COUNTIF('🎓 Alumnas'!$P$2:$P$1000,"*"&amp;TRIM($C141)&amp;"*")+COUNTIF('🎓 Alumnas'!$Q$2:$Q$1000,"*"&amp;TRIM($C141)&amp;"*")&gt;1,"Varias: elige de la lista","No encontrada"))))))))</f>
        <v/>
      </c>
    </row>
    <row r="142" customFormat="false" ht="14.25" hidden="false" customHeight="true" outlineLevel="0" collapsed="false">
      <c r="A142" s="25" t="s">
        <v>687</v>
      </c>
      <c r="B142" s="27"/>
      <c r="C142" s="25"/>
      <c r="D142" s="34" t="str">
        <f aca="false">IF($W142="","",IFERROR(TRIM(INDEX('🎓 Alumnas'!$B$2:$B$1000,MATCH($W142,'🎓 Alumnas'!$A$2:$A$1000,0))),""))</f>
        <v/>
      </c>
      <c r="E142" s="34" t="str">
        <f aca="false">IF($W142="","",IFERROR(TRIM(INDEX('🎓 Alumnas'!$C$2:$C$1000,MATCH($W142,'🎓 Alumnas'!$A$2:$A$1000,0))),""))</f>
        <v/>
      </c>
      <c r="F142" s="34" t="str">
        <f aca="false">IF($W142="","",IFERROR(IF(INDEX('🎓 Alumnas'!$D$2:$D$1000,MATCH($W142,'🎓 Alumnas'!$A$2:$A$1000,0))="","",INDEX('🎓 Alumnas'!$D$2:$D$1000,MATCH($W142,'🎓 Alumnas'!$A$2:$A$1000,0))),""))</f>
        <v/>
      </c>
      <c r="G142" s="28" t="str">
        <f aca="false">IF($W142="","",IFERROR(IF(INDEX('🎓 Alumnas'!$E$2:$E$1000,MATCH($W142,'🎓 Alumnas'!$A$2:$A$1000,0))="","",INDEX('🎓 Alumnas'!$E$2:$E$1000,MATCH($W142,'🎓 Alumnas'!$A$2:$A$1000,0))),""))</f>
        <v/>
      </c>
      <c r="H142" s="28" t="str">
        <f aca="false">IF($W142="","",IFERROR(IF(INDEX('🎓 Alumnas'!$F$2:$F$1000,MATCH($W142,'🎓 Alumnas'!$A$2:$A$1000,0))="","",INDEX('🎓 Alumnas'!$F$2:$F$1000,MATCH($W142,'🎓 Alumnas'!$A$2:$A$1000,0))),""))</f>
        <v/>
      </c>
      <c r="I142" s="30" t="str">
        <f aca="false">IF($W142="","",IFERROR(IF(INDEX('🎓 Alumnas'!$G$2:$G$1000,MATCH($W142,'🎓 Alumnas'!$A$2:$A$1000,0))="","",INDEX('🎓 Alumnas'!$G$2:$G$1000,MATCH($W142,'🎓 Alumnas'!$A$2:$A$1000,0))),""))</f>
        <v/>
      </c>
      <c r="J142" s="28" t="str">
        <f aca="true">IF(I142="","",DATEDIF(I142,TODAY(),"Y"))</f>
        <v/>
      </c>
      <c r="K142" s="25"/>
      <c r="L142" s="28" t="str">
        <f aca="false">IF(K142="","",IF(LEFT(K142,6)="1 Pole","Alquiler",IF(LEFT(K142,7)="1 Clase","Clase suelta","Paquete")))</f>
        <v/>
      </c>
      <c r="M142" s="25"/>
      <c r="N142" s="25"/>
      <c r="O142" s="35"/>
      <c r="P142" s="29" t="str">
        <f aca="false">IF(O142="","",N142*O142)</f>
        <v/>
      </c>
      <c r="Q142" s="36"/>
      <c r="R142" s="25"/>
      <c r="S142" s="25"/>
      <c r="T142" s="28" t="str">
        <f aca="false">IF(OR(LEFT(W142,2)&lt;&gt;"A-",ISERROR(MATCH(W142,'🎓 Alumnas'!$A$2:$A$1000,0))),"",IF(COUNTIF($W$2:W142,W142)=1,"Nueva","Recurrente"))</f>
        <v/>
      </c>
      <c r="U142" s="28" t="str">
        <f aca="false">IF(OR(T142="",L142&lt;&gt;"Paquete"),"",COUNTIFS($W$2:W142,W142,$L$2:L142,"Paquete"))</f>
        <v/>
      </c>
      <c r="V142" s="25"/>
      <c r="W142" s="34" t="str">
        <f aca="false">IF(TRIM($C142)="","",IF(COUNTIF('🎓 Alumnas'!$P$2:$P$1000,TRIM($C142))&gt;0,INDEX('🎓 Alumnas'!$A$2:$A$1000,MATCH(TRIM($C142),'🎓 Alumnas'!$P$2:$P$1000,0)),IF(COUNTIF('🎓 Alumnas'!$O$2:$O$1000,TRIM($C142)&amp;"|*")=1,INDEX('🎓 Alumnas'!$A$2:$A$1000,MATCH(TRIM($C142)&amp;"|*",'🎓 Alumnas'!$O$2:$O$1000,0)),IF(COUNTIF('🎓 Alumnas'!$O$2:$O$1000,"*|"&amp;TRIM($C142))=1,INDEX('🎓 Alumnas'!$A$2:$A$1000,MATCH("*|"&amp;TRIM($C142),'🎓 Alumnas'!$O$2:$O$1000,0)),IF(COUNTIF('🎓 Alumnas'!$Q$2:$Q$1000,TRIM($C142))=1,INDEX('🎓 Alumnas'!$A$2:$A$1000,MATCH(TRIM($C142),'🎓 Alumnas'!$Q$2:$Q$1000,0)),IF(COUNTIF('🎓 Alumnas'!$P$2:$P$1000,"*"&amp;TRIM($C142)&amp;"*")=1,INDEX('🎓 Alumnas'!$A$2:$A$1000,MATCH("*"&amp;TRIM($C142)&amp;"*",'🎓 Alumnas'!$P$2:$P$1000,0)),IF(COUNTIF('🎓 Alumnas'!$Q$2:$Q$1000,"*"&amp;TRIM($C142)&amp;"*")=1,INDEX('🎓 Alumnas'!$A$2:$A$1000,MATCH("*"&amp;TRIM($C142)&amp;"*",'🎓 Alumnas'!$Q$2:$Q$1000,0)),IF(COUNTIF('🎓 Alumnas'!$P$2:$P$1000,"*"&amp;TRIM($C142)&amp;"*")+COUNTIF('🎓 Alumnas'!$Q$2:$Q$1000,"*"&amp;TRIM($C142)&amp;"*")&gt;1,"Varias: elige de la lista","No encontrada"))))))))</f>
        <v/>
      </c>
    </row>
    <row r="143" customFormat="false" ht="14.25" hidden="false" customHeight="true" outlineLevel="0" collapsed="false">
      <c r="A143" s="25" t="s">
        <v>688</v>
      </c>
      <c r="B143" s="27"/>
      <c r="C143" s="25"/>
      <c r="D143" s="34" t="str">
        <f aca="false">IF($W143="","",IFERROR(TRIM(INDEX('🎓 Alumnas'!$B$2:$B$1000,MATCH($W143,'🎓 Alumnas'!$A$2:$A$1000,0))),""))</f>
        <v/>
      </c>
      <c r="E143" s="34" t="str">
        <f aca="false">IF($W143="","",IFERROR(TRIM(INDEX('🎓 Alumnas'!$C$2:$C$1000,MATCH($W143,'🎓 Alumnas'!$A$2:$A$1000,0))),""))</f>
        <v/>
      </c>
      <c r="F143" s="34" t="str">
        <f aca="false">IF($W143="","",IFERROR(IF(INDEX('🎓 Alumnas'!$D$2:$D$1000,MATCH($W143,'🎓 Alumnas'!$A$2:$A$1000,0))="","",INDEX('🎓 Alumnas'!$D$2:$D$1000,MATCH($W143,'🎓 Alumnas'!$A$2:$A$1000,0))),""))</f>
        <v/>
      </c>
      <c r="G143" s="28" t="str">
        <f aca="false">IF($W143="","",IFERROR(IF(INDEX('🎓 Alumnas'!$E$2:$E$1000,MATCH($W143,'🎓 Alumnas'!$A$2:$A$1000,0))="","",INDEX('🎓 Alumnas'!$E$2:$E$1000,MATCH($W143,'🎓 Alumnas'!$A$2:$A$1000,0))),""))</f>
        <v/>
      </c>
      <c r="H143" s="28" t="str">
        <f aca="false">IF($W143="","",IFERROR(IF(INDEX('🎓 Alumnas'!$F$2:$F$1000,MATCH($W143,'🎓 Alumnas'!$A$2:$A$1000,0))="","",INDEX('🎓 Alumnas'!$F$2:$F$1000,MATCH($W143,'🎓 Alumnas'!$A$2:$A$1000,0))),""))</f>
        <v/>
      </c>
      <c r="I143" s="30" t="str">
        <f aca="false">IF($W143="","",IFERROR(IF(INDEX('🎓 Alumnas'!$G$2:$G$1000,MATCH($W143,'🎓 Alumnas'!$A$2:$A$1000,0))="","",INDEX('🎓 Alumnas'!$G$2:$G$1000,MATCH($W143,'🎓 Alumnas'!$A$2:$A$1000,0))),""))</f>
        <v/>
      </c>
      <c r="J143" s="28" t="str">
        <f aca="true">IF(I143="","",DATEDIF(I143,TODAY(),"Y"))</f>
        <v/>
      </c>
      <c r="K143" s="25"/>
      <c r="L143" s="28" t="str">
        <f aca="false">IF(K143="","",IF(LEFT(K143,6)="1 Pole","Alquiler",IF(LEFT(K143,7)="1 Clase","Clase suelta","Paquete")))</f>
        <v/>
      </c>
      <c r="M143" s="25"/>
      <c r="N143" s="25"/>
      <c r="O143" s="35"/>
      <c r="P143" s="29" t="str">
        <f aca="false">IF(O143="","",N143*O143)</f>
        <v/>
      </c>
      <c r="Q143" s="36"/>
      <c r="R143" s="25"/>
      <c r="S143" s="25"/>
      <c r="T143" s="28" t="str">
        <f aca="false">IF(OR(LEFT(W143,2)&lt;&gt;"A-",ISERROR(MATCH(W143,'🎓 Alumnas'!$A$2:$A$1000,0))),"",IF(COUNTIF($W$2:W143,W143)=1,"Nueva","Recurrente"))</f>
        <v/>
      </c>
      <c r="U143" s="28" t="str">
        <f aca="false">IF(OR(T143="",L143&lt;&gt;"Paquete"),"",COUNTIFS($W$2:W143,W143,$L$2:L143,"Paquete"))</f>
        <v/>
      </c>
      <c r="V143" s="25"/>
      <c r="W143" s="34" t="str">
        <f aca="false">IF(TRIM($C143)="","",IF(COUNTIF('🎓 Alumnas'!$P$2:$P$1000,TRIM($C143))&gt;0,INDEX('🎓 Alumnas'!$A$2:$A$1000,MATCH(TRIM($C143),'🎓 Alumnas'!$P$2:$P$1000,0)),IF(COUNTIF('🎓 Alumnas'!$O$2:$O$1000,TRIM($C143)&amp;"|*")=1,INDEX('🎓 Alumnas'!$A$2:$A$1000,MATCH(TRIM($C143)&amp;"|*",'🎓 Alumnas'!$O$2:$O$1000,0)),IF(COUNTIF('🎓 Alumnas'!$O$2:$O$1000,"*|"&amp;TRIM($C143))=1,INDEX('🎓 Alumnas'!$A$2:$A$1000,MATCH("*|"&amp;TRIM($C143),'🎓 Alumnas'!$O$2:$O$1000,0)),IF(COUNTIF('🎓 Alumnas'!$Q$2:$Q$1000,TRIM($C143))=1,INDEX('🎓 Alumnas'!$A$2:$A$1000,MATCH(TRIM($C143),'🎓 Alumnas'!$Q$2:$Q$1000,0)),IF(COUNTIF('🎓 Alumnas'!$P$2:$P$1000,"*"&amp;TRIM($C143)&amp;"*")=1,INDEX('🎓 Alumnas'!$A$2:$A$1000,MATCH("*"&amp;TRIM($C143)&amp;"*",'🎓 Alumnas'!$P$2:$P$1000,0)),IF(COUNTIF('🎓 Alumnas'!$Q$2:$Q$1000,"*"&amp;TRIM($C143)&amp;"*")=1,INDEX('🎓 Alumnas'!$A$2:$A$1000,MATCH("*"&amp;TRIM($C143)&amp;"*",'🎓 Alumnas'!$Q$2:$Q$1000,0)),IF(COUNTIF('🎓 Alumnas'!$P$2:$P$1000,"*"&amp;TRIM($C143)&amp;"*")+COUNTIF('🎓 Alumnas'!$Q$2:$Q$1000,"*"&amp;TRIM($C143)&amp;"*")&gt;1,"Varias: elige de la lista","No encontrada"))))))))</f>
        <v/>
      </c>
    </row>
    <row r="144" customFormat="false" ht="14.25" hidden="false" customHeight="true" outlineLevel="0" collapsed="false">
      <c r="A144" s="25" t="s">
        <v>689</v>
      </c>
      <c r="B144" s="27"/>
      <c r="C144" s="25"/>
      <c r="D144" s="34" t="str">
        <f aca="false">IF($W144="","",IFERROR(TRIM(INDEX('🎓 Alumnas'!$B$2:$B$1000,MATCH($W144,'🎓 Alumnas'!$A$2:$A$1000,0))),""))</f>
        <v/>
      </c>
      <c r="E144" s="34" t="str">
        <f aca="false">IF($W144="","",IFERROR(TRIM(INDEX('🎓 Alumnas'!$C$2:$C$1000,MATCH($W144,'🎓 Alumnas'!$A$2:$A$1000,0))),""))</f>
        <v/>
      </c>
      <c r="F144" s="34" t="str">
        <f aca="false">IF($W144="","",IFERROR(IF(INDEX('🎓 Alumnas'!$D$2:$D$1000,MATCH($W144,'🎓 Alumnas'!$A$2:$A$1000,0))="","",INDEX('🎓 Alumnas'!$D$2:$D$1000,MATCH($W144,'🎓 Alumnas'!$A$2:$A$1000,0))),""))</f>
        <v/>
      </c>
      <c r="G144" s="28" t="str">
        <f aca="false">IF($W144="","",IFERROR(IF(INDEX('🎓 Alumnas'!$E$2:$E$1000,MATCH($W144,'🎓 Alumnas'!$A$2:$A$1000,0))="","",INDEX('🎓 Alumnas'!$E$2:$E$1000,MATCH($W144,'🎓 Alumnas'!$A$2:$A$1000,0))),""))</f>
        <v/>
      </c>
      <c r="H144" s="28" t="str">
        <f aca="false">IF($W144="","",IFERROR(IF(INDEX('🎓 Alumnas'!$F$2:$F$1000,MATCH($W144,'🎓 Alumnas'!$A$2:$A$1000,0))="","",INDEX('🎓 Alumnas'!$F$2:$F$1000,MATCH($W144,'🎓 Alumnas'!$A$2:$A$1000,0))),""))</f>
        <v/>
      </c>
      <c r="I144" s="30" t="str">
        <f aca="false">IF($W144="","",IFERROR(IF(INDEX('🎓 Alumnas'!$G$2:$G$1000,MATCH($W144,'🎓 Alumnas'!$A$2:$A$1000,0))="","",INDEX('🎓 Alumnas'!$G$2:$G$1000,MATCH($W144,'🎓 Alumnas'!$A$2:$A$1000,0))),""))</f>
        <v/>
      </c>
      <c r="J144" s="28" t="str">
        <f aca="true">IF(I144="","",DATEDIF(I144,TODAY(),"Y"))</f>
        <v/>
      </c>
      <c r="K144" s="25"/>
      <c r="L144" s="28" t="str">
        <f aca="false">IF(K144="","",IF(LEFT(K144,6)="1 Pole","Alquiler",IF(LEFT(K144,7)="1 Clase","Clase suelta","Paquete")))</f>
        <v/>
      </c>
      <c r="M144" s="25"/>
      <c r="N144" s="25"/>
      <c r="O144" s="35"/>
      <c r="P144" s="29" t="str">
        <f aca="false">IF(O144="","",N144*O144)</f>
        <v/>
      </c>
      <c r="Q144" s="36"/>
      <c r="R144" s="25"/>
      <c r="S144" s="25"/>
      <c r="T144" s="28" t="str">
        <f aca="false">IF(OR(LEFT(W144,2)&lt;&gt;"A-",ISERROR(MATCH(W144,'🎓 Alumnas'!$A$2:$A$1000,0))),"",IF(COUNTIF($W$2:W144,W144)=1,"Nueva","Recurrente"))</f>
        <v/>
      </c>
      <c r="U144" s="28" t="str">
        <f aca="false">IF(OR(T144="",L144&lt;&gt;"Paquete"),"",COUNTIFS($W$2:W144,W144,$L$2:L144,"Paquete"))</f>
        <v/>
      </c>
      <c r="V144" s="25"/>
      <c r="W144" s="34" t="str">
        <f aca="false">IF(TRIM($C144)="","",IF(COUNTIF('🎓 Alumnas'!$P$2:$P$1000,TRIM($C144))&gt;0,INDEX('🎓 Alumnas'!$A$2:$A$1000,MATCH(TRIM($C144),'🎓 Alumnas'!$P$2:$P$1000,0)),IF(COUNTIF('🎓 Alumnas'!$O$2:$O$1000,TRIM($C144)&amp;"|*")=1,INDEX('🎓 Alumnas'!$A$2:$A$1000,MATCH(TRIM($C144)&amp;"|*",'🎓 Alumnas'!$O$2:$O$1000,0)),IF(COUNTIF('🎓 Alumnas'!$O$2:$O$1000,"*|"&amp;TRIM($C144))=1,INDEX('🎓 Alumnas'!$A$2:$A$1000,MATCH("*|"&amp;TRIM($C144),'🎓 Alumnas'!$O$2:$O$1000,0)),IF(COUNTIF('🎓 Alumnas'!$Q$2:$Q$1000,TRIM($C144))=1,INDEX('🎓 Alumnas'!$A$2:$A$1000,MATCH(TRIM($C144),'🎓 Alumnas'!$Q$2:$Q$1000,0)),IF(COUNTIF('🎓 Alumnas'!$P$2:$P$1000,"*"&amp;TRIM($C144)&amp;"*")=1,INDEX('🎓 Alumnas'!$A$2:$A$1000,MATCH("*"&amp;TRIM($C144)&amp;"*",'🎓 Alumnas'!$P$2:$P$1000,0)),IF(COUNTIF('🎓 Alumnas'!$Q$2:$Q$1000,"*"&amp;TRIM($C144)&amp;"*")=1,INDEX('🎓 Alumnas'!$A$2:$A$1000,MATCH("*"&amp;TRIM($C144)&amp;"*",'🎓 Alumnas'!$Q$2:$Q$1000,0)),IF(COUNTIF('🎓 Alumnas'!$P$2:$P$1000,"*"&amp;TRIM($C144)&amp;"*")+COUNTIF('🎓 Alumnas'!$Q$2:$Q$1000,"*"&amp;TRIM($C144)&amp;"*")&gt;1,"Varias: elige de la lista","No encontrada"))))))))</f>
        <v/>
      </c>
    </row>
    <row r="145" customFormat="false" ht="14.25" hidden="false" customHeight="true" outlineLevel="0" collapsed="false">
      <c r="A145" s="25" t="s">
        <v>690</v>
      </c>
      <c r="B145" s="27"/>
      <c r="C145" s="25"/>
      <c r="D145" s="34" t="str">
        <f aca="false">IF($W145="","",IFERROR(TRIM(INDEX('🎓 Alumnas'!$B$2:$B$1000,MATCH($W145,'🎓 Alumnas'!$A$2:$A$1000,0))),""))</f>
        <v/>
      </c>
      <c r="E145" s="34" t="str">
        <f aca="false">IF($W145="","",IFERROR(TRIM(INDEX('🎓 Alumnas'!$C$2:$C$1000,MATCH($W145,'🎓 Alumnas'!$A$2:$A$1000,0))),""))</f>
        <v/>
      </c>
      <c r="F145" s="34" t="str">
        <f aca="false">IF($W145="","",IFERROR(IF(INDEX('🎓 Alumnas'!$D$2:$D$1000,MATCH($W145,'🎓 Alumnas'!$A$2:$A$1000,0))="","",INDEX('🎓 Alumnas'!$D$2:$D$1000,MATCH($W145,'🎓 Alumnas'!$A$2:$A$1000,0))),""))</f>
        <v/>
      </c>
      <c r="G145" s="28" t="str">
        <f aca="false">IF($W145="","",IFERROR(IF(INDEX('🎓 Alumnas'!$E$2:$E$1000,MATCH($W145,'🎓 Alumnas'!$A$2:$A$1000,0))="","",INDEX('🎓 Alumnas'!$E$2:$E$1000,MATCH($W145,'🎓 Alumnas'!$A$2:$A$1000,0))),""))</f>
        <v/>
      </c>
      <c r="H145" s="28" t="str">
        <f aca="false">IF($W145="","",IFERROR(IF(INDEX('🎓 Alumnas'!$F$2:$F$1000,MATCH($W145,'🎓 Alumnas'!$A$2:$A$1000,0))="","",INDEX('🎓 Alumnas'!$F$2:$F$1000,MATCH($W145,'🎓 Alumnas'!$A$2:$A$1000,0))),""))</f>
        <v/>
      </c>
      <c r="I145" s="30" t="str">
        <f aca="false">IF($W145="","",IFERROR(IF(INDEX('🎓 Alumnas'!$G$2:$G$1000,MATCH($W145,'🎓 Alumnas'!$A$2:$A$1000,0))="","",INDEX('🎓 Alumnas'!$G$2:$G$1000,MATCH($W145,'🎓 Alumnas'!$A$2:$A$1000,0))),""))</f>
        <v/>
      </c>
      <c r="J145" s="28" t="str">
        <f aca="true">IF(I145="","",DATEDIF(I145,TODAY(),"Y"))</f>
        <v/>
      </c>
      <c r="K145" s="25"/>
      <c r="L145" s="28" t="str">
        <f aca="false">IF(K145="","",IF(LEFT(K145,6)="1 Pole","Alquiler",IF(LEFT(K145,7)="1 Clase","Clase suelta","Paquete")))</f>
        <v/>
      </c>
      <c r="M145" s="25"/>
      <c r="N145" s="25"/>
      <c r="O145" s="35"/>
      <c r="P145" s="29" t="str">
        <f aca="false">IF(O145="","",N145*O145)</f>
        <v/>
      </c>
      <c r="Q145" s="36"/>
      <c r="R145" s="25"/>
      <c r="S145" s="25"/>
      <c r="T145" s="28" t="str">
        <f aca="false">IF(OR(LEFT(W145,2)&lt;&gt;"A-",ISERROR(MATCH(W145,'🎓 Alumnas'!$A$2:$A$1000,0))),"",IF(COUNTIF($W$2:W145,W145)=1,"Nueva","Recurrente"))</f>
        <v/>
      </c>
      <c r="U145" s="28" t="str">
        <f aca="false">IF(OR(T145="",L145&lt;&gt;"Paquete"),"",COUNTIFS($W$2:W145,W145,$L$2:L145,"Paquete"))</f>
        <v/>
      </c>
      <c r="V145" s="25"/>
      <c r="W145" s="34" t="str">
        <f aca="false">IF(TRIM($C145)="","",IF(COUNTIF('🎓 Alumnas'!$P$2:$P$1000,TRIM($C145))&gt;0,INDEX('🎓 Alumnas'!$A$2:$A$1000,MATCH(TRIM($C145),'🎓 Alumnas'!$P$2:$P$1000,0)),IF(COUNTIF('🎓 Alumnas'!$O$2:$O$1000,TRIM($C145)&amp;"|*")=1,INDEX('🎓 Alumnas'!$A$2:$A$1000,MATCH(TRIM($C145)&amp;"|*",'🎓 Alumnas'!$O$2:$O$1000,0)),IF(COUNTIF('🎓 Alumnas'!$O$2:$O$1000,"*|"&amp;TRIM($C145))=1,INDEX('🎓 Alumnas'!$A$2:$A$1000,MATCH("*|"&amp;TRIM($C145),'🎓 Alumnas'!$O$2:$O$1000,0)),IF(COUNTIF('🎓 Alumnas'!$Q$2:$Q$1000,TRIM($C145))=1,INDEX('🎓 Alumnas'!$A$2:$A$1000,MATCH(TRIM($C145),'🎓 Alumnas'!$Q$2:$Q$1000,0)),IF(COUNTIF('🎓 Alumnas'!$P$2:$P$1000,"*"&amp;TRIM($C145)&amp;"*")=1,INDEX('🎓 Alumnas'!$A$2:$A$1000,MATCH("*"&amp;TRIM($C145)&amp;"*",'🎓 Alumnas'!$P$2:$P$1000,0)),IF(COUNTIF('🎓 Alumnas'!$Q$2:$Q$1000,"*"&amp;TRIM($C145)&amp;"*")=1,INDEX('🎓 Alumnas'!$A$2:$A$1000,MATCH("*"&amp;TRIM($C145)&amp;"*",'🎓 Alumnas'!$Q$2:$Q$1000,0)),IF(COUNTIF('🎓 Alumnas'!$P$2:$P$1000,"*"&amp;TRIM($C145)&amp;"*")+COUNTIF('🎓 Alumnas'!$Q$2:$Q$1000,"*"&amp;TRIM($C145)&amp;"*")&gt;1,"Varias: elige de la lista","No encontrada"))))))))</f>
        <v/>
      </c>
    </row>
    <row r="146" customFormat="false" ht="14.25" hidden="false" customHeight="true" outlineLevel="0" collapsed="false">
      <c r="A146" s="25" t="s">
        <v>691</v>
      </c>
      <c r="B146" s="27"/>
      <c r="C146" s="25"/>
      <c r="D146" s="34" t="str">
        <f aca="false">IF($W146="","",IFERROR(TRIM(INDEX('🎓 Alumnas'!$B$2:$B$1000,MATCH($W146,'🎓 Alumnas'!$A$2:$A$1000,0))),""))</f>
        <v/>
      </c>
      <c r="E146" s="34" t="str">
        <f aca="false">IF($W146="","",IFERROR(TRIM(INDEX('🎓 Alumnas'!$C$2:$C$1000,MATCH($W146,'🎓 Alumnas'!$A$2:$A$1000,0))),""))</f>
        <v/>
      </c>
      <c r="F146" s="34" t="str">
        <f aca="false">IF($W146="","",IFERROR(IF(INDEX('🎓 Alumnas'!$D$2:$D$1000,MATCH($W146,'🎓 Alumnas'!$A$2:$A$1000,0))="","",INDEX('🎓 Alumnas'!$D$2:$D$1000,MATCH($W146,'🎓 Alumnas'!$A$2:$A$1000,0))),""))</f>
        <v/>
      </c>
      <c r="G146" s="28" t="str">
        <f aca="false">IF($W146="","",IFERROR(IF(INDEX('🎓 Alumnas'!$E$2:$E$1000,MATCH($W146,'🎓 Alumnas'!$A$2:$A$1000,0))="","",INDEX('🎓 Alumnas'!$E$2:$E$1000,MATCH($W146,'🎓 Alumnas'!$A$2:$A$1000,0))),""))</f>
        <v/>
      </c>
      <c r="H146" s="28" t="str">
        <f aca="false">IF($W146="","",IFERROR(IF(INDEX('🎓 Alumnas'!$F$2:$F$1000,MATCH($W146,'🎓 Alumnas'!$A$2:$A$1000,0))="","",INDEX('🎓 Alumnas'!$F$2:$F$1000,MATCH($W146,'🎓 Alumnas'!$A$2:$A$1000,0))),""))</f>
        <v/>
      </c>
      <c r="I146" s="30" t="str">
        <f aca="false">IF($W146="","",IFERROR(IF(INDEX('🎓 Alumnas'!$G$2:$G$1000,MATCH($W146,'🎓 Alumnas'!$A$2:$A$1000,0))="","",INDEX('🎓 Alumnas'!$G$2:$G$1000,MATCH($W146,'🎓 Alumnas'!$A$2:$A$1000,0))),""))</f>
        <v/>
      </c>
      <c r="J146" s="28" t="str">
        <f aca="true">IF(I146="","",DATEDIF(I146,TODAY(),"Y"))</f>
        <v/>
      </c>
      <c r="K146" s="25"/>
      <c r="L146" s="28" t="str">
        <f aca="false">IF(K146="","",IF(LEFT(K146,6)="1 Pole","Alquiler",IF(LEFT(K146,7)="1 Clase","Clase suelta","Paquete")))</f>
        <v/>
      </c>
      <c r="M146" s="25"/>
      <c r="N146" s="25"/>
      <c r="O146" s="35"/>
      <c r="P146" s="29" t="str">
        <f aca="false">IF(O146="","",N146*O146)</f>
        <v/>
      </c>
      <c r="Q146" s="36"/>
      <c r="R146" s="25"/>
      <c r="S146" s="25"/>
      <c r="T146" s="28" t="str">
        <f aca="false">IF(OR(LEFT(W146,2)&lt;&gt;"A-",ISERROR(MATCH(W146,'🎓 Alumnas'!$A$2:$A$1000,0))),"",IF(COUNTIF($W$2:W146,W146)=1,"Nueva","Recurrente"))</f>
        <v/>
      </c>
      <c r="U146" s="28" t="str">
        <f aca="false">IF(OR(T146="",L146&lt;&gt;"Paquete"),"",COUNTIFS($W$2:W146,W146,$L$2:L146,"Paquete"))</f>
        <v/>
      </c>
      <c r="V146" s="25"/>
      <c r="W146" s="34" t="str">
        <f aca="false">IF(TRIM($C146)="","",IF(COUNTIF('🎓 Alumnas'!$P$2:$P$1000,TRIM($C146))&gt;0,INDEX('🎓 Alumnas'!$A$2:$A$1000,MATCH(TRIM($C146),'🎓 Alumnas'!$P$2:$P$1000,0)),IF(COUNTIF('🎓 Alumnas'!$O$2:$O$1000,TRIM($C146)&amp;"|*")=1,INDEX('🎓 Alumnas'!$A$2:$A$1000,MATCH(TRIM($C146)&amp;"|*",'🎓 Alumnas'!$O$2:$O$1000,0)),IF(COUNTIF('🎓 Alumnas'!$O$2:$O$1000,"*|"&amp;TRIM($C146))=1,INDEX('🎓 Alumnas'!$A$2:$A$1000,MATCH("*|"&amp;TRIM($C146),'🎓 Alumnas'!$O$2:$O$1000,0)),IF(COUNTIF('🎓 Alumnas'!$Q$2:$Q$1000,TRIM($C146))=1,INDEX('🎓 Alumnas'!$A$2:$A$1000,MATCH(TRIM($C146),'🎓 Alumnas'!$Q$2:$Q$1000,0)),IF(COUNTIF('🎓 Alumnas'!$P$2:$P$1000,"*"&amp;TRIM($C146)&amp;"*")=1,INDEX('🎓 Alumnas'!$A$2:$A$1000,MATCH("*"&amp;TRIM($C146)&amp;"*",'🎓 Alumnas'!$P$2:$P$1000,0)),IF(COUNTIF('🎓 Alumnas'!$Q$2:$Q$1000,"*"&amp;TRIM($C146)&amp;"*")=1,INDEX('🎓 Alumnas'!$A$2:$A$1000,MATCH("*"&amp;TRIM($C146)&amp;"*",'🎓 Alumnas'!$Q$2:$Q$1000,0)),IF(COUNTIF('🎓 Alumnas'!$P$2:$P$1000,"*"&amp;TRIM($C146)&amp;"*")+COUNTIF('🎓 Alumnas'!$Q$2:$Q$1000,"*"&amp;TRIM($C146)&amp;"*")&gt;1,"Varias: elige de la lista","No encontrada"))))))))</f>
        <v/>
      </c>
    </row>
    <row r="147" customFormat="false" ht="14.25" hidden="false" customHeight="true" outlineLevel="0" collapsed="false">
      <c r="A147" s="25" t="s">
        <v>692</v>
      </c>
      <c r="B147" s="27"/>
      <c r="C147" s="25"/>
      <c r="D147" s="34" t="str">
        <f aca="false">IF($W147="","",IFERROR(TRIM(INDEX('🎓 Alumnas'!$B$2:$B$1000,MATCH($W147,'🎓 Alumnas'!$A$2:$A$1000,0))),""))</f>
        <v/>
      </c>
      <c r="E147" s="34" t="str">
        <f aca="false">IF($W147="","",IFERROR(TRIM(INDEX('🎓 Alumnas'!$C$2:$C$1000,MATCH($W147,'🎓 Alumnas'!$A$2:$A$1000,0))),""))</f>
        <v/>
      </c>
      <c r="F147" s="34" t="str">
        <f aca="false">IF($W147="","",IFERROR(IF(INDEX('🎓 Alumnas'!$D$2:$D$1000,MATCH($W147,'🎓 Alumnas'!$A$2:$A$1000,0))="","",INDEX('🎓 Alumnas'!$D$2:$D$1000,MATCH($W147,'🎓 Alumnas'!$A$2:$A$1000,0))),""))</f>
        <v/>
      </c>
      <c r="G147" s="28" t="str">
        <f aca="false">IF($W147="","",IFERROR(IF(INDEX('🎓 Alumnas'!$E$2:$E$1000,MATCH($W147,'🎓 Alumnas'!$A$2:$A$1000,0))="","",INDEX('🎓 Alumnas'!$E$2:$E$1000,MATCH($W147,'🎓 Alumnas'!$A$2:$A$1000,0))),""))</f>
        <v/>
      </c>
      <c r="H147" s="28" t="str">
        <f aca="false">IF($W147="","",IFERROR(IF(INDEX('🎓 Alumnas'!$F$2:$F$1000,MATCH($W147,'🎓 Alumnas'!$A$2:$A$1000,0))="","",INDEX('🎓 Alumnas'!$F$2:$F$1000,MATCH($W147,'🎓 Alumnas'!$A$2:$A$1000,0))),""))</f>
        <v/>
      </c>
      <c r="I147" s="30" t="str">
        <f aca="false">IF($W147="","",IFERROR(IF(INDEX('🎓 Alumnas'!$G$2:$G$1000,MATCH($W147,'🎓 Alumnas'!$A$2:$A$1000,0))="","",INDEX('🎓 Alumnas'!$G$2:$G$1000,MATCH($W147,'🎓 Alumnas'!$A$2:$A$1000,0))),""))</f>
        <v/>
      </c>
      <c r="J147" s="28" t="str">
        <f aca="true">IF(I147="","",DATEDIF(I147,TODAY(),"Y"))</f>
        <v/>
      </c>
      <c r="K147" s="25"/>
      <c r="L147" s="28" t="str">
        <f aca="false">IF(K147="","",IF(LEFT(K147,6)="1 Pole","Alquiler",IF(LEFT(K147,7)="1 Clase","Clase suelta","Paquete")))</f>
        <v/>
      </c>
      <c r="M147" s="25"/>
      <c r="N147" s="25"/>
      <c r="O147" s="35"/>
      <c r="P147" s="29" t="str">
        <f aca="false">IF(O147="","",N147*O147)</f>
        <v/>
      </c>
      <c r="Q147" s="36"/>
      <c r="R147" s="25"/>
      <c r="S147" s="25"/>
      <c r="T147" s="28" t="str">
        <f aca="false">IF(OR(LEFT(W147,2)&lt;&gt;"A-",ISERROR(MATCH(W147,'🎓 Alumnas'!$A$2:$A$1000,0))),"",IF(COUNTIF($W$2:W147,W147)=1,"Nueva","Recurrente"))</f>
        <v/>
      </c>
      <c r="U147" s="28" t="str">
        <f aca="false">IF(OR(T147="",L147&lt;&gt;"Paquete"),"",COUNTIFS($W$2:W147,W147,$L$2:L147,"Paquete"))</f>
        <v/>
      </c>
      <c r="V147" s="25"/>
      <c r="W147" s="34" t="str">
        <f aca="false">IF(TRIM($C147)="","",IF(COUNTIF('🎓 Alumnas'!$P$2:$P$1000,TRIM($C147))&gt;0,INDEX('🎓 Alumnas'!$A$2:$A$1000,MATCH(TRIM($C147),'🎓 Alumnas'!$P$2:$P$1000,0)),IF(COUNTIF('🎓 Alumnas'!$O$2:$O$1000,TRIM($C147)&amp;"|*")=1,INDEX('🎓 Alumnas'!$A$2:$A$1000,MATCH(TRIM($C147)&amp;"|*",'🎓 Alumnas'!$O$2:$O$1000,0)),IF(COUNTIF('🎓 Alumnas'!$O$2:$O$1000,"*|"&amp;TRIM($C147))=1,INDEX('🎓 Alumnas'!$A$2:$A$1000,MATCH("*|"&amp;TRIM($C147),'🎓 Alumnas'!$O$2:$O$1000,0)),IF(COUNTIF('🎓 Alumnas'!$Q$2:$Q$1000,TRIM($C147))=1,INDEX('🎓 Alumnas'!$A$2:$A$1000,MATCH(TRIM($C147),'🎓 Alumnas'!$Q$2:$Q$1000,0)),IF(COUNTIF('🎓 Alumnas'!$P$2:$P$1000,"*"&amp;TRIM($C147)&amp;"*")=1,INDEX('🎓 Alumnas'!$A$2:$A$1000,MATCH("*"&amp;TRIM($C147)&amp;"*",'🎓 Alumnas'!$P$2:$P$1000,0)),IF(COUNTIF('🎓 Alumnas'!$Q$2:$Q$1000,"*"&amp;TRIM($C147)&amp;"*")=1,INDEX('🎓 Alumnas'!$A$2:$A$1000,MATCH("*"&amp;TRIM($C147)&amp;"*",'🎓 Alumnas'!$Q$2:$Q$1000,0)),IF(COUNTIF('🎓 Alumnas'!$P$2:$P$1000,"*"&amp;TRIM($C147)&amp;"*")+COUNTIF('🎓 Alumnas'!$Q$2:$Q$1000,"*"&amp;TRIM($C147)&amp;"*")&gt;1,"Varias: elige de la lista","No encontrada"))))))))</f>
        <v/>
      </c>
    </row>
    <row r="148" customFormat="false" ht="14.25" hidden="false" customHeight="true" outlineLevel="0" collapsed="false">
      <c r="A148" s="25" t="s">
        <v>693</v>
      </c>
      <c r="B148" s="27"/>
      <c r="C148" s="25"/>
      <c r="D148" s="34" t="str">
        <f aca="false">IF($W148="","",IFERROR(TRIM(INDEX('🎓 Alumnas'!$B$2:$B$1000,MATCH($W148,'🎓 Alumnas'!$A$2:$A$1000,0))),""))</f>
        <v/>
      </c>
      <c r="E148" s="34" t="str">
        <f aca="false">IF($W148="","",IFERROR(TRIM(INDEX('🎓 Alumnas'!$C$2:$C$1000,MATCH($W148,'🎓 Alumnas'!$A$2:$A$1000,0))),""))</f>
        <v/>
      </c>
      <c r="F148" s="34" t="str">
        <f aca="false">IF($W148="","",IFERROR(IF(INDEX('🎓 Alumnas'!$D$2:$D$1000,MATCH($W148,'🎓 Alumnas'!$A$2:$A$1000,0))="","",INDEX('🎓 Alumnas'!$D$2:$D$1000,MATCH($W148,'🎓 Alumnas'!$A$2:$A$1000,0))),""))</f>
        <v/>
      </c>
      <c r="G148" s="28" t="str">
        <f aca="false">IF($W148="","",IFERROR(IF(INDEX('🎓 Alumnas'!$E$2:$E$1000,MATCH($W148,'🎓 Alumnas'!$A$2:$A$1000,0))="","",INDEX('🎓 Alumnas'!$E$2:$E$1000,MATCH($W148,'🎓 Alumnas'!$A$2:$A$1000,0))),""))</f>
        <v/>
      </c>
      <c r="H148" s="28" t="str">
        <f aca="false">IF($W148="","",IFERROR(IF(INDEX('🎓 Alumnas'!$F$2:$F$1000,MATCH($W148,'🎓 Alumnas'!$A$2:$A$1000,0))="","",INDEX('🎓 Alumnas'!$F$2:$F$1000,MATCH($W148,'🎓 Alumnas'!$A$2:$A$1000,0))),""))</f>
        <v/>
      </c>
      <c r="I148" s="30" t="str">
        <f aca="false">IF($W148="","",IFERROR(IF(INDEX('🎓 Alumnas'!$G$2:$G$1000,MATCH($W148,'🎓 Alumnas'!$A$2:$A$1000,0))="","",INDEX('🎓 Alumnas'!$G$2:$G$1000,MATCH($W148,'🎓 Alumnas'!$A$2:$A$1000,0))),""))</f>
        <v/>
      </c>
      <c r="J148" s="28" t="str">
        <f aca="true">IF(I148="","",DATEDIF(I148,TODAY(),"Y"))</f>
        <v/>
      </c>
      <c r="K148" s="25"/>
      <c r="L148" s="28" t="str">
        <f aca="false">IF(K148="","",IF(LEFT(K148,6)="1 Pole","Alquiler",IF(LEFT(K148,7)="1 Clase","Clase suelta","Paquete")))</f>
        <v/>
      </c>
      <c r="M148" s="25"/>
      <c r="N148" s="25"/>
      <c r="O148" s="35"/>
      <c r="P148" s="29" t="str">
        <f aca="false">IF(O148="","",N148*O148)</f>
        <v/>
      </c>
      <c r="Q148" s="36"/>
      <c r="R148" s="25"/>
      <c r="S148" s="25"/>
      <c r="T148" s="28" t="str">
        <f aca="false">IF(OR(LEFT(W148,2)&lt;&gt;"A-",ISERROR(MATCH(W148,'🎓 Alumnas'!$A$2:$A$1000,0))),"",IF(COUNTIF($W$2:W148,W148)=1,"Nueva","Recurrente"))</f>
        <v/>
      </c>
      <c r="U148" s="28" t="str">
        <f aca="false">IF(OR(T148="",L148&lt;&gt;"Paquete"),"",COUNTIFS($W$2:W148,W148,$L$2:L148,"Paquete"))</f>
        <v/>
      </c>
      <c r="V148" s="25"/>
      <c r="W148" s="34" t="str">
        <f aca="false">IF(TRIM($C148)="","",IF(COUNTIF('🎓 Alumnas'!$P$2:$P$1000,TRIM($C148))&gt;0,INDEX('🎓 Alumnas'!$A$2:$A$1000,MATCH(TRIM($C148),'🎓 Alumnas'!$P$2:$P$1000,0)),IF(COUNTIF('🎓 Alumnas'!$O$2:$O$1000,TRIM($C148)&amp;"|*")=1,INDEX('🎓 Alumnas'!$A$2:$A$1000,MATCH(TRIM($C148)&amp;"|*",'🎓 Alumnas'!$O$2:$O$1000,0)),IF(COUNTIF('🎓 Alumnas'!$O$2:$O$1000,"*|"&amp;TRIM($C148))=1,INDEX('🎓 Alumnas'!$A$2:$A$1000,MATCH("*|"&amp;TRIM($C148),'🎓 Alumnas'!$O$2:$O$1000,0)),IF(COUNTIF('🎓 Alumnas'!$Q$2:$Q$1000,TRIM($C148))=1,INDEX('🎓 Alumnas'!$A$2:$A$1000,MATCH(TRIM($C148),'🎓 Alumnas'!$Q$2:$Q$1000,0)),IF(COUNTIF('🎓 Alumnas'!$P$2:$P$1000,"*"&amp;TRIM($C148)&amp;"*")=1,INDEX('🎓 Alumnas'!$A$2:$A$1000,MATCH("*"&amp;TRIM($C148)&amp;"*",'🎓 Alumnas'!$P$2:$P$1000,0)),IF(COUNTIF('🎓 Alumnas'!$Q$2:$Q$1000,"*"&amp;TRIM($C148)&amp;"*")=1,INDEX('🎓 Alumnas'!$A$2:$A$1000,MATCH("*"&amp;TRIM($C148)&amp;"*",'🎓 Alumnas'!$Q$2:$Q$1000,0)),IF(COUNTIF('🎓 Alumnas'!$P$2:$P$1000,"*"&amp;TRIM($C148)&amp;"*")+COUNTIF('🎓 Alumnas'!$Q$2:$Q$1000,"*"&amp;TRIM($C148)&amp;"*")&gt;1,"Varias: elige de la lista","No encontrada"))))))))</f>
        <v/>
      </c>
    </row>
    <row r="149" customFormat="false" ht="14.25" hidden="false" customHeight="true" outlineLevel="0" collapsed="false">
      <c r="A149" s="25" t="s">
        <v>694</v>
      </c>
      <c r="B149" s="27"/>
      <c r="C149" s="25"/>
      <c r="D149" s="34" t="str">
        <f aca="false">IF($W149="","",IFERROR(TRIM(INDEX('🎓 Alumnas'!$B$2:$B$1000,MATCH($W149,'🎓 Alumnas'!$A$2:$A$1000,0))),""))</f>
        <v/>
      </c>
      <c r="E149" s="34" t="str">
        <f aca="false">IF($W149="","",IFERROR(TRIM(INDEX('🎓 Alumnas'!$C$2:$C$1000,MATCH($W149,'🎓 Alumnas'!$A$2:$A$1000,0))),""))</f>
        <v/>
      </c>
      <c r="F149" s="34" t="str">
        <f aca="false">IF($W149="","",IFERROR(IF(INDEX('🎓 Alumnas'!$D$2:$D$1000,MATCH($W149,'🎓 Alumnas'!$A$2:$A$1000,0))="","",INDEX('🎓 Alumnas'!$D$2:$D$1000,MATCH($W149,'🎓 Alumnas'!$A$2:$A$1000,0))),""))</f>
        <v/>
      </c>
      <c r="G149" s="28" t="str">
        <f aca="false">IF($W149="","",IFERROR(IF(INDEX('🎓 Alumnas'!$E$2:$E$1000,MATCH($W149,'🎓 Alumnas'!$A$2:$A$1000,0))="","",INDEX('🎓 Alumnas'!$E$2:$E$1000,MATCH($W149,'🎓 Alumnas'!$A$2:$A$1000,0))),""))</f>
        <v/>
      </c>
      <c r="H149" s="28" t="str">
        <f aca="false">IF($W149="","",IFERROR(IF(INDEX('🎓 Alumnas'!$F$2:$F$1000,MATCH($W149,'🎓 Alumnas'!$A$2:$A$1000,0))="","",INDEX('🎓 Alumnas'!$F$2:$F$1000,MATCH($W149,'🎓 Alumnas'!$A$2:$A$1000,0))),""))</f>
        <v/>
      </c>
      <c r="I149" s="30" t="str">
        <f aca="false">IF($W149="","",IFERROR(IF(INDEX('🎓 Alumnas'!$G$2:$G$1000,MATCH($W149,'🎓 Alumnas'!$A$2:$A$1000,0))="","",INDEX('🎓 Alumnas'!$G$2:$G$1000,MATCH($W149,'🎓 Alumnas'!$A$2:$A$1000,0))),""))</f>
        <v/>
      </c>
      <c r="J149" s="28" t="str">
        <f aca="true">IF(I149="","",DATEDIF(I149,TODAY(),"Y"))</f>
        <v/>
      </c>
      <c r="K149" s="25"/>
      <c r="L149" s="28" t="str">
        <f aca="false">IF(K149="","",IF(LEFT(K149,6)="1 Pole","Alquiler",IF(LEFT(K149,7)="1 Clase","Clase suelta","Paquete")))</f>
        <v/>
      </c>
      <c r="M149" s="25"/>
      <c r="N149" s="25"/>
      <c r="O149" s="35"/>
      <c r="P149" s="29" t="str">
        <f aca="false">IF(O149="","",N149*O149)</f>
        <v/>
      </c>
      <c r="Q149" s="36"/>
      <c r="R149" s="25"/>
      <c r="S149" s="25"/>
      <c r="T149" s="28" t="str">
        <f aca="false">IF(OR(LEFT(W149,2)&lt;&gt;"A-",ISERROR(MATCH(W149,'🎓 Alumnas'!$A$2:$A$1000,0))),"",IF(COUNTIF($W$2:W149,W149)=1,"Nueva","Recurrente"))</f>
        <v/>
      </c>
      <c r="U149" s="28" t="str">
        <f aca="false">IF(OR(T149="",L149&lt;&gt;"Paquete"),"",COUNTIFS($W$2:W149,W149,$L$2:L149,"Paquete"))</f>
        <v/>
      </c>
      <c r="V149" s="25"/>
      <c r="W149" s="34" t="str">
        <f aca="false">IF(TRIM($C149)="","",IF(COUNTIF('🎓 Alumnas'!$P$2:$P$1000,TRIM($C149))&gt;0,INDEX('🎓 Alumnas'!$A$2:$A$1000,MATCH(TRIM($C149),'🎓 Alumnas'!$P$2:$P$1000,0)),IF(COUNTIF('🎓 Alumnas'!$O$2:$O$1000,TRIM($C149)&amp;"|*")=1,INDEX('🎓 Alumnas'!$A$2:$A$1000,MATCH(TRIM($C149)&amp;"|*",'🎓 Alumnas'!$O$2:$O$1000,0)),IF(COUNTIF('🎓 Alumnas'!$O$2:$O$1000,"*|"&amp;TRIM($C149))=1,INDEX('🎓 Alumnas'!$A$2:$A$1000,MATCH("*|"&amp;TRIM($C149),'🎓 Alumnas'!$O$2:$O$1000,0)),IF(COUNTIF('🎓 Alumnas'!$Q$2:$Q$1000,TRIM($C149))=1,INDEX('🎓 Alumnas'!$A$2:$A$1000,MATCH(TRIM($C149),'🎓 Alumnas'!$Q$2:$Q$1000,0)),IF(COUNTIF('🎓 Alumnas'!$P$2:$P$1000,"*"&amp;TRIM($C149)&amp;"*")=1,INDEX('🎓 Alumnas'!$A$2:$A$1000,MATCH("*"&amp;TRIM($C149)&amp;"*",'🎓 Alumnas'!$P$2:$P$1000,0)),IF(COUNTIF('🎓 Alumnas'!$Q$2:$Q$1000,"*"&amp;TRIM($C149)&amp;"*")=1,INDEX('🎓 Alumnas'!$A$2:$A$1000,MATCH("*"&amp;TRIM($C149)&amp;"*",'🎓 Alumnas'!$Q$2:$Q$1000,0)),IF(COUNTIF('🎓 Alumnas'!$P$2:$P$1000,"*"&amp;TRIM($C149)&amp;"*")+COUNTIF('🎓 Alumnas'!$Q$2:$Q$1000,"*"&amp;TRIM($C149)&amp;"*")&gt;1,"Varias: elige de la lista","No encontrada"))))))))</f>
        <v/>
      </c>
    </row>
    <row r="150" customFormat="false" ht="14.25" hidden="false" customHeight="true" outlineLevel="0" collapsed="false">
      <c r="A150" s="25" t="s">
        <v>695</v>
      </c>
      <c r="B150" s="27"/>
      <c r="C150" s="25"/>
      <c r="D150" s="34" t="str">
        <f aca="false">IF($W150="","",IFERROR(TRIM(INDEX('🎓 Alumnas'!$B$2:$B$1000,MATCH($W150,'🎓 Alumnas'!$A$2:$A$1000,0))),""))</f>
        <v/>
      </c>
      <c r="E150" s="34" t="str">
        <f aca="false">IF($W150="","",IFERROR(TRIM(INDEX('🎓 Alumnas'!$C$2:$C$1000,MATCH($W150,'🎓 Alumnas'!$A$2:$A$1000,0))),""))</f>
        <v/>
      </c>
      <c r="F150" s="34" t="str">
        <f aca="false">IF($W150="","",IFERROR(IF(INDEX('🎓 Alumnas'!$D$2:$D$1000,MATCH($W150,'🎓 Alumnas'!$A$2:$A$1000,0))="","",INDEX('🎓 Alumnas'!$D$2:$D$1000,MATCH($W150,'🎓 Alumnas'!$A$2:$A$1000,0))),""))</f>
        <v/>
      </c>
      <c r="G150" s="28" t="str">
        <f aca="false">IF($W150="","",IFERROR(IF(INDEX('🎓 Alumnas'!$E$2:$E$1000,MATCH($W150,'🎓 Alumnas'!$A$2:$A$1000,0))="","",INDEX('🎓 Alumnas'!$E$2:$E$1000,MATCH($W150,'🎓 Alumnas'!$A$2:$A$1000,0))),""))</f>
        <v/>
      </c>
      <c r="H150" s="28" t="str">
        <f aca="false">IF($W150="","",IFERROR(IF(INDEX('🎓 Alumnas'!$F$2:$F$1000,MATCH($W150,'🎓 Alumnas'!$A$2:$A$1000,0))="","",INDEX('🎓 Alumnas'!$F$2:$F$1000,MATCH($W150,'🎓 Alumnas'!$A$2:$A$1000,0))),""))</f>
        <v/>
      </c>
      <c r="I150" s="30" t="str">
        <f aca="false">IF($W150="","",IFERROR(IF(INDEX('🎓 Alumnas'!$G$2:$G$1000,MATCH($W150,'🎓 Alumnas'!$A$2:$A$1000,0))="","",INDEX('🎓 Alumnas'!$G$2:$G$1000,MATCH($W150,'🎓 Alumnas'!$A$2:$A$1000,0))),""))</f>
        <v/>
      </c>
      <c r="J150" s="28" t="str">
        <f aca="true">IF(I150="","",DATEDIF(I150,TODAY(),"Y"))</f>
        <v/>
      </c>
      <c r="K150" s="25"/>
      <c r="L150" s="28" t="str">
        <f aca="false">IF(K150="","",IF(LEFT(K150,6)="1 Pole","Alquiler",IF(LEFT(K150,7)="1 Clase","Clase suelta","Paquete")))</f>
        <v/>
      </c>
      <c r="M150" s="25"/>
      <c r="N150" s="25"/>
      <c r="O150" s="35"/>
      <c r="P150" s="29" t="str">
        <f aca="false">IF(O150="","",N150*O150)</f>
        <v/>
      </c>
      <c r="Q150" s="36"/>
      <c r="R150" s="25"/>
      <c r="S150" s="25"/>
      <c r="T150" s="28" t="str">
        <f aca="false">IF(OR(LEFT(W150,2)&lt;&gt;"A-",ISERROR(MATCH(W150,'🎓 Alumnas'!$A$2:$A$1000,0))),"",IF(COUNTIF($W$2:W150,W150)=1,"Nueva","Recurrente"))</f>
        <v/>
      </c>
      <c r="U150" s="28" t="str">
        <f aca="false">IF(OR(T150="",L150&lt;&gt;"Paquete"),"",COUNTIFS($W$2:W150,W150,$L$2:L150,"Paquete"))</f>
        <v/>
      </c>
      <c r="V150" s="25"/>
      <c r="W150" s="34" t="str">
        <f aca="false">IF(TRIM($C150)="","",IF(COUNTIF('🎓 Alumnas'!$P$2:$P$1000,TRIM($C150))&gt;0,INDEX('🎓 Alumnas'!$A$2:$A$1000,MATCH(TRIM($C150),'🎓 Alumnas'!$P$2:$P$1000,0)),IF(COUNTIF('🎓 Alumnas'!$O$2:$O$1000,TRIM($C150)&amp;"|*")=1,INDEX('🎓 Alumnas'!$A$2:$A$1000,MATCH(TRIM($C150)&amp;"|*",'🎓 Alumnas'!$O$2:$O$1000,0)),IF(COUNTIF('🎓 Alumnas'!$O$2:$O$1000,"*|"&amp;TRIM($C150))=1,INDEX('🎓 Alumnas'!$A$2:$A$1000,MATCH("*|"&amp;TRIM($C150),'🎓 Alumnas'!$O$2:$O$1000,0)),IF(COUNTIF('🎓 Alumnas'!$Q$2:$Q$1000,TRIM($C150))=1,INDEX('🎓 Alumnas'!$A$2:$A$1000,MATCH(TRIM($C150),'🎓 Alumnas'!$Q$2:$Q$1000,0)),IF(COUNTIF('🎓 Alumnas'!$P$2:$P$1000,"*"&amp;TRIM($C150)&amp;"*")=1,INDEX('🎓 Alumnas'!$A$2:$A$1000,MATCH("*"&amp;TRIM($C150)&amp;"*",'🎓 Alumnas'!$P$2:$P$1000,0)),IF(COUNTIF('🎓 Alumnas'!$Q$2:$Q$1000,"*"&amp;TRIM($C150)&amp;"*")=1,INDEX('🎓 Alumnas'!$A$2:$A$1000,MATCH("*"&amp;TRIM($C150)&amp;"*",'🎓 Alumnas'!$Q$2:$Q$1000,0)),IF(COUNTIF('🎓 Alumnas'!$P$2:$P$1000,"*"&amp;TRIM($C150)&amp;"*")+COUNTIF('🎓 Alumnas'!$Q$2:$Q$1000,"*"&amp;TRIM($C150)&amp;"*")&gt;1,"Varias: elige de la lista","No encontrada"))))))))</f>
        <v/>
      </c>
    </row>
    <row r="151" customFormat="false" ht="14.25" hidden="false" customHeight="true" outlineLevel="0" collapsed="false">
      <c r="A151" s="25" t="s">
        <v>696</v>
      </c>
      <c r="B151" s="27"/>
      <c r="C151" s="25"/>
      <c r="D151" s="34" t="str">
        <f aca="false">IF($W151="","",IFERROR(TRIM(INDEX('🎓 Alumnas'!$B$2:$B$1000,MATCH($W151,'🎓 Alumnas'!$A$2:$A$1000,0))),""))</f>
        <v/>
      </c>
      <c r="E151" s="34" t="str">
        <f aca="false">IF($W151="","",IFERROR(TRIM(INDEX('🎓 Alumnas'!$C$2:$C$1000,MATCH($W151,'🎓 Alumnas'!$A$2:$A$1000,0))),""))</f>
        <v/>
      </c>
      <c r="F151" s="34" t="str">
        <f aca="false">IF($W151="","",IFERROR(IF(INDEX('🎓 Alumnas'!$D$2:$D$1000,MATCH($W151,'🎓 Alumnas'!$A$2:$A$1000,0))="","",INDEX('🎓 Alumnas'!$D$2:$D$1000,MATCH($W151,'🎓 Alumnas'!$A$2:$A$1000,0))),""))</f>
        <v/>
      </c>
      <c r="G151" s="28" t="str">
        <f aca="false">IF($W151="","",IFERROR(IF(INDEX('🎓 Alumnas'!$E$2:$E$1000,MATCH($W151,'🎓 Alumnas'!$A$2:$A$1000,0))="","",INDEX('🎓 Alumnas'!$E$2:$E$1000,MATCH($W151,'🎓 Alumnas'!$A$2:$A$1000,0))),""))</f>
        <v/>
      </c>
      <c r="H151" s="28" t="str">
        <f aca="false">IF($W151="","",IFERROR(IF(INDEX('🎓 Alumnas'!$F$2:$F$1000,MATCH($W151,'🎓 Alumnas'!$A$2:$A$1000,0))="","",INDEX('🎓 Alumnas'!$F$2:$F$1000,MATCH($W151,'🎓 Alumnas'!$A$2:$A$1000,0))),""))</f>
        <v/>
      </c>
      <c r="I151" s="30" t="str">
        <f aca="false">IF($W151="","",IFERROR(IF(INDEX('🎓 Alumnas'!$G$2:$G$1000,MATCH($W151,'🎓 Alumnas'!$A$2:$A$1000,0))="","",INDEX('🎓 Alumnas'!$G$2:$G$1000,MATCH($W151,'🎓 Alumnas'!$A$2:$A$1000,0))),""))</f>
        <v/>
      </c>
      <c r="J151" s="28" t="str">
        <f aca="true">IF(I151="","",DATEDIF(I151,TODAY(),"Y"))</f>
        <v/>
      </c>
      <c r="K151" s="25"/>
      <c r="L151" s="28" t="str">
        <f aca="false">IF(K151="","",IF(LEFT(K151,6)="1 Pole","Alquiler",IF(LEFT(K151,7)="1 Clase","Clase suelta","Paquete")))</f>
        <v/>
      </c>
      <c r="M151" s="25"/>
      <c r="N151" s="25"/>
      <c r="O151" s="35"/>
      <c r="P151" s="29" t="str">
        <f aca="false">IF(O151="","",N151*O151)</f>
        <v/>
      </c>
      <c r="Q151" s="36"/>
      <c r="R151" s="25"/>
      <c r="S151" s="25"/>
      <c r="T151" s="28" t="str">
        <f aca="false">IF(OR(LEFT(W151,2)&lt;&gt;"A-",ISERROR(MATCH(W151,'🎓 Alumnas'!$A$2:$A$1000,0))),"",IF(COUNTIF($W$2:W151,W151)=1,"Nueva","Recurrente"))</f>
        <v/>
      </c>
      <c r="U151" s="28" t="str">
        <f aca="false">IF(OR(T151="",L151&lt;&gt;"Paquete"),"",COUNTIFS($W$2:W151,W151,$L$2:L151,"Paquete"))</f>
        <v/>
      </c>
      <c r="V151" s="25"/>
      <c r="W151" s="34" t="str">
        <f aca="false">IF(TRIM($C151)="","",IF(COUNTIF('🎓 Alumnas'!$P$2:$P$1000,TRIM($C151))&gt;0,INDEX('🎓 Alumnas'!$A$2:$A$1000,MATCH(TRIM($C151),'🎓 Alumnas'!$P$2:$P$1000,0)),IF(COUNTIF('🎓 Alumnas'!$O$2:$O$1000,TRIM($C151)&amp;"|*")=1,INDEX('🎓 Alumnas'!$A$2:$A$1000,MATCH(TRIM($C151)&amp;"|*",'🎓 Alumnas'!$O$2:$O$1000,0)),IF(COUNTIF('🎓 Alumnas'!$O$2:$O$1000,"*|"&amp;TRIM($C151))=1,INDEX('🎓 Alumnas'!$A$2:$A$1000,MATCH("*|"&amp;TRIM($C151),'🎓 Alumnas'!$O$2:$O$1000,0)),IF(COUNTIF('🎓 Alumnas'!$Q$2:$Q$1000,TRIM($C151))=1,INDEX('🎓 Alumnas'!$A$2:$A$1000,MATCH(TRIM($C151),'🎓 Alumnas'!$Q$2:$Q$1000,0)),IF(COUNTIF('🎓 Alumnas'!$P$2:$P$1000,"*"&amp;TRIM($C151)&amp;"*")=1,INDEX('🎓 Alumnas'!$A$2:$A$1000,MATCH("*"&amp;TRIM($C151)&amp;"*",'🎓 Alumnas'!$P$2:$P$1000,0)),IF(COUNTIF('🎓 Alumnas'!$Q$2:$Q$1000,"*"&amp;TRIM($C151)&amp;"*")=1,INDEX('🎓 Alumnas'!$A$2:$A$1000,MATCH("*"&amp;TRIM($C151)&amp;"*",'🎓 Alumnas'!$Q$2:$Q$1000,0)),IF(COUNTIF('🎓 Alumnas'!$P$2:$P$1000,"*"&amp;TRIM($C151)&amp;"*")+COUNTIF('🎓 Alumnas'!$Q$2:$Q$1000,"*"&amp;TRIM($C151)&amp;"*")&gt;1,"Varias: elige de la lista","No encontrada"))))))))</f>
        <v/>
      </c>
    </row>
    <row r="152" customFormat="false" ht="14.25" hidden="false" customHeight="true" outlineLevel="0" collapsed="false">
      <c r="A152" s="25" t="s">
        <v>697</v>
      </c>
      <c r="B152" s="27"/>
      <c r="C152" s="25"/>
      <c r="D152" s="34" t="str">
        <f aca="false">IF($W152="","",IFERROR(TRIM(INDEX('🎓 Alumnas'!$B$2:$B$1000,MATCH($W152,'🎓 Alumnas'!$A$2:$A$1000,0))),""))</f>
        <v/>
      </c>
      <c r="E152" s="34" t="str">
        <f aca="false">IF($W152="","",IFERROR(TRIM(INDEX('🎓 Alumnas'!$C$2:$C$1000,MATCH($W152,'🎓 Alumnas'!$A$2:$A$1000,0))),""))</f>
        <v/>
      </c>
      <c r="F152" s="34" t="str">
        <f aca="false">IF($W152="","",IFERROR(IF(INDEX('🎓 Alumnas'!$D$2:$D$1000,MATCH($W152,'🎓 Alumnas'!$A$2:$A$1000,0))="","",INDEX('🎓 Alumnas'!$D$2:$D$1000,MATCH($W152,'🎓 Alumnas'!$A$2:$A$1000,0))),""))</f>
        <v/>
      </c>
      <c r="G152" s="28" t="str">
        <f aca="false">IF($W152="","",IFERROR(IF(INDEX('🎓 Alumnas'!$E$2:$E$1000,MATCH($W152,'🎓 Alumnas'!$A$2:$A$1000,0))="","",INDEX('🎓 Alumnas'!$E$2:$E$1000,MATCH($W152,'🎓 Alumnas'!$A$2:$A$1000,0))),""))</f>
        <v/>
      </c>
      <c r="H152" s="28" t="str">
        <f aca="false">IF($W152="","",IFERROR(IF(INDEX('🎓 Alumnas'!$F$2:$F$1000,MATCH($W152,'🎓 Alumnas'!$A$2:$A$1000,0))="","",INDEX('🎓 Alumnas'!$F$2:$F$1000,MATCH($W152,'🎓 Alumnas'!$A$2:$A$1000,0))),""))</f>
        <v/>
      </c>
      <c r="I152" s="30" t="str">
        <f aca="false">IF($W152="","",IFERROR(IF(INDEX('🎓 Alumnas'!$G$2:$G$1000,MATCH($W152,'🎓 Alumnas'!$A$2:$A$1000,0))="","",INDEX('🎓 Alumnas'!$G$2:$G$1000,MATCH($W152,'🎓 Alumnas'!$A$2:$A$1000,0))),""))</f>
        <v/>
      </c>
      <c r="J152" s="28" t="str">
        <f aca="true">IF(I152="","",DATEDIF(I152,TODAY(),"Y"))</f>
        <v/>
      </c>
      <c r="K152" s="25"/>
      <c r="L152" s="28" t="str">
        <f aca="false">IF(K152="","",IF(LEFT(K152,6)="1 Pole","Alquiler",IF(LEFT(K152,7)="1 Clase","Clase suelta","Paquete")))</f>
        <v/>
      </c>
      <c r="M152" s="25"/>
      <c r="N152" s="25"/>
      <c r="O152" s="35"/>
      <c r="P152" s="29" t="str">
        <f aca="false">IF(O152="","",N152*O152)</f>
        <v/>
      </c>
      <c r="Q152" s="36"/>
      <c r="R152" s="25"/>
      <c r="S152" s="25"/>
      <c r="T152" s="28" t="str">
        <f aca="false">IF(OR(LEFT(W152,2)&lt;&gt;"A-",ISERROR(MATCH(W152,'🎓 Alumnas'!$A$2:$A$1000,0))),"",IF(COUNTIF($W$2:W152,W152)=1,"Nueva","Recurrente"))</f>
        <v/>
      </c>
      <c r="U152" s="28" t="str">
        <f aca="false">IF(OR(T152="",L152&lt;&gt;"Paquete"),"",COUNTIFS($W$2:W152,W152,$L$2:L152,"Paquete"))</f>
        <v/>
      </c>
      <c r="V152" s="25"/>
      <c r="W152" s="34" t="str">
        <f aca="false">IF(TRIM($C152)="","",IF(COUNTIF('🎓 Alumnas'!$P$2:$P$1000,TRIM($C152))&gt;0,INDEX('🎓 Alumnas'!$A$2:$A$1000,MATCH(TRIM($C152),'🎓 Alumnas'!$P$2:$P$1000,0)),IF(COUNTIF('🎓 Alumnas'!$O$2:$O$1000,TRIM($C152)&amp;"|*")=1,INDEX('🎓 Alumnas'!$A$2:$A$1000,MATCH(TRIM($C152)&amp;"|*",'🎓 Alumnas'!$O$2:$O$1000,0)),IF(COUNTIF('🎓 Alumnas'!$O$2:$O$1000,"*|"&amp;TRIM($C152))=1,INDEX('🎓 Alumnas'!$A$2:$A$1000,MATCH("*|"&amp;TRIM($C152),'🎓 Alumnas'!$O$2:$O$1000,0)),IF(COUNTIF('🎓 Alumnas'!$Q$2:$Q$1000,TRIM($C152))=1,INDEX('🎓 Alumnas'!$A$2:$A$1000,MATCH(TRIM($C152),'🎓 Alumnas'!$Q$2:$Q$1000,0)),IF(COUNTIF('🎓 Alumnas'!$P$2:$P$1000,"*"&amp;TRIM($C152)&amp;"*")=1,INDEX('🎓 Alumnas'!$A$2:$A$1000,MATCH("*"&amp;TRIM($C152)&amp;"*",'🎓 Alumnas'!$P$2:$P$1000,0)),IF(COUNTIF('🎓 Alumnas'!$Q$2:$Q$1000,"*"&amp;TRIM($C152)&amp;"*")=1,INDEX('🎓 Alumnas'!$A$2:$A$1000,MATCH("*"&amp;TRIM($C152)&amp;"*",'🎓 Alumnas'!$Q$2:$Q$1000,0)),IF(COUNTIF('🎓 Alumnas'!$P$2:$P$1000,"*"&amp;TRIM($C152)&amp;"*")+COUNTIF('🎓 Alumnas'!$Q$2:$Q$1000,"*"&amp;TRIM($C152)&amp;"*")&gt;1,"Varias: elige de la lista","No encontrada"))))))))</f>
        <v/>
      </c>
    </row>
    <row r="153" customFormat="false" ht="14.25" hidden="false" customHeight="true" outlineLevel="0" collapsed="false">
      <c r="A153" s="25" t="s">
        <v>698</v>
      </c>
      <c r="B153" s="27"/>
      <c r="C153" s="25"/>
      <c r="D153" s="34" t="str">
        <f aca="false">IF($W153="","",IFERROR(TRIM(INDEX('🎓 Alumnas'!$B$2:$B$1000,MATCH($W153,'🎓 Alumnas'!$A$2:$A$1000,0))),""))</f>
        <v/>
      </c>
      <c r="E153" s="34" t="str">
        <f aca="false">IF($W153="","",IFERROR(TRIM(INDEX('🎓 Alumnas'!$C$2:$C$1000,MATCH($W153,'🎓 Alumnas'!$A$2:$A$1000,0))),""))</f>
        <v/>
      </c>
      <c r="F153" s="34" t="str">
        <f aca="false">IF($W153="","",IFERROR(IF(INDEX('🎓 Alumnas'!$D$2:$D$1000,MATCH($W153,'🎓 Alumnas'!$A$2:$A$1000,0))="","",INDEX('🎓 Alumnas'!$D$2:$D$1000,MATCH($W153,'🎓 Alumnas'!$A$2:$A$1000,0))),""))</f>
        <v/>
      </c>
      <c r="G153" s="28" t="str">
        <f aca="false">IF($W153="","",IFERROR(IF(INDEX('🎓 Alumnas'!$E$2:$E$1000,MATCH($W153,'🎓 Alumnas'!$A$2:$A$1000,0))="","",INDEX('🎓 Alumnas'!$E$2:$E$1000,MATCH($W153,'🎓 Alumnas'!$A$2:$A$1000,0))),""))</f>
        <v/>
      </c>
      <c r="H153" s="28" t="str">
        <f aca="false">IF($W153="","",IFERROR(IF(INDEX('🎓 Alumnas'!$F$2:$F$1000,MATCH($W153,'🎓 Alumnas'!$A$2:$A$1000,0))="","",INDEX('🎓 Alumnas'!$F$2:$F$1000,MATCH($W153,'🎓 Alumnas'!$A$2:$A$1000,0))),""))</f>
        <v/>
      </c>
      <c r="I153" s="30" t="str">
        <f aca="false">IF($W153="","",IFERROR(IF(INDEX('🎓 Alumnas'!$G$2:$G$1000,MATCH($W153,'🎓 Alumnas'!$A$2:$A$1000,0))="","",INDEX('🎓 Alumnas'!$G$2:$G$1000,MATCH($W153,'🎓 Alumnas'!$A$2:$A$1000,0))),""))</f>
        <v/>
      </c>
      <c r="J153" s="28" t="str">
        <f aca="true">IF(I153="","",DATEDIF(I153,TODAY(),"Y"))</f>
        <v/>
      </c>
      <c r="K153" s="25"/>
      <c r="L153" s="28" t="str">
        <f aca="false">IF(K153="","",IF(LEFT(K153,6)="1 Pole","Alquiler",IF(LEFT(K153,7)="1 Clase","Clase suelta","Paquete")))</f>
        <v/>
      </c>
      <c r="M153" s="25"/>
      <c r="N153" s="25"/>
      <c r="O153" s="35"/>
      <c r="P153" s="29" t="str">
        <f aca="false">IF(O153="","",N153*O153)</f>
        <v/>
      </c>
      <c r="Q153" s="36"/>
      <c r="R153" s="25"/>
      <c r="S153" s="25"/>
      <c r="T153" s="28" t="str">
        <f aca="false">IF(OR(LEFT(W153,2)&lt;&gt;"A-",ISERROR(MATCH(W153,'🎓 Alumnas'!$A$2:$A$1000,0))),"",IF(COUNTIF($W$2:W153,W153)=1,"Nueva","Recurrente"))</f>
        <v/>
      </c>
      <c r="U153" s="28" t="str">
        <f aca="false">IF(OR(T153="",L153&lt;&gt;"Paquete"),"",COUNTIFS($W$2:W153,W153,$L$2:L153,"Paquete"))</f>
        <v/>
      </c>
      <c r="V153" s="25"/>
      <c r="W153" s="34" t="str">
        <f aca="false">IF(TRIM($C153)="","",IF(COUNTIF('🎓 Alumnas'!$P$2:$P$1000,TRIM($C153))&gt;0,INDEX('🎓 Alumnas'!$A$2:$A$1000,MATCH(TRIM($C153),'🎓 Alumnas'!$P$2:$P$1000,0)),IF(COUNTIF('🎓 Alumnas'!$O$2:$O$1000,TRIM($C153)&amp;"|*")=1,INDEX('🎓 Alumnas'!$A$2:$A$1000,MATCH(TRIM($C153)&amp;"|*",'🎓 Alumnas'!$O$2:$O$1000,0)),IF(COUNTIF('🎓 Alumnas'!$O$2:$O$1000,"*|"&amp;TRIM($C153))=1,INDEX('🎓 Alumnas'!$A$2:$A$1000,MATCH("*|"&amp;TRIM($C153),'🎓 Alumnas'!$O$2:$O$1000,0)),IF(COUNTIF('🎓 Alumnas'!$Q$2:$Q$1000,TRIM($C153))=1,INDEX('🎓 Alumnas'!$A$2:$A$1000,MATCH(TRIM($C153),'🎓 Alumnas'!$Q$2:$Q$1000,0)),IF(COUNTIF('🎓 Alumnas'!$P$2:$P$1000,"*"&amp;TRIM($C153)&amp;"*")=1,INDEX('🎓 Alumnas'!$A$2:$A$1000,MATCH("*"&amp;TRIM($C153)&amp;"*",'🎓 Alumnas'!$P$2:$P$1000,0)),IF(COUNTIF('🎓 Alumnas'!$Q$2:$Q$1000,"*"&amp;TRIM($C153)&amp;"*")=1,INDEX('🎓 Alumnas'!$A$2:$A$1000,MATCH("*"&amp;TRIM($C153)&amp;"*",'🎓 Alumnas'!$Q$2:$Q$1000,0)),IF(COUNTIF('🎓 Alumnas'!$P$2:$P$1000,"*"&amp;TRIM($C153)&amp;"*")+COUNTIF('🎓 Alumnas'!$Q$2:$Q$1000,"*"&amp;TRIM($C153)&amp;"*")&gt;1,"Varias: elige de la lista","No encontrada"))))))))</f>
        <v/>
      </c>
    </row>
    <row r="154" customFormat="false" ht="14.25" hidden="false" customHeight="true" outlineLevel="0" collapsed="false">
      <c r="A154" s="25" t="s">
        <v>699</v>
      </c>
      <c r="B154" s="27"/>
      <c r="C154" s="25"/>
      <c r="D154" s="34" t="str">
        <f aca="false">IF($W154="","",IFERROR(TRIM(INDEX('🎓 Alumnas'!$B$2:$B$1000,MATCH($W154,'🎓 Alumnas'!$A$2:$A$1000,0))),""))</f>
        <v/>
      </c>
      <c r="E154" s="34" t="str">
        <f aca="false">IF($W154="","",IFERROR(TRIM(INDEX('🎓 Alumnas'!$C$2:$C$1000,MATCH($W154,'🎓 Alumnas'!$A$2:$A$1000,0))),""))</f>
        <v/>
      </c>
      <c r="F154" s="34" t="str">
        <f aca="false">IF($W154="","",IFERROR(IF(INDEX('🎓 Alumnas'!$D$2:$D$1000,MATCH($W154,'🎓 Alumnas'!$A$2:$A$1000,0))="","",INDEX('🎓 Alumnas'!$D$2:$D$1000,MATCH($W154,'🎓 Alumnas'!$A$2:$A$1000,0))),""))</f>
        <v/>
      </c>
      <c r="G154" s="28" t="str">
        <f aca="false">IF($W154="","",IFERROR(IF(INDEX('🎓 Alumnas'!$E$2:$E$1000,MATCH($W154,'🎓 Alumnas'!$A$2:$A$1000,0))="","",INDEX('🎓 Alumnas'!$E$2:$E$1000,MATCH($W154,'🎓 Alumnas'!$A$2:$A$1000,0))),""))</f>
        <v/>
      </c>
      <c r="H154" s="28" t="str">
        <f aca="false">IF($W154="","",IFERROR(IF(INDEX('🎓 Alumnas'!$F$2:$F$1000,MATCH($W154,'🎓 Alumnas'!$A$2:$A$1000,0))="","",INDEX('🎓 Alumnas'!$F$2:$F$1000,MATCH($W154,'🎓 Alumnas'!$A$2:$A$1000,0))),""))</f>
        <v/>
      </c>
      <c r="I154" s="30" t="str">
        <f aca="false">IF($W154="","",IFERROR(IF(INDEX('🎓 Alumnas'!$G$2:$G$1000,MATCH($W154,'🎓 Alumnas'!$A$2:$A$1000,0))="","",INDEX('🎓 Alumnas'!$G$2:$G$1000,MATCH($W154,'🎓 Alumnas'!$A$2:$A$1000,0))),""))</f>
        <v/>
      </c>
      <c r="J154" s="28" t="str">
        <f aca="true">IF(I154="","",DATEDIF(I154,TODAY(),"Y"))</f>
        <v/>
      </c>
      <c r="K154" s="25"/>
      <c r="L154" s="28" t="str">
        <f aca="false">IF(K154="","",IF(LEFT(K154,6)="1 Pole","Alquiler",IF(LEFT(K154,7)="1 Clase","Clase suelta","Paquete")))</f>
        <v/>
      </c>
      <c r="M154" s="25"/>
      <c r="N154" s="25"/>
      <c r="O154" s="35"/>
      <c r="P154" s="29" t="str">
        <f aca="false">IF(O154="","",N154*O154)</f>
        <v/>
      </c>
      <c r="Q154" s="36"/>
      <c r="R154" s="25"/>
      <c r="S154" s="25"/>
      <c r="T154" s="28" t="str">
        <f aca="false">IF(OR(LEFT(W154,2)&lt;&gt;"A-",ISERROR(MATCH(W154,'🎓 Alumnas'!$A$2:$A$1000,0))),"",IF(COUNTIF($W$2:W154,W154)=1,"Nueva","Recurrente"))</f>
        <v/>
      </c>
      <c r="U154" s="28" t="str">
        <f aca="false">IF(OR(T154="",L154&lt;&gt;"Paquete"),"",COUNTIFS($W$2:W154,W154,$L$2:L154,"Paquete"))</f>
        <v/>
      </c>
      <c r="V154" s="25"/>
      <c r="W154" s="34" t="str">
        <f aca="false">IF(TRIM($C154)="","",IF(COUNTIF('🎓 Alumnas'!$P$2:$P$1000,TRIM($C154))&gt;0,INDEX('🎓 Alumnas'!$A$2:$A$1000,MATCH(TRIM($C154),'🎓 Alumnas'!$P$2:$P$1000,0)),IF(COUNTIF('🎓 Alumnas'!$O$2:$O$1000,TRIM($C154)&amp;"|*")=1,INDEX('🎓 Alumnas'!$A$2:$A$1000,MATCH(TRIM($C154)&amp;"|*",'🎓 Alumnas'!$O$2:$O$1000,0)),IF(COUNTIF('🎓 Alumnas'!$O$2:$O$1000,"*|"&amp;TRIM($C154))=1,INDEX('🎓 Alumnas'!$A$2:$A$1000,MATCH("*|"&amp;TRIM($C154),'🎓 Alumnas'!$O$2:$O$1000,0)),IF(COUNTIF('🎓 Alumnas'!$Q$2:$Q$1000,TRIM($C154))=1,INDEX('🎓 Alumnas'!$A$2:$A$1000,MATCH(TRIM($C154),'🎓 Alumnas'!$Q$2:$Q$1000,0)),IF(COUNTIF('🎓 Alumnas'!$P$2:$P$1000,"*"&amp;TRIM($C154)&amp;"*")=1,INDEX('🎓 Alumnas'!$A$2:$A$1000,MATCH("*"&amp;TRIM($C154)&amp;"*",'🎓 Alumnas'!$P$2:$P$1000,0)),IF(COUNTIF('🎓 Alumnas'!$Q$2:$Q$1000,"*"&amp;TRIM($C154)&amp;"*")=1,INDEX('🎓 Alumnas'!$A$2:$A$1000,MATCH("*"&amp;TRIM($C154)&amp;"*",'🎓 Alumnas'!$Q$2:$Q$1000,0)),IF(COUNTIF('🎓 Alumnas'!$P$2:$P$1000,"*"&amp;TRIM($C154)&amp;"*")+COUNTIF('🎓 Alumnas'!$Q$2:$Q$1000,"*"&amp;TRIM($C154)&amp;"*")&gt;1,"Varias: elige de la lista","No encontrada"))))))))</f>
        <v/>
      </c>
    </row>
    <row r="155" customFormat="false" ht="14.25" hidden="false" customHeight="true" outlineLevel="0" collapsed="false">
      <c r="A155" s="25" t="s">
        <v>700</v>
      </c>
      <c r="B155" s="27"/>
      <c r="C155" s="25"/>
      <c r="D155" s="34" t="str">
        <f aca="false">IF($W155="","",IFERROR(TRIM(INDEX('🎓 Alumnas'!$B$2:$B$1000,MATCH($W155,'🎓 Alumnas'!$A$2:$A$1000,0))),""))</f>
        <v/>
      </c>
      <c r="E155" s="34" t="str">
        <f aca="false">IF($W155="","",IFERROR(TRIM(INDEX('🎓 Alumnas'!$C$2:$C$1000,MATCH($W155,'🎓 Alumnas'!$A$2:$A$1000,0))),""))</f>
        <v/>
      </c>
      <c r="F155" s="34" t="str">
        <f aca="false">IF($W155="","",IFERROR(IF(INDEX('🎓 Alumnas'!$D$2:$D$1000,MATCH($W155,'🎓 Alumnas'!$A$2:$A$1000,0))="","",INDEX('🎓 Alumnas'!$D$2:$D$1000,MATCH($W155,'🎓 Alumnas'!$A$2:$A$1000,0))),""))</f>
        <v/>
      </c>
      <c r="G155" s="28" t="str">
        <f aca="false">IF($W155="","",IFERROR(IF(INDEX('🎓 Alumnas'!$E$2:$E$1000,MATCH($W155,'🎓 Alumnas'!$A$2:$A$1000,0))="","",INDEX('🎓 Alumnas'!$E$2:$E$1000,MATCH($W155,'🎓 Alumnas'!$A$2:$A$1000,0))),""))</f>
        <v/>
      </c>
      <c r="H155" s="28" t="str">
        <f aca="false">IF($W155="","",IFERROR(IF(INDEX('🎓 Alumnas'!$F$2:$F$1000,MATCH($W155,'🎓 Alumnas'!$A$2:$A$1000,0))="","",INDEX('🎓 Alumnas'!$F$2:$F$1000,MATCH($W155,'🎓 Alumnas'!$A$2:$A$1000,0))),""))</f>
        <v/>
      </c>
      <c r="I155" s="30" t="str">
        <f aca="false">IF($W155="","",IFERROR(IF(INDEX('🎓 Alumnas'!$G$2:$G$1000,MATCH($W155,'🎓 Alumnas'!$A$2:$A$1000,0))="","",INDEX('🎓 Alumnas'!$G$2:$G$1000,MATCH($W155,'🎓 Alumnas'!$A$2:$A$1000,0))),""))</f>
        <v/>
      </c>
      <c r="J155" s="28" t="str">
        <f aca="true">IF(I155="","",DATEDIF(I155,TODAY(),"Y"))</f>
        <v/>
      </c>
      <c r="K155" s="25"/>
      <c r="L155" s="28" t="str">
        <f aca="false">IF(K155="","",IF(LEFT(K155,6)="1 Pole","Alquiler",IF(LEFT(K155,7)="1 Clase","Clase suelta","Paquete")))</f>
        <v/>
      </c>
      <c r="M155" s="25"/>
      <c r="N155" s="25"/>
      <c r="O155" s="35"/>
      <c r="P155" s="29" t="str">
        <f aca="false">IF(O155="","",N155*O155)</f>
        <v/>
      </c>
      <c r="Q155" s="36"/>
      <c r="R155" s="25"/>
      <c r="S155" s="25"/>
      <c r="T155" s="28" t="str">
        <f aca="false">IF(OR(LEFT(W155,2)&lt;&gt;"A-",ISERROR(MATCH(W155,'🎓 Alumnas'!$A$2:$A$1000,0))),"",IF(COUNTIF($W$2:W155,W155)=1,"Nueva","Recurrente"))</f>
        <v/>
      </c>
      <c r="U155" s="28" t="str">
        <f aca="false">IF(OR(T155="",L155&lt;&gt;"Paquete"),"",COUNTIFS($W$2:W155,W155,$L$2:L155,"Paquete"))</f>
        <v/>
      </c>
      <c r="V155" s="25"/>
      <c r="W155" s="34" t="str">
        <f aca="false">IF(TRIM($C155)="","",IF(COUNTIF('🎓 Alumnas'!$P$2:$P$1000,TRIM($C155))&gt;0,INDEX('🎓 Alumnas'!$A$2:$A$1000,MATCH(TRIM($C155),'🎓 Alumnas'!$P$2:$P$1000,0)),IF(COUNTIF('🎓 Alumnas'!$O$2:$O$1000,TRIM($C155)&amp;"|*")=1,INDEX('🎓 Alumnas'!$A$2:$A$1000,MATCH(TRIM($C155)&amp;"|*",'🎓 Alumnas'!$O$2:$O$1000,0)),IF(COUNTIF('🎓 Alumnas'!$O$2:$O$1000,"*|"&amp;TRIM($C155))=1,INDEX('🎓 Alumnas'!$A$2:$A$1000,MATCH("*|"&amp;TRIM($C155),'🎓 Alumnas'!$O$2:$O$1000,0)),IF(COUNTIF('🎓 Alumnas'!$Q$2:$Q$1000,TRIM($C155))=1,INDEX('🎓 Alumnas'!$A$2:$A$1000,MATCH(TRIM($C155),'🎓 Alumnas'!$Q$2:$Q$1000,0)),IF(COUNTIF('🎓 Alumnas'!$P$2:$P$1000,"*"&amp;TRIM($C155)&amp;"*")=1,INDEX('🎓 Alumnas'!$A$2:$A$1000,MATCH("*"&amp;TRIM($C155)&amp;"*",'🎓 Alumnas'!$P$2:$P$1000,0)),IF(COUNTIF('🎓 Alumnas'!$Q$2:$Q$1000,"*"&amp;TRIM($C155)&amp;"*")=1,INDEX('🎓 Alumnas'!$A$2:$A$1000,MATCH("*"&amp;TRIM($C155)&amp;"*",'🎓 Alumnas'!$Q$2:$Q$1000,0)),IF(COUNTIF('🎓 Alumnas'!$P$2:$P$1000,"*"&amp;TRIM($C155)&amp;"*")+COUNTIF('🎓 Alumnas'!$Q$2:$Q$1000,"*"&amp;TRIM($C155)&amp;"*")&gt;1,"Varias: elige de la lista","No encontrada"))))))))</f>
        <v/>
      </c>
    </row>
    <row r="156" customFormat="false" ht="14.25" hidden="false" customHeight="true" outlineLevel="0" collapsed="false">
      <c r="A156" s="25" t="s">
        <v>701</v>
      </c>
      <c r="B156" s="27"/>
      <c r="C156" s="25"/>
      <c r="D156" s="34" t="str">
        <f aca="false">IF($W156="","",IFERROR(TRIM(INDEX('🎓 Alumnas'!$B$2:$B$1000,MATCH($W156,'🎓 Alumnas'!$A$2:$A$1000,0))),""))</f>
        <v/>
      </c>
      <c r="E156" s="34" t="str">
        <f aca="false">IF($W156="","",IFERROR(TRIM(INDEX('🎓 Alumnas'!$C$2:$C$1000,MATCH($W156,'🎓 Alumnas'!$A$2:$A$1000,0))),""))</f>
        <v/>
      </c>
      <c r="F156" s="34" t="str">
        <f aca="false">IF($W156="","",IFERROR(IF(INDEX('🎓 Alumnas'!$D$2:$D$1000,MATCH($W156,'🎓 Alumnas'!$A$2:$A$1000,0))="","",INDEX('🎓 Alumnas'!$D$2:$D$1000,MATCH($W156,'🎓 Alumnas'!$A$2:$A$1000,0))),""))</f>
        <v/>
      </c>
      <c r="G156" s="28" t="str">
        <f aca="false">IF($W156="","",IFERROR(IF(INDEX('🎓 Alumnas'!$E$2:$E$1000,MATCH($W156,'🎓 Alumnas'!$A$2:$A$1000,0))="","",INDEX('🎓 Alumnas'!$E$2:$E$1000,MATCH($W156,'🎓 Alumnas'!$A$2:$A$1000,0))),""))</f>
        <v/>
      </c>
      <c r="H156" s="28" t="str">
        <f aca="false">IF($W156="","",IFERROR(IF(INDEX('🎓 Alumnas'!$F$2:$F$1000,MATCH($W156,'🎓 Alumnas'!$A$2:$A$1000,0))="","",INDEX('🎓 Alumnas'!$F$2:$F$1000,MATCH($W156,'🎓 Alumnas'!$A$2:$A$1000,0))),""))</f>
        <v/>
      </c>
      <c r="I156" s="30" t="str">
        <f aca="false">IF($W156="","",IFERROR(IF(INDEX('🎓 Alumnas'!$G$2:$G$1000,MATCH($W156,'🎓 Alumnas'!$A$2:$A$1000,0))="","",INDEX('🎓 Alumnas'!$G$2:$G$1000,MATCH($W156,'🎓 Alumnas'!$A$2:$A$1000,0))),""))</f>
        <v/>
      </c>
      <c r="J156" s="28" t="str">
        <f aca="true">IF(I156="","",DATEDIF(I156,TODAY(),"Y"))</f>
        <v/>
      </c>
      <c r="K156" s="25"/>
      <c r="L156" s="28" t="str">
        <f aca="false">IF(K156="","",IF(LEFT(K156,6)="1 Pole","Alquiler",IF(LEFT(K156,7)="1 Clase","Clase suelta","Paquete")))</f>
        <v/>
      </c>
      <c r="M156" s="25"/>
      <c r="N156" s="25"/>
      <c r="O156" s="35"/>
      <c r="P156" s="29" t="str">
        <f aca="false">IF(O156="","",N156*O156)</f>
        <v/>
      </c>
      <c r="Q156" s="36"/>
      <c r="R156" s="25"/>
      <c r="S156" s="25"/>
      <c r="T156" s="28" t="str">
        <f aca="false">IF(OR(LEFT(W156,2)&lt;&gt;"A-",ISERROR(MATCH(W156,'🎓 Alumnas'!$A$2:$A$1000,0))),"",IF(COUNTIF($W$2:W156,W156)=1,"Nueva","Recurrente"))</f>
        <v/>
      </c>
      <c r="U156" s="28" t="str">
        <f aca="false">IF(OR(T156="",L156&lt;&gt;"Paquete"),"",COUNTIFS($W$2:W156,W156,$L$2:L156,"Paquete"))</f>
        <v/>
      </c>
      <c r="V156" s="25"/>
      <c r="W156" s="34" t="str">
        <f aca="false">IF(TRIM($C156)="","",IF(COUNTIF('🎓 Alumnas'!$P$2:$P$1000,TRIM($C156))&gt;0,INDEX('🎓 Alumnas'!$A$2:$A$1000,MATCH(TRIM($C156),'🎓 Alumnas'!$P$2:$P$1000,0)),IF(COUNTIF('🎓 Alumnas'!$O$2:$O$1000,TRIM($C156)&amp;"|*")=1,INDEX('🎓 Alumnas'!$A$2:$A$1000,MATCH(TRIM($C156)&amp;"|*",'🎓 Alumnas'!$O$2:$O$1000,0)),IF(COUNTIF('🎓 Alumnas'!$O$2:$O$1000,"*|"&amp;TRIM($C156))=1,INDEX('🎓 Alumnas'!$A$2:$A$1000,MATCH("*|"&amp;TRIM($C156),'🎓 Alumnas'!$O$2:$O$1000,0)),IF(COUNTIF('🎓 Alumnas'!$Q$2:$Q$1000,TRIM($C156))=1,INDEX('🎓 Alumnas'!$A$2:$A$1000,MATCH(TRIM($C156),'🎓 Alumnas'!$Q$2:$Q$1000,0)),IF(COUNTIF('🎓 Alumnas'!$P$2:$P$1000,"*"&amp;TRIM($C156)&amp;"*")=1,INDEX('🎓 Alumnas'!$A$2:$A$1000,MATCH("*"&amp;TRIM($C156)&amp;"*",'🎓 Alumnas'!$P$2:$P$1000,0)),IF(COUNTIF('🎓 Alumnas'!$Q$2:$Q$1000,"*"&amp;TRIM($C156)&amp;"*")=1,INDEX('🎓 Alumnas'!$A$2:$A$1000,MATCH("*"&amp;TRIM($C156)&amp;"*",'🎓 Alumnas'!$Q$2:$Q$1000,0)),IF(COUNTIF('🎓 Alumnas'!$P$2:$P$1000,"*"&amp;TRIM($C156)&amp;"*")+COUNTIF('🎓 Alumnas'!$Q$2:$Q$1000,"*"&amp;TRIM($C156)&amp;"*")&gt;1,"Varias: elige de la lista","No encontrada"))))))))</f>
        <v/>
      </c>
    </row>
    <row r="157" customFormat="false" ht="14.25" hidden="false" customHeight="true" outlineLevel="0" collapsed="false">
      <c r="A157" s="25" t="s">
        <v>702</v>
      </c>
      <c r="B157" s="27"/>
      <c r="C157" s="25"/>
      <c r="D157" s="34" t="str">
        <f aca="false">IF($W157="","",IFERROR(TRIM(INDEX('🎓 Alumnas'!$B$2:$B$1000,MATCH($W157,'🎓 Alumnas'!$A$2:$A$1000,0))),""))</f>
        <v/>
      </c>
      <c r="E157" s="34" t="str">
        <f aca="false">IF($W157="","",IFERROR(TRIM(INDEX('🎓 Alumnas'!$C$2:$C$1000,MATCH($W157,'🎓 Alumnas'!$A$2:$A$1000,0))),""))</f>
        <v/>
      </c>
      <c r="F157" s="34" t="str">
        <f aca="false">IF($W157="","",IFERROR(IF(INDEX('🎓 Alumnas'!$D$2:$D$1000,MATCH($W157,'🎓 Alumnas'!$A$2:$A$1000,0))="","",INDEX('🎓 Alumnas'!$D$2:$D$1000,MATCH($W157,'🎓 Alumnas'!$A$2:$A$1000,0))),""))</f>
        <v/>
      </c>
      <c r="G157" s="28" t="str">
        <f aca="false">IF($W157="","",IFERROR(IF(INDEX('🎓 Alumnas'!$E$2:$E$1000,MATCH($W157,'🎓 Alumnas'!$A$2:$A$1000,0))="","",INDEX('🎓 Alumnas'!$E$2:$E$1000,MATCH($W157,'🎓 Alumnas'!$A$2:$A$1000,0))),""))</f>
        <v/>
      </c>
      <c r="H157" s="28" t="str">
        <f aca="false">IF($W157="","",IFERROR(IF(INDEX('🎓 Alumnas'!$F$2:$F$1000,MATCH($W157,'🎓 Alumnas'!$A$2:$A$1000,0))="","",INDEX('🎓 Alumnas'!$F$2:$F$1000,MATCH($W157,'🎓 Alumnas'!$A$2:$A$1000,0))),""))</f>
        <v/>
      </c>
      <c r="I157" s="30" t="str">
        <f aca="false">IF($W157="","",IFERROR(IF(INDEX('🎓 Alumnas'!$G$2:$G$1000,MATCH($W157,'🎓 Alumnas'!$A$2:$A$1000,0))="","",INDEX('🎓 Alumnas'!$G$2:$G$1000,MATCH($W157,'🎓 Alumnas'!$A$2:$A$1000,0))),""))</f>
        <v/>
      </c>
      <c r="J157" s="28" t="str">
        <f aca="true">IF(I157="","",DATEDIF(I157,TODAY(),"Y"))</f>
        <v/>
      </c>
      <c r="K157" s="25"/>
      <c r="L157" s="28" t="str">
        <f aca="false">IF(K157="","",IF(LEFT(K157,6)="1 Pole","Alquiler",IF(LEFT(K157,7)="1 Clase","Clase suelta","Paquete")))</f>
        <v/>
      </c>
      <c r="M157" s="25"/>
      <c r="N157" s="25"/>
      <c r="O157" s="35"/>
      <c r="P157" s="29" t="str">
        <f aca="false">IF(O157="","",N157*O157)</f>
        <v/>
      </c>
      <c r="Q157" s="36"/>
      <c r="R157" s="25"/>
      <c r="S157" s="25"/>
      <c r="T157" s="28" t="str">
        <f aca="false">IF(OR(LEFT(W157,2)&lt;&gt;"A-",ISERROR(MATCH(W157,'🎓 Alumnas'!$A$2:$A$1000,0))),"",IF(COUNTIF($W$2:W157,W157)=1,"Nueva","Recurrente"))</f>
        <v/>
      </c>
      <c r="U157" s="28" t="str">
        <f aca="false">IF(OR(T157="",L157&lt;&gt;"Paquete"),"",COUNTIFS($W$2:W157,W157,$L$2:L157,"Paquete"))</f>
        <v/>
      </c>
      <c r="V157" s="25"/>
      <c r="W157" s="34" t="str">
        <f aca="false">IF(TRIM($C157)="","",IF(COUNTIF('🎓 Alumnas'!$P$2:$P$1000,TRIM($C157))&gt;0,INDEX('🎓 Alumnas'!$A$2:$A$1000,MATCH(TRIM($C157),'🎓 Alumnas'!$P$2:$P$1000,0)),IF(COUNTIF('🎓 Alumnas'!$O$2:$O$1000,TRIM($C157)&amp;"|*")=1,INDEX('🎓 Alumnas'!$A$2:$A$1000,MATCH(TRIM($C157)&amp;"|*",'🎓 Alumnas'!$O$2:$O$1000,0)),IF(COUNTIF('🎓 Alumnas'!$O$2:$O$1000,"*|"&amp;TRIM($C157))=1,INDEX('🎓 Alumnas'!$A$2:$A$1000,MATCH("*|"&amp;TRIM($C157),'🎓 Alumnas'!$O$2:$O$1000,0)),IF(COUNTIF('🎓 Alumnas'!$Q$2:$Q$1000,TRIM($C157))=1,INDEX('🎓 Alumnas'!$A$2:$A$1000,MATCH(TRIM($C157),'🎓 Alumnas'!$Q$2:$Q$1000,0)),IF(COUNTIF('🎓 Alumnas'!$P$2:$P$1000,"*"&amp;TRIM($C157)&amp;"*")=1,INDEX('🎓 Alumnas'!$A$2:$A$1000,MATCH("*"&amp;TRIM($C157)&amp;"*",'🎓 Alumnas'!$P$2:$P$1000,0)),IF(COUNTIF('🎓 Alumnas'!$Q$2:$Q$1000,"*"&amp;TRIM($C157)&amp;"*")=1,INDEX('🎓 Alumnas'!$A$2:$A$1000,MATCH("*"&amp;TRIM($C157)&amp;"*",'🎓 Alumnas'!$Q$2:$Q$1000,0)),IF(COUNTIF('🎓 Alumnas'!$P$2:$P$1000,"*"&amp;TRIM($C157)&amp;"*")+COUNTIF('🎓 Alumnas'!$Q$2:$Q$1000,"*"&amp;TRIM($C157)&amp;"*")&gt;1,"Varias: elige de la lista","No encontrada"))))))))</f>
        <v/>
      </c>
    </row>
    <row r="158" customFormat="false" ht="14.25" hidden="false" customHeight="true" outlineLevel="0" collapsed="false">
      <c r="A158" s="25" t="s">
        <v>703</v>
      </c>
      <c r="B158" s="27"/>
      <c r="C158" s="25"/>
      <c r="D158" s="34" t="str">
        <f aca="false">IF($W158="","",IFERROR(TRIM(INDEX('🎓 Alumnas'!$B$2:$B$1000,MATCH($W158,'🎓 Alumnas'!$A$2:$A$1000,0))),""))</f>
        <v/>
      </c>
      <c r="E158" s="34" t="str">
        <f aca="false">IF($W158="","",IFERROR(TRIM(INDEX('🎓 Alumnas'!$C$2:$C$1000,MATCH($W158,'🎓 Alumnas'!$A$2:$A$1000,0))),""))</f>
        <v/>
      </c>
      <c r="F158" s="34" t="str">
        <f aca="false">IF($W158="","",IFERROR(IF(INDEX('🎓 Alumnas'!$D$2:$D$1000,MATCH($W158,'🎓 Alumnas'!$A$2:$A$1000,0))="","",INDEX('🎓 Alumnas'!$D$2:$D$1000,MATCH($W158,'🎓 Alumnas'!$A$2:$A$1000,0))),""))</f>
        <v/>
      </c>
      <c r="G158" s="28" t="str">
        <f aca="false">IF($W158="","",IFERROR(IF(INDEX('🎓 Alumnas'!$E$2:$E$1000,MATCH($W158,'🎓 Alumnas'!$A$2:$A$1000,0))="","",INDEX('🎓 Alumnas'!$E$2:$E$1000,MATCH($W158,'🎓 Alumnas'!$A$2:$A$1000,0))),""))</f>
        <v/>
      </c>
      <c r="H158" s="28" t="str">
        <f aca="false">IF($W158="","",IFERROR(IF(INDEX('🎓 Alumnas'!$F$2:$F$1000,MATCH($W158,'🎓 Alumnas'!$A$2:$A$1000,0))="","",INDEX('🎓 Alumnas'!$F$2:$F$1000,MATCH($W158,'🎓 Alumnas'!$A$2:$A$1000,0))),""))</f>
        <v/>
      </c>
      <c r="I158" s="30" t="str">
        <f aca="false">IF($W158="","",IFERROR(IF(INDEX('🎓 Alumnas'!$G$2:$G$1000,MATCH($W158,'🎓 Alumnas'!$A$2:$A$1000,0))="","",INDEX('🎓 Alumnas'!$G$2:$G$1000,MATCH($W158,'🎓 Alumnas'!$A$2:$A$1000,0))),""))</f>
        <v/>
      </c>
      <c r="J158" s="28" t="str">
        <f aca="true">IF(I158="","",DATEDIF(I158,TODAY(),"Y"))</f>
        <v/>
      </c>
      <c r="K158" s="25"/>
      <c r="L158" s="28" t="str">
        <f aca="false">IF(K158="","",IF(LEFT(K158,6)="1 Pole","Alquiler",IF(LEFT(K158,7)="1 Clase","Clase suelta","Paquete")))</f>
        <v/>
      </c>
      <c r="M158" s="25"/>
      <c r="N158" s="25"/>
      <c r="O158" s="35"/>
      <c r="P158" s="29" t="str">
        <f aca="false">IF(O158="","",N158*O158)</f>
        <v/>
      </c>
      <c r="Q158" s="36"/>
      <c r="R158" s="25"/>
      <c r="S158" s="25"/>
      <c r="T158" s="28" t="str">
        <f aca="false">IF(OR(LEFT(W158,2)&lt;&gt;"A-",ISERROR(MATCH(W158,'🎓 Alumnas'!$A$2:$A$1000,0))),"",IF(COUNTIF($W$2:W158,W158)=1,"Nueva","Recurrente"))</f>
        <v/>
      </c>
      <c r="U158" s="28" t="str">
        <f aca="false">IF(OR(T158="",L158&lt;&gt;"Paquete"),"",COUNTIFS($W$2:W158,W158,$L$2:L158,"Paquete"))</f>
        <v/>
      </c>
      <c r="V158" s="25"/>
      <c r="W158" s="34" t="str">
        <f aca="false">IF(TRIM($C158)="","",IF(COUNTIF('🎓 Alumnas'!$P$2:$P$1000,TRIM($C158))&gt;0,INDEX('🎓 Alumnas'!$A$2:$A$1000,MATCH(TRIM($C158),'🎓 Alumnas'!$P$2:$P$1000,0)),IF(COUNTIF('🎓 Alumnas'!$O$2:$O$1000,TRIM($C158)&amp;"|*")=1,INDEX('🎓 Alumnas'!$A$2:$A$1000,MATCH(TRIM($C158)&amp;"|*",'🎓 Alumnas'!$O$2:$O$1000,0)),IF(COUNTIF('🎓 Alumnas'!$O$2:$O$1000,"*|"&amp;TRIM($C158))=1,INDEX('🎓 Alumnas'!$A$2:$A$1000,MATCH("*|"&amp;TRIM($C158),'🎓 Alumnas'!$O$2:$O$1000,0)),IF(COUNTIF('🎓 Alumnas'!$Q$2:$Q$1000,TRIM($C158))=1,INDEX('🎓 Alumnas'!$A$2:$A$1000,MATCH(TRIM($C158),'🎓 Alumnas'!$Q$2:$Q$1000,0)),IF(COUNTIF('🎓 Alumnas'!$P$2:$P$1000,"*"&amp;TRIM($C158)&amp;"*")=1,INDEX('🎓 Alumnas'!$A$2:$A$1000,MATCH("*"&amp;TRIM($C158)&amp;"*",'🎓 Alumnas'!$P$2:$P$1000,0)),IF(COUNTIF('🎓 Alumnas'!$Q$2:$Q$1000,"*"&amp;TRIM($C158)&amp;"*")=1,INDEX('🎓 Alumnas'!$A$2:$A$1000,MATCH("*"&amp;TRIM($C158)&amp;"*",'🎓 Alumnas'!$Q$2:$Q$1000,0)),IF(COUNTIF('🎓 Alumnas'!$P$2:$P$1000,"*"&amp;TRIM($C158)&amp;"*")+COUNTIF('🎓 Alumnas'!$Q$2:$Q$1000,"*"&amp;TRIM($C158)&amp;"*")&gt;1,"Varias: elige de la lista","No encontrada"))))))))</f>
        <v/>
      </c>
    </row>
    <row r="159" customFormat="false" ht="14.25" hidden="false" customHeight="true" outlineLevel="0" collapsed="false">
      <c r="A159" s="25" t="s">
        <v>704</v>
      </c>
      <c r="B159" s="27"/>
      <c r="C159" s="25"/>
      <c r="D159" s="34" t="str">
        <f aca="false">IF($W159="","",IFERROR(TRIM(INDEX('🎓 Alumnas'!$B$2:$B$1000,MATCH($W159,'🎓 Alumnas'!$A$2:$A$1000,0))),""))</f>
        <v/>
      </c>
      <c r="E159" s="34" t="str">
        <f aca="false">IF($W159="","",IFERROR(TRIM(INDEX('🎓 Alumnas'!$C$2:$C$1000,MATCH($W159,'🎓 Alumnas'!$A$2:$A$1000,0))),""))</f>
        <v/>
      </c>
      <c r="F159" s="34" t="str">
        <f aca="false">IF($W159="","",IFERROR(IF(INDEX('🎓 Alumnas'!$D$2:$D$1000,MATCH($W159,'🎓 Alumnas'!$A$2:$A$1000,0))="","",INDEX('🎓 Alumnas'!$D$2:$D$1000,MATCH($W159,'🎓 Alumnas'!$A$2:$A$1000,0))),""))</f>
        <v/>
      </c>
      <c r="G159" s="28" t="str">
        <f aca="false">IF($W159="","",IFERROR(IF(INDEX('🎓 Alumnas'!$E$2:$E$1000,MATCH($W159,'🎓 Alumnas'!$A$2:$A$1000,0))="","",INDEX('🎓 Alumnas'!$E$2:$E$1000,MATCH($W159,'🎓 Alumnas'!$A$2:$A$1000,0))),""))</f>
        <v/>
      </c>
      <c r="H159" s="28" t="str">
        <f aca="false">IF($W159="","",IFERROR(IF(INDEX('🎓 Alumnas'!$F$2:$F$1000,MATCH($W159,'🎓 Alumnas'!$A$2:$A$1000,0))="","",INDEX('🎓 Alumnas'!$F$2:$F$1000,MATCH($W159,'🎓 Alumnas'!$A$2:$A$1000,0))),""))</f>
        <v/>
      </c>
      <c r="I159" s="30" t="str">
        <f aca="false">IF($W159="","",IFERROR(IF(INDEX('🎓 Alumnas'!$G$2:$G$1000,MATCH($W159,'🎓 Alumnas'!$A$2:$A$1000,0))="","",INDEX('🎓 Alumnas'!$G$2:$G$1000,MATCH($W159,'🎓 Alumnas'!$A$2:$A$1000,0))),""))</f>
        <v/>
      </c>
      <c r="J159" s="28" t="str">
        <f aca="true">IF(I159="","",DATEDIF(I159,TODAY(),"Y"))</f>
        <v/>
      </c>
      <c r="K159" s="25"/>
      <c r="L159" s="28" t="str">
        <f aca="false">IF(K159="","",IF(LEFT(K159,6)="1 Pole","Alquiler",IF(LEFT(K159,7)="1 Clase","Clase suelta","Paquete")))</f>
        <v/>
      </c>
      <c r="M159" s="25"/>
      <c r="N159" s="25"/>
      <c r="O159" s="35"/>
      <c r="P159" s="29" t="str">
        <f aca="false">IF(O159="","",N159*O159)</f>
        <v/>
      </c>
      <c r="Q159" s="36"/>
      <c r="R159" s="25"/>
      <c r="S159" s="25"/>
      <c r="T159" s="28" t="str">
        <f aca="false">IF(OR(LEFT(W159,2)&lt;&gt;"A-",ISERROR(MATCH(W159,'🎓 Alumnas'!$A$2:$A$1000,0))),"",IF(COUNTIF($W$2:W159,W159)=1,"Nueva","Recurrente"))</f>
        <v/>
      </c>
      <c r="U159" s="28" t="str">
        <f aca="false">IF(OR(T159="",L159&lt;&gt;"Paquete"),"",COUNTIFS($W$2:W159,W159,$L$2:L159,"Paquete"))</f>
        <v/>
      </c>
      <c r="V159" s="25"/>
      <c r="W159" s="34" t="str">
        <f aca="false">IF(TRIM($C159)="","",IF(COUNTIF('🎓 Alumnas'!$P$2:$P$1000,TRIM($C159))&gt;0,INDEX('🎓 Alumnas'!$A$2:$A$1000,MATCH(TRIM($C159),'🎓 Alumnas'!$P$2:$P$1000,0)),IF(COUNTIF('🎓 Alumnas'!$O$2:$O$1000,TRIM($C159)&amp;"|*")=1,INDEX('🎓 Alumnas'!$A$2:$A$1000,MATCH(TRIM($C159)&amp;"|*",'🎓 Alumnas'!$O$2:$O$1000,0)),IF(COUNTIF('🎓 Alumnas'!$O$2:$O$1000,"*|"&amp;TRIM($C159))=1,INDEX('🎓 Alumnas'!$A$2:$A$1000,MATCH("*|"&amp;TRIM($C159),'🎓 Alumnas'!$O$2:$O$1000,0)),IF(COUNTIF('🎓 Alumnas'!$Q$2:$Q$1000,TRIM($C159))=1,INDEX('🎓 Alumnas'!$A$2:$A$1000,MATCH(TRIM($C159),'🎓 Alumnas'!$Q$2:$Q$1000,0)),IF(COUNTIF('🎓 Alumnas'!$P$2:$P$1000,"*"&amp;TRIM($C159)&amp;"*")=1,INDEX('🎓 Alumnas'!$A$2:$A$1000,MATCH("*"&amp;TRIM($C159)&amp;"*",'🎓 Alumnas'!$P$2:$P$1000,0)),IF(COUNTIF('🎓 Alumnas'!$Q$2:$Q$1000,"*"&amp;TRIM($C159)&amp;"*")=1,INDEX('🎓 Alumnas'!$A$2:$A$1000,MATCH("*"&amp;TRIM($C159)&amp;"*",'🎓 Alumnas'!$Q$2:$Q$1000,0)),IF(COUNTIF('🎓 Alumnas'!$P$2:$P$1000,"*"&amp;TRIM($C159)&amp;"*")+COUNTIF('🎓 Alumnas'!$Q$2:$Q$1000,"*"&amp;TRIM($C159)&amp;"*")&gt;1,"Varias: elige de la lista","No encontrada"))))))))</f>
        <v/>
      </c>
    </row>
    <row r="160" customFormat="false" ht="14.25" hidden="false" customHeight="true" outlineLevel="0" collapsed="false">
      <c r="A160" s="25" t="s">
        <v>705</v>
      </c>
      <c r="B160" s="27"/>
      <c r="C160" s="25"/>
      <c r="D160" s="34" t="str">
        <f aca="false">IF($W160="","",IFERROR(TRIM(INDEX('🎓 Alumnas'!$B$2:$B$1000,MATCH($W160,'🎓 Alumnas'!$A$2:$A$1000,0))),""))</f>
        <v/>
      </c>
      <c r="E160" s="34" t="str">
        <f aca="false">IF($W160="","",IFERROR(TRIM(INDEX('🎓 Alumnas'!$C$2:$C$1000,MATCH($W160,'🎓 Alumnas'!$A$2:$A$1000,0))),""))</f>
        <v/>
      </c>
      <c r="F160" s="34" t="str">
        <f aca="false">IF($W160="","",IFERROR(IF(INDEX('🎓 Alumnas'!$D$2:$D$1000,MATCH($W160,'🎓 Alumnas'!$A$2:$A$1000,0))="","",INDEX('🎓 Alumnas'!$D$2:$D$1000,MATCH($W160,'🎓 Alumnas'!$A$2:$A$1000,0))),""))</f>
        <v/>
      </c>
      <c r="G160" s="28" t="str">
        <f aca="false">IF($W160="","",IFERROR(IF(INDEX('🎓 Alumnas'!$E$2:$E$1000,MATCH($W160,'🎓 Alumnas'!$A$2:$A$1000,0))="","",INDEX('🎓 Alumnas'!$E$2:$E$1000,MATCH($W160,'🎓 Alumnas'!$A$2:$A$1000,0))),""))</f>
        <v/>
      </c>
      <c r="H160" s="28" t="str">
        <f aca="false">IF($W160="","",IFERROR(IF(INDEX('🎓 Alumnas'!$F$2:$F$1000,MATCH($W160,'🎓 Alumnas'!$A$2:$A$1000,0))="","",INDEX('🎓 Alumnas'!$F$2:$F$1000,MATCH($W160,'🎓 Alumnas'!$A$2:$A$1000,0))),""))</f>
        <v/>
      </c>
      <c r="I160" s="30" t="str">
        <f aca="false">IF($W160="","",IFERROR(IF(INDEX('🎓 Alumnas'!$G$2:$G$1000,MATCH($W160,'🎓 Alumnas'!$A$2:$A$1000,0))="","",INDEX('🎓 Alumnas'!$G$2:$G$1000,MATCH($W160,'🎓 Alumnas'!$A$2:$A$1000,0))),""))</f>
        <v/>
      </c>
      <c r="J160" s="28" t="str">
        <f aca="true">IF(I160="","",DATEDIF(I160,TODAY(),"Y"))</f>
        <v/>
      </c>
      <c r="K160" s="25"/>
      <c r="L160" s="28" t="str">
        <f aca="false">IF(K160="","",IF(LEFT(K160,6)="1 Pole","Alquiler",IF(LEFT(K160,7)="1 Clase","Clase suelta","Paquete")))</f>
        <v/>
      </c>
      <c r="M160" s="25"/>
      <c r="N160" s="25"/>
      <c r="O160" s="35"/>
      <c r="P160" s="29" t="str">
        <f aca="false">IF(O160="","",N160*O160)</f>
        <v/>
      </c>
      <c r="Q160" s="36"/>
      <c r="R160" s="25"/>
      <c r="S160" s="25"/>
      <c r="T160" s="28" t="str">
        <f aca="false">IF(OR(LEFT(W160,2)&lt;&gt;"A-",ISERROR(MATCH(W160,'🎓 Alumnas'!$A$2:$A$1000,0))),"",IF(COUNTIF($W$2:W160,W160)=1,"Nueva","Recurrente"))</f>
        <v/>
      </c>
      <c r="U160" s="28" t="str">
        <f aca="false">IF(OR(T160="",L160&lt;&gt;"Paquete"),"",COUNTIFS($W$2:W160,W160,$L$2:L160,"Paquete"))</f>
        <v/>
      </c>
      <c r="V160" s="25"/>
      <c r="W160" s="34" t="str">
        <f aca="false">IF(TRIM($C160)="","",IF(COUNTIF('🎓 Alumnas'!$P$2:$P$1000,TRIM($C160))&gt;0,INDEX('🎓 Alumnas'!$A$2:$A$1000,MATCH(TRIM($C160),'🎓 Alumnas'!$P$2:$P$1000,0)),IF(COUNTIF('🎓 Alumnas'!$O$2:$O$1000,TRIM($C160)&amp;"|*")=1,INDEX('🎓 Alumnas'!$A$2:$A$1000,MATCH(TRIM($C160)&amp;"|*",'🎓 Alumnas'!$O$2:$O$1000,0)),IF(COUNTIF('🎓 Alumnas'!$O$2:$O$1000,"*|"&amp;TRIM($C160))=1,INDEX('🎓 Alumnas'!$A$2:$A$1000,MATCH("*|"&amp;TRIM($C160),'🎓 Alumnas'!$O$2:$O$1000,0)),IF(COUNTIF('🎓 Alumnas'!$Q$2:$Q$1000,TRIM($C160))=1,INDEX('🎓 Alumnas'!$A$2:$A$1000,MATCH(TRIM($C160),'🎓 Alumnas'!$Q$2:$Q$1000,0)),IF(COUNTIF('🎓 Alumnas'!$P$2:$P$1000,"*"&amp;TRIM($C160)&amp;"*")=1,INDEX('🎓 Alumnas'!$A$2:$A$1000,MATCH("*"&amp;TRIM($C160)&amp;"*",'🎓 Alumnas'!$P$2:$P$1000,0)),IF(COUNTIF('🎓 Alumnas'!$Q$2:$Q$1000,"*"&amp;TRIM($C160)&amp;"*")=1,INDEX('🎓 Alumnas'!$A$2:$A$1000,MATCH("*"&amp;TRIM($C160)&amp;"*",'🎓 Alumnas'!$Q$2:$Q$1000,0)),IF(COUNTIF('🎓 Alumnas'!$P$2:$P$1000,"*"&amp;TRIM($C160)&amp;"*")+COUNTIF('🎓 Alumnas'!$Q$2:$Q$1000,"*"&amp;TRIM($C160)&amp;"*")&gt;1,"Varias: elige de la lista","No encontrada"))))))))</f>
        <v/>
      </c>
    </row>
    <row r="161" customFormat="false" ht="14.25" hidden="false" customHeight="true" outlineLevel="0" collapsed="false">
      <c r="A161" s="25" t="s">
        <v>706</v>
      </c>
      <c r="B161" s="27"/>
      <c r="C161" s="25"/>
      <c r="D161" s="34" t="str">
        <f aca="false">IF($W161="","",IFERROR(TRIM(INDEX('🎓 Alumnas'!$B$2:$B$1000,MATCH($W161,'🎓 Alumnas'!$A$2:$A$1000,0))),""))</f>
        <v/>
      </c>
      <c r="E161" s="34" t="str">
        <f aca="false">IF($W161="","",IFERROR(TRIM(INDEX('🎓 Alumnas'!$C$2:$C$1000,MATCH($W161,'🎓 Alumnas'!$A$2:$A$1000,0))),""))</f>
        <v/>
      </c>
      <c r="F161" s="34" t="str">
        <f aca="false">IF($W161="","",IFERROR(IF(INDEX('🎓 Alumnas'!$D$2:$D$1000,MATCH($W161,'🎓 Alumnas'!$A$2:$A$1000,0))="","",INDEX('🎓 Alumnas'!$D$2:$D$1000,MATCH($W161,'🎓 Alumnas'!$A$2:$A$1000,0))),""))</f>
        <v/>
      </c>
      <c r="G161" s="28" t="str">
        <f aca="false">IF($W161="","",IFERROR(IF(INDEX('🎓 Alumnas'!$E$2:$E$1000,MATCH($W161,'🎓 Alumnas'!$A$2:$A$1000,0))="","",INDEX('🎓 Alumnas'!$E$2:$E$1000,MATCH($W161,'🎓 Alumnas'!$A$2:$A$1000,0))),""))</f>
        <v/>
      </c>
      <c r="H161" s="28" t="str">
        <f aca="false">IF($W161="","",IFERROR(IF(INDEX('🎓 Alumnas'!$F$2:$F$1000,MATCH($W161,'🎓 Alumnas'!$A$2:$A$1000,0))="","",INDEX('🎓 Alumnas'!$F$2:$F$1000,MATCH($W161,'🎓 Alumnas'!$A$2:$A$1000,0))),""))</f>
        <v/>
      </c>
      <c r="I161" s="30" t="str">
        <f aca="false">IF($W161="","",IFERROR(IF(INDEX('🎓 Alumnas'!$G$2:$G$1000,MATCH($W161,'🎓 Alumnas'!$A$2:$A$1000,0))="","",INDEX('🎓 Alumnas'!$G$2:$G$1000,MATCH($W161,'🎓 Alumnas'!$A$2:$A$1000,0))),""))</f>
        <v/>
      </c>
      <c r="J161" s="28" t="str">
        <f aca="true">IF(I161="","",DATEDIF(I161,TODAY(),"Y"))</f>
        <v/>
      </c>
      <c r="K161" s="25"/>
      <c r="L161" s="28" t="str">
        <f aca="false">IF(K161="","",IF(LEFT(K161,6)="1 Pole","Alquiler",IF(LEFT(K161,7)="1 Clase","Clase suelta","Paquete")))</f>
        <v/>
      </c>
      <c r="M161" s="25"/>
      <c r="N161" s="25"/>
      <c r="O161" s="35"/>
      <c r="P161" s="29" t="str">
        <f aca="false">IF(O161="","",N161*O161)</f>
        <v/>
      </c>
      <c r="Q161" s="36"/>
      <c r="R161" s="25"/>
      <c r="S161" s="25"/>
      <c r="T161" s="28" t="str">
        <f aca="false">IF(OR(LEFT(W161,2)&lt;&gt;"A-",ISERROR(MATCH(W161,'🎓 Alumnas'!$A$2:$A$1000,0))),"",IF(COUNTIF($W$2:W161,W161)=1,"Nueva","Recurrente"))</f>
        <v/>
      </c>
      <c r="U161" s="28" t="str">
        <f aca="false">IF(OR(T161="",L161&lt;&gt;"Paquete"),"",COUNTIFS($W$2:W161,W161,$L$2:L161,"Paquete"))</f>
        <v/>
      </c>
      <c r="V161" s="25"/>
      <c r="W161" s="34" t="str">
        <f aca="false">IF(TRIM($C161)="","",IF(COUNTIF('🎓 Alumnas'!$P$2:$P$1000,TRIM($C161))&gt;0,INDEX('🎓 Alumnas'!$A$2:$A$1000,MATCH(TRIM($C161),'🎓 Alumnas'!$P$2:$P$1000,0)),IF(COUNTIF('🎓 Alumnas'!$O$2:$O$1000,TRIM($C161)&amp;"|*")=1,INDEX('🎓 Alumnas'!$A$2:$A$1000,MATCH(TRIM($C161)&amp;"|*",'🎓 Alumnas'!$O$2:$O$1000,0)),IF(COUNTIF('🎓 Alumnas'!$O$2:$O$1000,"*|"&amp;TRIM($C161))=1,INDEX('🎓 Alumnas'!$A$2:$A$1000,MATCH("*|"&amp;TRIM($C161),'🎓 Alumnas'!$O$2:$O$1000,0)),IF(COUNTIF('🎓 Alumnas'!$Q$2:$Q$1000,TRIM($C161))=1,INDEX('🎓 Alumnas'!$A$2:$A$1000,MATCH(TRIM($C161),'🎓 Alumnas'!$Q$2:$Q$1000,0)),IF(COUNTIF('🎓 Alumnas'!$P$2:$P$1000,"*"&amp;TRIM($C161)&amp;"*")=1,INDEX('🎓 Alumnas'!$A$2:$A$1000,MATCH("*"&amp;TRIM($C161)&amp;"*",'🎓 Alumnas'!$P$2:$P$1000,0)),IF(COUNTIF('🎓 Alumnas'!$Q$2:$Q$1000,"*"&amp;TRIM($C161)&amp;"*")=1,INDEX('🎓 Alumnas'!$A$2:$A$1000,MATCH("*"&amp;TRIM($C161)&amp;"*",'🎓 Alumnas'!$Q$2:$Q$1000,0)),IF(COUNTIF('🎓 Alumnas'!$P$2:$P$1000,"*"&amp;TRIM($C161)&amp;"*")+COUNTIF('🎓 Alumnas'!$Q$2:$Q$1000,"*"&amp;TRIM($C161)&amp;"*")&gt;1,"Varias: elige de la lista","No encontrada"))))))))</f>
        <v/>
      </c>
    </row>
    <row r="162" customFormat="false" ht="14.25" hidden="false" customHeight="true" outlineLevel="0" collapsed="false">
      <c r="A162" s="25" t="s">
        <v>707</v>
      </c>
      <c r="B162" s="27"/>
      <c r="C162" s="25"/>
      <c r="D162" s="34" t="str">
        <f aca="false">IF($W162="","",IFERROR(TRIM(INDEX('🎓 Alumnas'!$B$2:$B$1000,MATCH($W162,'🎓 Alumnas'!$A$2:$A$1000,0))),""))</f>
        <v/>
      </c>
      <c r="E162" s="34" t="str">
        <f aca="false">IF($W162="","",IFERROR(TRIM(INDEX('🎓 Alumnas'!$C$2:$C$1000,MATCH($W162,'🎓 Alumnas'!$A$2:$A$1000,0))),""))</f>
        <v/>
      </c>
      <c r="F162" s="34" t="str">
        <f aca="false">IF($W162="","",IFERROR(IF(INDEX('🎓 Alumnas'!$D$2:$D$1000,MATCH($W162,'🎓 Alumnas'!$A$2:$A$1000,0))="","",INDEX('🎓 Alumnas'!$D$2:$D$1000,MATCH($W162,'🎓 Alumnas'!$A$2:$A$1000,0))),""))</f>
        <v/>
      </c>
      <c r="G162" s="28" t="str">
        <f aca="false">IF($W162="","",IFERROR(IF(INDEX('🎓 Alumnas'!$E$2:$E$1000,MATCH($W162,'🎓 Alumnas'!$A$2:$A$1000,0))="","",INDEX('🎓 Alumnas'!$E$2:$E$1000,MATCH($W162,'🎓 Alumnas'!$A$2:$A$1000,0))),""))</f>
        <v/>
      </c>
      <c r="H162" s="28" t="str">
        <f aca="false">IF($W162="","",IFERROR(IF(INDEX('🎓 Alumnas'!$F$2:$F$1000,MATCH($W162,'🎓 Alumnas'!$A$2:$A$1000,0))="","",INDEX('🎓 Alumnas'!$F$2:$F$1000,MATCH($W162,'🎓 Alumnas'!$A$2:$A$1000,0))),""))</f>
        <v/>
      </c>
      <c r="I162" s="30" t="str">
        <f aca="false">IF($W162="","",IFERROR(IF(INDEX('🎓 Alumnas'!$G$2:$G$1000,MATCH($W162,'🎓 Alumnas'!$A$2:$A$1000,0))="","",INDEX('🎓 Alumnas'!$G$2:$G$1000,MATCH($W162,'🎓 Alumnas'!$A$2:$A$1000,0))),""))</f>
        <v/>
      </c>
      <c r="J162" s="28" t="str">
        <f aca="true">IF(I162="","",DATEDIF(I162,TODAY(),"Y"))</f>
        <v/>
      </c>
      <c r="K162" s="25"/>
      <c r="L162" s="28" t="str">
        <f aca="false">IF(K162="","",IF(LEFT(K162,6)="1 Pole","Alquiler",IF(LEFT(K162,7)="1 Clase","Clase suelta","Paquete")))</f>
        <v/>
      </c>
      <c r="M162" s="25"/>
      <c r="N162" s="25"/>
      <c r="O162" s="35"/>
      <c r="P162" s="29" t="str">
        <f aca="false">IF(O162="","",N162*O162)</f>
        <v/>
      </c>
      <c r="Q162" s="36"/>
      <c r="R162" s="25"/>
      <c r="S162" s="25"/>
      <c r="T162" s="28" t="str">
        <f aca="false">IF(OR(LEFT(W162,2)&lt;&gt;"A-",ISERROR(MATCH(W162,'🎓 Alumnas'!$A$2:$A$1000,0))),"",IF(COUNTIF($W$2:W162,W162)=1,"Nueva","Recurrente"))</f>
        <v/>
      </c>
      <c r="U162" s="28" t="str">
        <f aca="false">IF(OR(T162="",L162&lt;&gt;"Paquete"),"",COUNTIFS($W$2:W162,W162,$L$2:L162,"Paquete"))</f>
        <v/>
      </c>
      <c r="V162" s="25"/>
      <c r="W162" s="34" t="str">
        <f aca="false">IF(TRIM($C162)="","",IF(COUNTIF('🎓 Alumnas'!$P$2:$P$1000,TRIM($C162))&gt;0,INDEX('🎓 Alumnas'!$A$2:$A$1000,MATCH(TRIM($C162),'🎓 Alumnas'!$P$2:$P$1000,0)),IF(COUNTIF('🎓 Alumnas'!$O$2:$O$1000,TRIM($C162)&amp;"|*")=1,INDEX('🎓 Alumnas'!$A$2:$A$1000,MATCH(TRIM($C162)&amp;"|*",'🎓 Alumnas'!$O$2:$O$1000,0)),IF(COUNTIF('🎓 Alumnas'!$O$2:$O$1000,"*|"&amp;TRIM($C162))=1,INDEX('🎓 Alumnas'!$A$2:$A$1000,MATCH("*|"&amp;TRIM($C162),'🎓 Alumnas'!$O$2:$O$1000,0)),IF(COUNTIF('🎓 Alumnas'!$Q$2:$Q$1000,TRIM($C162))=1,INDEX('🎓 Alumnas'!$A$2:$A$1000,MATCH(TRIM($C162),'🎓 Alumnas'!$Q$2:$Q$1000,0)),IF(COUNTIF('🎓 Alumnas'!$P$2:$P$1000,"*"&amp;TRIM($C162)&amp;"*")=1,INDEX('🎓 Alumnas'!$A$2:$A$1000,MATCH("*"&amp;TRIM($C162)&amp;"*",'🎓 Alumnas'!$P$2:$P$1000,0)),IF(COUNTIF('🎓 Alumnas'!$Q$2:$Q$1000,"*"&amp;TRIM($C162)&amp;"*")=1,INDEX('🎓 Alumnas'!$A$2:$A$1000,MATCH("*"&amp;TRIM($C162)&amp;"*",'🎓 Alumnas'!$Q$2:$Q$1000,0)),IF(COUNTIF('🎓 Alumnas'!$P$2:$P$1000,"*"&amp;TRIM($C162)&amp;"*")+COUNTIF('🎓 Alumnas'!$Q$2:$Q$1000,"*"&amp;TRIM($C162)&amp;"*")&gt;1,"Varias: elige de la lista","No encontrada"))))))))</f>
        <v/>
      </c>
    </row>
    <row r="163" customFormat="false" ht="14.25" hidden="false" customHeight="true" outlineLevel="0" collapsed="false">
      <c r="A163" s="25" t="s">
        <v>708</v>
      </c>
      <c r="B163" s="27"/>
      <c r="C163" s="25"/>
      <c r="D163" s="34" t="str">
        <f aca="false">IF($W163="","",IFERROR(TRIM(INDEX('🎓 Alumnas'!$B$2:$B$1000,MATCH($W163,'🎓 Alumnas'!$A$2:$A$1000,0))),""))</f>
        <v/>
      </c>
      <c r="E163" s="34" t="str">
        <f aca="false">IF($W163="","",IFERROR(TRIM(INDEX('🎓 Alumnas'!$C$2:$C$1000,MATCH($W163,'🎓 Alumnas'!$A$2:$A$1000,0))),""))</f>
        <v/>
      </c>
      <c r="F163" s="34" t="str">
        <f aca="false">IF($W163="","",IFERROR(IF(INDEX('🎓 Alumnas'!$D$2:$D$1000,MATCH($W163,'🎓 Alumnas'!$A$2:$A$1000,0))="","",INDEX('🎓 Alumnas'!$D$2:$D$1000,MATCH($W163,'🎓 Alumnas'!$A$2:$A$1000,0))),""))</f>
        <v/>
      </c>
      <c r="G163" s="28" t="str">
        <f aca="false">IF($W163="","",IFERROR(IF(INDEX('🎓 Alumnas'!$E$2:$E$1000,MATCH($W163,'🎓 Alumnas'!$A$2:$A$1000,0))="","",INDEX('🎓 Alumnas'!$E$2:$E$1000,MATCH($W163,'🎓 Alumnas'!$A$2:$A$1000,0))),""))</f>
        <v/>
      </c>
      <c r="H163" s="28" t="str">
        <f aca="false">IF($W163="","",IFERROR(IF(INDEX('🎓 Alumnas'!$F$2:$F$1000,MATCH($W163,'🎓 Alumnas'!$A$2:$A$1000,0))="","",INDEX('🎓 Alumnas'!$F$2:$F$1000,MATCH($W163,'🎓 Alumnas'!$A$2:$A$1000,0))),""))</f>
        <v/>
      </c>
      <c r="I163" s="30" t="str">
        <f aca="false">IF($W163="","",IFERROR(IF(INDEX('🎓 Alumnas'!$G$2:$G$1000,MATCH($W163,'🎓 Alumnas'!$A$2:$A$1000,0))="","",INDEX('🎓 Alumnas'!$G$2:$G$1000,MATCH($W163,'🎓 Alumnas'!$A$2:$A$1000,0))),""))</f>
        <v/>
      </c>
      <c r="J163" s="28" t="str">
        <f aca="true">IF(I163="","",DATEDIF(I163,TODAY(),"Y"))</f>
        <v/>
      </c>
      <c r="K163" s="25"/>
      <c r="L163" s="28" t="str">
        <f aca="false">IF(K163="","",IF(LEFT(K163,6)="1 Pole","Alquiler",IF(LEFT(K163,7)="1 Clase","Clase suelta","Paquete")))</f>
        <v/>
      </c>
      <c r="M163" s="25"/>
      <c r="N163" s="25"/>
      <c r="O163" s="35"/>
      <c r="P163" s="29" t="str">
        <f aca="false">IF(O163="","",N163*O163)</f>
        <v/>
      </c>
      <c r="Q163" s="36"/>
      <c r="R163" s="25"/>
      <c r="S163" s="25"/>
      <c r="T163" s="28" t="str">
        <f aca="false">IF(OR(LEFT(W163,2)&lt;&gt;"A-",ISERROR(MATCH(W163,'🎓 Alumnas'!$A$2:$A$1000,0))),"",IF(COUNTIF($W$2:W163,W163)=1,"Nueva","Recurrente"))</f>
        <v/>
      </c>
      <c r="U163" s="28" t="str">
        <f aca="false">IF(OR(T163="",L163&lt;&gt;"Paquete"),"",COUNTIFS($W$2:W163,W163,$L$2:L163,"Paquete"))</f>
        <v/>
      </c>
      <c r="V163" s="25"/>
      <c r="W163" s="34" t="str">
        <f aca="false">IF(TRIM($C163)="","",IF(COUNTIF('🎓 Alumnas'!$P$2:$P$1000,TRIM($C163))&gt;0,INDEX('🎓 Alumnas'!$A$2:$A$1000,MATCH(TRIM($C163),'🎓 Alumnas'!$P$2:$P$1000,0)),IF(COUNTIF('🎓 Alumnas'!$O$2:$O$1000,TRIM($C163)&amp;"|*")=1,INDEX('🎓 Alumnas'!$A$2:$A$1000,MATCH(TRIM($C163)&amp;"|*",'🎓 Alumnas'!$O$2:$O$1000,0)),IF(COUNTIF('🎓 Alumnas'!$O$2:$O$1000,"*|"&amp;TRIM($C163))=1,INDEX('🎓 Alumnas'!$A$2:$A$1000,MATCH("*|"&amp;TRIM($C163),'🎓 Alumnas'!$O$2:$O$1000,0)),IF(COUNTIF('🎓 Alumnas'!$Q$2:$Q$1000,TRIM($C163))=1,INDEX('🎓 Alumnas'!$A$2:$A$1000,MATCH(TRIM($C163),'🎓 Alumnas'!$Q$2:$Q$1000,0)),IF(COUNTIF('🎓 Alumnas'!$P$2:$P$1000,"*"&amp;TRIM($C163)&amp;"*")=1,INDEX('🎓 Alumnas'!$A$2:$A$1000,MATCH("*"&amp;TRIM($C163)&amp;"*",'🎓 Alumnas'!$P$2:$P$1000,0)),IF(COUNTIF('🎓 Alumnas'!$Q$2:$Q$1000,"*"&amp;TRIM($C163)&amp;"*")=1,INDEX('🎓 Alumnas'!$A$2:$A$1000,MATCH("*"&amp;TRIM($C163)&amp;"*",'🎓 Alumnas'!$Q$2:$Q$1000,0)),IF(COUNTIF('🎓 Alumnas'!$P$2:$P$1000,"*"&amp;TRIM($C163)&amp;"*")+COUNTIF('🎓 Alumnas'!$Q$2:$Q$1000,"*"&amp;TRIM($C163)&amp;"*")&gt;1,"Varias: elige de la lista","No encontrada"))))))))</f>
        <v/>
      </c>
    </row>
    <row r="164" customFormat="false" ht="14.25" hidden="false" customHeight="true" outlineLevel="0" collapsed="false">
      <c r="A164" s="25" t="s">
        <v>709</v>
      </c>
      <c r="B164" s="27"/>
      <c r="C164" s="25"/>
      <c r="D164" s="34" t="str">
        <f aca="false">IF($W164="","",IFERROR(TRIM(INDEX('🎓 Alumnas'!$B$2:$B$1000,MATCH($W164,'🎓 Alumnas'!$A$2:$A$1000,0))),""))</f>
        <v/>
      </c>
      <c r="E164" s="34" t="str">
        <f aca="false">IF($W164="","",IFERROR(TRIM(INDEX('🎓 Alumnas'!$C$2:$C$1000,MATCH($W164,'🎓 Alumnas'!$A$2:$A$1000,0))),""))</f>
        <v/>
      </c>
      <c r="F164" s="34" t="str">
        <f aca="false">IF($W164="","",IFERROR(IF(INDEX('🎓 Alumnas'!$D$2:$D$1000,MATCH($W164,'🎓 Alumnas'!$A$2:$A$1000,0))="","",INDEX('🎓 Alumnas'!$D$2:$D$1000,MATCH($W164,'🎓 Alumnas'!$A$2:$A$1000,0))),""))</f>
        <v/>
      </c>
      <c r="G164" s="28" t="str">
        <f aca="false">IF($W164="","",IFERROR(IF(INDEX('🎓 Alumnas'!$E$2:$E$1000,MATCH($W164,'🎓 Alumnas'!$A$2:$A$1000,0))="","",INDEX('🎓 Alumnas'!$E$2:$E$1000,MATCH($W164,'🎓 Alumnas'!$A$2:$A$1000,0))),""))</f>
        <v/>
      </c>
      <c r="H164" s="28" t="str">
        <f aca="false">IF($W164="","",IFERROR(IF(INDEX('🎓 Alumnas'!$F$2:$F$1000,MATCH($W164,'🎓 Alumnas'!$A$2:$A$1000,0))="","",INDEX('🎓 Alumnas'!$F$2:$F$1000,MATCH($W164,'🎓 Alumnas'!$A$2:$A$1000,0))),""))</f>
        <v/>
      </c>
      <c r="I164" s="30" t="str">
        <f aca="false">IF($W164="","",IFERROR(IF(INDEX('🎓 Alumnas'!$G$2:$G$1000,MATCH($W164,'🎓 Alumnas'!$A$2:$A$1000,0))="","",INDEX('🎓 Alumnas'!$G$2:$G$1000,MATCH($W164,'🎓 Alumnas'!$A$2:$A$1000,0))),""))</f>
        <v/>
      </c>
      <c r="J164" s="28" t="str">
        <f aca="true">IF(I164="","",DATEDIF(I164,TODAY(),"Y"))</f>
        <v/>
      </c>
      <c r="K164" s="25"/>
      <c r="L164" s="28" t="str">
        <f aca="false">IF(K164="","",IF(LEFT(K164,6)="1 Pole","Alquiler",IF(LEFT(K164,7)="1 Clase","Clase suelta","Paquete")))</f>
        <v/>
      </c>
      <c r="M164" s="25"/>
      <c r="N164" s="25"/>
      <c r="O164" s="35"/>
      <c r="P164" s="29" t="str">
        <f aca="false">IF(O164="","",N164*O164)</f>
        <v/>
      </c>
      <c r="Q164" s="36"/>
      <c r="R164" s="25"/>
      <c r="S164" s="25"/>
      <c r="T164" s="28" t="str">
        <f aca="false">IF(OR(LEFT(W164,2)&lt;&gt;"A-",ISERROR(MATCH(W164,'🎓 Alumnas'!$A$2:$A$1000,0))),"",IF(COUNTIF($W$2:W164,W164)=1,"Nueva","Recurrente"))</f>
        <v/>
      </c>
      <c r="U164" s="28" t="str">
        <f aca="false">IF(OR(T164="",L164&lt;&gt;"Paquete"),"",COUNTIFS($W$2:W164,W164,$L$2:L164,"Paquete"))</f>
        <v/>
      </c>
      <c r="V164" s="25"/>
      <c r="W164" s="34" t="str">
        <f aca="false">IF(TRIM($C164)="","",IF(COUNTIF('🎓 Alumnas'!$P$2:$P$1000,TRIM($C164))&gt;0,INDEX('🎓 Alumnas'!$A$2:$A$1000,MATCH(TRIM($C164),'🎓 Alumnas'!$P$2:$P$1000,0)),IF(COUNTIF('🎓 Alumnas'!$O$2:$O$1000,TRIM($C164)&amp;"|*")=1,INDEX('🎓 Alumnas'!$A$2:$A$1000,MATCH(TRIM($C164)&amp;"|*",'🎓 Alumnas'!$O$2:$O$1000,0)),IF(COUNTIF('🎓 Alumnas'!$O$2:$O$1000,"*|"&amp;TRIM($C164))=1,INDEX('🎓 Alumnas'!$A$2:$A$1000,MATCH("*|"&amp;TRIM($C164),'🎓 Alumnas'!$O$2:$O$1000,0)),IF(COUNTIF('🎓 Alumnas'!$Q$2:$Q$1000,TRIM($C164))=1,INDEX('🎓 Alumnas'!$A$2:$A$1000,MATCH(TRIM($C164),'🎓 Alumnas'!$Q$2:$Q$1000,0)),IF(COUNTIF('🎓 Alumnas'!$P$2:$P$1000,"*"&amp;TRIM($C164)&amp;"*")=1,INDEX('🎓 Alumnas'!$A$2:$A$1000,MATCH("*"&amp;TRIM($C164)&amp;"*",'🎓 Alumnas'!$P$2:$P$1000,0)),IF(COUNTIF('🎓 Alumnas'!$Q$2:$Q$1000,"*"&amp;TRIM($C164)&amp;"*")=1,INDEX('🎓 Alumnas'!$A$2:$A$1000,MATCH("*"&amp;TRIM($C164)&amp;"*",'🎓 Alumnas'!$Q$2:$Q$1000,0)),IF(COUNTIF('🎓 Alumnas'!$P$2:$P$1000,"*"&amp;TRIM($C164)&amp;"*")+COUNTIF('🎓 Alumnas'!$Q$2:$Q$1000,"*"&amp;TRIM($C164)&amp;"*")&gt;1,"Varias: elige de la lista","No encontrada"))))))))</f>
        <v/>
      </c>
    </row>
    <row r="165" customFormat="false" ht="14.25" hidden="false" customHeight="true" outlineLevel="0" collapsed="false">
      <c r="A165" s="25" t="s">
        <v>710</v>
      </c>
      <c r="B165" s="27"/>
      <c r="C165" s="25"/>
      <c r="D165" s="34" t="str">
        <f aca="false">IF($W165="","",IFERROR(TRIM(INDEX('🎓 Alumnas'!$B$2:$B$1000,MATCH($W165,'🎓 Alumnas'!$A$2:$A$1000,0))),""))</f>
        <v/>
      </c>
      <c r="E165" s="34" t="str">
        <f aca="false">IF($W165="","",IFERROR(TRIM(INDEX('🎓 Alumnas'!$C$2:$C$1000,MATCH($W165,'🎓 Alumnas'!$A$2:$A$1000,0))),""))</f>
        <v/>
      </c>
      <c r="F165" s="34" t="str">
        <f aca="false">IF($W165="","",IFERROR(IF(INDEX('🎓 Alumnas'!$D$2:$D$1000,MATCH($W165,'🎓 Alumnas'!$A$2:$A$1000,0))="","",INDEX('🎓 Alumnas'!$D$2:$D$1000,MATCH($W165,'🎓 Alumnas'!$A$2:$A$1000,0))),""))</f>
        <v/>
      </c>
      <c r="G165" s="28" t="str">
        <f aca="false">IF($W165="","",IFERROR(IF(INDEX('🎓 Alumnas'!$E$2:$E$1000,MATCH($W165,'🎓 Alumnas'!$A$2:$A$1000,0))="","",INDEX('🎓 Alumnas'!$E$2:$E$1000,MATCH($W165,'🎓 Alumnas'!$A$2:$A$1000,0))),""))</f>
        <v/>
      </c>
      <c r="H165" s="28" t="str">
        <f aca="false">IF($W165="","",IFERROR(IF(INDEX('🎓 Alumnas'!$F$2:$F$1000,MATCH($W165,'🎓 Alumnas'!$A$2:$A$1000,0))="","",INDEX('🎓 Alumnas'!$F$2:$F$1000,MATCH($W165,'🎓 Alumnas'!$A$2:$A$1000,0))),""))</f>
        <v/>
      </c>
      <c r="I165" s="30" t="str">
        <f aca="false">IF($W165="","",IFERROR(IF(INDEX('🎓 Alumnas'!$G$2:$G$1000,MATCH($W165,'🎓 Alumnas'!$A$2:$A$1000,0))="","",INDEX('🎓 Alumnas'!$G$2:$G$1000,MATCH($W165,'🎓 Alumnas'!$A$2:$A$1000,0))),""))</f>
        <v/>
      </c>
      <c r="J165" s="28" t="str">
        <f aca="true">IF(I165="","",DATEDIF(I165,TODAY(),"Y"))</f>
        <v/>
      </c>
      <c r="K165" s="25"/>
      <c r="L165" s="28" t="str">
        <f aca="false">IF(K165="","",IF(LEFT(K165,6)="1 Pole","Alquiler",IF(LEFT(K165,7)="1 Clase","Clase suelta","Paquete")))</f>
        <v/>
      </c>
      <c r="M165" s="25"/>
      <c r="N165" s="25"/>
      <c r="O165" s="35"/>
      <c r="P165" s="29" t="str">
        <f aca="false">IF(O165="","",N165*O165)</f>
        <v/>
      </c>
      <c r="Q165" s="36"/>
      <c r="R165" s="25"/>
      <c r="S165" s="25"/>
      <c r="T165" s="28" t="str">
        <f aca="false">IF(OR(LEFT(W165,2)&lt;&gt;"A-",ISERROR(MATCH(W165,'🎓 Alumnas'!$A$2:$A$1000,0))),"",IF(COUNTIF($W$2:W165,W165)=1,"Nueva","Recurrente"))</f>
        <v/>
      </c>
      <c r="U165" s="28" t="str">
        <f aca="false">IF(OR(T165="",L165&lt;&gt;"Paquete"),"",COUNTIFS($W$2:W165,W165,$L$2:L165,"Paquete"))</f>
        <v/>
      </c>
      <c r="V165" s="25"/>
      <c r="W165" s="34" t="str">
        <f aca="false">IF(TRIM($C165)="","",IF(COUNTIF('🎓 Alumnas'!$P$2:$P$1000,TRIM($C165))&gt;0,INDEX('🎓 Alumnas'!$A$2:$A$1000,MATCH(TRIM($C165),'🎓 Alumnas'!$P$2:$P$1000,0)),IF(COUNTIF('🎓 Alumnas'!$O$2:$O$1000,TRIM($C165)&amp;"|*")=1,INDEX('🎓 Alumnas'!$A$2:$A$1000,MATCH(TRIM($C165)&amp;"|*",'🎓 Alumnas'!$O$2:$O$1000,0)),IF(COUNTIF('🎓 Alumnas'!$O$2:$O$1000,"*|"&amp;TRIM($C165))=1,INDEX('🎓 Alumnas'!$A$2:$A$1000,MATCH("*|"&amp;TRIM($C165),'🎓 Alumnas'!$O$2:$O$1000,0)),IF(COUNTIF('🎓 Alumnas'!$Q$2:$Q$1000,TRIM($C165))=1,INDEX('🎓 Alumnas'!$A$2:$A$1000,MATCH(TRIM($C165),'🎓 Alumnas'!$Q$2:$Q$1000,0)),IF(COUNTIF('🎓 Alumnas'!$P$2:$P$1000,"*"&amp;TRIM($C165)&amp;"*")=1,INDEX('🎓 Alumnas'!$A$2:$A$1000,MATCH("*"&amp;TRIM($C165)&amp;"*",'🎓 Alumnas'!$P$2:$P$1000,0)),IF(COUNTIF('🎓 Alumnas'!$Q$2:$Q$1000,"*"&amp;TRIM($C165)&amp;"*")=1,INDEX('🎓 Alumnas'!$A$2:$A$1000,MATCH("*"&amp;TRIM($C165)&amp;"*",'🎓 Alumnas'!$Q$2:$Q$1000,0)),IF(COUNTIF('🎓 Alumnas'!$P$2:$P$1000,"*"&amp;TRIM($C165)&amp;"*")+COUNTIF('🎓 Alumnas'!$Q$2:$Q$1000,"*"&amp;TRIM($C165)&amp;"*")&gt;1,"Varias: elige de la lista","No encontrada"))))))))</f>
        <v/>
      </c>
    </row>
    <row r="166" customFormat="false" ht="14.25" hidden="false" customHeight="true" outlineLevel="0" collapsed="false">
      <c r="A166" s="25" t="s">
        <v>711</v>
      </c>
      <c r="B166" s="27"/>
      <c r="C166" s="25"/>
      <c r="D166" s="34" t="str">
        <f aca="false">IF($W166="","",IFERROR(TRIM(INDEX('🎓 Alumnas'!$B$2:$B$1000,MATCH($W166,'🎓 Alumnas'!$A$2:$A$1000,0))),""))</f>
        <v/>
      </c>
      <c r="E166" s="34" t="str">
        <f aca="false">IF($W166="","",IFERROR(TRIM(INDEX('🎓 Alumnas'!$C$2:$C$1000,MATCH($W166,'🎓 Alumnas'!$A$2:$A$1000,0))),""))</f>
        <v/>
      </c>
      <c r="F166" s="34" t="str">
        <f aca="false">IF($W166="","",IFERROR(IF(INDEX('🎓 Alumnas'!$D$2:$D$1000,MATCH($W166,'🎓 Alumnas'!$A$2:$A$1000,0))="","",INDEX('🎓 Alumnas'!$D$2:$D$1000,MATCH($W166,'🎓 Alumnas'!$A$2:$A$1000,0))),""))</f>
        <v/>
      </c>
      <c r="G166" s="28" t="str">
        <f aca="false">IF($W166="","",IFERROR(IF(INDEX('🎓 Alumnas'!$E$2:$E$1000,MATCH($W166,'🎓 Alumnas'!$A$2:$A$1000,0))="","",INDEX('🎓 Alumnas'!$E$2:$E$1000,MATCH($W166,'🎓 Alumnas'!$A$2:$A$1000,0))),""))</f>
        <v/>
      </c>
      <c r="H166" s="28" t="str">
        <f aca="false">IF($W166="","",IFERROR(IF(INDEX('🎓 Alumnas'!$F$2:$F$1000,MATCH($W166,'🎓 Alumnas'!$A$2:$A$1000,0))="","",INDEX('🎓 Alumnas'!$F$2:$F$1000,MATCH($W166,'🎓 Alumnas'!$A$2:$A$1000,0))),""))</f>
        <v/>
      </c>
      <c r="I166" s="30" t="str">
        <f aca="false">IF($W166="","",IFERROR(IF(INDEX('🎓 Alumnas'!$G$2:$G$1000,MATCH($W166,'🎓 Alumnas'!$A$2:$A$1000,0))="","",INDEX('🎓 Alumnas'!$G$2:$G$1000,MATCH($W166,'🎓 Alumnas'!$A$2:$A$1000,0))),""))</f>
        <v/>
      </c>
      <c r="J166" s="28" t="str">
        <f aca="true">IF(I166="","",DATEDIF(I166,TODAY(),"Y"))</f>
        <v/>
      </c>
      <c r="K166" s="25"/>
      <c r="L166" s="28" t="str">
        <f aca="false">IF(K166="","",IF(LEFT(K166,6)="1 Pole","Alquiler",IF(LEFT(K166,7)="1 Clase","Clase suelta","Paquete")))</f>
        <v/>
      </c>
      <c r="M166" s="25"/>
      <c r="N166" s="25"/>
      <c r="O166" s="35"/>
      <c r="P166" s="29" t="str">
        <f aca="false">IF(O166="","",N166*O166)</f>
        <v/>
      </c>
      <c r="Q166" s="36"/>
      <c r="R166" s="25"/>
      <c r="S166" s="25"/>
      <c r="T166" s="28" t="str">
        <f aca="false">IF(OR(LEFT(W166,2)&lt;&gt;"A-",ISERROR(MATCH(W166,'🎓 Alumnas'!$A$2:$A$1000,0))),"",IF(COUNTIF($W$2:W166,W166)=1,"Nueva","Recurrente"))</f>
        <v/>
      </c>
      <c r="U166" s="28" t="str">
        <f aca="false">IF(OR(T166="",L166&lt;&gt;"Paquete"),"",COUNTIFS($W$2:W166,W166,$L$2:L166,"Paquete"))</f>
        <v/>
      </c>
      <c r="V166" s="25"/>
      <c r="W166" s="34" t="str">
        <f aca="false">IF(TRIM($C166)="","",IF(COUNTIF('🎓 Alumnas'!$P$2:$P$1000,TRIM($C166))&gt;0,INDEX('🎓 Alumnas'!$A$2:$A$1000,MATCH(TRIM($C166),'🎓 Alumnas'!$P$2:$P$1000,0)),IF(COUNTIF('🎓 Alumnas'!$O$2:$O$1000,TRIM($C166)&amp;"|*")=1,INDEX('🎓 Alumnas'!$A$2:$A$1000,MATCH(TRIM($C166)&amp;"|*",'🎓 Alumnas'!$O$2:$O$1000,0)),IF(COUNTIF('🎓 Alumnas'!$O$2:$O$1000,"*|"&amp;TRIM($C166))=1,INDEX('🎓 Alumnas'!$A$2:$A$1000,MATCH("*|"&amp;TRIM($C166),'🎓 Alumnas'!$O$2:$O$1000,0)),IF(COUNTIF('🎓 Alumnas'!$Q$2:$Q$1000,TRIM($C166))=1,INDEX('🎓 Alumnas'!$A$2:$A$1000,MATCH(TRIM($C166),'🎓 Alumnas'!$Q$2:$Q$1000,0)),IF(COUNTIF('🎓 Alumnas'!$P$2:$P$1000,"*"&amp;TRIM($C166)&amp;"*")=1,INDEX('🎓 Alumnas'!$A$2:$A$1000,MATCH("*"&amp;TRIM($C166)&amp;"*",'🎓 Alumnas'!$P$2:$P$1000,0)),IF(COUNTIF('🎓 Alumnas'!$Q$2:$Q$1000,"*"&amp;TRIM($C166)&amp;"*")=1,INDEX('🎓 Alumnas'!$A$2:$A$1000,MATCH("*"&amp;TRIM($C166)&amp;"*",'🎓 Alumnas'!$Q$2:$Q$1000,0)),IF(COUNTIF('🎓 Alumnas'!$P$2:$P$1000,"*"&amp;TRIM($C166)&amp;"*")+COUNTIF('🎓 Alumnas'!$Q$2:$Q$1000,"*"&amp;TRIM($C166)&amp;"*")&gt;1,"Varias: elige de la lista","No encontrada"))))))))</f>
        <v/>
      </c>
    </row>
    <row r="167" customFormat="false" ht="14.25" hidden="false" customHeight="true" outlineLevel="0" collapsed="false">
      <c r="A167" s="25" t="s">
        <v>712</v>
      </c>
      <c r="B167" s="27"/>
      <c r="C167" s="25"/>
      <c r="D167" s="34" t="str">
        <f aca="false">IF($W167="","",IFERROR(TRIM(INDEX('🎓 Alumnas'!$B$2:$B$1000,MATCH($W167,'🎓 Alumnas'!$A$2:$A$1000,0))),""))</f>
        <v/>
      </c>
      <c r="E167" s="34" t="str">
        <f aca="false">IF($W167="","",IFERROR(TRIM(INDEX('🎓 Alumnas'!$C$2:$C$1000,MATCH($W167,'🎓 Alumnas'!$A$2:$A$1000,0))),""))</f>
        <v/>
      </c>
      <c r="F167" s="34" t="str">
        <f aca="false">IF($W167="","",IFERROR(IF(INDEX('🎓 Alumnas'!$D$2:$D$1000,MATCH($W167,'🎓 Alumnas'!$A$2:$A$1000,0))="","",INDEX('🎓 Alumnas'!$D$2:$D$1000,MATCH($W167,'🎓 Alumnas'!$A$2:$A$1000,0))),""))</f>
        <v/>
      </c>
      <c r="G167" s="28" t="str">
        <f aca="false">IF($W167="","",IFERROR(IF(INDEX('🎓 Alumnas'!$E$2:$E$1000,MATCH($W167,'🎓 Alumnas'!$A$2:$A$1000,0))="","",INDEX('🎓 Alumnas'!$E$2:$E$1000,MATCH($W167,'🎓 Alumnas'!$A$2:$A$1000,0))),""))</f>
        <v/>
      </c>
      <c r="H167" s="28" t="str">
        <f aca="false">IF($W167="","",IFERROR(IF(INDEX('🎓 Alumnas'!$F$2:$F$1000,MATCH($W167,'🎓 Alumnas'!$A$2:$A$1000,0))="","",INDEX('🎓 Alumnas'!$F$2:$F$1000,MATCH($W167,'🎓 Alumnas'!$A$2:$A$1000,0))),""))</f>
        <v/>
      </c>
      <c r="I167" s="30" t="str">
        <f aca="false">IF($W167="","",IFERROR(IF(INDEX('🎓 Alumnas'!$G$2:$G$1000,MATCH($W167,'🎓 Alumnas'!$A$2:$A$1000,0))="","",INDEX('🎓 Alumnas'!$G$2:$G$1000,MATCH($W167,'🎓 Alumnas'!$A$2:$A$1000,0))),""))</f>
        <v/>
      </c>
      <c r="J167" s="28" t="str">
        <f aca="true">IF(I167="","",DATEDIF(I167,TODAY(),"Y"))</f>
        <v/>
      </c>
      <c r="K167" s="25"/>
      <c r="L167" s="28" t="str">
        <f aca="false">IF(K167="","",IF(LEFT(K167,6)="1 Pole","Alquiler",IF(LEFT(K167,7)="1 Clase","Clase suelta","Paquete")))</f>
        <v/>
      </c>
      <c r="M167" s="25"/>
      <c r="N167" s="25"/>
      <c r="O167" s="35"/>
      <c r="P167" s="29" t="str">
        <f aca="false">IF(O167="","",N167*O167)</f>
        <v/>
      </c>
      <c r="Q167" s="36"/>
      <c r="R167" s="25"/>
      <c r="S167" s="25"/>
      <c r="T167" s="28" t="str">
        <f aca="false">IF(OR(LEFT(W167,2)&lt;&gt;"A-",ISERROR(MATCH(W167,'🎓 Alumnas'!$A$2:$A$1000,0))),"",IF(COUNTIF($W$2:W167,W167)=1,"Nueva","Recurrente"))</f>
        <v/>
      </c>
      <c r="U167" s="28" t="str">
        <f aca="false">IF(OR(T167="",L167&lt;&gt;"Paquete"),"",COUNTIFS($W$2:W167,W167,$L$2:L167,"Paquete"))</f>
        <v/>
      </c>
      <c r="V167" s="25"/>
      <c r="W167" s="34" t="str">
        <f aca="false">IF(TRIM($C167)="","",IF(COUNTIF('🎓 Alumnas'!$P$2:$P$1000,TRIM($C167))&gt;0,INDEX('🎓 Alumnas'!$A$2:$A$1000,MATCH(TRIM($C167),'🎓 Alumnas'!$P$2:$P$1000,0)),IF(COUNTIF('🎓 Alumnas'!$O$2:$O$1000,TRIM($C167)&amp;"|*")=1,INDEX('🎓 Alumnas'!$A$2:$A$1000,MATCH(TRIM($C167)&amp;"|*",'🎓 Alumnas'!$O$2:$O$1000,0)),IF(COUNTIF('🎓 Alumnas'!$O$2:$O$1000,"*|"&amp;TRIM($C167))=1,INDEX('🎓 Alumnas'!$A$2:$A$1000,MATCH("*|"&amp;TRIM($C167),'🎓 Alumnas'!$O$2:$O$1000,0)),IF(COUNTIF('🎓 Alumnas'!$Q$2:$Q$1000,TRIM($C167))=1,INDEX('🎓 Alumnas'!$A$2:$A$1000,MATCH(TRIM($C167),'🎓 Alumnas'!$Q$2:$Q$1000,0)),IF(COUNTIF('🎓 Alumnas'!$P$2:$P$1000,"*"&amp;TRIM($C167)&amp;"*")=1,INDEX('🎓 Alumnas'!$A$2:$A$1000,MATCH("*"&amp;TRIM($C167)&amp;"*",'🎓 Alumnas'!$P$2:$P$1000,0)),IF(COUNTIF('🎓 Alumnas'!$Q$2:$Q$1000,"*"&amp;TRIM($C167)&amp;"*")=1,INDEX('🎓 Alumnas'!$A$2:$A$1000,MATCH("*"&amp;TRIM($C167)&amp;"*",'🎓 Alumnas'!$Q$2:$Q$1000,0)),IF(COUNTIF('🎓 Alumnas'!$P$2:$P$1000,"*"&amp;TRIM($C167)&amp;"*")+COUNTIF('🎓 Alumnas'!$Q$2:$Q$1000,"*"&amp;TRIM($C167)&amp;"*")&gt;1,"Varias: elige de la lista","No encontrada"))))))))</f>
        <v/>
      </c>
    </row>
    <row r="168" customFormat="false" ht="14.25" hidden="false" customHeight="true" outlineLevel="0" collapsed="false">
      <c r="A168" s="25" t="s">
        <v>713</v>
      </c>
      <c r="B168" s="27"/>
      <c r="C168" s="25"/>
      <c r="D168" s="34" t="str">
        <f aca="false">IF($W168="","",IFERROR(TRIM(INDEX('🎓 Alumnas'!$B$2:$B$1000,MATCH($W168,'🎓 Alumnas'!$A$2:$A$1000,0))),""))</f>
        <v/>
      </c>
      <c r="E168" s="34" t="str">
        <f aca="false">IF($W168="","",IFERROR(TRIM(INDEX('🎓 Alumnas'!$C$2:$C$1000,MATCH($W168,'🎓 Alumnas'!$A$2:$A$1000,0))),""))</f>
        <v/>
      </c>
      <c r="F168" s="34" t="str">
        <f aca="false">IF($W168="","",IFERROR(IF(INDEX('🎓 Alumnas'!$D$2:$D$1000,MATCH($W168,'🎓 Alumnas'!$A$2:$A$1000,0))="","",INDEX('🎓 Alumnas'!$D$2:$D$1000,MATCH($W168,'🎓 Alumnas'!$A$2:$A$1000,0))),""))</f>
        <v/>
      </c>
      <c r="G168" s="28" t="str">
        <f aca="false">IF($W168="","",IFERROR(IF(INDEX('🎓 Alumnas'!$E$2:$E$1000,MATCH($W168,'🎓 Alumnas'!$A$2:$A$1000,0))="","",INDEX('🎓 Alumnas'!$E$2:$E$1000,MATCH($W168,'🎓 Alumnas'!$A$2:$A$1000,0))),""))</f>
        <v/>
      </c>
      <c r="H168" s="28" t="str">
        <f aca="false">IF($W168="","",IFERROR(IF(INDEX('🎓 Alumnas'!$F$2:$F$1000,MATCH($W168,'🎓 Alumnas'!$A$2:$A$1000,0))="","",INDEX('🎓 Alumnas'!$F$2:$F$1000,MATCH($W168,'🎓 Alumnas'!$A$2:$A$1000,0))),""))</f>
        <v/>
      </c>
      <c r="I168" s="30" t="str">
        <f aca="false">IF($W168="","",IFERROR(IF(INDEX('🎓 Alumnas'!$G$2:$G$1000,MATCH($W168,'🎓 Alumnas'!$A$2:$A$1000,0))="","",INDEX('🎓 Alumnas'!$G$2:$G$1000,MATCH($W168,'🎓 Alumnas'!$A$2:$A$1000,0))),""))</f>
        <v/>
      </c>
      <c r="J168" s="28" t="str">
        <f aca="true">IF(I168="","",DATEDIF(I168,TODAY(),"Y"))</f>
        <v/>
      </c>
      <c r="K168" s="25"/>
      <c r="L168" s="28" t="str">
        <f aca="false">IF(K168="","",IF(LEFT(K168,6)="1 Pole","Alquiler",IF(LEFT(K168,7)="1 Clase","Clase suelta","Paquete")))</f>
        <v/>
      </c>
      <c r="M168" s="25"/>
      <c r="N168" s="25"/>
      <c r="O168" s="35"/>
      <c r="P168" s="29" t="str">
        <f aca="false">IF(O168="","",N168*O168)</f>
        <v/>
      </c>
      <c r="Q168" s="36"/>
      <c r="R168" s="25"/>
      <c r="S168" s="25"/>
      <c r="T168" s="28" t="str">
        <f aca="false">IF(OR(LEFT(W168,2)&lt;&gt;"A-",ISERROR(MATCH(W168,'🎓 Alumnas'!$A$2:$A$1000,0))),"",IF(COUNTIF($W$2:W168,W168)=1,"Nueva","Recurrente"))</f>
        <v/>
      </c>
      <c r="U168" s="28" t="str">
        <f aca="false">IF(OR(T168="",L168&lt;&gt;"Paquete"),"",COUNTIFS($W$2:W168,W168,$L$2:L168,"Paquete"))</f>
        <v/>
      </c>
      <c r="V168" s="25"/>
      <c r="W168" s="34" t="str">
        <f aca="false">IF(TRIM($C168)="","",IF(COUNTIF('🎓 Alumnas'!$P$2:$P$1000,TRIM($C168))&gt;0,INDEX('🎓 Alumnas'!$A$2:$A$1000,MATCH(TRIM($C168),'🎓 Alumnas'!$P$2:$P$1000,0)),IF(COUNTIF('🎓 Alumnas'!$O$2:$O$1000,TRIM($C168)&amp;"|*")=1,INDEX('🎓 Alumnas'!$A$2:$A$1000,MATCH(TRIM($C168)&amp;"|*",'🎓 Alumnas'!$O$2:$O$1000,0)),IF(COUNTIF('🎓 Alumnas'!$O$2:$O$1000,"*|"&amp;TRIM($C168))=1,INDEX('🎓 Alumnas'!$A$2:$A$1000,MATCH("*|"&amp;TRIM($C168),'🎓 Alumnas'!$O$2:$O$1000,0)),IF(COUNTIF('🎓 Alumnas'!$Q$2:$Q$1000,TRIM($C168))=1,INDEX('🎓 Alumnas'!$A$2:$A$1000,MATCH(TRIM($C168),'🎓 Alumnas'!$Q$2:$Q$1000,0)),IF(COUNTIF('🎓 Alumnas'!$P$2:$P$1000,"*"&amp;TRIM($C168)&amp;"*")=1,INDEX('🎓 Alumnas'!$A$2:$A$1000,MATCH("*"&amp;TRIM($C168)&amp;"*",'🎓 Alumnas'!$P$2:$P$1000,0)),IF(COUNTIF('🎓 Alumnas'!$Q$2:$Q$1000,"*"&amp;TRIM($C168)&amp;"*")=1,INDEX('🎓 Alumnas'!$A$2:$A$1000,MATCH("*"&amp;TRIM($C168)&amp;"*",'🎓 Alumnas'!$Q$2:$Q$1000,0)),IF(COUNTIF('🎓 Alumnas'!$P$2:$P$1000,"*"&amp;TRIM($C168)&amp;"*")+COUNTIF('🎓 Alumnas'!$Q$2:$Q$1000,"*"&amp;TRIM($C168)&amp;"*")&gt;1,"Varias: elige de la lista","No encontrada"))))))))</f>
        <v/>
      </c>
    </row>
    <row r="169" customFormat="false" ht="14.25" hidden="false" customHeight="true" outlineLevel="0" collapsed="false">
      <c r="A169" s="25" t="s">
        <v>714</v>
      </c>
      <c r="B169" s="27"/>
      <c r="C169" s="25"/>
      <c r="D169" s="34" t="str">
        <f aca="false">IF($W169="","",IFERROR(TRIM(INDEX('🎓 Alumnas'!$B$2:$B$1000,MATCH($W169,'🎓 Alumnas'!$A$2:$A$1000,0))),""))</f>
        <v/>
      </c>
      <c r="E169" s="34" t="str">
        <f aca="false">IF($W169="","",IFERROR(TRIM(INDEX('🎓 Alumnas'!$C$2:$C$1000,MATCH($W169,'🎓 Alumnas'!$A$2:$A$1000,0))),""))</f>
        <v/>
      </c>
      <c r="F169" s="34" t="str">
        <f aca="false">IF($W169="","",IFERROR(IF(INDEX('🎓 Alumnas'!$D$2:$D$1000,MATCH($W169,'🎓 Alumnas'!$A$2:$A$1000,0))="","",INDEX('🎓 Alumnas'!$D$2:$D$1000,MATCH($W169,'🎓 Alumnas'!$A$2:$A$1000,0))),""))</f>
        <v/>
      </c>
      <c r="G169" s="28" t="str">
        <f aca="false">IF($W169="","",IFERROR(IF(INDEX('🎓 Alumnas'!$E$2:$E$1000,MATCH($W169,'🎓 Alumnas'!$A$2:$A$1000,0))="","",INDEX('🎓 Alumnas'!$E$2:$E$1000,MATCH($W169,'🎓 Alumnas'!$A$2:$A$1000,0))),""))</f>
        <v/>
      </c>
      <c r="H169" s="28" t="str">
        <f aca="false">IF($W169="","",IFERROR(IF(INDEX('🎓 Alumnas'!$F$2:$F$1000,MATCH($W169,'🎓 Alumnas'!$A$2:$A$1000,0))="","",INDEX('🎓 Alumnas'!$F$2:$F$1000,MATCH($W169,'🎓 Alumnas'!$A$2:$A$1000,0))),""))</f>
        <v/>
      </c>
      <c r="I169" s="30" t="str">
        <f aca="false">IF($W169="","",IFERROR(IF(INDEX('🎓 Alumnas'!$G$2:$G$1000,MATCH($W169,'🎓 Alumnas'!$A$2:$A$1000,0))="","",INDEX('🎓 Alumnas'!$G$2:$G$1000,MATCH($W169,'🎓 Alumnas'!$A$2:$A$1000,0))),""))</f>
        <v/>
      </c>
      <c r="J169" s="28" t="str">
        <f aca="true">IF(I169="","",DATEDIF(I169,TODAY(),"Y"))</f>
        <v/>
      </c>
      <c r="K169" s="25"/>
      <c r="L169" s="28" t="str">
        <f aca="false">IF(K169="","",IF(LEFT(K169,6)="1 Pole","Alquiler",IF(LEFT(K169,7)="1 Clase","Clase suelta","Paquete")))</f>
        <v/>
      </c>
      <c r="M169" s="25"/>
      <c r="N169" s="25"/>
      <c r="O169" s="35"/>
      <c r="P169" s="29" t="str">
        <f aca="false">IF(O169="","",N169*O169)</f>
        <v/>
      </c>
      <c r="Q169" s="36"/>
      <c r="R169" s="25"/>
      <c r="S169" s="25"/>
      <c r="T169" s="28" t="str">
        <f aca="false">IF(OR(LEFT(W169,2)&lt;&gt;"A-",ISERROR(MATCH(W169,'🎓 Alumnas'!$A$2:$A$1000,0))),"",IF(COUNTIF($W$2:W169,W169)=1,"Nueva","Recurrente"))</f>
        <v/>
      </c>
      <c r="U169" s="28" t="str">
        <f aca="false">IF(OR(T169="",L169&lt;&gt;"Paquete"),"",COUNTIFS($W$2:W169,W169,$L$2:L169,"Paquete"))</f>
        <v/>
      </c>
      <c r="V169" s="25"/>
      <c r="W169" s="34" t="str">
        <f aca="false">IF(TRIM($C169)="","",IF(COUNTIF('🎓 Alumnas'!$P$2:$P$1000,TRIM($C169))&gt;0,INDEX('🎓 Alumnas'!$A$2:$A$1000,MATCH(TRIM($C169),'🎓 Alumnas'!$P$2:$P$1000,0)),IF(COUNTIF('🎓 Alumnas'!$O$2:$O$1000,TRIM($C169)&amp;"|*")=1,INDEX('🎓 Alumnas'!$A$2:$A$1000,MATCH(TRIM($C169)&amp;"|*",'🎓 Alumnas'!$O$2:$O$1000,0)),IF(COUNTIF('🎓 Alumnas'!$O$2:$O$1000,"*|"&amp;TRIM($C169))=1,INDEX('🎓 Alumnas'!$A$2:$A$1000,MATCH("*|"&amp;TRIM($C169),'🎓 Alumnas'!$O$2:$O$1000,0)),IF(COUNTIF('🎓 Alumnas'!$Q$2:$Q$1000,TRIM($C169))=1,INDEX('🎓 Alumnas'!$A$2:$A$1000,MATCH(TRIM($C169),'🎓 Alumnas'!$Q$2:$Q$1000,0)),IF(COUNTIF('🎓 Alumnas'!$P$2:$P$1000,"*"&amp;TRIM($C169)&amp;"*")=1,INDEX('🎓 Alumnas'!$A$2:$A$1000,MATCH("*"&amp;TRIM($C169)&amp;"*",'🎓 Alumnas'!$P$2:$P$1000,0)),IF(COUNTIF('🎓 Alumnas'!$Q$2:$Q$1000,"*"&amp;TRIM($C169)&amp;"*")=1,INDEX('🎓 Alumnas'!$A$2:$A$1000,MATCH("*"&amp;TRIM($C169)&amp;"*",'🎓 Alumnas'!$Q$2:$Q$1000,0)),IF(COUNTIF('🎓 Alumnas'!$P$2:$P$1000,"*"&amp;TRIM($C169)&amp;"*")+COUNTIF('🎓 Alumnas'!$Q$2:$Q$1000,"*"&amp;TRIM($C169)&amp;"*")&gt;1,"Varias: elige de la lista","No encontrada"))))))))</f>
        <v/>
      </c>
    </row>
    <row r="170" customFormat="false" ht="14.25" hidden="false" customHeight="true" outlineLevel="0" collapsed="false">
      <c r="A170" s="25" t="s">
        <v>715</v>
      </c>
      <c r="B170" s="27"/>
      <c r="C170" s="25"/>
      <c r="D170" s="34" t="str">
        <f aca="false">IF($W170="","",IFERROR(TRIM(INDEX('🎓 Alumnas'!$B$2:$B$1000,MATCH($W170,'🎓 Alumnas'!$A$2:$A$1000,0))),""))</f>
        <v/>
      </c>
      <c r="E170" s="34" t="str">
        <f aca="false">IF($W170="","",IFERROR(TRIM(INDEX('🎓 Alumnas'!$C$2:$C$1000,MATCH($W170,'🎓 Alumnas'!$A$2:$A$1000,0))),""))</f>
        <v/>
      </c>
      <c r="F170" s="34" t="str">
        <f aca="false">IF($W170="","",IFERROR(IF(INDEX('🎓 Alumnas'!$D$2:$D$1000,MATCH($W170,'🎓 Alumnas'!$A$2:$A$1000,0))="","",INDEX('🎓 Alumnas'!$D$2:$D$1000,MATCH($W170,'🎓 Alumnas'!$A$2:$A$1000,0))),""))</f>
        <v/>
      </c>
      <c r="G170" s="28" t="str">
        <f aca="false">IF($W170="","",IFERROR(IF(INDEX('🎓 Alumnas'!$E$2:$E$1000,MATCH($W170,'🎓 Alumnas'!$A$2:$A$1000,0))="","",INDEX('🎓 Alumnas'!$E$2:$E$1000,MATCH($W170,'🎓 Alumnas'!$A$2:$A$1000,0))),""))</f>
        <v/>
      </c>
      <c r="H170" s="28" t="str">
        <f aca="false">IF($W170="","",IFERROR(IF(INDEX('🎓 Alumnas'!$F$2:$F$1000,MATCH($W170,'🎓 Alumnas'!$A$2:$A$1000,0))="","",INDEX('🎓 Alumnas'!$F$2:$F$1000,MATCH($W170,'🎓 Alumnas'!$A$2:$A$1000,0))),""))</f>
        <v/>
      </c>
      <c r="I170" s="30" t="str">
        <f aca="false">IF($W170="","",IFERROR(IF(INDEX('🎓 Alumnas'!$G$2:$G$1000,MATCH($W170,'🎓 Alumnas'!$A$2:$A$1000,0))="","",INDEX('🎓 Alumnas'!$G$2:$G$1000,MATCH($W170,'🎓 Alumnas'!$A$2:$A$1000,0))),""))</f>
        <v/>
      </c>
      <c r="J170" s="28" t="str">
        <f aca="true">IF(I170="","",DATEDIF(I170,TODAY(),"Y"))</f>
        <v/>
      </c>
      <c r="K170" s="25"/>
      <c r="L170" s="28" t="str">
        <f aca="false">IF(K170="","",IF(LEFT(K170,6)="1 Pole","Alquiler",IF(LEFT(K170,7)="1 Clase","Clase suelta","Paquete")))</f>
        <v/>
      </c>
      <c r="M170" s="25"/>
      <c r="N170" s="25"/>
      <c r="O170" s="35"/>
      <c r="P170" s="29" t="str">
        <f aca="false">IF(O170="","",N170*O170)</f>
        <v/>
      </c>
      <c r="Q170" s="36"/>
      <c r="R170" s="25"/>
      <c r="S170" s="25"/>
      <c r="T170" s="28" t="str">
        <f aca="false">IF(OR(LEFT(W170,2)&lt;&gt;"A-",ISERROR(MATCH(W170,'🎓 Alumnas'!$A$2:$A$1000,0))),"",IF(COUNTIF($W$2:W170,W170)=1,"Nueva","Recurrente"))</f>
        <v/>
      </c>
      <c r="U170" s="28" t="str">
        <f aca="false">IF(OR(T170="",L170&lt;&gt;"Paquete"),"",COUNTIFS($W$2:W170,W170,$L$2:L170,"Paquete"))</f>
        <v/>
      </c>
      <c r="V170" s="25"/>
      <c r="W170" s="34" t="str">
        <f aca="false">IF(TRIM($C170)="","",IF(COUNTIF('🎓 Alumnas'!$P$2:$P$1000,TRIM($C170))&gt;0,INDEX('🎓 Alumnas'!$A$2:$A$1000,MATCH(TRIM($C170),'🎓 Alumnas'!$P$2:$P$1000,0)),IF(COUNTIF('🎓 Alumnas'!$O$2:$O$1000,TRIM($C170)&amp;"|*")=1,INDEX('🎓 Alumnas'!$A$2:$A$1000,MATCH(TRIM($C170)&amp;"|*",'🎓 Alumnas'!$O$2:$O$1000,0)),IF(COUNTIF('🎓 Alumnas'!$O$2:$O$1000,"*|"&amp;TRIM($C170))=1,INDEX('🎓 Alumnas'!$A$2:$A$1000,MATCH("*|"&amp;TRIM($C170),'🎓 Alumnas'!$O$2:$O$1000,0)),IF(COUNTIF('🎓 Alumnas'!$Q$2:$Q$1000,TRIM($C170))=1,INDEX('🎓 Alumnas'!$A$2:$A$1000,MATCH(TRIM($C170),'🎓 Alumnas'!$Q$2:$Q$1000,0)),IF(COUNTIF('🎓 Alumnas'!$P$2:$P$1000,"*"&amp;TRIM($C170)&amp;"*")=1,INDEX('🎓 Alumnas'!$A$2:$A$1000,MATCH("*"&amp;TRIM($C170)&amp;"*",'🎓 Alumnas'!$P$2:$P$1000,0)),IF(COUNTIF('🎓 Alumnas'!$Q$2:$Q$1000,"*"&amp;TRIM($C170)&amp;"*")=1,INDEX('🎓 Alumnas'!$A$2:$A$1000,MATCH("*"&amp;TRIM($C170)&amp;"*",'🎓 Alumnas'!$Q$2:$Q$1000,0)),IF(COUNTIF('🎓 Alumnas'!$P$2:$P$1000,"*"&amp;TRIM($C170)&amp;"*")+COUNTIF('🎓 Alumnas'!$Q$2:$Q$1000,"*"&amp;TRIM($C170)&amp;"*")&gt;1,"Varias: elige de la lista","No encontrada"))))))))</f>
        <v/>
      </c>
    </row>
    <row r="171" customFormat="false" ht="14.25" hidden="false" customHeight="true" outlineLevel="0" collapsed="false">
      <c r="A171" s="25" t="s">
        <v>716</v>
      </c>
      <c r="B171" s="27"/>
      <c r="C171" s="25"/>
      <c r="D171" s="34" t="str">
        <f aca="false">IF($W171="","",IFERROR(TRIM(INDEX('🎓 Alumnas'!$B$2:$B$1000,MATCH($W171,'🎓 Alumnas'!$A$2:$A$1000,0))),""))</f>
        <v/>
      </c>
      <c r="E171" s="34" t="str">
        <f aca="false">IF($W171="","",IFERROR(TRIM(INDEX('🎓 Alumnas'!$C$2:$C$1000,MATCH($W171,'🎓 Alumnas'!$A$2:$A$1000,0))),""))</f>
        <v/>
      </c>
      <c r="F171" s="34" t="str">
        <f aca="false">IF($W171="","",IFERROR(IF(INDEX('🎓 Alumnas'!$D$2:$D$1000,MATCH($W171,'🎓 Alumnas'!$A$2:$A$1000,0))="","",INDEX('🎓 Alumnas'!$D$2:$D$1000,MATCH($W171,'🎓 Alumnas'!$A$2:$A$1000,0))),""))</f>
        <v/>
      </c>
      <c r="G171" s="28" t="str">
        <f aca="false">IF($W171="","",IFERROR(IF(INDEX('🎓 Alumnas'!$E$2:$E$1000,MATCH($W171,'🎓 Alumnas'!$A$2:$A$1000,0))="","",INDEX('🎓 Alumnas'!$E$2:$E$1000,MATCH($W171,'🎓 Alumnas'!$A$2:$A$1000,0))),""))</f>
        <v/>
      </c>
      <c r="H171" s="28" t="str">
        <f aca="false">IF($W171="","",IFERROR(IF(INDEX('🎓 Alumnas'!$F$2:$F$1000,MATCH($W171,'🎓 Alumnas'!$A$2:$A$1000,0))="","",INDEX('🎓 Alumnas'!$F$2:$F$1000,MATCH($W171,'🎓 Alumnas'!$A$2:$A$1000,0))),""))</f>
        <v/>
      </c>
      <c r="I171" s="30" t="str">
        <f aca="false">IF($W171="","",IFERROR(IF(INDEX('🎓 Alumnas'!$G$2:$G$1000,MATCH($W171,'🎓 Alumnas'!$A$2:$A$1000,0))="","",INDEX('🎓 Alumnas'!$G$2:$G$1000,MATCH($W171,'🎓 Alumnas'!$A$2:$A$1000,0))),""))</f>
        <v/>
      </c>
      <c r="J171" s="28" t="str">
        <f aca="true">IF(I171="","",DATEDIF(I171,TODAY(),"Y"))</f>
        <v/>
      </c>
      <c r="K171" s="25"/>
      <c r="L171" s="28" t="str">
        <f aca="false">IF(K171="","",IF(LEFT(K171,6)="1 Pole","Alquiler",IF(LEFT(K171,7)="1 Clase","Clase suelta","Paquete")))</f>
        <v/>
      </c>
      <c r="M171" s="25"/>
      <c r="N171" s="25"/>
      <c r="O171" s="35"/>
      <c r="P171" s="29" t="str">
        <f aca="false">IF(O171="","",N171*O171)</f>
        <v/>
      </c>
      <c r="Q171" s="36"/>
      <c r="R171" s="25"/>
      <c r="S171" s="25"/>
      <c r="T171" s="28" t="str">
        <f aca="false">IF(OR(LEFT(W171,2)&lt;&gt;"A-",ISERROR(MATCH(W171,'🎓 Alumnas'!$A$2:$A$1000,0))),"",IF(COUNTIF($W$2:W171,W171)=1,"Nueva","Recurrente"))</f>
        <v/>
      </c>
      <c r="U171" s="28" t="str">
        <f aca="false">IF(OR(T171="",L171&lt;&gt;"Paquete"),"",COUNTIFS($W$2:W171,W171,$L$2:L171,"Paquete"))</f>
        <v/>
      </c>
      <c r="V171" s="25"/>
      <c r="W171" s="34" t="str">
        <f aca="false">IF(TRIM($C171)="","",IF(COUNTIF('🎓 Alumnas'!$P$2:$P$1000,TRIM($C171))&gt;0,INDEX('🎓 Alumnas'!$A$2:$A$1000,MATCH(TRIM($C171),'🎓 Alumnas'!$P$2:$P$1000,0)),IF(COUNTIF('🎓 Alumnas'!$O$2:$O$1000,TRIM($C171)&amp;"|*")=1,INDEX('🎓 Alumnas'!$A$2:$A$1000,MATCH(TRIM($C171)&amp;"|*",'🎓 Alumnas'!$O$2:$O$1000,0)),IF(COUNTIF('🎓 Alumnas'!$O$2:$O$1000,"*|"&amp;TRIM($C171))=1,INDEX('🎓 Alumnas'!$A$2:$A$1000,MATCH("*|"&amp;TRIM($C171),'🎓 Alumnas'!$O$2:$O$1000,0)),IF(COUNTIF('🎓 Alumnas'!$Q$2:$Q$1000,TRIM($C171))=1,INDEX('🎓 Alumnas'!$A$2:$A$1000,MATCH(TRIM($C171),'🎓 Alumnas'!$Q$2:$Q$1000,0)),IF(COUNTIF('🎓 Alumnas'!$P$2:$P$1000,"*"&amp;TRIM($C171)&amp;"*")=1,INDEX('🎓 Alumnas'!$A$2:$A$1000,MATCH("*"&amp;TRIM($C171)&amp;"*",'🎓 Alumnas'!$P$2:$P$1000,0)),IF(COUNTIF('🎓 Alumnas'!$Q$2:$Q$1000,"*"&amp;TRIM($C171)&amp;"*")=1,INDEX('🎓 Alumnas'!$A$2:$A$1000,MATCH("*"&amp;TRIM($C171)&amp;"*",'🎓 Alumnas'!$Q$2:$Q$1000,0)),IF(COUNTIF('🎓 Alumnas'!$P$2:$P$1000,"*"&amp;TRIM($C171)&amp;"*")+COUNTIF('🎓 Alumnas'!$Q$2:$Q$1000,"*"&amp;TRIM($C171)&amp;"*")&gt;1,"Varias: elige de la lista","No encontrada"))))))))</f>
        <v/>
      </c>
    </row>
    <row r="172" customFormat="false" ht="14.25" hidden="false" customHeight="true" outlineLevel="0" collapsed="false">
      <c r="A172" s="25" t="s">
        <v>717</v>
      </c>
      <c r="B172" s="27"/>
      <c r="C172" s="25"/>
      <c r="D172" s="34" t="str">
        <f aca="false">IF($W172="","",IFERROR(TRIM(INDEX('🎓 Alumnas'!$B$2:$B$1000,MATCH($W172,'🎓 Alumnas'!$A$2:$A$1000,0))),""))</f>
        <v/>
      </c>
      <c r="E172" s="34" t="str">
        <f aca="false">IF($W172="","",IFERROR(TRIM(INDEX('🎓 Alumnas'!$C$2:$C$1000,MATCH($W172,'🎓 Alumnas'!$A$2:$A$1000,0))),""))</f>
        <v/>
      </c>
      <c r="F172" s="34" t="str">
        <f aca="false">IF($W172="","",IFERROR(IF(INDEX('🎓 Alumnas'!$D$2:$D$1000,MATCH($W172,'🎓 Alumnas'!$A$2:$A$1000,0))="","",INDEX('🎓 Alumnas'!$D$2:$D$1000,MATCH($W172,'🎓 Alumnas'!$A$2:$A$1000,0))),""))</f>
        <v/>
      </c>
      <c r="G172" s="28" t="str">
        <f aca="false">IF($W172="","",IFERROR(IF(INDEX('🎓 Alumnas'!$E$2:$E$1000,MATCH($W172,'🎓 Alumnas'!$A$2:$A$1000,0))="","",INDEX('🎓 Alumnas'!$E$2:$E$1000,MATCH($W172,'🎓 Alumnas'!$A$2:$A$1000,0))),""))</f>
        <v/>
      </c>
      <c r="H172" s="28" t="str">
        <f aca="false">IF($W172="","",IFERROR(IF(INDEX('🎓 Alumnas'!$F$2:$F$1000,MATCH($W172,'🎓 Alumnas'!$A$2:$A$1000,0))="","",INDEX('🎓 Alumnas'!$F$2:$F$1000,MATCH($W172,'🎓 Alumnas'!$A$2:$A$1000,0))),""))</f>
        <v/>
      </c>
      <c r="I172" s="30" t="str">
        <f aca="false">IF($W172="","",IFERROR(IF(INDEX('🎓 Alumnas'!$G$2:$G$1000,MATCH($W172,'🎓 Alumnas'!$A$2:$A$1000,0))="","",INDEX('🎓 Alumnas'!$G$2:$G$1000,MATCH($W172,'🎓 Alumnas'!$A$2:$A$1000,0))),""))</f>
        <v/>
      </c>
      <c r="J172" s="28" t="str">
        <f aca="true">IF(I172="","",DATEDIF(I172,TODAY(),"Y"))</f>
        <v/>
      </c>
      <c r="K172" s="25"/>
      <c r="L172" s="28" t="str">
        <f aca="false">IF(K172="","",IF(LEFT(K172,6)="1 Pole","Alquiler",IF(LEFT(K172,7)="1 Clase","Clase suelta","Paquete")))</f>
        <v/>
      </c>
      <c r="M172" s="25"/>
      <c r="N172" s="25"/>
      <c r="O172" s="35"/>
      <c r="P172" s="29" t="str">
        <f aca="false">IF(O172="","",N172*O172)</f>
        <v/>
      </c>
      <c r="Q172" s="36"/>
      <c r="R172" s="25"/>
      <c r="S172" s="25"/>
      <c r="T172" s="28" t="str">
        <f aca="false">IF(OR(LEFT(W172,2)&lt;&gt;"A-",ISERROR(MATCH(W172,'🎓 Alumnas'!$A$2:$A$1000,0))),"",IF(COUNTIF($W$2:W172,W172)=1,"Nueva","Recurrente"))</f>
        <v/>
      </c>
      <c r="U172" s="28" t="str">
        <f aca="false">IF(OR(T172="",L172&lt;&gt;"Paquete"),"",COUNTIFS($W$2:W172,W172,$L$2:L172,"Paquete"))</f>
        <v/>
      </c>
      <c r="V172" s="25"/>
      <c r="W172" s="34" t="str">
        <f aca="false">IF(TRIM($C172)="","",IF(COUNTIF('🎓 Alumnas'!$P$2:$P$1000,TRIM($C172))&gt;0,INDEX('🎓 Alumnas'!$A$2:$A$1000,MATCH(TRIM($C172),'🎓 Alumnas'!$P$2:$P$1000,0)),IF(COUNTIF('🎓 Alumnas'!$O$2:$O$1000,TRIM($C172)&amp;"|*")=1,INDEX('🎓 Alumnas'!$A$2:$A$1000,MATCH(TRIM($C172)&amp;"|*",'🎓 Alumnas'!$O$2:$O$1000,0)),IF(COUNTIF('🎓 Alumnas'!$O$2:$O$1000,"*|"&amp;TRIM($C172))=1,INDEX('🎓 Alumnas'!$A$2:$A$1000,MATCH("*|"&amp;TRIM($C172),'🎓 Alumnas'!$O$2:$O$1000,0)),IF(COUNTIF('🎓 Alumnas'!$Q$2:$Q$1000,TRIM($C172))=1,INDEX('🎓 Alumnas'!$A$2:$A$1000,MATCH(TRIM($C172),'🎓 Alumnas'!$Q$2:$Q$1000,0)),IF(COUNTIF('🎓 Alumnas'!$P$2:$P$1000,"*"&amp;TRIM($C172)&amp;"*")=1,INDEX('🎓 Alumnas'!$A$2:$A$1000,MATCH("*"&amp;TRIM($C172)&amp;"*",'🎓 Alumnas'!$P$2:$P$1000,0)),IF(COUNTIF('🎓 Alumnas'!$Q$2:$Q$1000,"*"&amp;TRIM($C172)&amp;"*")=1,INDEX('🎓 Alumnas'!$A$2:$A$1000,MATCH("*"&amp;TRIM($C172)&amp;"*",'🎓 Alumnas'!$Q$2:$Q$1000,0)),IF(COUNTIF('🎓 Alumnas'!$P$2:$P$1000,"*"&amp;TRIM($C172)&amp;"*")+COUNTIF('🎓 Alumnas'!$Q$2:$Q$1000,"*"&amp;TRIM($C172)&amp;"*")&gt;1,"Varias: elige de la lista","No encontrada"))))))))</f>
        <v/>
      </c>
    </row>
    <row r="173" customFormat="false" ht="14.25" hidden="false" customHeight="true" outlineLevel="0" collapsed="false">
      <c r="A173" s="25" t="s">
        <v>718</v>
      </c>
      <c r="B173" s="27"/>
      <c r="C173" s="25"/>
      <c r="D173" s="34" t="str">
        <f aca="false">IF($W173="","",IFERROR(TRIM(INDEX('🎓 Alumnas'!$B$2:$B$1000,MATCH($W173,'🎓 Alumnas'!$A$2:$A$1000,0))),""))</f>
        <v/>
      </c>
      <c r="E173" s="34" t="str">
        <f aca="false">IF($W173="","",IFERROR(TRIM(INDEX('🎓 Alumnas'!$C$2:$C$1000,MATCH($W173,'🎓 Alumnas'!$A$2:$A$1000,0))),""))</f>
        <v/>
      </c>
      <c r="F173" s="34" t="str">
        <f aca="false">IF($W173="","",IFERROR(IF(INDEX('🎓 Alumnas'!$D$2:$D$1000,MATCH($W173,'🎓 Alumnas'!$A$2:$A$1000,0))="","",INDEX('🎓 Alumnas'!$D$2:$D$1000,MATCH($W173,'🎓 Alumnas'!$A$2:$A$1000,0))),""))</f>
        <v/>
      </c>
      <c r="G173" s="28" t="str">
        <f aca="false">IF($W173="","",IFERROR(IF(INDEX('🎓 Alumnas'!$E$2:$E$1000,MATCH($W173,'🎓 Alumnas'!$A$2:$A$1000,0))="","",INDEX('🎓 Alumnas'!$E$2:$E$1000,MATCH($W173,'🎓 Alumnas'!$A$2:$A$1000,0))),""))</f>
        <v/>
      </c>
      <c r="H173" s="28" t="str">
        <f aca="false">IF($W173="","",IFERROR(IF(INDEX('🎓 Alumnas'!$F$2:$F$1000,MATCH($W173,'🎓 Alumnas'!$A$2:$A$1000,0))="","",INDEX('🎓 Alumnas'!$F$2:$F$1000,MATCH($W173,'🎓 Alumnas'!$A$2:$A$1000,0))),""))</f>
        <v/>
      </c>
      <c r="I173" s="30" t="str">
        <f aca="false">IF($W173="","",IFERROR(IF(INDEX('🎓 Alumnas'!$G$2:$G$1000,MATCH($W173,'🎓 Alumnas'!$A$2:$A$1000,0))="","",INDEX('🎓 Alumnas'!$G$2:$G$1000,MATCH($W173,'🎓 Alumnas'!$A$2:$A$1000,0))),""))</f>
        <v/>
      </c>
      <c r="J173" s="28" t="str">
        <f aca="true">IF(I173="","",DATEDIF(I173,TODAY(),"Y"))</f>
        <v/>
      </c>
      <c r="K173" s="25"/>
      <c r="L173" s="28" t="str">
        <f aca="false">IF(K173="","",IF(LEFT(K173,6)="1 Pole","Alquiler",IF(LEFT(K173,7)="1 Clase","Clase suelta","Paquete")))</f>
        <v/>
      </c>
      <c r="M173" s="25"/>
      <c r="N173" s="25"/>
      <c r="O173" s="35"/>
      <c r="P173" s="29" t="str">
        <f aca="false">IF(O173="","",N173*O173)</f>
        <v/>
      </c>
      <c r="Q173" s="36"/>
      <c r="R173" s="25"/>
      <c r="S173" s="25"/>
      <c r="T173" s="28" t="str">
        <f aca="false">IF(OR(LEFT(W173,2)&lt;&gt;"A-",ISERROR(MATCH(W173,'🎓 Alumnas'!$A$2:$A$1000,0))),"",IF(COUNTIF($W$2:W173,W173)=1,"Nueva","Recurrente"))</f>
        <v/>
      </c>
      <c r="U173" s="28" t="str">
        <f aca="false">IF(OR(T173="",L173&lt;&gt;"Paquete"),"",COUNTIFS($W$2:W173,W173,$L$2:L173,"Paquete"))</f>
        <v/>
      </c>
      <c r="V173" s="25"/>
      <c r="W173" s="34" t="str">
        <f aca="false">IF(TRIM($C173)="","",IF(COUNTIF('🎓 Alumnas'!$P$2:$P$1000,TRIM($C173))&gt;0,INDEX('🎓 Alumnas'!$A$2:$A$1000,MATCH(TRIM($C173),'🎓 Alumnas'!$P$2:$P$1000,0)),IF(COUNTIF('🎓 Alumnas'!$O$2:$O$1000,TRIM($C173)&amp;"|*")=1,INDEX('🎓 Alumnas'!$A$2:$A$1000,MATCH(TRIM($C173)&amp;"|*",'🎓 Alumnas'!$O$2:$O$1000,0)),IF(COUNTIF('🎓 Alumnas'!$O$2:$O$1000,"*|"&amp;TRIM($C173))=1,INDEX('🎓 Alumnas'!$A$2:$A$1000,MATCH("*|"&amp;TRIM($C173),'🎓 Alumnas'!$O$2:$O$1000,0)),IF(COUNTIF('🎓 Alumnas'!$Q$2:$Q$1000,TRIM($C173))=1,INDEX('🎓 Alumnas'!$A$2:$A$1000,MATCH(TRIM($C173),'🎓 Alumnas'!$Q$2:$Q$1000,0)),IF(COUNTIF('🎓 Alumnas'!$P$2:$P$1000,"*"&amp;TRIM($C173)&amp;"*")=1,INDEX('🎓 Alumnas'!$A$2:$A$1000,MATCH("*"&amp;TRIM($C173)&amp;"*",'🎓 Alumnas'!$P$2:$P$1000,0)),IF(COUNTIF('🎓 Alumnas'!$Q$2:$Q$1000,"*"&amp;TRIM($C173)&amp;"*")=1,INDEX('🎓 Alumnas'!$A$2:$A$1000,MATCH("*"&amp;TRIM($C173)&amp;"*",'🎓 Alumnas'!$Q$2:$Q$1000,0)),IF(COUNTIF('🎓 Alumnas'!$P$2:$P$1000,"*"&amp;TRIM($C173)&amp;"*")+COUNTIF('🎓 Alumnas'!$Q$2:$Q$1000,"*"&amp;TRIM($C173)&amp;"*")&gt;1,"Varias: elige de la lista","No encontrada"))))))))</f>
        <v/>
      </c>
    </row>
    <row r="174" customFormat="false" ht="14.25" hidden="false" customHeight="true" outlineLevel="0" collapsed="false">
      <c r="A174" s="25" t="s">
        <v>719</v>
      </c>
      <c r="B174" s="27"/>
      <c r="C174" s="25"/>
      <c r="D174" s="34" t="str">
        <f aca="false">IF($W174="","",IFERROR(TRIM(INDEX('🎓 Alumnas'!$B$2:$B$1000,MATCH($W174,'🎓 Alumnas'!$A$2:$A$1000,0))),""))</f>
        <v/>
      </c>
      <c r="E174" s="34" t="str">
        <f aca="false">IF($W174="","",IFERROR(TRIM(INDEX('🎓 Alumnas'!$C$2:$C$1000,MATCH($W174,'🎓 Alumnas'!$A$2:$A$1000,0))),""))</f>
        <v/>
      </c>
      <c r="F174" s="34" t="str">
        <f aca="false">IF($W174="","",IFERROR(IF(INDEX('🎓 Alumnas'!$D$2:$D$1000,MATCH($W174,'🎓 Alumnas'!$A$2:$A$1000,0))="","",INDEX('🎓 Alumnas'!$D$2:$D$1000,MATCH($W174,'🎓 Alumnas'!$A$2:$A$1000,0))),""))</f>
        <v/>
      </c>
      <c r="G174" s="28" t="str">
        <f aca="false">IF($W174="","",IFERROR(IF(INDEX('🎓 Alumnas'!$E$2:$E$1000,MATCH($W174,'🎓 Alumnas'!$A$2:$A$1000,0))="","",INDEX('🎓 Alumnas'!$E$2:$E$1000,MATCH($W174,'🎓 Alumnas'!$A$2:$A$1000,0))),""))</f>
        <v/>
      </c>
      <c r="H174" s="28" t="str">
        <f aca="false">IF($W174="","",IFERROR(IF(INDEX('🎓 Alumnas'!$F$2:$F$1000,MATCH($W174,'🎓 Alumnas'!$A$2:$A$1000,0))="","",INDEX('🎓 Alumnas'!$F$2:$F$1000,MATCH($W174,'🎓 Alumnas'!$A$2:$A$1000,0))),""))</f>
        <v/>
      </c>
      <c r="I174" s="30" t="str">
        <f aca="false">IF($W174="","",IFERROR(IF(INDEX('🎓 Alumnas'!$G$2:$G$1000,MATCH($W174,'🎓 Alumnas'!$A$2:$A$1000,0))="","",INDEX('🎓 Alumnas'!$G$2:$G$1000,MATCH($W174,'🎓 Alumnas'!$A$2:$A$1000,0))),""))</f>
        <v/>
      </c>
      <c r="J174" s="28" t="str">
        <f aca="true">IF(I174="","",DATEDIF(I174,TODAY(),"Y"))</f>
        <v/>
      </c>
      <c r="K174" s="25"/>
      <c r="L174" s="28" t="str">
        <f aca="false">IF(K174="","",IF(LEFT(K174,6)="1 Pole","Alquiler",IF(LEFT(K174,7)="1 Clase","Clase suelta","Paquete")))</f>
        <v/>
      </c>
      <c r="M174" s="25"/>
      <c r="N174" s="25"/>
      <c r="O174" s="35"/>
      <c r="P174" s="29" t="str">
        <f aca="false">IF(O174="","",N174*O174)</f>
        <v/>
      </c>
      <c r="Q174" s="36"/>
      <c r="R174" s="25"/>
      <c r="S174" s="25"/>
      <c r="T174" s="28" t="str">
        <f aca="false">IF(OR(LEFT(W174,2)&lt;&gt;"A-",ISERROR(MATCH(W174,'🎓 Alumnas'!$A$2:$A$1000,0))),"",IF(COUNTIF($W$2:W174,W174)=1,"Nueva","Recurrente"))</f>
        <v/>
      </c>
      <c r="U174" s="28" t="str">
        <f aca="false">IF(OR(T174="",L174&lt;&gt;"Paquete"),"",COUNTIFS($W$2:W174,W174,$L$2:L174,"Paquete"))</f>
        <v/>
      </c>
      <c r="V174" s="25"/>
      <c r="W174" s="34" t="str">
        <f aca="false">IF(TRIM($C174)="","",IF(COUNTIF('🎓 Alumnas'!$P$2:$P$1000,TRIM($C174))&gt;0,INDEX('🎓 Alumnas'!$A$2:$A$1000,MATCH(TRIM($C174),'🎓 Alumnas'!$P$2:$P$1000,0)),IF(COUNTIF('🎓 Alumnas'!$O$2:$O$1000,TRIM($C174)&amp;"|*")=1,INDEX('🎓 Alumnas'!$A$2:$A$1000,MATCH(TRIM($C174)&amp;"|*",'🎓 Alumnas'!$O$2:$O$1000,0)),IF(COUNTIF('🎓 Alumnas'!$O$2:$O$1000,"*|"&amp;TRIM($C174))=1,INDEX('🎓 Alumnas'!$A$2:$A$1000,MATCH("*|"&amp;TRIM($C174),'🎓 Alumnas'!$O$2:$O$1000,0)),IF(COUNTIF('🎓 Alumnas'!$Q$2:$Q$1000,TRIM($C174))=1,INDEX('🎓 Alumnas'!$A$2:$A$1000,MATCH(TRIM($C174),'🎓 Alumnas'!$Q$2:$Q$1000,0)),IF(COUNTIF('🎓 Alumnas'!$P$2:$P$1000,"*"&amp;TRIM($C174)&amp;"*")=1,INDEX('🎓 Alumnas'!$A$2:$A$1000,MATCH("*"&amp;TRIM($C174)&amp;"*",'🎓 Alumnas'!$P$2:$P$1000,0)),IF(COUNTIF('🎓 Alumnas'!$Q$2:$Q$1000,"*"&amp;TRIM($C174)&amp;"*")=1,INDEX('🎓 Alumnas'!$A$2:$A$1000,MATCH("*"&amp;TRIM($C174)&amp;"*",'🎓 Alumnas'!$Q$2:$Q$1000,0)),IF(COUNTIF('🎓 Alumnas'!$P$2:$P$1000,"*"&amp;TRIM($C174)&amp;"*")+COUNTIF('🎓 Alumnas'!$Q$2:$Q$1000,"*"&amp;TRIM($C174)&amp;"*")&gt;1,"Varias: elige de la lista","No encontrada"))))))))</f>
        <v/>
      </c>
    </row>
    <row r="175" customFormat="false" ht="14.25" hidden="false" customHeight="true" outlineLevel="0" collapsed="false">
      <c r="A175" s="25" t="s">
        <v>720</v>
      </c>
      <c r="B175" s="27"/>
      <c r="C175" s="25"/>
      <c r="D175" s="34" t="str">
        <f aca="false">IF($W175="","",IFERROR(TRIM(INDEX('🎓 Alumnas'!$B$2:$B$1000,MATCH($W175,'🎓 Alumnas'!$A$2:$A$1000,0))),""))</f>
        <v/>
      </c>
      <c r="E175" s="34" t="str">
        <f aca="false">IF($W175="","",IFERROR(TRIM(INDEX('🎓 Alumnas'!$C$2:$C$1000,MATCH($W175,'🎓 Alumnas'!$A$2:$A$1000,0))),""))</f>
        <v/>
      </c>
      <c r="F175" s="34" t="str">
        <f aca="false">IF($W175="","",IFERROR(IF(INDEX('🎓 Alumnas'!$D$2:$D$1000,MATCH($W175,'🎓 Alumnas'!$A$2:$A$1000,0))="","",INDEX('🎓 Alumnas'!$D$2:$D$1000,MATCH($W175,'🎓 Alumnas'!$A$2:$A$1000,0))),""))</f>
        <v/>
      </c>
      <c r="G175" s="28" t="str">
        <f aca="false">IF($W175="","",IFERROR(IF(INDEX('🎓 Alumnas'!$E$2:$E$1000,MATCH($W175,'🎓 Alumnas'!$A$2:$A$1000,0))="","",INDEX('🎓 Alumnas'!$E$2:$E$1000,MATCH($W175,'🎓 Alumnas'!$A$2:$A$1000,0))),""))</f>
        <v/>
      </c>
      <c r="H175" s="28" t="str">
        <f aca="false">IF($W175="","",IFERROR(IF(INDEX('🎓 Alumnas'!$F$2:$F$1000,MATCH($W175,'🎓 Alumnas'!$A$2:$A$1000,0))="","",INDEX('🎓 Alumnas'!$F$2:$F$1000,MATCH($W175,'🎓 Alumnas'!$A$2:$A$1000,0))),""))</f>
        <v/>
      </c>
      <c r="I175" s="30" t="str">
        <f aca="false">IF($W175="","",IFERROR(IF(INDEX('🎓 Alumnas'!$G$2:$G$1000,MATCH($W175,'🎓 Alumnas'!$A$2:$A$1000,0))="","",INDEX('🎓 Alumnas'!$G$2:$G$1000,MATCH($W175,'🎓 Alumnas'!$A$2:$A$1000,0))),""))</f>
        <v/>
      </c>
      <c r="J175" s="28" t="str">
        <f aca="true">IF(I175="","",DATEDIF(I175,TODAY(),"Y"))</f>
        <v/>
      </c>
      <c r="K175" s="25"/>
      <c r="L175" s="28" t="str">
        <f aca="false">IF(K175="","",IF(LEFT(K175,6)="1 Pole","Alquiler",IF(LEFT(K175,7)="1 Clase","Clase suelta","Paquete")))</f>
        <v/>
      </c>
      <c r="M175" s="25"/>
      <c r="N175" s="25"/>
      <c r="O175" s="35"/>
      <c r="P175" s="29" t="str">
        <f aca="false">IF(O175="","",N175*O175)</f>
        <v/>
      </c>
      <c r="Q175" s="36"/>
      <c r="R175" s="25"/>
      <c r="S175" s="25"/>
      <c r="T175" s="28" t="str">
        <f aca="false">IF(OR(LEFT(W175,2)&lt;&gt;"A-",ISERROR(MATCH(W175,'🎓 Alumnas'!$A$2:$A$1000,0))),"",IF(COUNTIF($W$2:W175,W175)=1,"Nueva","Recurrente"))</f>
        <v/>
      </c>
      <c r="U175" s="28" t="str">
        <f aca="false">IF(OR(T175="",L175&lt;&gt;"Paquete"),"",COUNTIFS($W$2:W175,W175,$L$2:L175,"Paquete"))</f>
        <v/>
      </c>
      <c r="V175" s="25"/>
      <c r="W175" s="34" t="str">
        <f aca="false">IF(TRIM($C175)="","",IF(COUNTIF('🎓 Alumnas'!$P$2:$P$1000,TRIM($C175))&gt;0,INDEX('🎓 Alumnas'!$A$2:$A$1000,MATCH(TRIM($C175),'🎓 Alumnas'!$P$2:$P$1000,0)),IF(COUNTIF('🎓 Alumnas'!$O$2:$O$1000,TRIM($C175)&amp;"|*")=1,INDEX('🎓 Alumnas'!$A$2:$A$1000,MATCH(TRIM($C175)&amp;"|*",'🎓 Alumnas'!$O$2:$O$1000,0)),IF(COUNTIF('🎓 Alumnas'!$O$2:$O$1000,"*|"&amp;TRIM($C175))=1,INDEX('🎓 Alumnas'!$A$2:$A$1000,MATCH("*|"&amp;TRIM($C175),'🎓 Alumnas'!$O$2:$O$1000,0)),IF(COUNTIF('🎓 Alumnas'!$Q$2:$Q$1000,TRIM($C175))=1,INDEX('🎓 Alumnas'!$A$2:$A$1000,MATCH(TRIM($C175),'🎓 Alumnas'!$Q$2:$Q$1000,0)),IF(COUNTIF('🎓 Alumnas'!$P$2:$P$1000,"*"&amp;TRIM($C175)&amp;"*")=1,INDEX('🎓 Alumnas'!$A$2:$A$1000,MATCH("*"&amp;TRIM($C175)&amp;"*",'🎓 Alumnas'!$P$2:$P$1000,0)),IF(COUNTIF('🎓 Alumnas'!$Q$2:$Q$1000,"*"&amp;TRIM($C175)&amp;"*")=1,INDEX('🎓 Alumnas'!$A$2:$A$1000,MATCH("*"&amp;TRIM($C175)&amp;"*",'🎓 Alumnas'!$Q$2:$Q$1000,0)),IF(COUNTIF('🎓 Alumnas'!$P$2:$P$1000,"*"&amp;TRIM($C175)&amp;"*")+COUNTIF('🎓 Alumnas'!$Q$2:$Q$1000,"*"&amp;TRIM($C175)&amp;"*")&gt;1,"Varias: elige de la lista","No encontrada"))))))))</f>
        <v/>
      </c>
    </row>
    <row r="176" customFormat="false" ht="14.25" hidden="false" customHeight="true" outlineLevel="0" collapsed="false">
      <c r="A176" s="25" t="s">
        <v>721</v>
      </c>
      <c r="B176" s="27"/>
      <c r="C176" s="25"/>
      <c r="D176" s="34" t="str">
        <f aca="false">IF($W176="","",IFERROR(TRIM(INDEX('🎓 Alumnas'!$B$2:$B$1000,MATCH($W176,'🎓 Alumnas'!$A$2:$A$1000,0))),""))</f>
        <v/>
      </c>
      <c r="E176" s="34" t="str">
        <f aca="false">IF($W176="","",IFERROR(TRIM(INDEX('🎓 Alumnas'!$C$2:$C$1000,MATCH($W176,'🎓 Alumnas'!$A$2:$A$1000,0))),""))</f>
        <v/>
      </c>
      <c r="F176" s="34" t="str">
        <f aca="false">IF($W176="","",IFERROR(IF(INDEX('🎓 Alumnas'!$D$2:$D$1000,MATCH($W176,'🎓 Alumnas'!$A$2:$A$1000,0))="","",INDEX('🎓 Alumnas'!$D$2:$D$1000,MATCH($W176,'🎓 Alumnas'!$A$2:$A$1000,0))),""))</f>
        <v/>
      </c>
      <c r="G176" s="28" t="str">
        <f aca="false">IF($W176="","",IFERROR(IF(INDEX('🎓 Alumnas'!$E$2:$E$1000,MATCH($W176,'🎓 Alumnas'!$A$2:$A$1000,0))="","",INDEX('🎓 Alumnas'!$E$2:$E$1000,MATCH($W176,'🎓 Alumnas'!$A$2:$A$1000,0))),""))</f>
        <v/>
      </c>
      <c r="H176" s="28" t="str">
        <f aca="false">IF($W176="","",IFERROR(IF(INDEX('🎓 Alumnas'!$F$2:$F$1000,MATCH($W176,'🎓 Alumnas'!$A$2:$A$1000,0))="","",INDEX('🎓 Alumnas'!$F$2:$F$1000,MATCH($W176,'🎓 Alumnas'!$A$2:$A$1000,0))),""))</f>
        <v/>
      </c>
      <c r="I176" s="30" t="str">
        <f aca="false">IF($W176="","",IFERROR(IF(INDEX('🎓 Alumnas'!$G$2:$G$1000,MATCH($W176,'🎓 Alumnas'!$A$2:$A$1000,0))="","",INDEX('🎓 Alumnas'!$G$2:$G$1000,MATCH($W176,'🎓 Alumnas'!$A$2:$A$1000,0))),""))</f>
        <v/>
      </c>
      <c r="J176" s="28" t="str">
        <f aca="true">IF(I176="","",DATEDIF(I176,TODAY(),"Y"))</f>
        <v/>
      </c>
      <c r="K176" s="25"/>
      <c r="L176" s="28" t="str">
        <f aca="false">IF(K176="","",IF(LEFT(K176,6)="1 Pole","Alquiler",IF(LEFT(K176,7)="1 Clase","Clase suelta","Paquete")))</f>
        <v/>
      </c>
      <c r="M176" s="25"/>
      <c r="N176" s="25"/>
      <c r="O176" s="35"/>
      <c r="P176" s="29" t="str">
        <f aca="false">IF(O176="","",N176*O176)</f>
        <v/>
      </c>
      <c r="Q176" s="36"/>
      <c r="R176" s="25"/>
      <c r="S176" s="25"/>
      <c r="T176" s="28" t="str">
        <f aca="false">IF(OR(LEFT(W176,2)&lt;&gt;"A-",ISERROR(MATCH(W176,'🎓 Alumnas'!$A$2:$A$1000,0))),"",IF(COUNTIF($W$2:W176,W176)=1,"Nueva","Recurrente"))</f>
        <v/>
      </c>
      <c r="U176" s="28" t="str">
        <f aca="false">IF(OR(T176="",L176&lt;&gt;"Paquete"),"",COUNTIFS($W$2:W176,W176,$L$2:L176,"Paquete"))</f>
        <v/>
      </c>
      <c r="V176" s="25"/>
      <c r="W176" s="34" t="str">
        <f aca="false">IF(TRIM($C176)="","",IF(COUNTIF('🎓 Alumnas'!$P$2:$P$1000,TRIM($C176))&gt;0,INDEX('🎓 Alumnas'!$A$2:$A$1000,MATCH(TRIM($C176),'🎓 Alumnas'!$P$2:$P$1000,0)),IF(COUNTIF('🎓 Alumnas'!$O$2:$O$1000,TRIM($C176)&amp;"|*")=1,INDEX('🎓 Alumnas'!$A$2:$A$1000,MATCH(TRIM($C176)&amp;"|*",'🎓 Alumnas'!$O$2:$O$1000,0)),IF(COUNTIF('🎓 Alumnas'!$O$2:$O$1000,"*|"&amp;TRIM($C176))=1,INDEX('🎓 Alumnas'!$A$2:$A$1000,MATCH("*|"&amp;TRIM($C176),'🎓 Alumnas'!$O$2:$O$1000,0)),IF(COUNTIF('🎓 Alumnas'!$Q$2:$Q$1000,TRIM($C176))=1,INDEX('🎓 Alumnas'!$A$2:$A$1000,MATCH(TRIM($C176),'🎓 Alumnas'!$Q$2:$Q$1000,0)),IF(COUNTIF('🎓 Alumnas'!$P$2:$P$1000,"*"&amp;TRIM($C176)&amp;"*")=1,INDEX('🎓 Alumnas'!$A$2:$A$1000,MATCH("*"&amp;TRIM($C176)&amp;"*",'🎓 Alumnas'!$P$2:$P$1000,0)),IF(COUNTIF('🎓 Alumnas'!$Q$2:$Q$1000,"*"&amp;TRIM($C176)&amp;"*")=1,INDEX('🎓 Alumnas'!$A$2:$A$1000,MATCH("*"&amp;TRIM($C176)&amp;"*",'🎓 Alumnas'!$Q$2:$Q$1000,0)),IF(COUNTIF('🎓 Alumnas'!$P$2:$P$1000,"*"&amp;TRIM($C176)&amp;"*")+COUNTIF('🎓 Alumnas'!$Q$2:$Q$1000,"*"&amp;TRIM($C176)&amp;"*")&gt;1,"Varias: elige de la lista","No encontrada"))))))))</f>
        <v/>
      </c>
    </row>
    <row r="177" customFormat="false" ht="14.25" hidden="false" customHeight="true" outlineLevel="0" collapsed="false">
      <c r="A177" s="25" t="s">
        <v>722</v>
      </c>
      <c r="B177" s="27"/>
      <c r="C177" s="25"/>
      <c r="D177" s="34" t="str">
        <f aca="false">IF($W177="","",IFERROR(TRIM(INDEX('🎓 Alumnas'!$B$2:$B$1000,MATCH($W177,'🎓 Alumnas'!$A$2:$A$1000,0))),""))</f>
        <v/>
      </c>
      <c r="E177" s="34" t="str">
        <f aca="false">IF($W177="","",IFERROR(TRIM(INDEX('🎓 Alumnas'!$C$2:$C$1000,MATCH($W177,'🎓 Alumnas'!$A$2:$A$1000,0))),""))</f>
        <v/>
      </c>
      <c r="F177" s="34" t="str">
        <f aca="false">IF($W177="","",IFERROR(IF(INDEX('🎓 Alumnas'!$D$2:$D$1000,MATCH($W177,'🎓 Alumnas'!$A$2:$A$1000,0))="","",INDEX('🎓 Alumnas'!$D$2:$D$1000,MATCH($W177,'🎓 Alumnas'!$A$2:$A$1000,0))),""))</f>
        <v/>
      </c>
      <c r="G177" s="28" t="str">
        <f aca="false">IF($W177="","",IFERROR(IF(INDEX('🎓 Alumnas'!$E$2:$E$1000,MATCH($W177,'🎓 Alumnas'!$A$2:$A$1000,0))="","",INDEX('🎓 Alumnas'!$E$2:$E$1000,MATCH($W177,'🎓 Alumnas'!$A$2:$A$1000,0))),""))</f>
        <v/>
      </c>
      <c r="H177" s="28" t="str">
        <f aca="false">IF($W177="","",IFERROR(IF(INDEX('🎓 Alumnas'!$F$2:$F$1000,MATCH($W177,'🎓 Alumnas'!$A$2:$A$1000,0))="","",INDEX('🎓 Alumnas'!$F$2:$F$1000,MATCH($W177,'🎓 Alumnas'!$A$2:$A$1000,0))),""))</f>
        <v/>
      </c>
      <c r="I177" s="30" t="str">
        <f aca="false">IF($W177="","",IFERROR(IF(INDEX('🎓 Alumnas'!$G$2:$G$1000,MATCH($W177,'🎓 Alumnas'!$A$2:$A$1000,0))="","",INDEX('🎓 Alumnas'!$G$2:$G$1000,MATCH($W177,'🎓 Alumnas'!$A$2:$A$1000,0))),""))</f>
        <v/>
      </c>
      <c r="J177" s="28" t="str">
        <f aca="true">IF(I177="","",DATEDIF(I177,TODAY(),"Y"))</f>
        <v/>
      </c>
      <c r="K177" s="25"/>
      <c r="L177" s="28" t="str">
        <f aca="false">IF(K177="","",IF(LEFT(K177,6)="1 Pole","Alquiler",IF(LEFT(K177,7)="1 Clase","Clase suelta","Paquete")))</f>
        <v/>
      </c>
      <c r="M177" s="25"/>
      <c r="N177" s="25"/>
      <c r="O177" s="35"/>
      <c r="P177" s="29" t="str">
        <f aca="false">IF(O177="","",N177*O177)</f>
        <v/>
      </c>
      <c r="Q177" s="36"/>
      <c r="R177" s="25"/>
      <c r="S177" s="25"/>
      <c r="T177" s="28" t="str">
        <f aca="false">IF(OR(LEFT(W177,2)&lt;&gt;"A-",ISERROR(MATCH(W177,'🎓 Alumnas'!$A$2:$A$1000,0))),"",IF(COUNTIF($W$2:W177,W177)=1,"Nueva","Recurrente"))</f>
        <v/>
      </c>
      <c r="U177" s="28" t="str">
        <f aca="false">IF(OR(T177="",L177&lt;&gt;"Paquete"),"",COUNTIFS($W$2:W177,W177,$L$2:L177,"Paquete"))</f>
        <v/>
      </c>
      <c r="V177" s="25"/>
      <c r="W177" s="34" t="str">
        <f aca="false">IF(TRIM($C177)="","",IF(COUNTIF('🎓 Alumnas'!$P$2:$P$1000,TRIM($C177))&gt;0,INDEX('🎓 Alumnas'!$A$2:$A$1000,MATCH(TRIM($C177),'🎓 Alumnas'!$P$2:$P$1000,0)),IF(COUNTIF('🎓 Alumnas'!$O$2:$O$1000,TRIM($C177)&amp;"|*")=1,INDEX('🎓 Alumnas'!$A$2:$A$1000,MATCH(TRIM($C177)&amp;"|*",'🎓 Alumnas'!$O$2:$O$1000,0)),IF(COUNTIF('🎓 Alumnas'!$O$2:$O$1000,"*|"&amp;TRIM($C177))=1,INDEX('🎓 Alumnas'!$A$2:$A$1000,MATCH("*|"&amp;TRIM($C177),'🎓 Alumnas'!$O$2:$O$1000,0)),IF(COUNTIF('🎓 Alumnas'!$Q$2:$Q$1000,TRIM($C177))=1,INDEX('🎓 Alumnas'!$A$2:$A$1000,MATCH(TRIM($C177),'🎓 Alumnas'!$Q$2:$Q$1000,0)),IF(COUNTIF('🎓 Alumnas'!$P$2:$P$1000,"*"&amp;TRIM($C177)&amp;"*")=1,INDEX('🎓 Alumnas'!$A$2:$A$1000,MATCH("*"&amp;TRIM($C177)&amp;"*",'🎓 Alumnas'!$P$2:$P$1000,0)),IF(COUNTIF('🎓 Alumnas'!$Q$2:$Q$1000,"*"&amp;TRIM($C177)&amp;"*")=1,INDEX('🎓 Alumnas'!$A$2:$A$1000,MATCH("*"&amp;TRIM($C177)&amp;"*",'🎓 Alumnas'!$Q$2:$Q$1000,0)),IF(COUNTIF('🎓 Alumnas'!$P$2:$P$1000,"*"&amp;TRIM($C177)&amp;"*")+COUNTIF('🎓 Alumnas'!$Q$2:$Q$1000,"*"&amp;TRIM($C177)&amp;"*")&gt;1,"Varias: elige de la lista","No encontrada"))))))))</f>
        <v/>
      </c>
    </row>
    <row r="178" customFormat="false" ht="14.25" hidden="false" customHeight="true" outlineLevel="0" collapsed="false">
      <c r="A178" s="25" t="s">
        <v>723</v>
      </c>
      <c r="B178" s="27"/>
      <c r="C178" s="25"/>
      <c r="D178" s="34" t="str">
        <f aca="false">IF($W178="","",IFERROR(TRIM(INDEX('🎓 Alumnas'!$B$2:$B$1000,MATCH($W178,'🎓 Alumnas'!$A$2:$A$1000,0))),""))</f>
        <v/>
      </c>
      <c r="E178" s="34" t="str">
        <f aca="false">IF($W178="","",IFERROR(TRIM(INDEX('🎓 Alumnas'!$C$2:$C$1000,MATCH($W178,'🎓 Alumnas'!$A$2:$A$1000,0))),""))</f>
        <v/>
      </c>
      <c r="F178" s="34" t="str">
        <f aca="false">IF($W178="","",IFERROR(IF(INDEX('🎓 Alumnas'!$D$2:$D$1000,MATCH($W178,'🎓 Alumnas'!$A$2:$A$1000,0))="","",INDEX('🎓 Alumnas'!$D$2:$D$1000,MATCH($W178,'🎓 Alumnas'!$A$2:$A$1000,0))),""))</f>
        <v/>
      </c>
      <c r="G178" s="28" t="str">
        <f aca="false">IF($W178="","",IFERROR(IF(INDEX('🎓 Alumnas'!$E$2:$E$1000,MATCH($W178,'🎓 Alumnas'!$A$2:$A$1000,0))="","",INDEX('🎓 Alumnas'!$E$2:$E$1000,MATCH($W178,'🎓 Alumnas'!$A$2:$A$1000,0))),""))</f>
        <v/>
      </c>
      <c r="H178" s="28" t="str">
        <f aca="false">IF($W178="","",IFERROR(IF(INDEX('🎓 Alumnas'!$F$2:$F$1000,MATCH($W178,'🎓 Alumnas'!$A$2:$A$1000,0))="","",INDEX('🎓 Alumnas'!$F$2:$F$1000,MATCH($W178,'🎓 Alumnas'!$A$2:$A$1000,0))),""))</f>
        <v/>
      </c>
      <c r="I178" s="30" t="str">
        <f aca="false">IF($W178="","",IFERROR(IF(INDEX('🎓 Alumnas'!$G$2:$G$1000,MATCH($W178,'🎓 Alumnas'!$A$2:$A$1000,0))="","",INDEX('🎓 Alumnas'!$G$2:$G$1000,MATCH($W178,'🎓 Alumnas'!$A$2:$A$1000,0))),""))</f>
        <v/>
      </c>
      <c r="J178" s="28" t="str">
        <f aca="true">IF(I178="","",DATEDIF(I178,TODAY(),"Y"))</f>
        <v/>
      </c>
      <c r="K178" s="25"/>
      <c r="L178" s="28" t="str">
        <f aca="false">IF(K178="","",IF(LEFT(K178,6)="1 Pole","Alquiler",IF(LEFT(K178,7)="1 Clase","Clase suelta","Paquete")))</f>
        <v/>
      </c>
      <c r="M178" s="25"/>
      <c r="N178" s="25"/>
      <c r="O178" s="35"/>
      <c r="P178" s="29" t="str">
        <f aca="false">IF(O178="","",N178*O178)</f>
        <v/>
      </c>
      <c r="Q178" s="36"/>
      <c r="R178" s="25"/>
      <c r="S178" s="25"/>
      <c r="T178" s="28" t="str">
        <f aca="false">IF(OR(LEFT(W178,2)&lt;&gt;"A-",ISERROR(MATCH(W178,'🎓 Alumnas'!$A$2:$A$1000,0))),"",IF(COUNTIF($W$2:W178,W178)=1,"Nueva","Recurrente"))</f>
        <v/>
      </c>
      <c r="U178" s="28" t="str">
        <f aca="false">IF(OR(T178="",L178&lt;&gt;"Paquete"),"",COUNTIFS($W$2:W178,W178,$L$2:L178,"Paquete"))</f>
        <v/>
      </c>
      <c r="V178" s="25"/>
      <c r="W178" s="34" t="str">
        <f aca="false">IF(TRIM($C178)="","",IF(COUNTIF('🎓 Alumnas'!$P$2:$P$1000,TRIM($C178))&gt;0,INDEX('🎓 Alumnas'!$A$2:$A$1000,MATCH(TRIM($C178),'🎓 Alumnas'!$P$2:$P$1000,0)),IF(COUNTIF('🎓 Alumnas'!$O$2:$O$1000,TRIM($C178)&amp;"|*")=1,INDEX('🎓 Alumnas'!$A$2:$A$1000,MATCH(TRIM($C178)&amp;"|*",'🎓 Alumnas'!$O$2:$O$1000,0)),IF(COUNTIF('🎓 Alumnas'!$O$2:$O$1000,"*|"&amp;TRIM($C178))=1,INDEX('🎓 Alumnas'!$A$2:$A$1000,MATCH("*|"&amp;TRIM($C178),'🎓 Alumnas'!$O$2:$O$1000,0)),IF(COUNTIF('🎓 Alumnas'!$Q$2:$Q$1000,TRIM($C178))=1,INDEX('🎓 Alumnas'!$A$2:$A$1000,MATCH(TRIM($C178),'🎓 Alumnas'!$Q$2:$Q$1000,0)),IF(COUNTIF('🎓 Alumnas'!$P$2:$P$1000,"*"&amp;TRIM($C178)&amp;"*")=1,INDEX('🎓 Alumnas'!$A$2:$A$1000,MATCH("*"&amp;TRIM($C178)&amp;"*",'🎓 Alumnas'!$P$2:$P$1000,0)),IF(COUNTIF('🎓 Alumnas'!$Q$2:$Q$1000,"*"&amp;TRIM($C178)&amp;"*")=1,INDEX('🎓 Alumnas'!$A$2:$A$1000,MATCH("*"&amp;TRIM($C178)&amp;"*",'🎓 Alumnas'!$Q$2:$Q$1000,0)),IF(COUNTIF('🎓 Alumnas'!$P$2:$P$1000,"*"&amp;TRIM($C178)&amp;"*")+COUNTIF('🎓 Alumnas'!$Q$2:$Q$1000,"*"&amp;TRIM($C178)&amp;"*")&gt;1,"Varias: elige de la lista","No encontrada"))))))))</f>
        <v/>
      </c>
    </row>
    <row r="179" customFormat="false" ht="14.25" hidden="false" customHeight="true" outlineLevel="0" collapsed="false">
      <c r="A179" s="25" t="s">
        <v>724</v>
      </c>
      <c r="B179" s="27"/>
      <c r="C179" s="25"/>
      <c r="D179" s="34" t="str">
        <f aca="false">IF($W179="","",IFERROR(TRIM(INDEX('🎓 Alumnas'!$B$2:$B$1000,MATCH($W179,'🎓 Alumnas'!$A$2:$A$1000,0))),""))</f>
        <v/>
      </c>
      <c r="E179" s="34" t="str">
        <f aca="false">IF($W179="","",IFERROR(TRIM(INDEX('🎓 Alumnas'!$C$2:$C$1000,MATCH($W179,'🎓 Alumnas'!$A$2:$A$1000,0))),""))</f>
        <v/>
      </c>
      <c r="F179" s="34" t="str">
        <f aca="false">IF($W179="","",IFERROR(IF(INDEX('🎓 Alumnas'!$D$2:$D$1000,MATCH($W179,'🎓 Alumnas'!$A$2:$A$1000,0))="","",INDEX('🎓 Alumnas'!$D$2:$D$1000,MATCH($W179,'🎓 Alumnas'!$A$2:$A$1000,0))),""))</f>
        <v/>
      </c>
      <c r="G179" s="28" t="str">
        <f aca="false">IF($W179="","",IFERROR(IF(INDEX('🎓 Alumnas'!$E$2:$E$1000,MATCH($W179,'🎓 Alumnas'!$A$2:$A$1000,0))="","",INDEX('🎓 Alumnas'!$E$2:$E$1000,MATCH($W179,'🎓 Alumnas'!$A$2:$A$1000,0))),""))</f>
        <v/>
      </c>
      <c r="H179" s="28" t="str">
        <f aca="false">IF($W179="","",IFERROR(IF(INDEX('🎓 Alumnas'!$F$2:$F$1000,MATCH($W179,'🎓 Alumnas'!$A$2:$A$1000,0))="","",INDEX('🎓 Alumnas'!$F$2:$F$1000,MATCH($W179,'🎓 Alumnas'!$A$2:$A$1000,0))),""))</f>
        <v/>
      </c>
      <c r="I179" s="30" t="str">
        <f aca="false">IF($W179="","",IFERROR(IF(INDEX('🎓 Alumnas'!$G$2:$G$1000,MATCH($W179,'🎓 Alumnas'!$A$2:$A$1000,0))="","",INDEX('🎓 Alumnas'!$G$2:$G$1000,MATCH($W179,'🎓 Alumnas'!$A$2:$A$1000,0))),""))</f>
        <v/>
      </c>
      <c r="J179" s="28" t="str">
        <f aca="true">IF(I179="","",DATEDIF(I179,TODAY(),"Y"))</f>
        <v/>
      </c>
      <c r="K179" s="25"/>
      <c r="L179" s="28" t="str">
        <f aca="false">IF(K179="","",IF(LEFT(K179,6)="1 Pole","Alquiler",IF(LEFT(K179,7)="1 Clase","Clase suelta","Paquete")))</f>
        <v/>
      </c>
      <c r="M179" s="25"/>
      <c r="N179" s="25"/>
      <c r="O179" s="35"/>
      <c r="P179" s="29" t="str">
        <f aca="false">IF(O179="","",N179*O179)</f>
        <v/>
      </c>
      <c r="Q179" s="36"/>
      <c r="R179" s="25"/>
      <c r="S179" s="25"/>
      <c r="T179" s="28" t="str">
        <f aca="false">IF(OR(LEFT(W179,2)&lt;&gt;"A-",ISERROR(MATCH(W179,'🎓 Alumnas'!$A$2:$A$1000,0))),"",IF(COUNTIF($W$2:W179,W179)=1,"Nueva","Recurrente"))</f>
        <v/>
      </c>
      <c r="U179" s="28" t="str">
        <f aca="false">IF(OR(T179="",L179&lt;&gt;"Paquete"),"",COUNTIFS($W$2:W179,W179,$L$2:L179,"Paquete"))</f>
        <v/>
      </c>
      <c r="V179" s="25"/>
      <c r="W179" s="34" t="str">
        <f aca="false">IF(TRIM($C179)="","",IF(COUNTIF('🎓 Alumnas'!$P$2:$P$1000,TRIM($C179))&gt;0,INDEX('🎓 Alumnas'!$A$2:$A$1000,MATCH(TRIM($C179),'🎓 Alumnas'!$P$2:$P$1000,0)),IF(COUNTIF('🎓 Alumnas'!$O$2:$O$1000,TRIM($C179)&amp;"|*")=1,INDEX('🎓 Alumnas'!$A$2:$A$1000,MATCH(TRIM($C179)&amp;"|*",'🎓 Alumnas'!$O$2:$O$1000,0)),IF(COUNTIF('🎓 Alumnas'!$O$2:$O$1000,"*|"&amp;TRIM($C179))=1,INDEX('🎓 Alumnas'!$A$2:$A$1000,MATCH("*|"&amp;TRIM($C179),'🎓 Alumnas'!$O$2:$O$1000,0)),IF(COUNTIF('🎓 Alumnas'!$Q$2:$Q$1000,TRIM($C179))=1,INDEX('🎓 Alumnas'!$A$2:$A$1000,MATCH(TRIM($C179),'🎓 Alumnas'!$Q$2:$Q$1000,0)),IF(COUNTIF('🎓 Alumnas'!$P$2:$P$1000,"*"&amp;TRIM($C179)&amp;"*")=1,INDEX('🎓 Alumnas'!$A$2:$A$1000,MATCH("*"&amp;TRIM($C179)&amp;"*",'🎓 Alumnas'!$P$2:$P$1000,0)),IF(COUNTIF('🎓 Alumnas'!$Q$2:$Q$1000,"*"&amp;TRIM($C179)&amp;"*")=1,INDEX('🎓 Alumnas'!$A$2:$A$1000,MATCH("*"&amp;TRIM($C179)&amp;"*",'🎓 Alumnas'!$Q$2:$Q$1000,0)),IF(COUNTIF('🎓 Alumnas'!$P$2:$P$1000,"*"&amp;TRIM($C179)&amp;"*")+COUNTIF('🎓 Alumnas'!$Q$2:$Q$1000,"*"&amp;TRIM($C179)&amp;"*")&gt;1,"Varias: elige de la lista","No encontrada"))))))))</f>
        <v/>
      </c>
    </row>
    <row r="180" customFormat="false" ht="14.25" hidden="false" customHeight="true" outlineLevel="0" collapsed="false">
      <c r="A180" s="25" t="s">
        <v>725</v>
      </c>
      <c r="B180" s="27"/>
      <c r="C180" s="25"/>
      <c r="D180" s="34" t="str">
        <f aca="false">IF($W180="","",IFERROR(TRIM(INDEX('🎓 Alumnas'!$B$2:$B$1000,MATCH($W180,'🎓 Alumnas'!$A$2:$A$1000,0))),""))</f>
        <v/>
      </c>
      <c r="E180" s="34" t="str">
        <f aca="false">IF($W180="","",IFERROR(TRIM(INDEX('🎓 Alumnas'!$C$2:$C$1000,MATCH($W180,'🎓 Alumnas'!$A$2:$A$1000,0))),""))</f>
        <v/>
      </c>
      <c r="F180" s="34" t="str">
        <f aca="false">IF($W180="","",IFERROR(IF(INDEX('🎓 Alumnas'!$D$2:$D$1000,MATCH($W180,'🎓 Alumnas'!$A$2:$A$1000,0))="","",INDEX('🎓 Alumnas'!$D$2:$D$1000,MATCH($W180,'🎓 Alumnas'!$A$2:$A$1000,0))),""))</f>
        <v/>
      </c>
      <c r="G180" s="28" t="str">
        <f aca="false">IF($W180="","",IFERROR(IF(INDEX('🎓 Alumnas'!$E$2:$E$1000,MATCH($W180,'🎓 Alumnas'!$A$2:$A$1000,0))="","",INDEX('🎓 Alumnas'!$E$2:$E$1000,MATCH($W180,'🎓 Alumnas'!$A$2:$A$1000,0))),""))</f>
        <v/>
      </c>
      <c r="H180" s="28" t="str">
        <f aca="false">IF($W180="","",IFERROR(IF(INDEX('🎓 Alumnas'!$F$2:$F$1000,MATCH($W180,'🎓 Alumnas'!$A$2:$A$1000,0))="","",INDEX('🎓 Alumnas'!$F$2:$F$1000,MATCH($W180,'🎓 Alumnas'!$A$2:$A$1000,0))),""))</f>
        <v/>
      </c>
      <c r="I180" s="30" t="str">
        <f aca="false">IF($W180="","",IFERROR(IF(INDEX('🎓 Alumnas'!$G$2:$G$1000,MATCH($W180,'🎓 Alumnas'!$A$2:$A$1000,0))="","",INDEX('🎓 Alumnas'!$G$2:$G$1000,MATCH($W180,'🎓 Alumnas'!$A$2:$A$1000,0))),""))</f>
        <v/>
      </c>
      <c r="J180" s="28" t="str">
        <f aca="true">IF(I180="","",DATEDIF(I180,TODAY(),"Y"))</f>
        <v/>
      </c>
      <c r="K180" s="25"/>
      <c r="L180" s="28" t="str">
        <f aca="false">IF(K180="","",IF(LEFT(K180,6)="1 Pole","Alquiler",IF(LEFT(K180,7)="1 Clase","Clase suelta","Paquete")))</f>
        <v/>
      </c>
      <c r="M180" s="25"/>
      <c r="N180" s="25"/>
      <c r="O180" s="35"/>
      <c r="P180" s="29" t="str">
        <f aca="false">IF(O180="","",N180*O180)</f>
        <v/>
      </c>
      <c r="Q180" s="36"/>
      <c r="R180" s="25"/>
      <c r="S180" s="25"/>
      <c r="T180" s="28" t="str">
        <f aca="false">IF(OR(LEFT(W180,2)&lt;&gt;"A-",ISERROR(MATCH(W180,'🎓 Alumnas'!$A$2:$A$1000,0))),"",IF(COUNTIF($W$2:W180,W180)=1,"Nueva","Recurrente"))</f>
        <v/>
      </c>
      <c r="U180" s="28" t="str">
        <f aca="false">IF(OR(T180="",L180&lt;&gt;"Paquete"),"",COUNTIFS($W$2:W180,W180,$L$2:L180,"Paquete"))</f>
        <v/>
      </c>
      <c r="V180" s="25"/>
      <c r="W180" s="34" t="str">
        <f aca="false">IF(TRIM($C180)="","",IF(COUNTIF('🎓 Alumnas'!$P$2:$P$1000,TRIM($C180))&gt;0,INDEX('🎓 Alumnas'!$A$2:$A$1000,MATCH(TRIM($C180),'🎓 Alumnas'!$P$2:$P$1000,0)),IF(COUNTIF('🎓 Alumnas'!$O$2:$O$1000,TRIM($C180)&amp;"|*")=1,INDEX('🎓 Alumnas'!$A$2:$A$1000,MATCH(TRIM($C180)&amp;"|*",'🎓 Alumnas'!$O$2:$O$1000,0)),IF(COUNTIF('🎓 Alumnas'!$O$2:$O$1000,"*|"&amp;TRIM($C180))=1,INDEX('🎓 Alumnas'!$A$2:$A$1000,MATCH("*|"&amp;TRIM($C180),'🎓 Alumnas'!$O$2:$O$1000,0)),IF(COUNTIF('🎓 Alumnas'!$Q$2:$Q$1000,TRIM($C180))=1,INDEX('🎓 Alumnas'!$A$2:$A$1000,MATCH(TRIM($C180),'🎓 Alumnas'!$Q$2:$Q$1000,0)),IF(COUNTIF('🎓 Alumnas'!$P$2:$P$1000,"*"&amp;TRIM($C180)&amp;"*")=1,INDEX('🎓 Alumnas'!$A$2:$A$1000,MATCH("*"&amp;TRIM($C180)&amp;"*",'🎓 Alumnas'!$P$2:$P$1000,0)),IF(COUNTIF('🎓 Alumnas'!$Q$2:$Q$1000,"*"&amp;TRIM($C180)&amp;"*")=1,INDEX('🎓 Alumnas'!$A$2:$A$1000,MATCH("*"&amp;TRIM($C180)&amp;"*",'🎓 Alumnas'!$Q$2:$Q$1000,0)),IF(COUNTIF('🎓 Alumnas'!$P$2:$P$1000,"*"&amp;TRIM($C180)&amp;"*")+COUNTIF('🎓 Alumnas'!$Q$2:$Q$1000,"*"&amp;TRIM($C180)&amp;"*")&gt;1,"Varias: elige de la lista","No encontrada"))))))))</f>
        <v/>
      </c>
    </row>
    <row r="181" customFormat="false" ht="14.25" hidden="false" customHeight="true" outlineLevel="0" collapsed="false">
      <c r="A181" s="25" t="s">
        <v>726</v>
      </c>
      <c r="B181" s="27"/>
      <c r="C181" s="25"/>
      <c r="D181" s="34" t="str">
        <f aca="false">IF($W181="","",IFERROR(TRIM(INDEX('🎓 Alumnas'!$B$2:$B$1000,MATCH($W181,'🎓 Alumnas'!$A$2:$A$1000,0))),""))</f>
        <v/>
      </c>
      <c r="E181" s="34" t="str">
        <f aca="false">IF($W181="","",IFERROR(TRIM(INDEX('🎓 Alumnas'!$C$2:$C$1000,MATCH($W181,'🎓 Alumnas'!$A$2:$A$1000,0))),""))</f>
        <v/>
      </c>
      <c r="F181" s="34" t="str">
        <f aca="false">IF($W181="","",IFERROR(IF(INDEX('🎓 Alumnas'!$D$2:$D$1000,MATCH($W181,'🎓 Alumnas'!$A$2:$A$1000,0))="","",INDEX('🎓 Alumnas'!$D$2:$D$1000,MATCH($W181,'🎓 Alumnas'!$A$2:$A$1000,0))),""))</f>
        <v/>
      </c>
      <c r="G181" s="28" t="str">
        <f aca="false">IF($W181="","",IFERROR(IF(INDEX('🎓 Alumnas'!$E$2:$E$1000,MATCH($W181,'🎓 Alumnas'!$A$2:$A$1000,0))="","",INDEX('🎓 Alumnas'!$E$2:$E$1000,MATCH($W181,'🎓 Alumnas'!$A$2:$A$1000,0))),""))</f>
        <v/>
      </c>
      <c r="H181" s="28" t="str">
        <f aca="false">IF($W181="","",IFERROR(IF(INDEX('🎓 Alumnas'!$F$2:$F$1000,MATCH($W181,'🎓 Alumnas'!$A$2:$A$1000,0))="","",INDEX('🎓 Alumnas'!$F$2:$F$1000,MATCH($W181,'🎓 Alumnas'!$A$2:$A$1000,0))),""))</f>
        <v/>
      </c>
      <c r="I181" s="30" t="str">
        <f aca="false">IF($W181="","",IFERROR(IF(INDEX('🎓 Alumnas'!$G$2:$G$1000,MATCH($W181,'🎓 Alumnas'!$A$2:$A$1000,0))="","",INDEX('🎓 Alumnas'!$G$2:$G$1000,MATCH($W181,'🎓 Alumnas'!$A$2:$A$1000,0))),""))</f>
        <v/>
      </c>
      <c r="J181" s="28" t="str">
        <f aca="true">IF(I181="","",DATEDIF(I181,TODAY(),"Y"))</f>
        <v/>
      </c>
      <c r="K181" s="25"/>
      <c r="L181" s="28" t="str">
        <f aca="false">IF(K181="","",IF(LEFT(K181,6)="1 Pole","Alquiler",IF(LEFT(K181,7)="1 Clase","Clase suelta","Paquete")))</f>
        <v/>
      </c>
      <c r="M181" s="25"/>
      <c r="N181" s="25"/>
      <c r="O181" s="35"/>
      <c r="P181" s="29" t="str">
        <f aca="false">IF(O181="","",N181*O181)</f>
        <v/>
      </c>
      <c r="Q181" s="36"/>
      <c r="R181" s="25"/>
      <c r="S181" s="25"/>
      <c r="T181" s="28" t="str">
        <f aca="false">IF(OR(LEFT(W181,2)&lt;&gt;"A-",ISERROR(MATCH(W181,'🎓 Alumnas'!$A$2:$A$1000,0))),"",IF(COUNTIF($W$2:W181,W181)=1,"Nueva","Recurrente"))</f>
        <v/>
      </c>
      <c r="U181" s="28" t="str">
        <f aca="false">IF(OR(T181="",L181&lt;&gt;"Paquete"),"",COUNTIFS($W$2:W181,W181,$L$2:L181,"Paquete"))</f>
        <v/>
      </c>
      <c r="V181" s="25"/>
      <c r="W181" s="34" t="str">
        <f aca="false">IF(TRIM($C181)="","",IF(COUNTIF('🎓 Alumnas'!$P$2:$P$1000,TRIM($C181))&gt;0,INDEX('🎓 Alumnas'!$A$2:$A$1000,MATCH(TRIM($C181),'🎓 Alumnas'!$P$2:$P$1000,0)),IF(COUNTIF('🎓 Alumnas'!$O$2:$O$1000,TRIM($C181)&amp;"|*")=1,INDEX('🎓 Alumnas'!$A$2:$A$1000,MATCH(TRIM($C181)&amp;"|*",'🎓 Alumnas'!$O$2:$O$1000,0)),IF(COUNTIF('🎓 Alumnas'!$O$2:$O$1000,"*|"&amp;TRIM($C181))=1,INDEX('🎓 Alumnas'!$A$2:$A$1000,MATCH("*|"&amp;TRIM($C181),'🎓 Alumnas'!$O$2:$O$1000,0)),IF(COUNTIF('🎓 Alumnas'!$Q$2:$Q$1000,TRIM($C181))=1,INDEX('🎓 Alumnas'!$A$2:$A$1000,MATCH(TRIM($C181),'🎓 Alumnas'!$Q$2:$Q$1000,0)),IF(COUNTIF('🎓 Alumnas'!$P$2:$P$1000,"*"&amp;TRIM($C181)&amp;"*")=1,INDEX('🎓 Alumnas'!$A$2:$A$1000,MATCH("*"&amp;TRIM($C181)&amp;"*",'🎓 Alumnas'!$P$2:$P$1000,0)),IF(COUNTIF('🎓 Alumnas'!$Q$2:$Q$1000,"*"&amp;TRIM($C181)&amp;"*")=1,INDEX('🎓 Alumnas'!$A$2:$A$1000,MATCH("*"&amp;TRIM($C181)&amp;"*",'🎓 Alumnas'!$Q$2:$Q$1000,0)),IF(COUNTIF('🎓 Alumnas'!$P$2:$P$1000,"*"&amp;TRIM($C181)&amp;"*")+COUNTIF('🎓 Alumnas'!$Q$2:$Q$1000,"*"&amp;TRIM($C181)&amp;"*")&gt;1,"Varias: elige de la lista","No encontrada"))))))))</f>
        <v/>
      </c>
    </row>
    <row r="182" customFormat="false" ht="14.25" hidden="false" customHeight="true" outlineLevel="0" collapsed="false">
      <c r="A182" s="25" t="s">
        <v>727</v>
      </c>
      <c r="B182" s="27"/>
      <c r="C182" s="25"/>
      <c r="D182" s="34" t="str">
        <f aca="false">IF($W182="","",IFERROR(TRIM(INDEX('🎓 Alumnas'!$B$2:$B$1000,MATCH($W182,'🎓 Alumnas'!$A$2:$A$1000,0))),""))</f>
        <v/>
      </c>
      <c r="E182" s="34" t="str">
        <f aca="false">IF($W182="","",IFERROR(TRIM(INDEX('🎓 Alumnas'!$C$2:$C$1000,MATCH($W182,'🎓 Alumnas'!$A$2:$A$1000,0))),""))</f>
        <v/>
      </c>
      <c r="F182" s="34" t="str">
        <f aca="false">IF($W182="","",IFERROR(IF(INDEX('🎓 Alumnas'!$D$2:$D$1000,MATCH($W182,'🎓 Alumnas'!$A$2:$A$1000,0))="","",INDEX('🎓 Alumnas'!$D$2:$D$1000,MATCH($W182,'🎓 Alumnas'!$A$2:$A$1000,0))),""))</f>
        <v/>
      </c>
      <c r="G182" s="28" t="str">
        <f aca="false">IF($W182="","",IFERROR(IF(INDEX('🎓 Alumnas'!$E$2:$E$1000,MATCH($W182,'🎓 Alumnas'!$A$2:$A$1000,0))="","",INDEX('🎓 Alumnas'!$E$2:$E$1000,MATCH($W182,'🎓 Alumnas'!$A$2:$A$1000,0))),""))</f>
        <v/>
      </c>
      <c r="H182" s="28" t="str">
        <f aca="false">IF($W182="","",IFERROR(IF(INDEX('🎓 Alumnas'!$F$2:$F$1000,MATCH($W182,'🎓 Alumnas'!$A$2:$A$1000,0))="","",INDEX('🎓 Alumnas'!$F$2:$F$1000,MATCH($W182,'🎓 Alumnas'!$A$2:$A$1000,0))),""))</f>
        <v/>
      </c>
      <c r="I182" s="30" t="str">
        <f aca="false">IF($W182="","",IFERROR(IF(INDEX('🎓 Alumnas'!$G$2:$G$1000,MATCH($W182,'🎓 Alumnas'!$A$2:$A$1000,0))="","",INDEX('🎓 Alumnas'!$G$2:$G$1000,MATCH($W182,'🎓 Alumnas'!$A$2:$A$1000,0))),""))</f>
        <v/>
      </c>
      <c r="J182" s="28" t="str">
        <f aca="true">IF(I182="","",DATEDIF(I182,TODAY(),"Y"))</f>
        <v/>
      </c>
      <c r="K182" s="25"/>
      <c r="L182" s="28" t="str">
        <f aca="false">IF(K182="","",IF(LEFT(K182,6)="1 Pole","Alquiler",IF(LEFT(K182,7)="1 Clase","Clase suelta","Paquete")))</f>
        <v/>
      </c>
      <c r="M182" s="25"/>
      <c r="N182" s="25"/>
      <c r="O182" s="35"/>
      <c r="P182" s="29" t="str">
        <f aca="false">IF(O182="","",N182*O182)</f>
        <v/>
      </c>
      <c r="Q182" s="36"/>
      <c r="R182" s="25"/>
      <c r="S182" s="25"/>
      <c r="T182" s="28" t="str">
        <f aca="false">IF(OR(LEFT(W182,2)&lt;&gt;"A-",ISERROR(MATCH(W182,'🎓 Alumnas'!$A$2:$A$1000,0))),"",IF(COUNTIF($W$2:W182,W182)=1,"Nueva","Recurrente"))</f>
        <v/>
      </c>
      <c r="U182" s="28" t="str">
        <f aca="false">IF(OR(T182="",L182&lt;&gt;"Paquete"),"",COUNTIFS($W$2:W182,W182,$L$2:L182,"Paquete"))</f>
        <v/>
      </c>
      <c r="V182" s="25"/>
      <c r="W182" s="34" t="str">
        <f aca="false">IF(TRIM($C182)="","",IF(COUNTIF('🎓 Alumnas'!$P$2:$P$1000,TRIM($C182))&gt;0,INDEX('🎓 Alumnas'!$A$2:$A$1000,MATCH(TRIM($C182),'🎓 Alumnas'!$P$2:$P$1000,0)),IF(COUNTIF('🎓 Alumnas'!$O$2:$O$1000,TRIM($C182)&amp;"|*")=1,INDEX('🎓 Alumnas'!$A$2:$A$1000,MATCH(TRIM($C182)&amp;"|*",'🎓 Alumnas'!$O$2:$O$1000,0)),IF(COUNTIF('🎓 Alumnas'!$O$2:$O$1000,"*|"&amp;TRIM($C182))=1,INDEX('🎓 Alumnas'!$A$2:$A$1000,MATCH("*|"&amp;TRIM($C182),'🎓 Alumnas'!$O$2:$O$1000,0)),IF(COUNTIF('🎓 Alumnas'!$Q$2:$Q$1000,TRIM($C182))=1,INDEX('🎓 Alumnas'!$A$2:$A$1000,MATCH(TRIM($C182),'🎓 Alumnas'!$Q$2:$Q$1000,0)),IF(COUNTIF('🎓 Alumnas'!$P$2:$P$1000,"*"&amp;TRIM($C182)&amp;"*")=1,INDEX('🎓 Alumnas'!$A$2:$A$1000,MATCH("*"&amp;TRIM($C182)&amp;"*",'🎓 Alumnas'!$P$2:$P$1000,0)),IF(COUNTIF('🎓 Alumnas'!$Q$2:$Q$1000,"*"&amp;TRIM($C182)&amp;"*")=1,INDEX('🎓 Alumnas'!$A$2:$A$1000,MATCH("*"&amp;TRIM($C182)&amp;"*",'🎓 Alumnas'!$Q$2:$Q$1000,0)),IF(COUNTIF('🎓 Alumnas'!$P$2:$P$1000,"*"&amp;TRIM($C182)&amp;"*")+COUNTIF('🎓 Alumnas'!$Q$2:$Q$1000,"*"&amp;TRIM($C182)&amp;"*")&gt;1,"Varias: elige de la lista","No encontrada"))))))))</f>
        <v/>
      </c>
    </row>
    <row r="183" customFormat="false" ht="14.25" hidden="false" customHeight="true" outlineLevel="0" collapsed="false">
      <c r="A183" s="25" t="s">
        <v>728</v>
      </c>
      <c r="B183" s="27"/>
      <c r="C183" s="25"/>
      <c r="D183" s="34" t="str">
        <f aca="false">IF($W183="","",IFERROR(TRIM(INDEX('🎓 Alumnas'!$B$2:$B$1000,MATCH($W183,'🎓 Alumnas'!$A$2:$A$1000,0))),""))</f>
        <v/>
      </c>
      <c r="E183" s="34" t="str">
        <f aca="false">IF($W183="","",IFERROR(TRIM(INDEX('🎓 Alumnas'!$C$2:$C$1000,MATCH($W183,'🎓 Alumnas'!$A$2:$A$1000,0))),""))</f>
        <v/>
      </c>
      <c r="F183" s="34" t="str">
        <f aca="false">IF($W183="","",IFERROR(IF(INDEX('🎓 Alumnas'!$D$2:$D$1000,MATCH($W183,'🎓 Alumnas'!$A$2:$A$1000,0))="","",INDEX('🎓 Alumnas'!$D$2:$D$1000,MATCH($W183,'🎓 Alumnas'!$A$2:$A$1000,0))),""))</f>
        <v/>
      </c>
      <c r="G183" s="28" t="str">
        <f aca="false">IF($W183="","",IFERROR(IF(INDEX('🎓 Alumnas'!$E$2:$E$1000,MATCH($W183,'🎓 Alumnas'!$A$2:$A$1000,0))="","",INDEX('🎓 Alumnas'!$E$2:$E$1000,MATCH($W183,'🎓 Alumnas'!$A$2:$A$1000,0))),""))</f>
        <v/>
      </c>
      <c r="H183" s="28" t="str">
        <f aca="false">IF($W183="","",IFERROR(IF(INDEX('🎓 Alumnas'!$F$2:$F$1000,MATCH($W183,'🎓 Alumnas'!$A$2:$A$1000,0))="","",INDEX('🎓 Alumnas'!$F$2:$F$1000,MATCH($W183,'🎓 Alumnas'!$A$2:$A$1000,0))),""))</f>
        <v/>
      </c>
      <c r="I183" s="30" t="str">
        <f aca="false">IF($W183="","",IFERROR(IF(INDEX('🎓 Alumnas'!$G$2:$G$1000,MATCH($W183,'🎓 Alumnas'!$A$2:$A$1000,0))="","",INDEX('🎓 Alumnas'!$G$2:$G$1000,MATCH($W183,'🎓 Alumnas'!$A$2:$A$1000,0))),""))</f>
        <v/>
      </c>
      <c r="J183" s="28" t="str">
        <f aca="true">IF(I183="","",DATEDIF(I183,TODAY(),"Y"))</f>
        <v/>
      </c>
      <c r="K183" s="25"/>
      <c r="L183" s="28" t="str">
        <f aca="false">IF(K183="","",IF(LEFT(K183,6)="1 Pole","Alquiler",IF(LEFT(K183,7)="1 Clase","Clase suelta","Paquete")))</f>
        <v/>
      </c>
      <c r="M183" s="25"/>
      <c r="N183" s="25"/>
      <c r="O183" s="35"/>
      <c r="P183" s="29" t="str">
        <f aca="false">IF(O183="","",N183*O183)</f>
        <v/>
      </c>
      <c r="Q183" s="36"/>
      <c r="R183" s="25"/>
      <c r="S183" s="25"/>
      <c r="T183" s="28" t="str">
        <f aca="false">IF(OR(LEFT(W183,2)&lt;&gt;"A-",ISERROR(MATCH(W183,'🎓 Alumnas'!$A$2:$A$1000,0))),"",IF(COUNTIF($W$2:W183,W183)=1,"Nueva","Recurrente"))</f>
        <v/>
      </c>
      <c r="U183" s="28" t="str">
        <f aca="false">IF(OR(T183="",L183&lt;&gt;"Paquete"),"",COUNTIFS($W$2:W183,W183,$L$2:L183,"Paquete"))</f>
        <v/>
      </c>
      <c r="V183" s="25"/>
      <c r="W183" s="34" t="str">
        <f aca="false">IF(TRIM($C183)="","",IF(COUNTIF('🎓 Alumnas'!$P$2:$P$1000,TRIM($C183))&gt;0,INDEX('🎓 Alumnas'!$A$2:$A$1000,MATCH(TRIM($C183),'🎓 Alumnas'!$P$2:$P$1000,0)),IF(COUNTIF('🎓 Alumnas'!$O$2:$O$1000,TRIM($C183)&amp;"|*")=1,INDEX('🎓 Alumnas'!$A$2:$A$1000,MATCH(TRIM($C183)&amp;"|*",'🎓 Alumnas'!$O$2:$O$1000,0)),IF(COUNTIF('🎓 Alumnas'!$O$2:$O$1000,"*|"&amp;TRIM($C183))=1,INDEX('🎓 Alumnas'!$A$2:$A$1000,MATCH("*|"&amp;TRIM($C183),'🎓 Alumnas'!$O$2:$O$1000,0)),IF(COUNTIF('🎓 Alumnas'!$Q$2:$Q$1000,TRIM($C183))=1,INDEX('🎓 Alumnas'!$A$2:$A$1000,MATCH(TRIM($C183),'🎓 Alumnas'!$Q$2:$Q$1000,0)),IF(COUNTIF('🎓 Alumnas'!$P$2:$P$1000,"*"&amp;TRIM($C183)&amp;"*")=1,INDEX('🎓 Alumnas'!$A$2:$A$1000,MATCH("*"&amp;TRIM($C183)&amp;"*",'🎓 Alumnas'!$P$2:$P$1000,0)),IF(COUNTIF('🎓 Alumnas'!$Q$2:$Q$1000,"*"&amp;TRIM($C183)&amp;"*")=1,INDEX('🎓 Alumnas'!$A$2:$A$1000,MATCH("*"&amp;TRIM($C183)&amp;"*",'🎓 Alumnas'!$Q$2:$Q$1000,0)),IF(COUNTIF('🎓 Alumnas'!$P$2:$P$1000,"*"&amp;TRIM($C183)&amp;"*")+COUNTIF('🎓 Alumnas'!$Q$2:$Q$1000,"*"&amp;TRIM($C183)&amp;"*")&gt;1,"Varias: elige de la lista","No encontrada"))))))))</f>
        <v/>
      </c>
    </row>
    <row r="184" customFormat="false" ht="14.25" hidden="false" customHeight="true" outlineLevel="0" collapsed="false">
      <c r="A184" s="25" t="s">
        <v>729</v>
      </c>
      <c r="B184" s="27"/>
      <c r="C184" s="25"/>
      <c r="D184" s="34" t="str">
        <f aca="false">IF($W184="","",IFERROR(TRIM(INDEX('🎓 Alumnas'!$B$2:$B$1000,MATCH($W184,'🎓 Alumnas'!$A$2:$A$1000,0))),""))</f>
        <v/>
      </c>
      <c r="E184" s="34" t="str">
        <f aca="false">IF($W184="","",IFERROR(TRIM(INDEX('🎓 Alumnas'!$C$2:$C$1000,MATCH($W184,'🎓 Alumnas'!$A$2:$A$1000,0))),""))</f>
        <v/>
      </c>
      <c r="F184" s="34" t="str">
        <f aca="false">IF($W184="","",IFERROR(IF(INDEX('🎓 Alumnas'!$D$2:$D$1000,MATCH($W184,'🎓 Alumnas'!$A$2:$A$1000,0))="","",INDEX('🎓 Alumnas'!$D$2:$D$1000,MATCH($W184,'🎓 Alumnas'!$A$2:$A$1000,0))),""))</f>
        <v/>
      </c>
      <c r="G184" s="28" t="str">
        <f aca="false">IF($W184="","",IFERROR(IF(INDEX('🎓 Alumnas'!$E$2:$E$1000,MATCH($W184,'🎓 Alumnas'!$A$2:$A$1000,0))="","",INDEX('🎓 Alumnas'!$E$2:$E$1000,MATCH($W184,'🎓 Alumnas'!$A$2:$A$1000,0))),""))</f>
        <v/>
      </c>
      <c r="H184" s="28" t="str">
        <f aca="false">IF($W184="","",IFERROR(IF(INDEX('🎓 Alumnas'!$F$2:$F$1000,MATCH($W184,'🎓 Alumnas'!$A$2:$A$1000,0))="","",INDEX('🎓 Alumnas'!$F$2:$F$1000,MATCH($W184,'🎓 Alumnas'!$A$2:$A$1000,0))),""))</f>
        <v/>
      </c>
      <c r="I184" s="30" t="str">
        <f aca="false">IF($W184="","",IFERROR(IF(INDEX('🎓 Alumnas'!$G$2:$G$1000,MATCH($W184,'🎓 Alumnas'!$A$2:$A$1000,0))="","",INDEX('🎓 Alumnas'!$G$2:$G$1000,MATCH($W184,'🎓 Alumnas'!$A$2:$A$1000,0))),""))</f>
        <v/>
      </c>
      <c r="J184" s="28" t="str">
        <f aca="true">IF(I184="","",DATEDIF(I184,TODAY(),"Y"))</f>
        <v/>
      </c>
      <c r="K184" s="25"/>
      <c r="L184" s="28" t="str">
        <f aca="false">IF(K184="","",IF(LEFT(K184,6)="1 Pole","Alquiler",IF(LEFT(K184,7)="1 Clase","Clase suelta","Paquete")))</f>
        <v/>
      </c>
      <c r="M184" s="25"/>
      <c r="N184" s="25"/>
      <c r="O184" s="35"/>
      <c r="P184" s="29" t="str">
        <f aca="false">IF(O184="","",N184*O184)</f>
        <v/>
      </c>
      <c r="Q184" s="36"/>
      <c r="R184" s="25"/>
      <c r="S184" s="25"/>
      <c r="T184" s="28" t="str">
        <f aca="false">IF(OR(LEFT(W184,2)&lt;&gt;"A-",ISERROR(MATCH(W184,'🎓 Alumnas'!$A$2:$A$1000,0))),"",IF(COUNTIF($W$2:W184,W184)=1,"Nueva","Recurrente"))</f>
        <v/>
      </c>
      <c r="U184" s="28" t="str">
        <f aca="false">IF(OR(T184="",L184&lt;&gt;"Paquete"),"",COUNTIFS($W$2:W184,W184,$L$2:L184,"Paquete"))</f>
        <v/>
      </c>
      <c r="V184" s="25"/>
      <c r="W184" s="34" t="str">
        <f aca="false">IF(TRIM($C184)="","",IF(COUNTIF('🎓 Alumnas'!$P$2:$P$1000,TRIM($C184))&gt;0,INDEX('🎓 Alumnas'!$A$2:$A$1000,MATCH(TRIM($C184),'🎓 Alumnas'!$P$2:$P$1000,0)),IF(COUNTIF('🎓 Alumnas'!$O$2:$O$1000,TRIM($C184)&amp;"|*")=1,INDEX('🎓 Alumnas'!$A$2:$A$1000,MATCH(TRIM($C184)&amp;"|*",'🎓 Alumnas'!$O$2:$O$1000,0)),IF(COUNTIF('🎓 Alumnas'!$O$2:$O$1000,"*|"&amp;TRIM($C184))=1,INDEX('🎓 Alumnas'!$A$2:$A$1000,MATCH("*|"&amp;TRIM($C184),'🎓 Alumnas'!$O$2:$O$1000,0)),IF(COUNTIF('🎓 Alumnas'!$Q$2:$Q$1000,TRIM($C184))=1,INDEX('🎓 Alumnas'!$A$2:$A$1000,MATCH(TRIM($C184),'🎓 Alumnas'!$Q$2:$Q$1000,0)),IF(COUNTIF('🎓 Alumnas'!$P$2:$P$1000,"*"&amp;TRIM($C184)&amp;"*")=1,INDEX('🎓 Alumnas'!$A$2:$A$1000,MATCH("*"&amp;TRIM($C184)&amp;"*",'🎓 Alumnas'!$P$2:$P$1000,0)),IF(COUNTIF('🎓 Alumnas'!$Q$2:$Q$1000,"*"&amp;TRIM($C184)&amp;"*")=1,INDEX('🎓 Alumnas'!$A$2:$A$1000,MATCH("*"&amp;TRIM($C184)&amp;"*",'🎓 Alumnas'!$Q$2:$Q$1000,0)),IF(COUNTIF('🎓 Alumnas'!$P$2:$P$1000,"*"&amp;TRIM($C184)&amp;"*")+COUNTIF('🎓 Alumnas'!$Q$2:$Q$1000,"*"&amp;TRIM($C184)&amp;"*")&gt;1,"Varias: elige de la lista","No encontrada"))))))))</f>
        <v/>
      </c>
    </row>
    <row r="185" customFormat="false" ht="14.25" hidden="false" customHeight="true" outlineLevel="0" collapsed="false">
      <c r="A185" s="25" t="s">
        <v>730</v>
      </c>
      <c r="B185" s="27"/>
      <c r="C185" s="25"/>
      <c r="D185" s="34" t="str">
        <f aca="false">IF($W185="","",IFERROR(TRIM(INDEX('🎓 Alumnas'!$B$2:$B$1000,MATCH($W185,'🎓 Alumnas'!$A$2:$A$1000,0))),""))</f>
        <v/>
      </c>
      <c r="E185" s="34" t="str">
        <f aca="false">IF($W185="","",IFERROR(TRIM(INDEX('🎓 Alumnas'!$C$2:$C$1000,MATCH($W185,'🎓 Alumnas'!$A$2:$A$1000,0))),""))</f>
        <v/>
      </c>
      <c r="F185" s="34" t="str">
        <f aca="false">IF($W185="","",IFERROR(IF(INDEX('🎓 Alumnas'!$D$2:$D$1000,MATCH($W185,'🎓 Alumnas'!$A$2:$A$1000,0))="","",INDEX('🎓 Alumnas'!$D$2:$D$1000,MATCH($W185,'🎓 Alumnas'!$A$2:$A$1000,0))),""))</f>
        <v/>
      </c>
      <c r="G185" s="28" t="str">
        <f aca="false">IF($W185="","",IFERROR(IF(INDEX('🎓 Alumnas'!$E$2:$E$1000,MATCH($W185,'🎓 Alumnas'!$A$2:$A$1000,0))="","",INDEX('🎓 Alumnas'!$E$2:$E$1000,MATCH($W185,'🎓 Alumnas'!$A$2:$A$1000,0))),""))</f>
        <v/>
      </c>
      <c r="H185" s="28" t="str">
        <f aca="false">IF($W185="","",IFERROR(IF(INDEX('🎓 Alumnas'!$F$2:$F$1000,MATCH($W185,'🎓 Alumnas'!$A$2:$A$1000,0))="","",INDEX('🎓 Alumnas'!$F$2:$F$1000,MATCH($W185,'🎓 Alumnas'!$A$2:$A$1000,0))),""))</f>
        <v/>
      </c>
      <c r="I185" s="30" t="str">
        <f aca="false">IF($W185="","",IFERROR(IF(INDEX('🎓 Alumnas'!$G$2:$G$1000,MATCH($W185,'🎓 Alumnas'!$A$2:$A$1000,0))="","",INDEX('🎓 Alumnas'!$G$2:$G$1000,MATCH($W185,'🎓 Alumnas'!$A$2:$A$1000,0))),""))</f>
        <v/>
      </c>
      <c r="J185" s="28" t="str">
        <f aca="true">IF(I185="","",DATEDIF(I185,TODAY(),"Y"))</f>
        <v/>
      </c>
      <c r="K185" s="25"/>
      <c r="L185" s="28" t="str">
        <f aca="false">IF(K185="","",IF(LEFT(K185,6)="1 Pole","Alquiler",IF(LEFT(K185,7)="1 Clase","Clase suelta","Paquete")))</f>
        <v/>
      </c>
      <c r="M185" s="25"/>
      <c r="N185" s="25"/>
      <c r="O185" s="35"/>
      <c r="P185" s="29" t="str">
        <f aca="false">IF(O185="","",N185*O185)</f>
        <v/>
      </c>
      <c r="Q185" s="36"/>
      <c r="R185" s="25"/>
      <c r="S185" s="25"/>
      <c r="T185" s="28" t="str">
        <f aca="false">IF(OR(LEFT(W185,2)&lt;&gt;"A-",ISERROR(MATCH(W185,'🎓 Alumnas'!$A$2:$A$1000,0))),"",IF(COUNTIF($W$2:W185,W185)=1,"Nueva","Recurrente"))</f>
        <v/>
      </c>
      <c r="U185" s="28" t="str">
        <f aca="false">IF(OR(T185="",L185&lt;&gt;"Paquete"),"",COUNTIFS($W$2:W185,W185,$L$2:L185,"Paquete"))</f>
        <v/>
      </c>
      <c r="V185" s="25"/>
      <c r="W185" s="34" t="str">
        <f aca="false">IF(TRIM($C185)="","",IF(COUNTIF('🎓 Alumnas'!$P$2:$P$1000,TRIM($C185))&gt;0,INDEX('🎓 Alumnas'!$A$2:$A$1000,MATCH(TRIM($C185),'🎓 Alumnas'!$P$2:$P$1000,0)),IF(COUNTIF('🎓 Alumnas'!$O$2:$O$1000,TRIM($C185)&amp;"|*")=1,INDEX('🎓 Alumnas'!$A$2:$A$1000,MATCH(TRIM($C185)&amp;"|*",'🎓 Alumnas'!$O$2:$O$1000,0)),IF(COUNTIF('🎓 Alumnas'!$O$2:$O$1000,"*|"&amp;TRIM($C185))=1,INDEX('🎓 Alumnas'!$A$2:$A$1000,MATCH("*|"&amp;TRIM($C185),'🎓 Alumnas'!$O$2:$O$1000,0)),IF(COUNTIF('🎓 Alumnas'!$Q$2:$Q$1000,TRIM($C185))=1,INDEX('🎓 Alumnas'!$A$2:$A$1000,MATCH(TRIM($C185),'🎓 Alumnas'!$Q$2:$Q$1000,0)),IF(COUNTIF('🎓 Alumnas'!$P$2:$P$1000,"*"&amp;TRIM($C185)&amp;"*")=1,INDEX('🎓 Alumnas'!$A$2:$A$1000,MATCH("*"&amp;TRIM($C185)&amp;"*",'🎓 Alumnas'!$P$2:$P$1000,0)),IF(COUNTIF('🎓 Alumnas'!$Q$2:$Q$1000,"*"&amp;TRIM($C185)&amp;"*")=1,INDEX('🎓 Alumnas'!$A$2:$A$1000,MATCH("*"&amp;TRIM($C185)&amp;"*",'🎓 Alumnas'!$Q$2:$Q$1000,0)),IF(COUNTIF('🎓 Alumnas'!$P$2:$P$1000,"*"&amp;TRIM($C185)&amp;"*")+COUNTIF('🎓 Alumnas'!$Q$2:$Q$1000,"*"&amp;TRIM($C185)&amp;"*")&gt;1,"Varias: elige de la lista","No encontrada"))))))))</f>
        <v/>
      </c>
    </row>
    <row r="186" customFormat="false" ht="14.25" hidden="false" customHeight="true" outlineLevel="0" collapsed="false">
      <c r="A186" s="25" t="s">
        <v>731</v>
      </c>
      <c r="B186" s="27"/>
      <c r="C186" s="25"/>
      <c r="D186" s="34" t="str">
        <f aca="false">IF($W186="","",IFERROR(TRIM(INDEX('🎓 Alumnas'!$B$2:$B$1000,MATCH($W186,'🎓 Alumnas'!$A$2:$A$1000,0))),""))</f>
        <v/>
      </c>
      <c r="E186" s="34" t="str">
        <f aca="false">IF($W186="","",IFERROR(TRIM(INDEX('🎓 Alumnas'!$C$2:$C$1000,MATCH($W186,'🎓 Alumnas'!$A$2:$A$1000,0))),""))</f>
        <v/>
      </c>
      <c r="F186" s="34" t="str">
        <f aca="false">IF($W186="","",IFERROR(IF(INDEX('🎓 Alumnas'!$D$2:$D$1000,MATCH($W186,'🎓 Alumnas'!$A$2:$A$1000,0))="","",INDEX('🎓 Alumnas'!$D$2:$D$1000,MATCH($W186,'🎓 Alumnas'!$A$2:$A$1000,0))),""))</f>
        <v/>
      </c>
      <c r="G186" s="28" t="str">
        <f aca="false">IF($W186="","",IFERROR(IF(INDEX('🎓 Alumnas'!$E$2:$E$1000,MATCH($W186,'🎓 Alumnas'!$A$2:$A$1000,0))="","",INDEX('🎓 Alumnas'!$E$2:$E$1000,MATCH($W186,'🎓 Alumnas'!$A$2:$A$1000,0))),""))</f>
        <v/>
      </c>
      <c r="H186" s="28" t="str">
        <f aca="false">IF($W186="","",IFERROR(IF(INDEX('🎓 Alumnas'!$F$2:$F$1000,MATCH($W186,'🎓 Alumnas'!$A$2:$A$1000,0))="","",INDEX('🎓 Alumnas'!$F$2:$F$1000,MATCH($W186,'🎓 Alumnas'!$A$2:$A$1000,0))),""))</f>
        <v/>
      </c>
      <c r="I186" s="30" t="str">
        <f aca="false">IF($W186="","",IFERROR(IF(INDEX('🎓 Alumnas'!$G$2:$G$1000,MATCH($W186,'🎓 Alumnas'!$A$2:$A$1000,0))="","",INDEX('🎓 Alumnas'!$G$2:$G$1000,MATCH($W186,'🎓 Alumnas'!$A$2:$A$1000,0))),""))</f>
        <v/>
      </c>
      <c r="J186" s="28" t="str">
        <f aca="true">IF(I186="","",DATEDIF(I186,TODAY(),"Y"))</f>
        <v/>
      </c>
      <c r="K186" s="25"/>
      <c r="L186" s="28" t="str">
        <f aca="false">IF(K186="","",IF(LEFT(K186,6)="1 Pole","Alquiler",IF(LEFT(K186,7)="1 Clase","Clase suelta","Paquete")))</f>
        <v/>
      </c>
      <c r="M186" s="25"/>
      <c r="N186" s="25"/>
      <c r="O186" s="35"/>
      <c r="P186" s="29" t="str">
        <f aca="false">IF(O186="","",N186*O186)</f>
        <v/>
      </c>
      <c r="Q186" s="36"/>
      <c r="R186" s="25"/>
      <c r="S186" s="25"/>
      <c r="T186" s="28" t="str">
        <f aca="false">IF(OR(LEFT(W186,2)&lt;&gt;"A-",ISERROR(MATCH(W186,'🎓 Alumnas'!$A$2:$A$1000,0))),"",IF(COUNTIF($W$2:W186,W186)=1,"Nueva","Recurrente"))</f>
        <v/>
      </c>
      <c r="U186" s="28" t="str">
        <f aca="false">IF(OR(T186="",L186&lt;&gt;"Paquete"),"",COUNTIFS($W$2:W186,W186,$L$2:L186,"Paquete"))</f>
        <v/>
      </c>
      <c r="V186" s="25"/>
      <c r="W186" s="34" t="str">
        <f aca="false">IF(TRIM($C186)="","",IF(COUNTIF('🎓 Alumnas'!$P$2:$P$1000,TRIM($C186))&gt;0,INDEX('🎓 Alumnas'!$A$2:$A$1000,MATCH(TRIM($C186),'🎓 Alumnas'!$P$2:$P$1000,0)),IF(COUNTIF('🎓 Alumnas'!$O$2:$O$1000,TRIM($C186)&amp;"|*")=1,INDEX('🎓 Alumnas'!$A$2:$A$1000,MATCH(TRIM($C186)&amp;"|*",'🎓 Alumnas'!$O$2:$O$1000,0)),IF(COUNTIF('🎓 Alumnas'!$O$2:$O$1000,"*|"&amp;TRIM($C186))=1,INDEX('🎓 Alumnas'!$A$2:$A$1000,MATCH("*|"&amp;TRIM($C186),'🎓 Alumnas'!$O$2:$O$1000,0)),IF(COUNTIF('🎓 Alumnas'!$Q$2:$Q$1000,TRIM($C186))=1,INDEX('🎓 Alumnas'!$A$2:$A$1000,MATCH(TRIM($C186),'🎓 Alumnas'!$Q$2:$Q$1000,0)),IF(COUNTIF('🎓 Alumnas'!$P$2:$P$1000,"*"&amp;TRIM($C186)&amp;"*")=1,INDEX('🎓 Alumnas'!$A$2:$A$1000,MATCH("*"&amp;TRIM($C186)&amp;"*",'🎓 Alumnas'!$P$2:$P$1000,0)),IF(COUNTIF('🎓 Alumnas'!$Q$2:$Q$1000,"*"&amp;TRIM($C186)&amp;"*")=1,INDEX('🎓 Alumnas'!$A$2:$A$1000,MATCH("*"&amp;TRIM($C186)&amp;"*",'🎓 Alumnas'!$Q$2:$Q$1000,0)),IF(COUNTIF('🎓 Alumnas'!$P$2:$P$1000,"*"&amp;TRIM($C186)&amp;"*")+COUNTIF('🎓 Alumnas'!$Q$2:$Q$1000,"*"&amp;TRIM($C186)&amp;"*")&gt;1,"Varias: elige de la lista","No encontrada"))))))))</f>
        <v/>
      </c>
    </row>
    <row r="187" customFormat="false" ht="14.25" hidden="false" customHeight="true" outlineLevel="0" collapsed="false">
      <c r="A187" s="25" t="s">
        <v>732</v>
      </c>
      <c r="B187" s="27"/>
      <c r="C187" s="25"/>
      <c r="D187" s="34" t="str">
        <f aca="false">IF($W187="","",IFERROR(TRIM(INDEX('🎓 Alumnas'!$B$2:$B$1000,MATCH($W187,'🎓 Alumnas'!$A$2:$A$1000,0))),""))</f>
        <v/>
      </c>
      <c r="E187" s="34" t="str">
        <f aca="false">IF($W187="","",IFERROR(TRIM(INDEX('🎓 Alumnas'!$C$2:$C$1000,MATCH($W187,'🎓 Alumnas'!$A$2:$A$1000,0))),""))</f>
        <v/>
      </c>
      <c r="F187" s="34" t="str">
        <f aca="false">IF($W187="","",IFERROR(IF(INDEX('🎓 Alumnas'!$D$2:$D$1000,MATCH($W187,'🎓 Alumnas'!$A$2:$A$1000,0))="","",INDEX('🎓 Alumnas'!$D$2:$D$1000,MATCH($W187,'🎓 Alumnas'!$A$2:$A$1000,0))),""))</f>
        <v/>
      </c>
      <c r="G187" s="28" t="str">
        <f aca="false">IF($W187="","",IFERROR(IF(INDEX('🎓 Alumnas'!$E$2:$E$1000,MATCH($W187,'🎓 Alumnas'!$A$2:$A$1000,0))="","",INDEX('🎓 Alumnas'!$E$2:$E$1000,MATCH($W187,'🎓 Alumnas'!$A$2:$A$1000,0))),""))</f>
        <v/>
      </c>
      <c r="H187" s="28" t="str">
        <f aca="false">IF($W187="","",IFERROR(IF(INDEX('🎓 Alumnas'!$F$2:$F$1000,MATCH($W187,'🎓 Alumnas'!$A$2:$A$1000,0))="","",INDEX('🎓 Alumnas'!$F$2:$F$1000,MATCH($W187,'🎓 Alumnas'!$A$2:$A$1000,0))),""))</f>
        <v/>
      </c>
      <c r="I187" s="30" t="str">
        <f aca="false">IF($W187="","",IFERROR(IF(INDEX('🎓 Alumnas'!$G$2:$G$1000,MATCH($W187,'🎓 Alumnas'!$A$2:$A$1000,0))="","",INDEX('🎓 Alumnas'!$G$2:$G$1000,MATCH($W187,'🎓 Alumnas'!$A$2:$A$1000,0))),""))</f>
        <v/>
      </c>
      <c r="J187" s="28" t="str">
        <f aca="true">IF(I187="","",DATEDIF(I187,TODAY(),"Y"))</f>
        <v/>
      </c>
      <c r="K187" s="25"/>
      <c r="L187" s="28" t="str">
        <f aca="false">IF(K187="","",IF(LEFT(K187,6)="1 Pole","Alquiler",IF(LEFT(K187,7)="1 Clase","Clase suelta","Paquete")))</f>
        <v/>
      </c>
      <c r="M187" s="25"/>
      <c r="N187" s="25"/>
      <c r="O187" s="35"/>
      <c r="P187" s="29" t="str">
        <f aca="false">IF(O187="","",N187*O187)</f>
        <v/>
      </c>
      <c r="Q187" s="36"/>
      <c r="R187" s="25"/>
      <c r="S187" s="25"/>
      <c r="T187" s="28" t="str">
        <f aca="false">IF(OR(LEFT(W187,2)&lt;&gt;"A-",ISERROR(MATCH(W187,'🎓 Alumnas'!$A$2:$A$1000,0))),"",IF(COUNTIF($W$2:W187,W187)=1,"Nueva","Recurrente"))</f>
        <v/>
      </c>
      <c r="U187" s="28" t="str">
        <f aca="false">IF(OR(T187="",L187&lt;&gt;"Paquete"),"",COUNTIFS($W$2:W187,W187,$L$2:L187,"Paquete"))</f>
        <v/>
      </c>
      <c r="V187" s="25"/>
      <c r="W187" s="34" t="str">
        <f aca="false">IF(TRIM($C187)="","",IF(COUNTIF('🎓 Alumnas'!$P$2:$P$1000,TRIM($C187))&gt;0,INDEX('🎓 Alumnas'!$A$2:$A$1000,MATCH(TRIM($C187),'🎓 Alumnas'!$P$2:$P$1000,0)),IF(COUNTIF('🎓 Alumnas'!$O$2:$O$1000,TRIM($C187)&amp;"|*")=1,INDEX('🎓 Alumnas'!$A$2:$A$1000,MATCH(TRIM($C187)&amp;"|*",'🎓 Alumnas'!$O$2:$O$1000,0)),IF(COUNTIF('🎓 Alumnas'!$O$2:$O$1000,"*|"&amp;TRIM($C187))=1,INDEX('🎓 Alumnas'!$A$2:$A$1000,MATCH("*|"&amp;TRIM($C187),'🎓 Alumnas'!$O$2:$O$1000,0)),IF(COUNTIF('🎓 Alumnas'!$Q$2:$Q$1000,TRIM($C187))=1,INDEX('🎓 Alumnas'!$A$2:$A$1000,MATCH(TRIM($C187),'🎓 Alumnas'!$Q$2:$Q$1000,0)),IF(COUNTIF('🎓 Alumnas'!$P$2:$P$1000,"*"&amp;TRIM($C187)&amp;"*")=1,INDEX('🎓 Alumnas'!$A$2:$A$1000,MATCH("*"&amp;TRIM($C187)&amp;"*",'🎓 Alumnas'!$P$2:$P$1000,0)),IF(COUNTIF('🎓 Alumnas'!$Q$2:$Q$1000,"*"&amp;TRIM($C187)&amp;"*")=1,INDEX('🎓 Alumnas'!$A$2:$A$1000,MATCH("*"&amp;TRIM($C187)&amp;"*",'🎓 Alumnas'!$Q$2:$Q$1000,0)),IF(COUNTIF('🎓 Alumnas'!$P$2:$P$1000,"*"&amp;TRIM($C187)&amp;"*")+COUNTIF('🎓 Alumnas'!$Q$2:$Q$1000,"*"&amp;TRIM($C187)&amp;"*")&gt;1,"Varias: elige de la lista","No encontrada"))))))))</f>
        <v/>
      </c>
    </row>
    <row r="188" customFormat="false" ht="14.25" hidden="false" customHeight="true" outlineLevel="0" collapsed="false">
      <c r="A188" s="25" t="s">
        <v>733</v>
      </c>
      <c r="B188" s="27"/>
      <c r="C188" s="25"/>
      <c r="D188" s="34" t="str">
        <f aca="false">IF($W188="","",IFERROR(TRIM(INDEX('🎓 Alumnas'!$B$2:$B$1000,MATCH($W188,'🎓 Alumnas'!$A$2:$A$1000,0))),""))</f>
        <v/>
      </c>
      <c r="E188" s="34" t="str">
        <f aca="false">IF($W188="","",IFERROR(TRIM(INDEX('🎓 Alumnas'!$C$2:$C$1000,MATCH($W188,'🎓 Alumnas'!$A$2:$A$1000,0))),""))</f>
        <v/>
      </c>
      <c r="F188" s="34" t="str">
        <f aca="false">IF($W188="","",IFERROR(IF(INDEX('🎓 Alumnas'!$D$2:$D$1000,MATCH($W188,'🎓 Alumnas'!$A$2:$A$1000,0))="","",INDEX('🎓 Alumnas'!$D$2:$D$1000,MATCH($W188,'🎓 Alumnas'!$A$2:$A$1000,0))),""))</f>
        <v/>
      </c>
      <c r="G188" s="28" t="str">
        <f aca="false">IF($W188="","",IFERROR(IF(INDEX('🎓 Alumnas'!$E$2:$E$1000,MATCH($W188,'🎓 Alumnas'!$A$2:$A$1000,0))="","",INDEX('🎓 Alumnas'!$E$2:$E$1000,MATCH($W188,'🎓 Alumnas'!$A$2:$A$1000,0))),""))</f>
        <v/>
      </c>
      <c r="H188" s="28" t="str">
        <f aca="false">IF($W188="","",IFERROR(IF(INDEX('🎓 Alumnas'!$F$2:$F$1000,MATCH($W188,'🎓 Alumnas'!$A$2:$A$1000,0))="","",INDEX('🎓 Alumnas'!$F$2:$F$1000,MATCH($W188,'🎓 Alumnas'!$A$2:$A$1000,0))),""))</f>
        <v/>
      </c>
      <c r="I188" s="30" t="str">
        <f aca="false">IF($W188="","",IFERROR(IF(INDEX('🎓 Alumnas'!$G$2:$G$1000,MATCH($W188,'🎓 Alumnas'!$A$2:$A$1000,0))="","",INDEX('🎓 Alumnas'!$G$2:$G$1000,MATCH($W188,'🎓 Alumnas'!$A$2:$A$1000,0))),""))</f>
        <v/>
      </c>
      <c r="J188" s="28" t="str">
        <f aca="true">IF(I188="","",DATEDIF(I188,TODAY(),"Y"))</f>
        <v/>
      </c>
      <c r="K188" s="25"/>
      <c r="L188" s="28" t="str">
        <f aca="false">IF(K188="","",IF(LEFT(K188,6)="1 Pole","Alquiler",IF(LEFT(K188,7)="1 Clase","Clase suelta","Paquete")))</f>
        <v/>
      </c>
      <c r="M188" s="25"/>
      <c r="N188" s="25"/>
      <c r="O188" s="35"/>
      <c r="P188" s="29" t="str">
        <f aca="false">IF(O188="","",N188*O188)</f>
        <v/>
      </c>
      <c r="Q188" s="36"/>
      <c r="R188" s="25"/>
      <c r="S188" s="25"/>
      <c r="T188" s="28" t="str">
        <f aca="false">IF(OR(LEFT(W188,2)&lt;&gt;"A-",ISERROR(MATCH(W188,'🎓 Alumnas'!$A$2:$A$1000,0))),"",IF(COUNTIF($W$2:W188,W188)=1,"Nueva","Recurrente"))</f>
        <v/>
      </c>
      <c r="U188" s="28" t="str">
        <f aca="false">IF(OR(T188="",L188&lt;&gt;"Paquete"),"",COUNTIFS($W$2:W188,W188,$L$2:L188,"Paquete"))</f>
        <v/>
      </c>
      <c r="V188" s="25"/>
      <c r="W188" s="34" t="str">
        <f aca="false">IF(TRIM($C188)="","",IF(COUNTIF('🎓 Alumnas'!$P$2:$P$1000,TRIM($C188))&gt;0,INDEX('🎓 Alumnas'!$A$2:$A$1000,MATCH(TRIM($C188),'🎓 Alumnas'!$P$2:$P$1000,0)),IF(COUNTIF('🎓 Alumnas'!$O$2:$O$1000,TRIM($C188)&amp;"|*")=1,INDEX('🎓 Alumnas'!$A$2:$A$1000,MATCH(TRIM($C188)&amp;"|*",'🎓 Alumnas'!$O$2:$O$1000,0)),IF(COUNTIF('🎓 Alumnas'!$O$2:$O$1000,"*|"&amp;TRIM($C188))=1,INDEX('🎓 Alumnas'!$A$2:$A$1000,MATCH("*|"&amp;TRIM($C188),'🎓 Alumnas'!$O$2:$O$1000,0)),IF(COUNTIF('🎓 Alumnas'!$Q$2:$Q$1000,TRIM($C188))=1,INDEX('🎓 Alumnas'!$A$2:$A$1000,MATCH(TRIM($C188),'🎓 Alumnas'!$Q$2:$Q$1000,0)),IF(COUNTIF('🎓 Alumnas'!$P$2:$P$1000,"*"&amp;TRIM($C188)&amp;"*")=1,INDEX('🎓 Alumnas'!$A$2:$A$1000,MATCH("*"&amp;TRIM($C188)&amp;"*",'🎓 Alumnas'!$P$2:$P$1000,0)),IF(COUNTIF('🎓 Alumnas'!$Q$2:$Q$1000,"*"&amp;TRIM($C188)&amp;"*")=1,INDEX('🎓 Alumnas'!$A$2:$A$1000,MATCH("*"&amp;TRIM($C188)&amp;"*",'🎓 Alumnas'!$Q$2:$Q$1000,0)),IF(COUNTIF('🎓 Alumnas'!$P$2:$P$1000,"*"&amp;TRIM($C188)&amp;"*")+COUNTIF('🎓 Alumnas'!$Q$2:$Q$1000,"*"&amp;TRIM($C188)&amp;"*")&gt;1,"Varias: elige de la lista","No encontrada"))))))))</f>
        <v/>
      </c>
    </row>
    <row r="189" customFormat="false" ht="14.25" hidden="false" customHeight="true" outlineLevel="0" collapsed="false">
      <c r="A189" s="25" t="s">
        <v>734</v>
      </c>
      <c r="B189" s="27"/>
      <c r="C189" s="25"/>
      <c r="D189" s="34" t="str">
        <f aca="false">IF($W189="","",IFERROR(TRIM(INDEX('🎓 Alumnas'!$B$2:$B$1000,MATCH($W189,'🎓 Alumnas'!$A$2:$A$1000,0))),""))</f>
        <v/>
      </c>
      <c r="E189" s="34" t="str">
        <f aca="false">IF($W189="","",IFERROR(TRIM(INDEX('🎓 Alumnas'!$C$2:$C$1000,MATCH($W189,'🎓 Alumnas'!$A$2:$A$1000,0))),""))</f>
        <v/>
      </c>
      <c r="F189" s="34" t="str">
        <f aca="false">IF($W189="","",IFERROR(IF(INDEX('🎓 Alumnas'!$D$2:$D$1000,MATCH($W189,'🎓 Alumnas'!$A$2:$A$1000,0))="","",INDEX('🎓 Alumnas'!$D$2:$D$1000,MATCH($W189,'🎓 Alumnas'!$A$2:$A$1000,0))),""))</f>
        <v/>
      </c>
      <c r="G189" s="28" t="str">
        <f aca="false">IF($W189="","",IFERROR(IF(INDEX('🎓 Alumnas'!$E$2:$E$1000,MATCH($W189,'🎓 Alumnas'!$A$2:$A$1000,0))="","",INDEX('🎓 Alumnas'!$E$2:$E$1000,MATCH($W189,'🎓 Alumnas'!$A$2:$A$1000,0))),""))</f>
        <v/>
      </c>
      <c r="H189" s="28" t="str">
        <f aca="false">IF($W189="","",IFERROR(IF(INDEX('🎓 Alumnas'!$F$2:$F$1000,MATCH($W189,'🎓 Alumnas'!$A$2:$A$1000,0))="","",INDEX('🎓 Alumnas'!$F$2:$F$1000,MATCH($W189,'🎓 Alumnas'!$A$2:$A$1000,0))),""))</f>
        <v/>
      </c>
      <c r="I189" s="30" t="str">
        <f aca="false">IF($W189="","",IFERROR(IF(INDEX('🎓 Alumnas'!$G$2:$G$1000,MATCH($W189,'🎓 Alumnas'!$A$2:$A$1000,0))="","",INDEX('🎓 Alumnas'!$G$2:$G$1000,MATCH($W189,'🎓 Alumnas'!$A$2:$A$1000,0))),""))</f>
        <v/>
      </c>
      <c r="J189" s="28" t="str">
        <f aca="true">IF(I189="","",DATEDIF(I189,TODAY(),"Y"))</f>
        <v/>
      </c>
      <c r="K189" s="25"/>
      <c r="L189" s="28" t="str">
        <f aca="false">IF(K189="","",IF(LEFT(K189,6)="1 Pole","Alquiler",IF(LEFT(K189,7)="1 Clase","Clase suelta","Paquete")))</f>
        <v/>
      </c>
      <c r="M189" s="25"/>
      <c r="N189" s="25"/>
      <c r="O189" s="35"/>
      <c r="P189" s="29" t="str">
        <f aca="false">IF(O189="","",N189*O189)</f>
        <v/>
      </c>
      <c r="Q189" s="36"/>
      <c r="R189" s="25"/>
      <c r="S189" s="25"/>
      <c r="T189" s="28" t="str">
        <f aca="false">IF(OR(LEFT(W189,2)&lt;&gt;"A-",ISERROR(MATCH(W189,'🎓 Alumnas'!$A$2:$A$1000,0))),"",IF(COUNTIF($W$2:W189,W189)=1,"Nueva","Recurrente"))</f>
        <v/>
      </c>
      <c r="U189" s="28" t="str">
        <f aca="false">IF(OR(T189="",L189&lt;&gt;"Paquete"),"",COUNTIFS($W$2:W189,W189,$L$2:L189,"Paquete"))</f>
        <v/>
      </c>
      <c r="V189" s="25"/>
      <c r="W189" s="34" t="str">
        <f aca="false">IF(TRIM($C189)="","",IF(COUNTIF('🎓 Alumnas'!$P$2:$P$1000,TRIM($C189))&gt;0,INDEX('🎓 Alumnas'!$A$2:$A$1000,MATCH(TRIM($C189),'🎓 Alumnas'!$P$2:$P$1000,0)),IF(COUNTIF('🎓 Alumnas'!$O$2:$O$1000,TRIM($C189)&amp;"|*")=1,INDEX('🎓 Alumnas'!$A$2:$A$1000,MATCH(TRIM($C189)&amp;"|*",'🎓 Alumnas'!$O$2:$O$1000,0)),IF(COUNTIF('🎓 Alumnas'!$O$2:$O$1000,"*|"&amp;TRIM($C189))=1,INDEX('🎓 Alumnas'!$A$2:$A$1000,MATCH("*|"&amp;TRIM($C189),'🎓 Alumnas'!$O$2:$O$1000,0)),IF(COUNTIF('🎓 Alumnas'!$Q$2:$Q$1000,TRIM($C189))=1,INDEX('🎓 Alumnas'!$A$2:$A$1000,MATCH(TRIM($C189),'🎓 Alumnas'!$Q$2:$Q$1000,0)),IF(COUNTIF('🎓 Alumnas'!$P$2:$P$1000,"*"&amp;TRIM($C189)&amp;"*")=1,INDEX('🎓 Alumnas'!$A$2:$A$1000,MATCH("*"&amp;TRIM($C189)&amp;"*",'🎓 Alumnas'!$P$2:$P$1000,0)),IF(COUNTIF('🎓 Alumnas'!$Q$2:$Q$1000,"*"&amp;TRIM($C189)&amp;"*")=1,INDEX('🎓 Alumnas'!$A$2:$A$1000,MATCH("*"&amp;TRIM($C189)&amp;"*",'🎓 Alumnas'!$Q$2:$Q$1000,0)),IF(COUNTIF('🎓 Alumnas'!$P$2:$P$1000,"*"&amp;TRIM($C189)&amp;"*")+COUNTIF('🎓 Alumnas'!$Q$2:$Q$1000,"*"&amp;TRIM($C189)&amp;"*")&gt;1,"Varias: elige de la lista","No encontrada"))))))))</f>
        <v/>
      </c>
    </row>
    <row r="190" customFormat="false" ht="14.25" hidden="false" customHeight="true" outlineLevel="0" collapsed="false">
      <c r="A190" s="25" t="s">
        <v>735</v>
      </c>
      <c r="B190" s="27"/>
      <c r="C190" s="25"/>
      <c r="D190" s="34" t="str">
        <f aca="false">IF($W190="","",IFERROR(TRIM(INDEX('🎓 Alumnas'!$B$2:$B$1000,MATCH($W190,'🎓 Alumnas'!$A$2:$A$1000,0))),""))</f>
        <v/>
      </c>
      <c r="E190" s="34" t="str">
        <f aca="false">IF($W190="","",IFERROR(TRIM(INDEX('🎓 Alumnas'!$C$2:$C$1000,MATCH($W190,'🎓 Alumnas'!$A$2:$A$1000,0))),""))</f>
        <v/>
      </c>
      <c r="F190" s="34" t="str">
        <f aca="false">IF($W190="","",IFERROR(IF(INDEX('🎓 Alumnas'!$D$2:$D$1000,MATCH($W190,'🎓 Alumnas'!$A$2:$A$1000,0))="","",INDEX('🎓 Alumnas'!$D$2:$D$1000,MATCH($W190,'🎓 Alumnas'!$A$2:$A$1000,0))),""))</f>
        <v/>
      </c>
      <c r="G190" s="28" t="str">
        <f aca="false">IF($W190="","",IFERROR(IF(INDEX('🎓 Alumnas'!$E$2:$E$1000,MATCH($W190,'🎓 Alumnas'!$A$2:$A$1000,0))="","",INDEX('🎓 Alumnas'!$E$2:$E$1000,MATCH($W190,'🎓 Alumnas'!$A$2:$A$1000,0))),""))</f>
        <v/>
      </c>
      <c r="H190" s="28" t="str">
        <f aca="false">IF($W190="","",IFERROR(IF(INDEX('🎓 Alumnas'!$F$2:$F$1000,MATCH($W190,'🎓 Alumnas'!$A$2:$A$1000,0))="","",INDEX('🎓 Alumnas'!$F$2:$F$1000,MATCH($W190,'🎓 Alumnas'!$A$2:$A$1000,0))),""))</f>
        <v/>
      </c>
      <c r="I190" s="30" t="str">
        <f aca="false">IF($W190="","",IFERROR(IF(INDEX('🎓 Alumnas'!$G$2:$G$1000,MATCH($W190,'🎓 Alumnas'!$A$2:$A$1000,0))="","",INDEX('🎓 Alumnas'!$G$2:$G$1000,MATCH($W190,'🎓 Alumnas'!$A$2:$A$1000,0))),""))</f>
        <v/>
      </c>
      <c r="J190" s="28" t="str">
        <f aca="true">IF(I190="","",DATEDIF(I190,TODAY(),"Y"))</f>
        <v/>
      </c>
      <c r="K190" s="25"/>
      <c r="L190" s="28" t="str">
        <f aca="false">IF(K190="","",IF(LEFT(K190,6)="1 Pole","Alquiler",IF(LEFT(K190,7)="1 Clase","Clase suelta","Paquete")))</f>
        <v/>
      </c>
      <c r="M190" s="25"/>
      <c r="N190" s="25"/>
      <c r="O190" s="35"/>
      <c r="P190" s="29" t="str">
        <f aca="false">IF(O190="","",N190*O190)</f>
        <v/>
      </c>
      <c r="Q190" s="36"/>
      <c r="R190" s="25"/>
      <c r="S190" s="25"/>
      <c r="T190" s="28" t="str">
        <f aca="false">IF(OR(LEFT(W190,2)&lt;&gt;"A-",ISERROR(MATCH(W190,'🎓 Alumnas'!$A$2:$A$1000,0))),"",IF(COUNTIF($W$2:W190,W190)=1,"Nueva","Recurrente"))</f>
        <v/>
      </c>
      <c r="U190" s="28" t="str">
        <f aca="false">IF(OR(T190="",L190&lt;&gt;"Paquete"),"",COUNTIFS($W$2:W190,W190,$L$2:L190,"Paquete"))</f>
        <v/>
      </c>
      <c r="V190" s="25"/>
      <c r="W190" s="34" t="str">
        <f aca="false">IF(TRIM($C190)="","",IF(COUNTIF('🎓 Alumnas'!$P$2:$P$1000,TRIM($C190))&gt;0,INDEX('🎓 Alumnas'!$A$2:$A$1000,MATCH(TRIM($C190),'🎓 Alumnas'!$P$2:$P$1000,0)),IF(COUNTIF('🎓 Alumnas'!$O$2:$O$1000,TRIM($C190)&amp;"|*")=1,INDEX('🎓 Alumnas'!$A$2:$A$1000,MATCH(TRIM($C190)&amp;"|*",'🎓 Alumnas'!$O$2:$O$1000,0)),IF(COUNTIF('🎓 Alumnas'!$O$2:$O$1000,"*|"&amp;TRIM($C190))=1,INDEX('🎓 Alumnas'!$A$2:$A$1000,MATCH("*|"&amp;TRIM($C190),'🎓 Alumnas'!$O$2:$O$1000,0)),IF(COUNTIF('🎓 Alumnas'!$Q$2:$Q$1000,TRIM($C190))=1,INDEX('🎓 Alumnas'!$A$2:$A$1000,MATCH(TRIM($C190),'🎓 Alumnas'!$Q$2:$Q$1000,0)),IF(COUNTIF('🎓 Alumnas'!$P$2:$P$1000,"*"&amp;TRIM($C190)&amp;"*")=1,INDEX('🎓 Alumnas'!$A$2:$A$1000,MATCH("*"&amp;TRIM($C190)&amp;"*",'🎓 Alumnas'!$P$2:$P$1000,0)),IF(COUNTIF('🎓 Alumnas'!$Q$2:$Q$1000,"*"&amp;TRIM($C190)&amp;"*")=1,INDEX('🎓 Alumnas'!$A$2:$A$1000,MATCH("*"&amp;TRIM($C190)&amp;"*",'🎓 Alumnas'!$Q$2:$Q$1000,0)),IF(COUNTIF('🎓 Alumnas'!$P$2:$P$1000,"*"&amp;TRIM($C190)&amp;"*")+COUNTIF('🎓 Alumnas'!$Q$2:$Q$1000,"*"&amp;TRIM($C190)&amp;"*")&gt;1,"Varias: elige de la lista","No encontrada"))))))))</f>
        <v/>
      </c>
    </row>
    <row r="191" customFormat="false" ht="14.25" hidden="false" customHeight="true" outlineLevel="0" collapsed="false">
      <c r="A191" s="25" t="s">
        <v>736</v>
      </c>
      <c r="B191" s="27"/>
      <c r="C191" s="25"/>
      <c r="D191" s="34" t="str">
        <f aca="false">IF($W191="","",IFERROR(TRIM(INDEX('🎓 Alumnas'!$B$2:$B$1000,MATCH($W191,'🎓 Alumnas'!$A$2:$A$1000,0))),""))</f>
        <v/>
      </c>
      <c r="E191" s="34" t="str">
        <f aca="false">IF($W191="","",IFERROR(TRIM(INDEX('🎓 Alumnas'!$C$2:$C$1000,MATCH($W191,'🎓 Alumnas'!$A$2:$A$1000,0))),""))</f>
        <v/>
      </c>
      <c r="F191" s="34" t="str">
        <f aca="false">IF($W191="","",IFERROR(IF(INDEX('🎓 Alumnas'!$D$2:$D$1000,MATCH($W191,'🎓 Alumnas'!$A$2:$A$1000,0))="","",INDEX('🎓 Alumnas'!$D$2:$D$1000,MATCH($W191,'🎓 Alumnas'!$A$2:$A$1000,0))),""))</f>
        <v/>
      </c>
      <c r="G191" s="28" t="str">
        <f aca="false">IF($W191="","",IFERROR(IF(INDEX('🎓 Alumnas'!$E$2:$E$1000,MATCH($W191,'🎓 Alumnas'!$A$2:$A$1000,0))="","",INDEX('🎓 Alumnas'!$E$2:$E$1000,MATCH($W191,'🎓 Alumnas'!$A$2:$A$1000,0))),""))</f>
        <v/>
      </c>
      <c r="H191" s="28" t="str">
        <f aca="false">IF($W191="","",IFERROR(IF(INDEX('🎓 Alumnas'!$F$2:$F$1000,MATCH($W191,'🎓 Alumnas'!$A$2:$A$1000,0))="","",INDEX('🎓 Alumnas'!$F$2:$F$1000,MATCH($W191,'🎓 Alumnas'!$A$2:$A$1000,0))),""))</f>
        <v/>
      </c>
      <c r="I191" s="30" t="str">
        <f aca="false">IF($W191="","",IFERROR(IF(INDEX('🎓 Alumnas'!$G$2:$G$1000,MATCH($W191,'🎓 Alumnas'!$A$2:$A$1000,0))="","",INDEX('🎓 Alumnas'!$G$2:$G$1000,MATCH($W191,'🎓 Alumnas'!$A$2:$A$1000,0))),""))</f>
        <v/>
      </c>
      <c r="J191" s="28" t="str">
        <f aca="true">IF(I191="","",DATEDIF(I191,TODAY(),"Y"))</f>
        <v/>
      </c>
      <c r="K191" s="25"/>
      <c r="L191" s="28" t="str">
        <f aca="false">IF(K191="","",IF(LEFT(K191,6)="1 Pole","Alquiler",IF(LEFT(K191,7)="1 Clase","Clase suelta","Paquete")))</f>
        <v/>
      </c>
      <c r="M191" s="25"/>
      <c r="N191" s="25"/>
      <c r="O191" s="35"/>
      <c r="P191" s="29" t="str">
        <f aca="false">IF(O191="","",N191*O191)</f>
        <v/>
      </c>
      <c r="Q191" s="36"/>
      <c r="R191" s="25"/>
      <c r="S191" s="25"/>
      <c r="T191" s="28" t="str">
        <f aca="false">IF(OR(LEFT(W191,2)&lt;&gt;"A-",ISERROR(MATCH(W191,'🎓 Alumnas'!$A$2:$A$1000,0))),"",IF(COUNTIF($W$2:W191,W191)=1,"Nueva","Recurrente"))</f>
        <v/>
      </c>
      <c r="U191" s="28" t="str">
        <f aca="false">IF(OR(T191="",L191&lt;&gt;"Paquete"),"",COUNTIFS($W$2:W191,W191,$L$2:L191,"Paquete"))</f>
        <v/>
      </c>
      <c r="V191" s="25"/>
      <c r="W191" s="34" t="str">
        <f aca="false">IF(TRIM($C191)="","",IF(COUNTIF('🎓 Alumnas'!$P$2:$P$1000,TRIM($C191))&gt;0,INDEX('🎓 Alumnas'!$A$2:$A$1000,MATCH(TRIM($C191),'🎓 Alumnas'!$P$2:$P$1000,0)),IF(COUNTIF('🎓 Alumnas'!$O$2:$O$1000,TRIM($C191)&amp;"|*")=1,INDEX('🎓 Alumnas'!$A$2:$A$1000,MATCH(TRIM($C191)&amp;"|*",'🎓 Alumnas'!$O$2:$O$1000,0)),IF(COUNTIF('🎓 Alumnas'!$O$2:$O$1000,"*|"&amp;TRIM($C191))=1,INDEX('🎓 Alumnas'!$A$2:$A$1000,MATCH("*|"&amp;TRIM($C191),'🎓 Alumnas'!$O$2:$O$1000,0)),IF(COUNTIF('🎓 Alumnas'!$Q$2:$Q$1000,TRIM($C191))=1,INDEX('🎓 Alumnas'!$A$2:$A$1000,MATCH(TRIM($C191),'🎓 Alumnas'!$Q$2:$Q$1000,0)),IF(COUNTIF('🎓 Alumnas'!$P$2:$P$1000,"*"&amp;TRIM($C191)&amp;"*")=1,INDEX('🎓 Alumnas'!$A$2:$A$1000,MATCH("*"&amp;TRIM($C191)&amp;"*",'🎓 Alumnas'!$P$2:$P$1000,0)),IF(COUNTIF('🎓 Alumnas'!$Q$2:$Q$1000,"*"&amp;TRIM($C191)&amp;"*")=1,INDEX('🎓 Alumnas'!$A$2:$A$1000,MATCH("*"&amp;TRIM($C191)&amp;"*",'🎓 Alumnas'!$Q$2:$Q$1000,0)),IF(COUNTIF('🎓 Alumnas'!$P$2:$P$1000,"*"&amp;TRIM($C191)&amp;"*")+COUNTIF('🎓 Alumnas'!$Q$2:$Q$1000,"*"&amp;TRIM($C191)&amp;"*")&gt;1,"Varias: elige de la lista","No encontrada"))))))))</f>
        <v/>
      </c>
    </row>
    <row r="192" customFormat="false" ht="14.25" hidden="false" customHeight="true" outlineLevel="0" collapsed="false">
      <c r="A192" s="25" t="s">
        <v>737</v>
      </c>
      <c r="B192" s="27"/>
      <c r="C192" s="25"/>
      <c r="D192" s="34" t="str">
        <f aca="false">IF($W192="","",IFERROR(TRIM(INDEX('🎓 Alumnas'!$B$2:$B$1000,MATCH($W192,'🎓 Alumnas'!$A$2:$A$1000,0))),""))</f>
        <v/>
      </c>
      <c r="E192" s="34" t="str">
        <f aca="false">IF($W192="","",IFERROR(TRIM(INDEX('🎓 Alumnas'!$C$2:$C$1000,MATCH($W192,'🎓 Alumnas'!$A$2:$A$1000,0))),""))</f>
        <v/>
      </c>
      <c r="F192" s="34" t="str">
        <f aca="false">IF($W192="","",IFERROR(IF(INDEX('🎓 Alumnas'!$D$2:$D$1000,MATCH($W192,'🎓 Alumnas'!$A$2:$A$1000,0))="","",INDEX('🎓 Alumnas'!$D$2:$D$1000,MATCH($W192,'🎓 Alumnas'!$A$2:$A$1000,0))),""))</f>
        <v/>
      </c>
      <c r="G192" s="28" t="str">
        <f aca="false">IF($W192="","",IFERROR(IF(INDEX('🎓 Alumnas'!$E$2:$E$1000,MATCH($W192,'🎓 Alumnas'!$A$2:$A$1000,0))="","",INDEX('🎓 Alumnas'!$E$2:$E$1000,MATCH($W192,'🎓 Alumnas'!$A$2:$A$1000,0))),""))</f>
        <v/>
      </c>
      <c r="H192" s="28" t="str">
        <f aca="false">IF($W192="","",IFERROR(IF(INDEX('🎓 Alumnas'!$F$2:$F$1000,MATCH($W192,'🎓 Alumnas'!$A$2:$A$1000,0))="","",INDEX('🎓 Alumnas'!$F$2:$F$1000,MATCH($W192,'🎓 Alumnas'!$A$2:$A$1000,0))),""))</f>
        <v/>
      </c>
      <c r="I192" s="30" t="str">
        <f aca="false">IF($W192="","",IFERROR(IF(INDEX('🎓 Alumnas'!$G$2:$G$1000,MATCH($W192,'🎓 Alumnas'!$A$2:$A$1000,0))="","",INDEX('🎓 Alumnas'!$G$2:$G$1000,MATCH($W192,'🎓 Alumnas'!$A$2:$A$1000,0))),""))</f>
        <v/>
      </c>
      <c r="J192" s="28" t="str">
        <f aca="true">IF(I192="","",DATEDIF(I192,TODAY(),"Y"))</f>
        <v/>
      </c>
      <c r="K192" s="25"/>
      <c r="L192" s="28" t="str">
        <f aca="false">IF(K192="","",IF(LEFT(K192,6)="1 Pole","Alquiler",IF(LEFT(K192,7)="1 Clase","Clase suelta","Paquete")))</f>
        <v/>
      </c>
      <c r="M192" s="25"/>
      <c r="N192" s="25"/>
      <c r="O192" s="35"/>
      <c r="P192" s="29" t="str">
        <f aca="false">IF(O192="","",N192*O192)</f>
        <v/>
      </c>
      <c r="Q192" s="36"/>
      <c r="R192" s="25"/>
      <c r="S192" s="25"/>
      <c r="T192" s="28" t="str">
        <f aca="false">IF(OR(LEFT(W192,2)&lt;&gt;"A-",ISERROR(MATCH(W192,'🎓 Alumnas'!$A$2:$A$1000,0))),"",IF(COUNTIF($W$2:W192,W192)=1,"Nueva","Recurrente"))</f>
        <v/>
      </c>
      <c r="U192" s="28" t="str">
        <f aca="false">IF(OR(T192="",L192&lt;&gt;"Paquete"),"",COUNTIFS($W$2:W192,W192,$L$2:L192,"Paquete"))</f>
        <v/>
      </c>
      <c r="V192" s="25"/>
      <c r="W192" s="34" t="str">
        <f aca="false">IF(TRIM($C192)="","",IF(COUNTIF('🎓 Alumnas'!$P$2:$P$1000,TRIM($C192))&gt;0,INDEX('🎓 Alumnas'!$A$2:$A$1000,MATCH(TRIM($C192),'🎓 Alumnas'!$P$2:$P$1000,0)),IF(COUNTIF('🎓 Alumnas'!$O$2:$O$1000,TRIM($C192)&amp;"|*")=1,INDEX('🎓 Alumnas'!$A$2:$A$1000,MATCH(TRIM($C192)&amp;"|*",'🎓 Alumnas'!$O$2:$O$1000,0)),IF(COUNTIF('🎓 Alumnas'!$O$2:$O$1000,"*|"&amp;TRIM($C192))=1,INDEX('🎓 Alumnas'!$A$2:$A$1000,MATCH("*|"&amp;TRIM($C192),'🎓 Alumnas'!$O$2:$O$1000,0)),IF(COUNTIF('🎓 Alumnas'!$Q$2:$Q$1000,TRIM($C192))=1,INDEX('🎓 Alumnas'!$A$2:$A$1000,MATCH(TRIM($C192),'🎓 Alumnas'!$Q$2:$Q$1000,0)),IF(COUNTIF('🎓 Alumnas'!$P$2:$P$1000,"*"&amp;TRIM($C192)&amp;"*")=1,INDEX('🎓 Alumnas'!$A$2:$A$1000,MATCH("*"&amp;TRIM($C192)&amp;"*",'🎓 Alumnas'!$P$2:$P$1000,0)),IF(COUNTIF('🎓 Alumnas'!$Q$2:$Q$1000,"*"&amp;TRIM($C192)&amp;"*")=1,INDEX('🎓 Alumnas'!$A$2:$A$1000,MATCH("*"&amp;TRIM($C192)&amp;"*",'🎓 Alumnas'!$Q$2:$Q$1000,0)),IF(COUNTIF('🎓 Alumnas'!$P$2:$P$1000,"*"&amp;TRIM($C192)&amp;"*")+COUNTIF('🎓 Alumnas'!$Q$2:$Q$1000,"*"&amp;TRIM($C192)&amp;"*")&gt;1,"Varias: elige de la lista","No encontrada"))))))))</f>
        <v/>
      </c>
    </row>
    <row r="193" customFormat="false" ht="14.25" hidden="false" customHeight="true" outlineLevel="0" collapsed="false">
      <c r="A193" s="25" t="s">
        <v>738</v>
      </c>
      <c r="B193" s="27"/>
      <c r="C193" s="25"/>
      <c r="D193" s="34" t="str">
        <f aca="false">IF($W193="","",IFERROR(TRIM(INDEX('🎓 Alumnas'!$B$2:$B$1000,MATCH($W193,'🎓 Alumnas'!$A$2:$A$1000,0))),""))</f>
        <v/>
      </c>
      <c r="E193" s="34" t="str">
        <f aca="false">IF($W193="","",IFERROR(TRIM(INDEX('🎓 Alumnas'!$C$2:$C$1000,MATCH($W193,'🎓 Alumnas'!$A$2:$A$1000,0))),""))</f>
        <v/>
      </c>
      <c r="F193" s="34" t="str">
        <f aca="false">IF($W193="","",IFERROR(IF(INDEX('🎓 Alumnas'!$D$2:$D$1000,MATCH($W193,'🎓 Alumnas'!$A$2:$A$1000,0))="","",INDEX('🎓 Alumnas'!$D$2:$D$1000,MATCH($W193,'🎓 Alumnas'!$A$2:$A$1000,0))),""))</f>
        <v/>
      </c>
      <c r="G193" s="28" t="str">
        <f aca="false">IF($W193="","",IFERROR(IF(INDEX('🎓 Alumnas'!$E$2:$E$1000,MATCH($W193,'🎓 Alumnas'!$A$2:$A$1000,0))="","",INDEX('🎓 Alumnas'!$E$2:$E$1000,MATCH($W193,'🎓 Alumnas'!$A$2:$A$1000,0))),""))</f>
        <v/>
      </c>
      <c r="H193" s="28" t="str">
        <f aca="false">IF($W193="","",IFERROR(IF(INDEX('🎓 Alumnas'!$F$2:$F$1000,MATCH($W193,'🎓 Alumnas'!$A$2:$A$1000,0))="","",INDEX('🎓 Alumnas'!$F$2:$F$1000,MATCH($W193,'🎓 Alumnas'!$A$2:$A$1000,0))),""))</f>
        <v/>
      </c>
      <c r="I193" s="30" t="str">
        <f aca="false">IF($W193="","",IFERROR(IF(INDEX('🎓 Alumnas'!$G$2:$G$1000,MATCH($W193,'🎓 Alumnas'!$A$2:$A$1000,0))="","",INDEX('🎓 Alumnas'!$G$2:$G$1000,MATCH($W193,'🎓 Alumnas'!$A$2:$A$1000,0))),""))</f>
        <v/>
      </c>
      <c r="J193" s="28" t="str">
        <f aca="true">IF(I193="","",DATEDIF(I193,TODAY(),"Y"))</f>
        <v/>
      </c>
      <c r="K193" s="25"/>
      <c r="L193" s="28" t="str">
        <f aca="false">IF(K193="","",IF(LEFT(K193,6)="1 Pole","Alquiler",IF(LEFT(K193,7)="1 Clase","Clase suelta","Paquete")))</f>
        <v/>
      </c>
      <c r="M193" s="25"/>
      <c r="N193" s="25"/>
      <c r="O193" s="35"/>
      <c r="P193" s="29" t="str">
        <f aca="false">IF(O193="","",N193*O193)</f>
        <v/>
      </c>
      <c r="Q193" s="36"/>
      <c r="R193" s="25"/>
      <c r="S193" s="25"/>
      <c r="T193" s="28" t="str">
        <f aca="false">IF(OR(LEFT(W193,2)&lt;&gt;"A-",ISERROR(MATCH(W193,'🎓 Alumnas'!$A$2:$A$1000,0))),"",IF(COUNTIF($W$2:W193,W193)=1,"Nueva","Recurrente"))</f>
        <v/>
      </c>
      <c r="U193" s="28" t="str">
        <f aca="false">IF(OR(T193="",L193&lt;&gt;"Paquete"),"",COUNTIFS($W$2:W193,W193,$L$2:L193,"Paquete"))</f>
        <v/>
      </c>
      <c r="V193" s="25"/>
      <c r="W193" s="34" t="str">
        <f aca="false">IF(TRIM($C193)="","",IF(COUNTIF('🎓 Alumnas'!$P$2:$P$1000,TRIM($C193))&gt;0,INDEX('🎓 Alumnas'!$A$2:$A$1000,MATCH(TRIM($C193),'🎓 Alumnas'!$P$2:$P$1000,0)),IF(COUNTIF('🎓 Alumnas'!$O$2:$O$1000,TRIM($C193)&amp;"|*")=1,INDEX('🎓 Alumnas'!$A$2:$A$1000,MATCH(TRIM($C193)&amp;"|*",'🎓 Alumnas'!$O$2:$O$1000,0)),IF(COUNTIF('🎓 Alumnas'!$O$2:$O$1000,"*|"&amp;TRIM($C193))=1,INDEX('🎓 Alumnas'!$A$2:$A$1000,MATCH("*|"&amp;TRIM($C193),'🎓 Alumnas'!$O$2:$O$1000,0)),IF(COUNTIF('🎓 Alumnas'!$Q$2:$Q$1000,TRIM($C193))=1,INDEX('🎓 Alumnas'!$A$2:$A$1000,MATCH(TRIM($C193),'🎓 Alumnas'!$Q$2:$Q$1000,0)),IF(COUNTIF('🎓 Alumnas'!$P$2:$P$1000,"*"&amp;TRIM($C193)&amp;"*")=1,INDEX('🎓 Alumnas'!$A$2:$A$1000,MATCH("*"&amp;TRIM($C193)&amp;"*",'🎓 Alumnas'!$P$2:$P$1000,0)),IF(COUNTIF('🎓 Alumnas'!$Q$2:$Q$1000,"*"&amp;TRIM($C193)&amp;"*")=1,INDEX('🎓 Alumnas'!$A$2:$A$1000,MATCH("*"&amp;TRIM($C193)&amp;"*",'🎓 Alumnas'!$Q$2:$Q$1000,0)),IF(COUNTIF('🎓 Alumnas'!$P$2:$P$1000,"*"&amp;TRIM($C193)&amp;"*")+COUNTIF('🎓 Alumnas'!$Q$2:$Q$1000,"*"&amp;TRIM($C193)&amp;"*")&gt;1,"Varias: elige de la lista","No encontrada"))))))))</f>
        <v/>
      </c>
    </row>
    <row r="194" customFormat="false" ht="14.25" hidden="false" customHeight="true" outlineLevel="0" collapsed="false">
      <c r="A194" s="25" t="s">
        <v>739</v>
      </c>
      <c r="B194" s="27"/>
      <c r="C194" s="25"/>
      <c r="D194" s="34" t="str">
        <f aca="false">IF($W194="","",IFERROR(TRIM(INDEX('🎓 Alumnas'!$B$2:$B$1000,MATCH($W194,'🎓 Alumnas'!$A$2:$A$1000,0))),""))</f>
        <v/>
      </c>
      <c r="E194" s="34" t="str">
        <f aca="false">IF($W194="","",IFERROR(TRIM(INDEX('🎓 Alumnas'!$C$2:$C$1000,MATCH($W194,'🎓 Alumnas'!$A$2:$A$1000,0))),""))</f>
        <v/>
      </c>
      <c r="F194" s="34" t="str">
        <f aca="false">IF($W194="","",IFERROR(IF(INDEX('🎓 Alumnas'!$D$2:$D$1000,MATCH($W194,'🎓 Alumnas'!$A$2:$A$1000,0))="","",INDEX('🎓 Alumnas'!$D$2:$D$1000,MATCH($W194,'🎓 Alumnas'!$A$2:$A$1000,0))),""))</f>
        <v/>
      </c>
      <c r="G194" s="28" t="str">
        <f aca="false">IF($W194="","",IFERROR(IF(INDEX('🎓 Alumnas'!$E$2:$E$1000,MATCH($W194,'🎓 Alumnas'!$A$2:$A$1000,0))="","",INDEX('🎓 Alumnas'!$E$2:$E$1000,MATCH($W194,'🎓 Alumnas'!$A$2:$A$1000,0))),""))</f>
        <v/>
      </c>
      <c r="H194" s="28" t="str">
        <f aca="false">IF($W194="","",IFERROR(IF(INDEX('🎓 Alumnas'!$F$2:$F$1000,MATCH($W194,'🎓 Alumnas'!$A$2:$A$1000,0))="","",INDEX('🎓 Alumnas'!$F$2:$F$1000,MATCH($W194,'🎓 Alumnas'!$A$2:$A$1000,0))),""))</f>
        <v/>
      </c>
      <c r="I194" s="30" t="str">
        <f aca="false">IF($W194="","",IFERROR(IF(INDEX('🎓 Alumnas'!$G$2:$G$1000,MATCH($W194,'🎓 Alumnas'!$A$2:$A$1000,0))="","",INDEX('🎓 Alumnas'!$G$2:$G$1000,MATCH($W194,'🎓 Alumnas'!$A$2:$A$1000,0))),""))</f>
        <v/>
      </c>
      <c r="J194" s="28" t="str">
        <f aca="true">IF(I194="","",DATEDIF(I194,TODAY(),"Y"))</f>
        <v/>
      </c>
      <c r="K194" s="25"/>
      <c r="L194" s="28" t="str">
        <f aca="false">IF(K194="","",IF(LEFT(K194,6)="1 Pole","Alquiler",IF(LEFT(K194,7)="1 Clase","Clase suelta","Paquete")))</f>
        <v/>
      </c>
      <c r="M194" s="25"/>
      <c r="N194" s="25"/>
      <c r="O194" s="35"/>
      <c r="P194" s="29" t="str">
        <f aca="false">IF(O194="","",N194*O194)</f>
        <v/>
      </c>
      <c r="Q194" s="36"/>
      <c r="R194" s="25"/>
      <c r="S194" s="25"/>
      <c r="T194" s="28" t="str">
        <f aca="false">IF(OR(LEFT(W194,2)&lt;&gt;"A-",ISERROR(MATCH(W194,'🎓 Alumnas'!$A$2:$A$1000,0))),"",IF(COUNTIF($W$2:W194,W194)=1,"Nueva","Recurrente"))</f>
        <v/>
      </c>
      <c r="U194" s="28" t="str">
        <f aca="false">IF(OR(T194="",L194&lt;&gt;"Paquete"),"",COUNTIFS($W$2:W194,W194,$L$2:L194,"Paquete"))</f>
        <v/>
      </c>
      <c r="V194" s="25"/>
      <c r="W194" s="34" t="str">
        <f aca="false">IF(TRIM($C194)="","",IF(COUNTIF('🎓 Alumnas'!$P$2:$P$1000,TRIM($C194))&gt;0,INDEX('🎓 Alumnas'!$A$2:$A$1000,MATCH(TRIM($C194),'🎓 Alumnas'!$P$2:$P$1000,0)),IF(COUNTIF('🎓 Alumnas'!$O$2:$O$1000,TRIM($C194)&amp;"|*")=1,INDEX('🎓 Alumnas'!$A$2:$A$1000,MATCH(TRIM($C194)&amp;"|*",'🎓 Alumnas'!$O$2:$O$1000,0)),IF(COUNTIF('🎓 Alumnas'!$O$2:$O$1000,"*|"&amp;TRIM($C194))=1,INDEX('🎓 Alumnas'!$A$2:$A$1000,MATCH("*|"&amp;TRIM($C194),'🎓 Alumnas'!$O$2:$O$1000,0)),IF(COUNTIF('🎓 Alumnas'!$Q$2:$Q$1000,TRIM($C194))=1,INDEX('🎓 Alumnas'!$A$2:$A$1000,MATCH(TRIM($C194),'🎓 Alumnas'!$Q$2:$Q$1000,0)),IF(COUNTIF('🎓 Alumnas'!$P$2:$P$1000,"*"&amp;TRIM($C194)&amp;"*")=1,INDEX('🎓 Alumnas'!$A$2:$A$1000,MATCH("*"&amp;TRIM($C194)&amp;"*",'🎓 Alumnas'!$P$2:$P$1000,0)),IF(COUNTIF('🎓 Alumnas'!$Q$2:$Q$1000,"*"&amp;TRIM($C194)&amp;"*")=1,INDEX('🎓 Alumnas'!$A$2:$A$1000,MATCH("*"&amp;TRIM($C194)&amp;"*",'🎓 Alumnas'!$Q$2:$Q$1000,0)),IF(COUNTIF('🎓 Alumnas'!$P$2:$P$1000,"*"&amp;TRIM($C194)&amp;"*")+COUNTIF('🎓 Alumnas'!$Q$2:$Q$1000,"*"&amp;TRIM($C194)&amp;"*")&gt;1,"Varias: elige de la lista","No encontrada"))))))))</f>
        <v/>
      </c>
    </row>
    <row r="195" customFormat="false" ht="14.25" hidden="false" customHeight="true" outlineLevel="0" collapsed="false">
      <c r="A195" s="25" t="s">
        <v>740</v>
      </c>
      <c r="B195" s="27"/>
      <c r="C195" s="25"/>
      <c r="D195" s="34" t="str">
        <f aca="false">IF($W195="","",IFERROR(TRIM(INDEX('🎓 Alumnas'!$B$2:$B$1000,MATCH($W195,'🎓 Alumnas'!$A$2:$A$1000,0))),""))</f>
        <v/>
      </c>
      <c r="E195" s="34" t="str">
        <f aca="false">IF($W195="","",IFERROR(TRIM(INDEX('🎓 Alumnas'!$C$2:$C$1000,MATCH($W195,'🎓 Alumnas'!$A$2:$A$1000,0))),""))</f>
        <v/>
      </c>
      <c r="F195" s="34" t="str">
        <f aca="false">IF($W195="","",IFERROR(IF(INDEX('🎓 Alumnas'!$D$2:$D$1000,MATCH($W195,'🎓 Alumnas'!$A$2:$A$1000,0))="","",INDEX('🎓 Alumnas'!$D$2:$D$1000,MATCH($W195,'🎓 Alumnas'!$A$2:$A$1000,0))),""))</f>
        <v/>
      </c>
      <c r="G195" s="28" t="str">
        <f aca="false">IF($W195="","",IFERROR(IF(INDEX('🎓 Alumnas'!$E$2:$E$1000,MATCH($W195,'🎓 Alumnas'!$A$2:$A$1000,0))="","",INDEX('🎓 Alumnas'!$E$2:$E$1000,MATCH($W195,'🎓 Alumnas'!$A$2:$A$1000,0))),""))</f>
        <v/>
      </c>
      <c r="H195" s="28" t="str">
        <f aca="false">IF($W195="","",IFERROR(IF(INDEX('🎓 Alumnas'!$F$2:$F$1000,MATCH($W195,'🎓 Alumnas'!$A$2:$A$1000,0))="","",INDEX('🎓 Alumnas'!$F$2:$F$1000,MATCH($W195,'🎓 Alumnas'!$A$2:$A$1000,0))),""))</f>
        <v/>
      </c>
      <c r="I195" s="30" t="str">
        <f aca="false">IF($W195="","",IFERROR(IF(INDEX('🎓 Alumnas'!$G$2:$G$1000,MATCH($W195,'🎓 Alumnas'!$A$2:$A$1000,0))="","",INDEX('🎓 Alumnas'!$G$2:$G$1000,MATCH($W195,'🎓 Alumnas'!$A$2:$A$1000,0))),""))</f>
        <v/>
      </c>
      <c r="J195" s="28" t="str">
        <f aca="true">IF(I195="","",DATEDIF(I195,TODAY(),"Y"))</f>
        <v/>
      </c>
      <c r="K195" s="25"/>
      <c r="L195" s="28" t="str">
        <f aca="false">IF(K195="","",IF(LEFT(K195,6)="1 Pole","Alquiler",IF(LEFT(K195,7)="1 Clase","Clase suelta","Paquete")))</f>
        <v/>
      </c>
      <c r="M195" s="25"/>
      <c r="N195" s="25"/>
      <c r="O195" s="35"/>
      <c r="P195" s="29" t="str">
        <f aca="false">IF(O195="","",N195*O195)</f>
        <v/>
      </c>
      <c r="Q195" s="36"/>
      <c r="R195" s="25"/>
      <c r="S195" s="25"/>
      <c r="T195" s="28" t="str">
        <f aca="false">IF(OR(LEFT(W195,2)&lt;&gt;"A-",ISERROR(MATCH(W195,'🎓 Alumnas'!$A$2:$A$1000,0))),"",IF(COUNTIF($W$2:W195,W195)=1,"Nueva","Recurrente"))</f>
        <v/>
      </c>
      <c r="U195" s="28" t="str">
        <f aca="false">IF(OR(T195="",L195&lt;&gt;"Paquete"),"",COUNTIFS($W$2:W195,W195,$L$2:L195,"Paquete"))</f>
        <v/>
      </c>
      <c r="V195" s="25"/>
      <c r="W195" s="34" t="str">
        <f aca="false">IF(TRIM($C195)="","",IF(COUNTIF('🎓 Alumnas'!$P$2:$P$1000,TRIM($C195))&gt;0,INDEX('🎓 Alumnas'!$A$2:$A$1000,MATCH(TRIM($C195),'🎓 Alumnas'!$P$2:$P$1000,0)),IF(COUNTIF('🎓 Alumnas'!$O$2:$O$1000,TRIM($C195)&amp;"|*")=1,INDEX('🎓 Alumnas'!$A$2:$A$1000,MATCH(TRIM($C195)&amp;"|*",'🎓 Alumnas'!$O$2:$O$1000,0)),IF(COUNTIF('🎓 Alumnas'!$O$2:$O$1000,"*|"&amp;TRIM($C195))=1,INDEX('🎓 Alumnas'!$A$2:$A$1000,MATCH("*|"&amp;TRIM($C195),'🎓 Alumnas'!$O$2:$O$1000,0)),IF(COUNTIF('🎓 Alumnas'!$Q$2:$Q$1000,TRIM($C195))=1,INDEX('🎓 Alumnas'!$A$2:$A$1000,MATCH(TRIM($C195),'🎓 Alumnas'!$Q$2:$Q$1000,0)),IF(COUNTIF('🎓 Alumnas'!$P$2:$P$1000,"*"&amp;TRIM($C195)&amp;"*")=1,INDEX('🎓 Alumnas'!$A$2:$A$1000,MATCH("*"&amp;TRIM($C195)&amp;"*",'🎓 Alumnas'!$P$2:$P$1000,0)),IF(COUNTIF('🎓 Alumnas'!$Q$2:$Q$1000,"*"&amp;TRIM($C195)&amp;"*")=1,INDEX('🎓 Alumnas'!$A$2:$A$1000,MATCH("*"&amp;TRIM($C195)&amp;"*",'🎓 Alumnas'!$Q$2:$Q$1000,0)),IF(COUNTIF('🎓 Alumnas'!$P$2:$P$1000,"*"&amp;TRIM($C195)&amp;"*")+COUNTIF('🎓 Alumnas'!$Q$2:$Q$1000,"*"&amp;TRIM($C195)&amp;"*")&gt;1,"Varias: elige de la lista","No encontrada"))))))))</f>
        <v/>
      </c>
    </row>
    <row r="196" customFormat="false" ht="14.25" hidden="false" customHeight="true" outlineLevel="0" collapsed="false">
      <c r="A196" s="25" t="s">
        <v>741</v>
      </c>
      <c r="B196" s="27"/>
      <c r="C196" s="25"/>
      <c r="D196" s="34" t="str">
        <f aca="false">IF($W196="","",IFERROR(TRIM(INDEX('🎓 Alumnas'!$B$2:$B$1000,MATCH($W196,'🎓 Alumnas'!$A$2:$A$1000,0))),""))</f>
        <v/>
      </c>
      <c r="E196" s="34" t="str">
        <f aca="false">IF($W196="","",IFERROR(TRIM(INDEX('🎓 Alumnas'!$C$2:$C$1000,MATCH($W196,'🎓 Alumnas'!$A$2:$A$1000,0))),""))</f>
        <v/>
      </c>
      <c r="F196" s="34" t="str">
        <f aca="false">IF($W196="","",IFERROR(IF(INDEX('🎓 Alumnas'!$D$2:$D$1000,MATCH($W196,'🎓 Alumnas'!$A$2:$A$1000,0))="","",INDEX('🎓 Alumnas'!$D$2:$D$1000,MATCH($W196,'🎓 Alumnas'!$A$2:$A$1000,0))),""))</f>
        <v/>
      </c>
      <c r="G196" s="28" t="str">
        <f aca="false">IF($W196="","",IFERROR(IF(INDEX('🎓 Alumnas'!$E$2:$E$1000,MATCH($W196,'🎓 Alumnas'!$A$2:$A$1000,0))="","",INDEX('🎓 Alumnas'!$E$2:$E$1000,MATCH($W196,'🎓 Alumnas'!$A$2:$A$1000,0))),""))</f>
        <v/>
      </c>
      <c r="H196" s="28" t="str">
        <f aca="false">IF($W196="","",IFERROR(IF(INDEX('🎓 Alumnas'!$F$2:$F$1000,MATCH($W196,'🎓 Alumnas'!$A$2:$A$1000,0))="","",INDEX('🎓 Alumnas'!$F$2:$F$1000,MATCH($W196,'🎓 Alumnas'!$A$2:$A$1000,0))),""))</f>
        <v/>
      </c>
      <c r="I196" s="30" t="str">
        <f aca="false">IF($W196="","",IFERROR(IF(INDEX('🎓 Alumnas'!$G$2:$G$1000,MATCH($W196,'🎓 Alumnas'!$A$2:$A$1000,0))="","",INDEX('🎓 Alumnas'!$G$2:$G$1000,MATCH($W196,'🎓 Alumnas'!$A$2:$A$1000,0))),""))</f>
        <v/>
      </c>
      <c r="J196" s="28" t="str">
        <f aca="true">IF(I196="","",DATEDIF(I196,TODAY(),"Y"))</f>
        <v/>
      </c>
      <c r="K196" s="25"/>
      <c r="L196" s="28" t="str">
        <f aca="false">IF(K196="","",IF(LEFT(K196,6)="1 Pole","Alquiler",IF(LEFT(K196,7)="1 Clase","Clase suelta","Paquete")))</f>
        <v/>
      </c>
      <c r="M196" s="25"/>
      <c r="N196" s="25"/>
      <c r="O196" s="35"/>
      <c r="P196" s="29" t="str">
        <f aca="false">IF(O196="","",N196*O196)</f>
        <v/>
      </c>
      <c r="Q196" s="36"/>
      <c r="R196" s="25"/>
      <c r="S196" s="25"/>
      <c r="T196" s="28" t="str">
        <f aca="false">IF(OR(LEFT(W196,2)&lt;&gt;"A-",ISERROR(MATCH(W196,'🎓 Alumnas'!$A$2:$A$1000,0))),"",IF(COUNTIF($W$2:W196,W196)=1,"Nueva","Recurrente"))</f>
        <v/>
      </c>
      <c r="U196" s="28" t="str">
        <f aca="false">IF(OR(T196="",L196&lt;&gt;"Paquete"),"",COUNTIFS($W$2:W196,W196,$L$2:L196,"Paquete"))</f>
        <v/>
      </c>
      <c r="V196" s="25"/>
      <c r="W196" s="34" t="str">
        <f aca="false">IF(TRIM($C196)="","",IF(COUNTIF('🎓 Alumnas'!$P$2:$P$1000,TRIM($C196))&gt;0,INDEX('🎓 Alumnas'!$A$2:$A$1000,MATCH(TRIM($C196),'🎓 Alumnas'!$P$2:$P$1000,0)),IF(COUNTIF('🎓 Alumnas'!$O$2:$O$1000,TRIM($C196)&amp;"|*")=1,INDEX('🎓 Alumnas'!$A$2:$A$1000,MATCH(TRIM($C196)&amp;"|*",'🎓 Alumnas'!$O$2:$O$1000,0)),IF(COUNTIF('🎓 Alumnas'!$O$2:$O$1000,"*|"&amp;TRIM($C196))=1,INDEX('🎓 Alumnas'!$A$2:$A$1000,MATCH("*|"&amp;TRIM($C196),'🎓 Alumnas'!$O$2:$O$1000,0)),IF(COUNTIF('🎓 Alumnas'!$Q$2:$Q$1000,TRIM($C196))=1,INDEX('🎓 Alumnas'!$A$2:$A$1000,MATCH(TRIM($C196),'🎓 Alumnas'!$Q$2:$Q$1000,0)),IF(COUNTIF('🎓 Alumnas'!$P$2:$P$1000,"*"&amp;TRIM($C196)&amp;"*")=1,INDEX('🎓 Alumnas'!$A$2:$A$1000,MATCH("*"&amp;TRIM($C196)&amp;"*",'🎓 Alumnas'!$P$2:$P$1000,0)),IF(COUNTIF('🎓 Alumnas'!$Q$2:$Q$1000,"*"&amp;TRIM($C196)&amp;"*")=1,INDEX('🎓 Alumnas'!$A$2:$A$1000,MATCH("*"&amp;TRIM($C196)&amp;"*",'🎓 Alumnas'!$Q$2:$Q$1000,0)),IF(COUNTIF('🎓 Alumnas'!$P$2:$P$1000,"*"&amp;TRIM($C196)&amp;"*")+COUNTIF('🎓 Alumnas'!$Q$2:$Q$1000,"*"&amp;TRIM($C196)&amp;"*")&gt;1,"Varias: elige de la lista","No encontrada"))))))))</f>
        <v/>
      </c>
    </row>
    <row r="197" customFormat="false" ht="14.25" hidden="false" customHeight="true" outlineLevel="0" collapsed="false">
      <c r="A197" s="25" t="s">
        <v>742</v>
      </c>
      <c r="B197" s="27"/>
      <c r="C197" s="25"/>
      <c r="D197" s="34" t="str">
        <f aca="false">IF($W197="","",IFERROR(TRIM(INDEX('🎓 Alumnas'!$B$2:$B$1000,MATCH($W197,'🎓 Alumnas'!$A$2:$A$1000,0))),""))</f>
        <v/>
      </c>
      <c r="E197" s="34" t="str">
        <f aca="false">IF($W197="","",IFERROR(TRIM(INDEX('🎓 Alumnas'!$C$2:$C$1000,MATCH($W197,'🎓 Alumnas'!$A$2:$A$1000,0))),""))</f>
        <v/>
      </c>
      <c r="F197" s="34" t="str">
        <f aca="false">IF($W197="","",IFERROR(IF(INDEX('🎓 Alumnas'!$D$2:$D$1000,MATCH($W197,'🎓 Alumnas'!$A$2:$A$1000,0))="","",INDEX('🎓 Alumnas'!$D$2:$D$1000,MATCH($W197,'🎓 Alumnas'!$A$2:$A$1000,0))),""))</f>
        <v/>
      </c>
      <c r="G197" s="28" t="str">
        <f aca="false">IF($W197="","",IFERROR(IF(INDEX('🎓 Alumnas'!$E$2:$E$1000,MATCH($W197,'🎓 Alumnas'!$A$2:$A$1000,0))="","",INDEX('🎓 Alumnas'!$E$2:$E$1000,MATCH($W197,'🎓 Alumnas'!$A$2:$A$1000,0))),""))</f>
        <v/>
      </c>
      <c r="H197" s="28" t="str">
        <f aca="false">IF($W197="","",IFERROR(IF(INDEX('🎓 Alumnas'!$F$2:$F$1000,MATCH($W197,'🎓 Alumnas'!$A$2:$A$1000,0))="","",INDEX('🎓 Alumnas'!$F$2:$F$1000,MATCH($W197,'🎓 Alumnas'!$A$2:$A$1000,0))),""))</f>
        <v/>
      </c>
      <c r="I197" s="30" t="str">
        <f aca="false">IF($W197="","",IFERROR(IF(INDEX('🎓 Alumnas'!$G$2:$G$1000,MATCH($W197,'🎓 Alumnas'!$A$2:$A$1000,0))="","",INDEX('🎓 Alumnas'!$G$2:$G$1000,MATCH($W197,'🎓 Alumnas'!$A$2:$A$1000,0))),""))</f>
        <v/>
      </c>
      <c r="J197" s="28" t="str">
        <f aca="true">IF(I197="","",DATEDIF(I197,TODAY(),"Y"))</f>
        <v/>
      </c>
      <c r="K197" s="25"/>
      <c r="L197" s="28" t="str">
        <f aca="false">IF(K197="","",IF(LEFT(K197,6)="1 Pole","Alquiler",IF(LEFT(K197,7)="1 Clase","Clase suelta","Paquete")))</f>
        <v/>
      </c>
      <c r="M197" s="25"/>
      <c r="N197" s="25"/>
      <c r="O197" s="35"/>
      <c r="P197" s="29" t="str">
        <f aca="false">IF(O197="","",N197*O197)</f>
        <v/>
      </c>
      <c r="Q197" s="36"/>
      <c r="R197" s="25"/>
      <c r="S197" s="25"/>
      <c r="T197" s="28" t="str">
        <f aca="false">IF(OR(LEFT(W197,2)&lt;&gt;"A-",ISERROR(MATCH(W197,'🎓 Alumnas'!$A$2:$A$1000,0))),"",IF(COUNTIF($W$2:W197,W197)=1,"Nueva","Recurrente"))</f>
        <v/>
      </c>
      <c r="U197" s="28" t="str">
        <f aca="false">IF(OR(T197="",L197&lt;&gt;"Paquete"),"",COUNTIFS($W$2:W197,W197,$L$2:L197,"Paquete"))</f>
        <v/>
      </c>
      <c r="V197" s="25"/>
      <c r="W197" s="34" t="str">
        <f aca="false">IF(TRIM($C197)="","",IF(COUNTIF('🎓 Alumnas'!$P$2:$P$1000,TRIM($C197))&gt;0,INDEX('🎓 Alumnas'!$A$2:$A$1000,MATCH(TRIM($C197),'🎓 Alumnas'!$P$2:$P$1000,0)),IF(COUNTIF('🎓 Alumnas'!$O$2:$O$1000,TRIM($C197)&amp;"|*")=1,INDEX('🎓 Alumnas'!$A$2:$A$1000,MATCH(TRIM($C197)&amp;"|*",'🎓 Alumnas'!$O$2:$O$1000,0)),IF(COUNTIF('🎓 Alumnas'!$O$2:$O$1000,"*|"&amp;TRIM($C197))=1,INDEX('🎓 Alumnas'!$A$2:$A$1000,MATCH("*|"&amp;TRIM($C197),'🎓 Alumnas'!$O$2:$O$1000,0)),IF(COUNTIF('🎓 Alumnas'!$Q$2:$Q$1000,TRIM($C197))=1,INDEX('🎓 Alumnas'!$A$2:$A$1000,MATCH(TRIM($C197),'🎓 Alumnas'!$Q$2:$Q$1000,0)),IF(COUNTIF('🎓 Alumnas'!$P$2:$P$1000,"*"&amp;TRIM($C197)&amp;"*")=1,INDEX('🎓 Alumnas'!$A$2:$A$1000,MATCH("*"&amp;TRIM($C197)&amp;"*",'🎓 Alumnas'!$P$2:$P$1000,0)),IF(COUNTIF('🎓 Alumnas'!$Q$2:$Q$1000,"*"&amp;TRIM($C197)&amp;"*")=1,INDEX('🎓 Alumnas'!$A$2:$A$1000,MATCH("*"&amp;TRIM($C197)&amp;"*",'🎓 Alumnas'!$Q$2:$Q$1000,0)),IF(COUNTIF('🎓 Alumnas'!$P$2:$P$1000,"*"&amp;TRIM($C197)&amp;"*")+COUNTIF('🎓 Alumnas'!$Q$2:$Q$1000,"*"&amp;TRIM($C197)&amp;"*")&gt;1,"Varias: elige de la lista","No encontrada"))))))))</f>
        <v/>
      </c>
    </row>
    <row r="198" customFormat="false" ht="14.25" hidden="false" customHeight="true" outlineLevel="0" collapsed="false">
      <c r="A198" s="25" t="s">
        <v>743</v>
      </c>
      <c r="B198" s="27"/>
      <c r="C198" s="25"/>
      <c r="D198" s="34" t="str">
        <f aca="false">IF($W198="","",IFERROR(TRIM(INDEX('🎓 Alumnas'!$B$2:$B$1000,MATCH($W198,'🎓 Alumnas'!$A$2:$A$1000,0))),""))</f>
        <v/>
      </c>
      <c r="E198" s="34" t="str">
        <f aca="false">IF($W198="","",IFERROR(TRIM(INDEX('🎓 Alumnas'!$C$2:$C$1000,MATCH($W198,'🎓 Alumnas'!$A$2:$A$1000,0))),""))</f>
        <v/>
      </c>
      <c r="F198" s="34" t="str">
        <f aca="false">IF($W198="","",IFERROR(IF(INDEX('🎓 Alumnas'!$D$2:$D$1000,MATCH($W198,'🎓 Alumnas'!$A$2:$A$1000,0))="","",INDEX('🎓 Alumnas'!$D$2:$D$1000,MATCH($W198,'🎓 Alumnas'!$A$2:$A$1000,0))),""))</f>
        <v/>
      </c>
      <c r="G198" s="28" t="str">
        <f aca="false">IF($W198="","",IFERROR(IF(INDEX('🎓 Alumnas'!$E$2:$E$1000,MATCH($W198,'🎓 Alumnas'!$A$2:$A$1000,0))="","",INDEX('🎓 Alumnas'!$E$2:$E$1000,MATCH($W198,'🎓 Alumnas'!$A$2:$A$1000,0))),""))</f>
        <v/>
      </c>
      <c r="H198" s="28" t="str">
        <f aca="false">IF($W198="","",IFERROR(IF(INDEX('🎓 Alumnas'!$F$2:$F$1000,MATCH($W198,'🎓 Alumnas'!$A$2:$A$1000,0))="","",INDEX('🎓 Alumnas'!$F$2:$F$1000,MATCH($W198,'🎓 Alumnas'!$A$2:$A$1000,0))),""))</f>
        <v/>
      </c>
      <c r="I198" s="30" t="str">
        <f aca="false">IF($W198="","",IFERROR(IF(INDEX('🎓 Alumnas'!$G$2:$G$1000,MATCH($W198,'🎓 Alumnas'!$A$2:$A$1000,0))="","",INDEX('🎓 Alumnas'!$G$2:$G$1000,MATCH($W198,'🎓 Alumnas'!$A$2:$A$1000,0))),""))</f>
        <v/>
      </c>
      <c r="J198" s="28" t="str">
        <f aca="true">IF(I198="","",DATEDIF(I198,TODAY(),"Y"))</f>
        <v/>
      </c>
      <c r="K198" s="25"/>
      <c r="L198" s="28" t="str">
        <f aca="false">IF(K198="","",IF(LEFT(K198,6)="1 Pole","Alquiler",IF(LEFT(K198,7)="1 Clase","Clase suelta","Paquete")))</f>
        <v/>
      </c>
      <c r="M198" s="25"/>
      <c r="N198" s="25"/>
      <c r="O198" s="35"/>
      <c r="P198" s="29" t="str">
        <f aca="false">IF(O198="","",N198*O198)</f>
        <v/>
      </c>
      <c r="Q198" s="36"/>
      <c r="R198" s="25"/>
      <c r="S198" s="25"/>
      <c r="T198" s="28" t="str">
        <f aca="false">IF(OR(LEFT(W198,2)&lt;&gt;"A-",ISERROR(MATCH(W198,'🎓 Alumnas'!$A$2:$A$1000,0))),"",IF(COUNTIF($W$2:W198,W198)=1,"Nueva","Recurrente"))</f>
        <v/>
      </c>
      <c r="U198" s="28" t="str">
        <f aca="false">IF(OR(T198="",L198&lt;&gt;"Paquete"),"",COUNTIFS($W$2:W198,W198,$L$2:L198,"Paquete"))</f>
        <v/>
      </c>
      <c r="V198" s="25"/>
      <c r="W198" s="34" t="str">
        <f aca="false">IF(TRIM($C198)="","",IF(COUNTIF('🎓 Alumnas'!$P$2:$P$1000,TRIM($C198))&gt;0,INDEX('🎓 Alumnas'!$A$2:$A$1000,MATCH(TRIM($C198),'🎓 Alumnas'!$P$2:$P$1000,0)),IF(COUNTIF('🎓 Alumnas'!$O$2:$O$1000,TRIM($C198)&amp;"|*")=1,INDEX('🎓 Alumnas'!$A$2:$A$1000,MATCH(TRIM($C198)&amp;"|*",'🎓 Alumnas'!$O$2:$O$1000,0)),IF(COUNTIF('🎓 Alumnas'!$O$2:$O$1000,"*|"&amp;TRIM($C198))=1,INDEX('🎓 Alumnas'!$A$2:$A$1000,MATCH("*|"&amp;TRIM($C198),'🎓 Alumnas'!$O$2:$O$1000,0)),IF(COUNTIF('🎓 Alumnas'!$Q$2:$Q$1000,TRIM($C198))=1,INDEX('🎓 Alumnas'!$A$2:$A$1000,MATCH(TRIM($C198),'🎓 Alumnas'!$Q$2:$Q$1000,0)),IF(COUNTIF('🎓 Alumnas'!$P$2:$P$1000,"*"&amp;TRIM($C198)&amp;"*")=1,INDEX('🎓 Alumnas'!$A$2:$A$1000,MATCH("*"&amp;TRIM($C198)&amp;"*",'🎓 Alumnas'!$P$2:$P$1000,0)),IF(COUNTIF('🎓 Alumnas'!$Q$2:$Q$1000,"*"&amp;TRIM($C198)&amp;"*")=1,INDEX('🎓 Alumnas'!$A$2:$A$1000,MATCH("*"&amp;TRIM($C198)&amp;"*",'🎓 Alumnas'!$Q$2:$Q$1000,0)),IF(COUNTIF('🎓 Alumnas'!$P$2:$P$1000,"*"&amp;TRIM($C198)&amp;"*")+COUNTIF('🎓 Alumnas'!$Q$2:$Q$1000,"*"&amp;TRIM($C198)&amp;"*")&gt;1,"Varias: elige de la lista","No encontrada"))))))))</f>
        <v/>
      </c>
    </row>
    <row r="199" customFormat="false" ht="14.25" hidden="false" customHeight="true" outlineLevel="0" collapsed="false">
      <c r="A199" s="25" t="s">
        <v>744</v>
      </c>
      <c r="B199" s="27"/>
      <c r="C199" s="25"/>
      <c r="D199" s="34" t="str">
        <f aca="false">IF($W199="","",IFERROR(TRIM(INDEX('🎓 Alumnas'!$B$2:$B$1000,MATCH($W199,'🎓 Alumnas'!$A$2:$A$1000,0))),""))</f>
        <v/>
      </c>
      <c r="E199" s="34" t="str">
        <f aca="false">IF($W199="","",IFERROR(TRIM(INDEX('🎓 Alumnas'!$C$2:$C$1000,MATCH($W199,'🎓 Alumnas'!$A$2:$A$1000,0))),""))</f>
        <v/>
      </c>
      <c r="F199" s="34" t="str">
        <f aca="false">IF($W199="","",IFERROR(IF(INDEX('🎓 Alumnas'!$D$2:$D$1000,MATCH($W199,'🎓 Alumnas'!$A$2:$A$1000,0))="","",INDEX('🎓 Alumnas'!$D$2:$D$1000,MATCH($W199,'🎓 Alumnas'!$A$2:$A$1000,0))),""))</f>
        <v/>
      </c>
      <c r="G199" s="28" t="str">
        <f aca="false">IF($W199="","",IFERROR(IF(INDEX('🎓 Alumnas'!$E$2:$E$1000,MATCH($W199,'🎓 Alumnas'!$A$2:$A$1000,0))="","",INDEX('🎓 Alumnas'!$E$2:$E$1000,MATCH($W199,'🎓 Alumnas'!$A$2:$A$1000,0))),""))</f>
        <v/>
      </c>
      <c r="H199" s="28" t="str">
        <f aca="false">IF($W199="","",IFERROR(IF(INDEX('🎓 Alumnas'!$F$2:$F$1000,MATCH($W199,'🎓 Alumnas'!$A$2:$A$1000,0))="","",INDEX('🎓 Alumnas'!$F$2:$F$1000,MATCH($W199,'🎓 Alumnas'!$A$2:$A$1000,0))),""))</f>
        <v/>
      </c>
      <c r="I199" s="30" t="str">
        <f aca="false">IF($W199="","",IFERROR(IF(INDEX('🎓 Alumnas'!$G$2:$G$1000,MATCH($W199,'🎓 Alumnas'!$A$2:$A$1000,0))="","",INDEX('🎓 Alumnas'!$G$2:$G$1000,MATCH($W199,'🎓 Alumnas'!$A$2:$A$1000,0))),""))</f>
        <v/>
      </c>
      <c r="J199" s="28" t="str">
        <f aca="true">IF(I199="","",DATEDIF(I199,TODAY(),"Y"))</f>
        <v/>
      </c>
      <c r="K199" s="25"/>
      <c r="L199" s="28" t="str">
        <f aca="false">IF(K199="","",IF(LEFT(K199,6)="1 Pole","Alquiler",IF(LEFT(K199,7)="1 Clase","Clase suelta","Paquete")))</f>
        <v/>
      </c>
      <c r="M199" s="25"/>
      <c r="N199" s="25"/>
      <c r="O199" s="35"/>
      <c r="P199" s="29" t="str">
        <f aca="false">IF(O199="","",N199*O199)</f>
        <v/>
      </c>
      <c r="Q199" s="36"/>
      <c r="R199" s="25"/>
      <c r="S199" s="25"/>
      <c r="T199" s="28" t="str">
        <f aca="false">IF(OR(LEFT(W199,2)&lt;&gt;"A-",ISERROR(MATCH(W199,'🎓 Alumnas'!$A$2:$A$1000,0))),"",IF(COUNTIF($W$2:W199,W199)=1,"Nueva","Recurrente"))</f>
        <v/>
      </c>
      <c r="U199" s="28" t="str">
        <f aca="false">IF(OR(T199="",L199&lt;&gt;"Paquete"),"",COUNTIFS($W$2:W199,W199,$L$2:L199,"Paquete"))</f>
        <v/>
      </c>
      <c r="V199" s="25"/>
      <c r="W199" s="34" t="str">
        <f aca="false">IF(TRIM($C199)="","",IF(COUNTIF('🎓 Alumnas'!$P$2:$P$1000,TRIM($C199))&gt;0,INDEX('🎓 Alumnas'!$A$2:$A$1000,MATCH(TRIM($C199),'🎓 Alumnas'!$P$2:$P$1000,0)),IF(COUNTIF('🎓 Alumnas'!$O$2:$O$1000,TRIM($C199)&amp;"|*")=1,INDEX('🎓 Alumnas'!$A$2:$A$1000,MATCH(TRIM($C199)&amp;"|*",'🎓 Alumnas'!$O$2:$O$1000,0)),IF(COUNTIF('🎓 Alumnas'!$O$2:$O$1000,"*|"&amp;TRIM($C199))=1,INDEX('🎓 Alumnas'!$A$2:$A$1000,MATCH("*|"&amp;TRIM($C199),'🎓 Alumnas'!$O$2:$O$1000,0)),IF(COUNTIF('🎓 Alumnas'!$Q$2:$Q$1000,TRIM($C199))=1,INDEX('🎓 Alumnas'!$A$2:$A$1000,MATCH(TRIM($C199),'🎓 Alumnas'!$Q$2:$Q$1000,0)),IF(COUNTIF('🎓 Alumnas'!$P$2:$P$1000,"*"&amp;TRIM($C199)&amp;"*")=1,INDEX('🎓 Alumnas'!$A$2:$A$1000,MATCH("*"&amp;TRIM($C199)&amp;"*",'🎓 Alumnas'!$P$2:$P$1000,0)),IF(COUNTIF('🎓 Alumnas'!$Q$2:$Q$1000,"*"&amp;TRIM($C199)&amp;"*")=1,INDEX('🎓 Alumnas'!$A$2:$A$1000,MATCH("*"&amp;TRIM($C199)&amp;"*",'🎓 Alumnas'!$Q$2:$Q$1000,0)),IF(COUNTIF('🎓 Alumnas'!$P$2:$P$1000,"*"&amp;TRIM($C199)&amp;"*")+COUNTIF('🎓 Alumnas'!$Q$2:$Q$1000,"*"&amp;TRIM($C199)&amp;"*")&gt;1,"Varias: elige de la lista","No encontrada"))))))))</f>
        <v/>
      </c>
    </row>
    <row r="200" customFormat="false" ht="14.25" hidden="false" customHeight="true" outlineLevel="0" collapsed="false">
      <c r="A200" s="25" t="s">
        <v>745</v>
      </c>
      <c r="B200" s="27"/>
      <c r="C200" s="25"/>
      <c r="D200" s="34" t="str">
        <f aca="false">IF($W200="","",IFERROR(TRIM(INDEX('🎓 Alumnas'!$B$2:$B$1000,MATCH($W200,'🎓 Alumnas'!$A$2:$A$1000,0))),""))</f>
        <v/>
      </c>
      <c r="E200" s="34" t="str">
        <f aca="false">IF($W200="","",IFERROR(TRIM(INDEX('🎓 Alumnas'!$C$2:$C$1000,MATCH($W200,'🎓 Alumnas'!$A$2:$A$1000,0))),""))</f>
        <v/>
      </c>
      <c r="F200" s="34" t="str">
        <f aca="false">IF($W200="","",IFERROR(IF(INDEX('🎓 Alumnas'!$D$2:$D$1000,MATCH($W200,'🎓 Alumnas'!$A$2:$A$1000,0))="","",INDEX('🎓 Alumnas'!$D$2:$D$1000,MATCH($W200,'🎓 Alumnas'!$A$2:$A$1000,0))),""))</f>
        <v/>
      </c>
      <c r="G200" s="28" t="str">
        <f aca="false">IF($W200="","",IFERROR(IF(INDEX('🎓 Alumnas'!$E$2:$E$1000,MATCH($W200,'🎓 Alumnas'!$A$2:$A$1000,0))="","",INDEX('🎓 Alumnas'!$E$2:$E$1000,MATCH($W200,'🎓 Alumnas'!$A$2:$A$1000,0))),""))</f>
        <v/>
      </c>
      <c r="H200" s="28" t="str">
        <f aca="false">IF($W200="","",IFERROR(IF(INDEX('🎓 Alumnas'!$F$2:$F$1000,MATCH($W200,'🎓 Alumnas'!$A$2:$A$1000,0))="","",INDEX('🎓 Alumnas'!$F$2:$F$1000,MATCH($W200,'🎓 Alumnas'!$A$2:$A$1000,0))),""))</f>
        <v/>
      </c>
      <c r="I200" s="30" t="str">
        <f aca="false">IF($W200="","",IFERROR(IF(INDEX('🎓 Alumnas'!$G$2:$G$1000,MATCH($W200,'🎓 Alumnas'!$A$2:$A$1000,0))="","",INDEX('🎓 Alumnas'!$G$2:$G$1000,MATCH($W200,'🎓 Alumnas'!$A$2:$A$1000,0))),""))</f>
        <v/>
      </c>
      <c r="J200" s="28" t="str">
        <f aca="true">IF(I200="","",DATEDIF(I200,TODAY(),"Y"))</f>
        <v/>
      </c>
      <c r="K200" s="25"/>
      <c r="L200" s="28" t="str">
        <f aca="false">IF(K200="","",IF(LEFT(K200,6)="1 Pole","Alquiler",IF(LEFT(K200,7)="1 Clase","Clase suelta","Paquete")))</f>
        <v/>
      </c>
      <c r="M200" s="25"/>
      <c r="N200" s="25"/>
      <c r="O200" s="35"/>
      <c r="P200" s="29" t="str">
        <f aca="false">IF(O200="","",N200*O200)</f>
        <v/>
      </c>
      <c r="Q200" s="36"/>
      <c r="R200" s="25"/>
      <c r="S200" s="25"/>
      <c r="T200" s="28" t="str">
        <f aca="false">IF(OR(LEFT(W200,2)&lt;&gt;"A-",ISERROR(MATCH(W200,'🎓 Alumnas'!$A$2:$A$1000,0))),"",IF(COUNTIF($W$2:W200,W200)=1,"Nueva","Recurrente"))</f>
        <v/>
      </c>
      <c r="U200" s="28" t="str">
        <f aca="false">IF(OR(T200="",L200&lt;&gt;"Paquete"),"",COUNTIFS($W$2:W200,W200,$L$2:L200,"Paquete"))</f>
        <v/>
      </c>
      <c r="V200" s="25"/>
      <c r="W200" s="34" t="str">
        <f aca="false">IF(TRIM($C200)="","",IF(COUNTIF('🎓 Alumnas'!$P$2:$P$1000,TRIM($C200))&gt;0,INDEX('🎓 Alumnas'!$A$2:$A$1000,MATCH(TRIM($C200),'🎓 Alumnas'!$P$2:$P$1000,0)),IF(COUNTIF('🎓 Alumnas'!$O$2:$O$1000,TRIM($C200)&amp;"|*")=1,INDEX('🎓 Alumnas'!$A$2:$A$1000,MATCH(TRIM($C200)&amp;"|*",'🎓 Alumnas'!$O$2:$O$1000,0)),IF(COUNTIF('🎓 Alumnas'!$O$2:$O$1000,"*|"&amp;TRIM($C200))=1,INDEX('🎓 Alumnas'!$A$2:$A$1000,MATCH("*|"&amp;TRIM($C200),'🎓 Alumnas'!$O$2:$O$1000,0)),IF(COUNTIF('🎓 Alumnas'!$Q$2:$Q$1000,TRIM($C200))=1,INDEX('🎓 Alumnas'!$A$2:$A$1000,MATCH(TRIM($C200),'🎓 Alumnas'!$Q$2:$Q$1000,0)),IF(COUNTIF('🎓 Alumnas'!$P$2:$P$1000,"*"&amp;TRIM($C200)&amp;"*")=1,INDEX('🎓 Alumnas'!$A$2:$A$1000,MATCH("*"&amp;TRIM($C200)&amp;"*",'🎓 Alumnas'!$P$2:$P$1000,0)),IF(COUNTIF('🎓 Alumnas'!$Q$2:$Q$1000,"*"&amp;TRIM($C200)&amp;"*")=1,INDEX('🎓 Alumnas'!$A$2:$A$1000,MATCH("*"&amp;TRIM($C200)&amp;"*",'🎓 Alumnas'!$Q$2:$Q$1000,0)),IF(COUNTIF('🎓 Alumnas'!$P$2:$P$1000,"*"&amp;TRIM($C200)&amp;"*")+COUNTIF('🎓 Alumnas'!$Q$2:$Q$1000,"*"&amp;TRIM($C200)&amp;"*")&gt;1,"Varias: elige de la lista","No encontrada"))))))))</f>
        <v/>
      </c>
    </row>
    <row r="201" customFormat="false" ht="14.25" hidden="false" customHeight="true" outlineLevel="0" collapsed="false">
      <c r="A201" s="25" t="s">
        <v>746</v>
      </c>
      <c r="B201" s="27"/>
      <c r="C201" s="25"/>
      <c r="D201" s="34" t="str">
        <f aca="false">IF($W201="","",IFERROR(TRIM(INDEX('🎓 Alumnas'!$B$2:$B$1000,MATCH($W201,'🎓 Alumnas'!$A$2:$A$1000,0))),""))</f>
        <v/>
      </c>
      <c r="E201" s="34" t="str">
        <f aca="false">IF($W201="","",IFERROR(TRIM(INDEX('🎓 Alumnas'!$C$2:$C$1000,MATCH($W201,'🎓 Alumnas'!$A$2:$A$1000,0))),""))</f>
        <v/>
      </c>
      <c r="F201" s="34" t="str">
        <f aca="false">IF($W201="","",IFERROR(IF(INDEX('🎓 Alumnas'!$D$2:$D$1000,MATCH($W201,'🎓 Alumnas'!$A$2:$A$1000,0))="","",INDEX('🎓 Alumnas'!$D$2:$D$1000,MATCH($W201,'🎓 Alumnas'!$A$2:$A$1000,0))),""))</f>
        <v/>
      </c>
      <c r="G201" s="28" t="str">
        <f aca="false">IF($W201="","",IFERROR(IF(INDEX('🎓 Alumnas'!$E$2:$E$1000,MATCH($W201,'🎓 Alumnas'!$A$2:$A$1000,0))="","",INDEX('🎓 Alumnas'!$E$2:$E$1000,MATCH($W201,'🎓 Alumnas'!$A$2:$A$1000,0))),""))</f>
        <v/>
      </c>
      <c r="H201" s="28" t="str">
        <f aca="false">IF($W201="","",IFERROR(IF(INDEX('🎓 Alumnas'!$F$2:$F$1000,MATCH($W201,'🎓 Alumnas'!$A$2:$A$1000,0))="","",INDEX('🎓 Alumnas'!$F$2:$F$1000,MATCH($W201,'🎓 Alumnas'!$A$2:$A$1000,0))),""))</f>
        <v/>
      </c>
      <c r="I201" s="30" t="str">
        <f aca="false">IF($W201="","",IFERROR(IF(INDEX('🎓 Alumnas'!$G$2:$G$1000,MATCH($W201,'🎓 Alumnas'!$A$2:$A$1000,0))="","",INDEX('🎓 Alumnas'!$G$2:$G$1000,MATCH($W201,'🎓 Alumnas'!$A$2:$A$1000,0))),""))</f>
        <v/>
      </c>
      <c r="J201" s="28" t="str">
        <f aca="true">IF(I201="","",DATEDIF(I201,TODAY(),"Y"))</f>
        <v/>
      </c>
      <c r="K201" s="25"/>
      <c r="L201" s="28" t="str">
        <f aca="false">IF(K201="","",IF(LEFT(K201,6)="1 Pole","Alquiler",IF(LEFT(K201,7)="1 Clase","Clase suelta","Paquete")))</f>
        <v/>
      </c>
      <c r="M201" s="25"/>
      <c r="N201" s="25"/>
      <c r="O201" s="35"/>
      <c r="P201" s="29" t="str">
        <f aca="false">IF(O201="","",N201*O201)</f>
        <v/>
      </c>
      <c r="Q201" s="36"/>
      <c r="R201" s="25"/>
      <c r="S201" s="25"/>
      <c r="T201" s="28" t="str">
        <f aca="false">IF(OR(LEFT(W201,2)&lt;&gt;"A-",ISERROR(MATCH(W201,'🎓 Alumnas'!$A$2:$A$1000,0))),"",IF(COUNTIF($W$2:W201,W201)=1,"Nueva","Recurrente"))</f>
        <v/>
      </c>
      <c r="U201" s="28" t="str">
        <f aca="false">IF(OR(T201="",L201&lt;&gt;"Paquete"),"",COUNTIFS($W$2:W201,W201,$L$2:L201,"Paquete"))</f>
        <v/>
      </c>
      <c r="V201" s="25"/>
      <c r="W201" s="34" t="str">
        <f aca="false">IF(TRIM($C201)="","",IF(COUNTIF('🎓 Alumnas'!$P$2:$P$1000,TRIM($C201))&gt;0,INDEX('🎓 Alumnas'!$A$2:$A$1000,MATCH(TRIM($C201),'🎓 Alumnas'!$P$2:$P$1000,0)),IF(COUNTIF('🎓 Alumnas'!$O$2:$O$1000,TRIM($C201)&amp;"|*")=1,INDEX('🎓 Alumnas'!$A$2:$A$1000,MATCH(TRIM($C201)&amp;"|*",'🎓 Alumnas'!$O$2:$O$1000,0)),IF(COUNTIF('🎓 Alumnas'!$O$2:$O$1000,"*|"&amp;TRIM($C201))=1,INDEX('🎓 Alumnas'!$A$2:$A$1000,MATCH("*|"&amp;TRIM($C201),'🎓 Alumnas'!$O$2:$O$1000,0)),IF(COUNTIF('🎓 Alumnas'!$Q$2:$Q$1000,TRIM($C201))=1,INDEX('🎓 Alumnas'!$A$2:$A$1000,MATCH(TRIM($C201),'🎓 Alumnas'!$Q$2:$Q$1000,0)),IF(COUNTIF('🎓 Alumnas'!$P$2:$P$1000,"*"&amp;TRIM($C201)&amp;"*")=1,INDEX('🎓 Alumnas'!$A$2:$A$1000,MATCH("*"&amp;TRIM($C201)&amp;"*",'🎓 Alumnas'!$P$2:$P$1000,0)),IF(COUNTIF('🎓 Alumnas'!$Q$2:$Q$1000,"*"&amp;TRIM($C201)&amp;"*")=1,INDEX('🎓 Alumnas'!$A$2:$A$1000,MATCH("*"&amp;TRIM($C201)&amp;"*",'🎓 Alumnas'!$Q$2:$Q$1000,0)),IF(COUNTIF('🎓 Alumnas'!$P$2:$P$1000,"*"&amp;TRIM($C201)&amp;"*")+COUNTIF('🎓 Alumnas'!$Q$2:$Q$1000,"*"&amp;TRIM($C201)&amp;"*")&gt;1,"Varias: elige de la lista","No encontrada"))))))))</f>
        <v/>
      </c>
    </row>
    <row r="202" customFormat="false" ht="14.25" hidden="false" customHeight="true" outlineLevel="0" collapsed="false">
      <c r="A202" s="25" t="s">
        <v>747</v>
      </c>
      <c r="B202" s="27"/>
      <c r="C202" s="25"/>
      <c r="D202" s="34" t="str">
        <f aca="false">IF($W202="","",IFERROR(TRIM(INDEX('🎓 Alumnas'!$B$2:$B$1000,MATCH($W202,'🎓 Alumnas'!$A$2:$A$1000,0))),""))</f>
        <v/>
      </c>
      <c r="E202" s="34" t="str">
        <f aca="false">IF($W202="","",IFERROR(TRIM(INDEX('🎓 Alumnas'!$C$2:$C$1000,MATCH($W202,'🎓 Alumnas'!$A$2:$A$1000,0))),""))</f>
        <v/>
      </c>
      <c r="F202" s="34" t="str">
        <f aca="false">IF($W202="","",IFERROR(IF(INDEX('🎓 Alumnas'!$D$2:$D$1000,MATCH($W202,'🎓 Alumnas'!$A$2:$A$1000,0))="","",INDEX('🎓 Alumnas'!$D$2:$D$1000,MATCH($W202,'🎓 Alumnas'!$A$2:$A$1000,0))),""))</f>
        <v/>
      </c>
      <c r="G202" s="28" t="str">
        <f aca="false">IF($W202="","",IFERROR(IF(INDEX('🎓 Alumnas'!$E$2:$E$1000,MATCH($W202,'🎓 Alumnas'!$A$2:$A$1000,0))="","",INDEX('🎓 Alumnas'!$E$2:$E$1000,MATCH($W202,'🎓 Alumnas'!$A$2:$A$1000,0))),""))</f>
        <v/>
      </c>
      <c r="H202" s="28" t="str">
        <f aca="false">IF($W202="","",IFERROR(IF(INDEX('🎓 Alumnas'!$F$2:$F$1000,MATCH($W202,'🎓 Alumnas'!$A$2:$A$1000,0))="","",INDEX('🎓 Alumnas'!$F$2:$F$1000,MATCH($W202,'🎓 Alumnas'!$A$2:$A$1000,0))),""))</f>
        <v/>
      </c>
      <c r="I202" s="30" t="str">
        <f aca="false">IF($W202="","",IFERROR(IF(INDEX('🎓 Alumnas'!$G$2:$G$1000,MATCH($W202,'🎓 Alumnas'!$A$2:$A$1000,0))="","",INDEX('🎓 Alumnas'!$G$2:$G$1000,MATCH($W202,'🎓 Alumnas'!$A$2:$A$1000,0))),""))</f>
        <v/>
      </c>
      <c r="J202" s="28" t="str">
        <f aca="true">IF(I202="","",DATEDIF(I202,TODAY(),"Y"))</f>
        <v/>
      </c>
      <c r="K202" s="25"/>
      <c r="L202" s="28" t="str">
        <f aca="false">IF(K202="","",IF(LEFT(K202,6)="1 Pole","Alquiler",IF(LEFT(K202,7)="1 Clase","Clase suelta","Paquete")))</f>
        <v/>
      </c>
      <c r="M202" s="25"/>
      <c r="N202" s="25"/>
      <c r="O202" s="35"/>
      <c r="P202" s="29" t="str">
        <f aca="false">IF(O202="","",N202*O202)</f>
        <v/>
      </c>
      <c r="Q202" s="36"/>
      <c r="R202" s="25"/>
      <c r="S202" s="25"/>
      <c r="T202" s="28" t="str">
        <f aca="false">IF(OR(LEFT(W202,2)&lt;&gt;"A-",ISERROR(MATCH(W202,'🎓 Alumnas'!$A$2:$A$1000,0))),"",IF(COUNTIF($W$2:W202,W202)=1,"Nueva","Recurrente"))</f>
        <v/>
      </c>
      <c r="U202" s="28" t="str">
        <f aca="false">IF(OR(T202="",L202&lt;&gt;"Paquete"),"",COUNTIFS($W$2:W202,W202,$L$2:L202,"Paquete"))</f>
        <v/>
      </c>
      <c r="V202" s="25"/>
      <c r="W202" s="34" t="str">
        <f aca="false">IF(TRIM($C202)="","",IF(COUNTIF('🎓 Alumnas'!$P$2:$P$1000,TRIM($C202))&gt;0,INDEX('🎓 Alumnas'!$A$2:$A$1000,MATCH(TRIM($C202),'🎓 Alumnas'!$P$2:$P$1000,0)),IF(COUNTIF('🎓 Alumnas'!$O$2:$O$1000,TRIM($C202)&amp;"|*")=1,INDEX('🎓 Alumnas'!$A$2:$A$1000,MATCH(TRIM($C202)&amp;"|*",'🎓 Alumnas'!$O$2:$O$1000,0)),IF(COUNTIF('🎓 Alumnas'!$O$2:$O$1000,"*|"&amp;TRIM($C202))=1,INDEX('🎓 Alumnas'!$A$2:$A$1000,MATCH("*|"&amp;TRIM($C202),'🎓 Alumnas'!$O$2:$O$1000,0)),IF(COUNTIF('🎓 Alumnas'!$Q$2:$Q$1000,TRIM($C202))=1,INDEX('🎓 Alumnas'!$A$2:$A$1000,MATCH(TRIM($C202),'🎓 Alumnas'!$Q$2:$Q$1000,0)),IF(COUNTIF('🎓 Alumnas'!$P$2:$P$1000,"*"&amp;TRIM($C202)&amp;"*")=1,INDEX('🎓 Alumnas'!$A$2:$A$1000,MATCH("*"&amp;TRIM($C202)&amp;"*",'🎓 Alumnas'!$P$2:$P$1000,0)),IF(COUNTIF('🎓 Alumnas'!$Q$2:$Q$1000,"*"&amp;TRIM($C202)&amp;"*")=1,INDEX('🎓 Alumnas'!$A$2:$A$1000,MATCH("*"&amp;TRIM($C202)&amp;"*",'🎓 Alumnas'!$Q$2:$Q$1000,0)),IF(COUNTIF('🎓 Alumnas'!$P$2:$P$1000,"*"&amp;TRIM($C202)&amp;"*")+COUNTIF('🎓 Alumnas'!$Q$2:$Q$1000,"*"&amp;TRIM($C202)&amp;"*")&gt;1,"Varias: elige de la lista","No encontrada"))))))))</f>
        <v/>
      </c>
    </row>
    <row r="203" customFormat="false" ht="14.25" hidden="false" customHeight="true" outlineLevel="0" collapsed="false">
      <c r="A203" s="25" t="s">
        <v>748</v>
      </c>
      <c r="B203" s="27"/>
      <c r="C203" s="25"/>
      <c r="D203" s="34" t="str">
        <f aca="false">IF($W203="","",IFERROR(TRIM(INDEX('🎓 Alumnas'!$B$2:$B$1000,MATCH($W203,'🎓 Alumnas'!$A$2:$A$1000,0))),""))</f>
        <v/>
      </c>
      <c r="E203" s="34" t="str">
        <f aca="false">IF($W203="","",IFERROR(TRIM(INDEX('🎓 Alumnas'!$C$2:$C$1000,MATCH($W203,'🎓 Alumnas'!$A$2:$A$1000,0))),""))</f>
        <v/>
      </c>
      <c r="F203" s="34" t="str">
        <f aca="false">IF($W203="","",IFERROR(IF(INDEX('🎓 Alumnas'!$D$2:$D$1000,MATCH($W203,'🎓 Alumnas'!$A$2:$A$1000,0))="","",INDEX('🎓 Alumnas'!$D$2:$D$1000,MATCH($W203,'🎓 Alumnas'!$A$2:$A$1000,0))),""))</f>
        <v/>
      </c>
      <c r="G203" s="28" t="str">
        <f aca="false">IF($W203="","",IFERROR(IF(INDEX('🎓 Alumnas'!$E$2:$E$1000,MATCH($W203,'🎓 Alumnas'!$A$2:$A$1000,0))="","",INDEX('🎓 Alumnas'!$E$2:$E$1000,MATCH($W203,'🎓 Alumnas'!$A$2:$A$1000,0))),""))</f>
        <v/>
      </c>
      <c r="H203" s="28" t="str">
        <f aca="false">IF($W203="","",IFERROR(IF(INDEX('🎓 Alumnas'!$F$2:$F$1000,MATCH($W203,'🎓 Alumnas'!$A$2:$A$1000,0))="","",INDEX('🎓 Alumnas'!$F$2:$F$1000,MATCH($W203,'🎓 Alumnas'!$A$2:$A$1000,0))),""))</f>
        <v/>
      </c>
      <c r="I203" s="30" t="str">
        <f aca="false">IF($W203="","",IFERROR(IF(INDEX('🎓 Alumnas'!$G$2:$G$1000,MATCH($W203,'🎓 Alumnas'!$A$2:$A$1000,0))="","",INDEX('🎓 Alumnas'!$G$2:$G$1000,MATCH($W203,'🎓 Alumnas'!$A$2:$A$1000,0))),""))</f>
        <v/>
      </c>
      <c r="J203" s="28" t="str">
        <f aca="true">IF(I203="","",DATEDIF(I203,TODAY(),"Y"))</f>
        <v/>
      </c>
      <c r="K203" s="25"/>
      <c r="L203" s="28" t="str">
        <f aca="false">IF(K203="","",IF(LEFT(K203,6)="1 Pole","Alquiler",IF(LEFT(K203,7)="1 Clase","Clase suelta","Paquete")))</f>
        <v/>
      </c>
      <c r="M203" s="25"/>
      <c r="N203" s="25"/>
      <c r="O203" s="35"/>
      <c r="P203" s="29" t="str">
        <f aca="false">IF(O203="","",N203*O203)</f>
        <v/>
      </c>
      <c r="Q203" s="36"/>
      <c r="R203" s="25"/>
      <c r="S203" s="25"/>
      <c r="T203" s="28" t="str">
        <f aca="false">IF(OR(LEFT(W203,2)&lt;&gt;"A-",ISERROR(MATCH(W203,'🎓 Alumnas'!$A$2:$A$1000,0))),"",IF(COUNTIF($W$2:W203,W203)=1,"Nueva","Recurrente"))</f>
        <v/>
      </c>
      <c r="U203" s="28" t="str">
        <f aca="false">IF(OR(T203="",L203&lt;&gt;"Paquete"),"",COUNTIFS($W$2:W203,W203,$L$2:L203,"Paquete"))</f>
        <v/>
      </c>
      <c r="V203" s="25"/>
      <c r="W203" s="34" t="str">
        <f aca="false">IF(TRIM($C203)="","",IF(COUNTIF('🎓 Alumnas'!$P$2:$P$1000,TRIM($C203))&gt;0,INDEX('🎓 Alumnas'!$A$2:$A$1000,MATCH(TRIM($C203),'🎓 Alumnas'!$P$2:$P$1000,0)),IF(COUNTIF('🎓 Alumnas'!$O$2:$O$1000,TRIM($C203)&amp;"|*")=1,INDEX('🎓 Alumnas'!$A$2:$A$1000,MATCH(TRIM($C203)&amp;"|*",'🎓 Alumnas'!$O$2:$O$1000,0)),IF(COUNTIF('🎓 Alumnas'!$O$2:$O$1000,"*|"&amp;TRIM($C203))=1,INDEX('🎓 Alumnas'!$A$2:$A$1000,MATCH("*|"&amp;TRIM($C203),'🎓 Alumnas'!$O$2:$O$1000,0)),IF(COUNTIF('🎓 Alumnas'!$Q$2:$Q$1000,TRIM($C203))=1,INDEX('🎓 Alumnas'!$A$2:$A$1000,MATCH(TRIM($C203),'🎓 Alumnas'!$Q$2:$Q$1000,0)),IF(COUNTIF('🎓 Alumnas'!$P$2:$P$1000,"*"&amp;TRIM($C203)&amp;"*")=1,INDEX('🎓 Alumnas'!$A$2:$A$1000,MATCH("*"&amp;TRIM($C203)&amp;"*",'🎓 Alumnas'!$P$2:$P$1000,0)),IF(COUNTIF('🎓 Alumnas'!$Q$2:$Q$1000,"*"&amp;TRIM($C203)&amp;"*")=1,INDEX('🎓 Alumnas'!$A$2:$A$1000,MATCH("*"&amp;TRIM($C203)&amp;"*",'🎓 Alumnas'!$Q$2:$Q$1000,0)),IF(COUNTIF('🎓 Alumnas'!$P$2:$P$1000,"*"&amp;TRIM($C203)&amp;"*")+COUNTIF('🎓 Alumnas'!$Q$2:$Q$1000,"*"&amp;TRIM($C203)&amp;"*")&gt;1,"Varias: elige de la lista","No encontrada"))))))))</f>
        <v/>
      </c>
    </row>
    <row r="204" customFormat="false" ht="14.25" hidden="false" customHeight="true" outlineLevel="0" collapsed="false">
      <c r="A204" s="25" t="s">
        <v>749</v>
      </c>
      <c r="B204" s="27"/>
      <c r="C204" s="25"/>
      <c r="D204" s="34" t="str">
        <f aca="false">IF($W204="","",IFERROR(TRIM(INDEX('🎓 Alumnas'!$B$2:$B$1000,MATCH($W204,'🎓 Alumnas'!$A$2:$A$1000,0))),""))</f>
        <v/>
      </c>
      <c r="E204" s="34" t="str">
        <f aca="false">IF($W204="","",IFERROR(TRIM(INDEX('🎓 Alumnas'!$C$2:$C$1000,MATCH($W204,'🎓 Alumnas'!$A$2:$A$1000,0))),""))</f>
        <v/>
      </c>
      <c r="F204" s="34" t="str">
        <f aca="false">IF($W204="","",IFERROR(IF(INDEX('🎓 Alumnas'!$D$2:$D$1000,MATCH($W204,'🎓 Alumnas'!$A$2:$A$1000,0))="","",INDEX('🎓 Alumnas'!$D$2:$D$1000,MATCH($W204,'🎓 Alumnas'!$A$2:$A$1000,0))),""))</f>
        <v/>
      </c>
      <c r="G204" s="28" t="str">
        <f aca="false">IF($W204="","",IFERROR(IF(INDEX('🎓 Alumnas'!$E$2:$E$1000,MATCH($W204,'🎓 Alumnas'!$A$2:$A$1000,0))="","",INDEX('🎓 Alumnas'!$E$2:$E$1000,MATCH($W204,'🎓 Alumnas'!$A$2:$A$1000,0))),""))</f>
        <v/>
      </c>
      <c r="H204" s="28" t="str">
        <f aca="false">IF($W204="","",IFERROR(IF(INDEX('🎓 Alumnas'!$F$2:$F$1000,MATCH($W204,'🎓 Alumnas'!$A$2:$A$1000,0))="","",INDEX('🎓 Alumnas'!$F$2:$F$1000,MATCH($W204,'🎓 Alumnas'!$A$2:$A$1000,0))),""))</f>
        <v/>
      </c>
      <c r="I204" s="30" t="str">
        <f aca="false">IF($W204="","",IFERROR(IF(INDEX('🎓 Alumnas'!$G$2:$G$1000,MATCH($W204,'🎓 Alumnas'!$A$2:$A$1000,0))="","",INDEX('🎓 Alumnas'!$G$2:$G$1000,MATCH($W204,'🎓 Alumnas'!$A$2:$A$1000,0))),""))</f>
        <v/>
      </c>
      <c r="J204" s="28" t="str">
        <f aca="true">IF(I204="","",DATEDIF(I204,TODAY(),"Y"))</f>
        <v/>
      </c>
      <c r="K204" s="25"/>
      <c r="L204" s="28" t="str">
        <f aca="false">IF(K204="","",IF(LEFT(K204,6)="1 Pole","Alquiler",IF(LEFT(K204,7)="1 Clase","Clase suelta","Paquete")))</f>
        <v/>
      </c>
      <c r="M204" s="25"/>
      <c r="N204" s="25"/>
      <c r="O204" s="35"/>
      <c r="P204" s="29" t="str">
        <f aca="false">IF(O204="","",N204*O204)</f>
        <v/>
      </c>
      <c r="Q204" s="36"/>
      <c r="R204" s="25"/>
      <c r="S204" s="25"/>
      <c r="T204" s="28" t="str">
        <f aca="false">IF(OR(LEFT(W204,2)&lt;&gt;"A-",ISERROR(MATCH(W204,'🎓 Alumnas'!$A$2:$A$1000,0))),"",IF(COUNTIF($W$2:W204,W204)=1,"Nueva","Recurrente"))</f>
        <v/>
      </c>
      <c r="U204" s="28" t="str">
        <f aca="false">IF(OR(T204="",L204&lt;&gt;"Paquete"),"",COUNTIFS($W$2:W204,W204,$L$2:L204,"Paquete"))</f>
        <v/>
      </c>
      <c r="V204" s="25"/>
      <c r="W204" s="34" t="str">
        <f aca="false">IF(TRIM($C204)="","",IF(COUNTIF('🎓 Alumnas'!$P$2:$P$1000,TRIM($C204))&gt;0,INDEX('🎓 Alumnas'!$A$2:$A$1000,MATCH(TRIM($C204),'🎓 Alumnas'!$P$2:$P$1000,0)),IF(COUNTIF('🎓 Alumnas'!$O$2:$O$1000,TRIM($C204)&amp;"|*")=1,INDEX('🎓 Alumnas'!$A$2:$A$1000,MATCH(TRIM($C204)&amp;"|*",'🎓 Alumnas'!$O$2:$O$1000,0)),IF(COUNTIF('🎓 Alumnas'!$O$2:$O$1000,"*|"&amp;TRIM($C204))=1,INDEX('🎓 Alumnas'!$A$2:$A$1000,MATCH("*|"&amp;TRIM($C204),'🎓 Alumnas'!$O$2:$O$1000,0)),IF(COUNTIF('🎓 Alumnas'!$Q$2:$Q$1000,TRIM($C204))=1,INDEX('🎓 Alumnas'!$A$2:$A$1000,MATCH(TRIM($C204),'🎓 Alumnas'!$Q$2:$Q$1000,0)),IF(COUNTIF('🎓 Alumnas'!$P$2:$P$1000,"*"&amp;TRIM($C204)&amp;"*")=1,INDEX('🎓 Alumnas'!$A$2:$A$1000,MATCH("*"&amp;TRIM($C204)&amp;"*",'🎓 Alumnas'!$P$2:$P$1000,0)),IF(COUNTIF('🎓 Alumnas'!$Q$2:$Q$1000,"*"&amp;TRIM($C204)&amp;"*")=1,INDEX('🎓 Alumnas'!$A$2:$A$1000,MATCH("*"&amp;TRIM($C204)&amp;"*",'🎓 Alumnas'!$Q$2:$Q$1000,0)),IF(COUNTIF('🎓 Alumnas'!$P$2:$P$1000,"*"&amp;TRIM($C204)&amp;"*")+COUNTIF('🎓 Alumnas'!$Q$2:$Q$1000,"*"&amp;TRIM($C204)&amp;"*")&gt;1,"Varias: elige de la lista","No encontrada"))))))))</f>
        <v/>
      </c>
    </row>
    <row r="205" customFormat="false" ht="14.25" hidden="false" customHeight="true" outlineLevel="0" collapsed="false">
      <c r="A205" s="25" t="s">
        <v>750</v>
      </c>
      <c r="B205" s="27"/>
      <c r="C205" s="25"/>
      <c r="D205" s="34" t="str">
        <f aca="false">IF($W205="","",IFERROR(TRIM(INDEX('🎓 Alumnas'!$B$2:$B$1000,MATCH($W205,'🎓 Alumnas'!$A$2:$A$1000,0))),""))</f>
        <v/>
      </c>
      <c r="E205" s="34" t="str">
        <f aca="false">IF($W205="","",IFERROR(TRIM(INDEX('🎓 Alumnas'!$C$2:$C$1000,MATCH($W205,'🎓 Alumnas'!$A$2:$A$1000,0))),""))</f>
        <v/>
      </c>
      <c r="F205" s="34" t="str">
        <f aca="false">IF($W205="","",IFERROR(IF(INDEX('🎓 Alumnas'!$D$2:$D$1000,MATCH($W205,'🎓 Alumnas'!$A$2:$A$1000,0))="","",INDEX('🎓 Alumnas'!$D$2:$D$1000,MATCH($W205,'🎓 Alumnas'!$A$2:$A$1000,0))),""))</f>
        <v/>
      </c>
      <c r="G205" s="28" t="str">
        <f aca="false">IF($W205="","",IFERROR(IF(INDEX('🎓 Alumnas'!$E$2:$E$1000,MATCH($W205,'🎓 Alumnas'!$A$2:$A$1000,0))="","",INDEX('🎓 Alumnas'!$E$2:$E$1000,MATCH($W205,'🎓 Alumnas'!$A$2:$A$1000,0))),""))</f>
        <v/>
      </c>
      <c r="H205" s="28" t="str">
        <f aca="false">IF($W205="","",IFERROR(IF(INDEX('🎓 Alumnas'!$F$2:$F$1000,MATCH($W205,'🎓 Alumnas'!$A$2:$A$1000,0))="","",INDEX('🎓 Alumnas'!$F$2:$F$1000,MATCH($W205,'🎓 Alumnas'!$A$2:$A$1000,0))),""))</f>
        <v/>
      </c>
      <c r="I205" s="30" t="str">
        <f aca="false">IF($W205="","",IFERROR(IF(INDEX('🎓 Alumnas'!$G$2:$G$1000,MATCH($W205,'🎓 Alumnas'!$A$2:$A$1000,0))="","",INDEX('🎓 Alumnas'!$G$2:$G$1000,MATCH($W205,'🎓 Alumnas'!$A$2:$A$1000,0))),""))</f>
        <v/>
      </c>
      <c r="J205" s="28" t="str">
        <f aca="true">IF(I205="","",DATEDIF(I205,TODAY(),"Y"))</f>
        <v/>
      </c>
      <c r="K205" s="25"/>
      <c r="L205" s="28" t="str">
        <f aca="false">IF(K205="","",IF(LEFT(K205,6)="1 Pole","Alquiler",IF(LEFT(K205,7)="1 Clase","Clase suelta","Paquete")))</f>
        <v/>
      </c>
      <c r="M205" s="25"/>
      <c r="N205" s="25"/>
      <c r="O205" s="35"/>
      <c r="P205" s="29" t="str">
        <f aca="false">IF(O205="","",N205*O205)</f>
        <v/>
      </c>
      <c r="Q205" s="36"/>
      <c r="R205" s="25"/>
      <c r="S205" s="25"/>
      <c r="T205" s="28" t="str">
        <f aca="false">IF(OR(LEFT(W205,2)&lt;&gt;"A-",ISERROR(MATCH(W205,'🎓 Alumnas'!$A$2:$A$1000,0))),"",IF(COUNTIF($W$2:W205,W205)=1,"Nueva","Recurrente"))</f>
        <v/>
      </c>
      <c r="U205" s="28" t="str">
        <f aca="false">IF(OR(T205="",L205&lt;&gt;"Paquete"),"",COUNTIFS($W$2:W205,W205,$L$2:L205,"Paquete"))</f>
        <v/>
      </c>
      <c r="V205" s="25"/>
      <c r="W205" s="34" t="str">
        <f aca="false">IF(TRIM($C205)="","",IF(COUNTIF('🎓 Alumnas'!$P$2:$P$1000,TRIM($C205))&gt;0,INDEX('🎓 Alumnas'!$A$2:$A$1000,MATCH(TRIM($C205),'🎓 Alumnas'!$P$2:$P$1000,0)),IF(COUNTIF('🎓 Alumnas'!$O$2:$O$1000,TRIM($C205)&amp;"|*")=1,INDEX('🎓 Alumnas'!$A$2:$A$1000,MATCH(TRIM($C205)&amp;"|*",'🎓 Alumnas'!$O$2:$O$1000,0)),IF(COUNTIF('🎓 Alumnas'!$O$2:$O$1000,"*|"&amp;TRIM($C205))=1,INDEX('🎓 Alumnas'!$A$2:$A$1000,MATCH("*|"&amp;TRIM($C205),'🎓 Alumnas'!$O$2:$O$1000,0)),IF(COUNTIF('🎓 Alumnas'!$Q$2:$Q$1000,TRIM($C205))=1,INDEX('🎓 Alumnas'!$A$2:$A$1000,MATCH(TRIM($C205),'🎓 Alumnas'!$Q$2:$Q$1000,0)),IF(COUNTIF('🎓 Alumnas'!$P$2:$P$1000,"*"&amp;TRIM($C205)&amp;"*")=1,INDEX('🎓 Alumnas'!$A$2:$A$1000,MATCH("*"&amp;TRIM($C205)&amp;"*",'🎓 Alumnas'!$P$2:$P$1000,0)),IF(COUNTIF('🎓 Alumnas'!$Q$2:$Q$1000,"*"&amp;TRIM($C205)&amp;"*")=1,INDEX('🎓 Alumnas'!$A$2:$A$1000,MATCH("*"&amp;TRIM($C205)&amp;"*",'🎓 Alumnas'!$Q$2:$Q$1000,0)),IF(COUNTIF('🎓 Alumnas'!$P$2:$P$1000,"*"&amp;TRIM($C205)&amp;"*")+COUNTIF('🎓 Alumnas'!$Q$2:$Q$1000,"*"&amp;TRIM($C205)&amp;"*")&gt;1,"Varias: elige de la lista","No encontrada"))))))))</f>
        <v/>
      </c>
    </row>
    <row r="206" customFormat="false" ht="14.25" hidden="false" customHeight="true" outlineLevel="0" collapsed="false">
      <c r="A206" s="25" t="s">
        <v>751</v>
      </c>
      <c r="B206" s="27"/>
      <c r="C206" s="25"/>
      <c r="D206" s="34" t="str">
        <f aca="false">IF($W206="","",IFERROR(TRIM(INDEX('🎓 Alumnas'!$B$2:$B$1000,MATCH($W206,'🎓 Alumnas'!$A$2:$A$1000,0))),""))</f>
        <v/>
      </c>
      <c r="E206" s="34" t="str">
        <f aca="false">IF($W206="","",IFERROR(TRIM(INDEX('🎓 Alumnas'!$C$2:$C$1000,MATCH($W206,'🎓 Alumnas'!$A$2:$A$1000,0))),""))</f>
        <v/>
      </c>
      <c r="F206" s="34" t="str">
        <f aca="false">IF($W206="","",IFERROR(IF(INDEX('🎓 Alumnas'!$D$2:$D$1000,MATCH($W206,'🎓 Alumnas'!$A$2:$A$1000,0))="","",INDEX('🎓 Alumnas'!$D$2:$D$1000,MATCH($W206,'🎓 Alumnas'!$A$2:$A$1000,0))),""))</f>
        <v/>
      </c>
      <c r="G206" s="28" t="str">
        <f aca="false">IF($W206="","",IFERROR(IF(INDEX('🎓 Alumnas'!$E$2:$E$1000,MATCH($W206,'🎓 Alumnas'!$A$2:$A$1000,0))="","",INDEX('🎓 Alumnas'!$E$2:$E$1000,MATCH($W206,'🎓 Alumnas'!$A$2:$A$1000,0))),""))</f>
        <v/>
      </c>
      <c r="H206" s="28" t="str">
        <f aca="false">IF($W206="","",IFERROR(IF(INDEX('🎓 Alumnas'!$F$2:$F$1000,MATCH($W206,'🎓 Alumnas'!$A$2:$A$1000,0))="","",INDEX('🎓 Alumnas'!$F$2:$F$1000,MATCH($W206,'🎓 Alumnas'!$A$2:$A$1000,0))),""))</f>
        <v/>
      </c>
      <c r="I206" s="30" t="str">
        <f aca="false">IF($W206="","",IFERROR(IF(INDEX('🎓 Alumnas'!$G$2:$G$1000,MATCH($W206,'🎓 Alumnas'!$A$2:$A$1000,0))="","",INDEX('🎓 Alumnas'!$G$2:$G$1000,MATCH($W206,'🎓 Alumnas'!$A$2:$A$1000,0))),""))</f>
        <v/>
      </c>
      <c r="J206" s="28" t="str">
        <f aca="true">IF(I206="","",DATEDIF(I206,TODAY(),"Y"))</f>
        <v/>
      </c>
      <c r="K206" s="25"/>
      <c r="L206" s="28" t="str">
        <f aca="false">IF(K206="","",IF(LEFT(K206,6)="1 Pole","Alquiler",IF(LEFT(K206,7)="1 Clase","Clase suelta","Paquete")))</f>
        <v/>
      </c>
      <c r="M206" s="25"/>
      <c r="N206" s="25"/>
      <c r="O206" s="35"/>
      <c r="P206" s="29" t="str">
        <f aca="false">IF(O206="","",N206*O206)</f>
        <v/>
      </c>
      <c r="Q206" s="36"/>
      <c r="R206" s="25"/>
      <c r="S206" s="25"/>
      <c r="T206" s="28" t="str">
        <f aca="false">IF(OR(LEFT(W206,2)&lt;&gt;"A-",ISERROR(MATCH(W206,'🎓 Alumnas'!$A$2:$A$1000,0))),"",IF(COUNTIF($W$2:W206,W206)=1,"Nueva","Recurrente"))</f>
        <v/>
      </c>
      <c r="U206" s="28" t="str">
        <f aca="false">IF(OR(T206="",L206&lt;&gt;"Paquete"),"",COUNTIFS($W$2:W206,W206,$L$2:L206,"Paquete"))</f>
        <v/>
      </c>
      <c r="V206" s="25"/>
      <c r="W206" s="34" t="str">
        <f aca="false">IF(TRIM($C206)="","",IF(COUNTIF('🎓 Alumnas'!$P$2:$P$1000,TRIM($C206))&gt;0,INDEX('🎓 Alumnas'!$A$2:$A$1000,MATCH(TRIM($C206),'🎓 Alumnas'!$P$2:$P$1000,0)),IF(COUNTIF('🎓 Alumnas'!$O$2:$O$1000,TRIM($C206)&amp;"|*")=1,INDEX('🎓 Alumnas'!$A$2:$A$1000,MATCH(TRIM($C206)&amp;"|*",'🎓 Alumnas'!$O$2:$O$1000,0)),IF(COUNTIF('🎓 Alumnas'!$O$2:$O$1000,"*|"&amp;TRIM($C206))=1,INDEX('🎓 Alumnas'!$A$2:$A$1000,MATCH("*|"&amp;TRIM($C206),'🎓 Alumnas'!$O$2:$O$1000,0)),IF(COUNTIF('🎓 Alumnas'!$Q$2:$Q$1000,TRIM($C206))=1,INDEX('🎓 Alumnas'!$A$2:$A$1000,MATCH(TRIM($C206),'🎓 Alumnas'!$Q$2:$Q$1000,0)),IF(COUNTIF('🎓 Alumnas'!$P$2:$P$1000,"*"&amp;TRIM($C206)&amp;"*")=1,INDEX('🎓 Alumnas'!$A$2:$A$1000,MATCH("*"&amp;TRIM($C206)&amp;"*",'🎓 Alumnas'!$P$2:$P$1000,0)),IF(COUNTIF('🎓 Alumnas'!$Q$2:$Q$1000,"*"&amp;TRIM($C206)&amp;"*")=1,INDEX('🎓 Alumnas'!$A$2:$A$1000,MATCH("*"&amp;TRIM($C206)&amp;"*",'🎓 Alumnas'!$Q$2:$Q$1000,0)),IF(COUNTIF('🎓 Alumnas'!$P$2:$P$1000,"*"&amp;TRIM($C206)&amp;"*")+COUNTIF('🎓 Alumnas'!$Q$2:$Q$1000,"*"&amp;TRIM($C206)&amp;"*")&gt;1,"Varias: elige de la lista","No encontrada"))))))))</f>
        <v/>
      </c>
    </row>
    <row r="207" customFormat="false" ht="14.25" hidden="false" customHeight="true" outlineLevel="0" collapsed="false">
      <c r="A207" s="25" t="s">
        <v>752</v>
      </c>
      <c r="B207" s="27"/>
      <c r="C207" s="25"/>
      <c r="D207" s="34" t="str">
        <f aca="false">IF($W207="","",IFERROR(TRIM(INDEX('🎓 Alumnas'!$B$2:$B$1000,MATCH($W207,'🎓 Alumnas'!$A$2:$A$1000,0))),""))</f>
        <v/>
      </c>
      <c r="E207" s="34" t="str">
        <f aca="false">IF($W207="","",IFERROR(TRIM(INDEX('🎓 Alumnas'!$C$2:$C$1000,MATCH($W207,'🎓 Alumnas'!$A$2:$A$1000,0))),""))</f>
        <v/>
      </c>
      <c r="F207" s="34" t="str">
        <f aca="false">IF($W207="","",IFERROR(IF(INDEX('🎓 Alumnas'!$D$2:$D$1000,MATCH($W207,'🎓 Alumnas'!$A$2:$A$1000,0))="","",INDEX('🎓 Alumnas'!$D$2:$D$1000,MATCH($W207,'🎓 Alumnas'!$A$2:$A$1000,0))),""))</f>
        <v/>
      </c>
      <c r="G207" s="28" t="str">
        <f aca="false">IF($W207="","",IFERROR(IF(INDEX('🎓 Alumnas'!$E$2:$E$1000,MATCH($W207,'🎓 Alumnas'!$A$2:$A$1000,0))="","",INDEX('🎓 Alumnas'!$E$2:$E$1000,MATCH($W207,'🎓 Alumnas'!$A$2:$A$1000,0))),""))</f>
        <v/>
      </c>
      <c r="H207" s="28" t="str">
        <f aca="false">IF($W207="","",IFERROR(IF(INDEX('🎓 Alumnas'!$F$2:$F$1000,MATCH($W207,'🎓 Alumnas'!$A$2:$A$1000,0))="","",INDEX('🎓 Alumnas'!$F$2:$F$1000,MATCH($W207,'🎓 Alumnas'!$A$2:$A$1000,0))),""))</f>
        <v/>
      </c>
      <c r="I207" s="30" t="str">
        <f aca="false">IF($W207="","",IFERROR(IF(INDEX('🎓 Alumnas'!$G$2:$G$1000,MATCH($W207,'🎓 Alumnas'!$A$2:$A$1000,0))="","",INDEX('🎓 Alumnas'!$G$2:$G$1000,MATCH($W207,'🎓 Alumnas'!$A$2:$A$1000,0))),""))</f>
        <v/>
      </c>
      <c r="J207" s="28" t="str">
        <f aca="true">IF(I207="","",DATEDIF(I207,TODAY(),"Y"))</f>
        <v/>
      </c>
      <c r="K207" s="25"/>
      <c r="L207" s="28" t="str">
        <f aca="false">IF(K207="","",IF(LEFT(K207,6)="1 Pole","Alquiler",IF(LEFT(K207,7)="1 Clase","Clase suelta","Paquete")))</f>
        <v/>
      </c>
      <c r="M207" s="25"/>
      <c r="N207" s="25"/>
      <c r="O207" s="35"/>
      <c r="P207" s="29" t="str">
        <f aca="false">IF(O207="","",N207*O207)</f>
        <v/>
      </c>
      <c r="Q207" s="36"/>
      <c r="R207" s="25"/>
      <c r="S207" s="25"/>
      <c r="T207" s="28" t="str">
        <f aca="false">IF(OR(LEFT(W207,2)&lt;&gt;"A-",ISERROR(MATCH(W207,'🎓 Alumnas'!$A$2:$A$1000,0))),"",IF(COUNTIF($W$2:W207,W207)=1,"Nueva","Recurrente"))</f>
        <v/>
      </c>
      <c r="U207" s="28" t="str">
        <f aca="false">IF(OR(T207="",L207&lt;&gt;"Paquete"),"",COUNTIFS($W$2:W207,W207,$L$2:L207,"Paquete"))</f>
        <v/>
      </c>
      <c r="V207" s="25"/>
      <c r="W207" s="34" t="str">
        <f aca="false">IF(TRIM($C207)="","",IF(COUNTIF('🎓 Alumnas'!$P$2:$P$1000,TRIM($C207))&gt;0,INDEX('🎓 Alumnas'!$A$2:$A$1000,MATCH(TRIM($C207),'🎓 Alumnas'!$P$2:$P$1000,0)),IF(COUNTIF('🎓 Alumnas'!$O$2:$O$1000,TRIM($C207)&amp;"|*")=1,INDEX('🎓 Alumnas'!$A$2:$A$1000,MATCH(TRIM($C207)&amp;"|*",'🎓 Alumnas'!$O$2:$O$1000,0)),IF(COUNTIF('🎓 Alumnas'!$O$2:$O$1000,"*|"&amp;TRIM($C207))=1,INDEX('🎓 Alumnas'!$A$2:$A$1000,MATCH("*|"&amp;TRIM($C207),'🎓 Alumnas'!$O$2:$O$1000,0)),IF(COUNTIF('🎓 Alumnas'!$Q$2:$Q$1000,TRIM($C207))=1,INDEX('🎓 Alumnas'!$A$2:$A$1000,MATCH(TRIM($C207),'🎓 Alumnas'!$Q$2:$Q$1000,0)),IF(COUNTIF('🎓 Alumnas'!$P$2:$P$1000,"*"&amp;TRIM($C207)&amp;"*")=1,INDEX('🎓 Alumnas'!$A$2:$A$1000,MATCH("*"&amp;TRIM($C207)&amp;"*",'🎓 Alumnas'!$P$2:$P$1000,0)),IF(COUNTIF('🎓 Alumnas'!$Q$2:$Q$1000,"*"&amp;TRIM($C207)&amp;"*")=1,INDEX('🎓 Alumnas'!$A$2:$A$1000,MATCH("*"&amp;TRIM($C207)&amp;"*",'🎓 Alumnas'!$Q$2:$Q$1000,0)),IF(COUNTIF('🎓 Alumnas'!$P$2:$P$1000,"*"&amp;TRIM($C207)&amp;"*")+COUNTIF('🎓 Alumnas'!$Q$2:$Q$1000,"*"&amp;TRIM($C207)&amp;"*")&gt;1,"Varias: elige de la lista","No encontrada"))))))))</f>
        <v/>
      </c>
    </row>
    <row r="208" customFormat="false" ht="14.25" hidden="false" customHeight="true" outlineLevel="0" collapsed="false">
      <c r="A208" s="25" t="s">
        <v>753</v>
      </c>
      <c r="B208" s="27"/>
      <c r="C208" s="25"/>
      <c r="D208" s="34" t="str">
        <f aca="false">IF($W208="","",IFERROR(TRIM(INDEX('🎓 Alumnas'!$B$2:$B$1000,MATCH($W208,'🎓 Alumnas'!$A$2:$A$1000,0))),""))</f>
        <v/>
      </c>
      <c r="E208" s="34" t="str">
        <f aca="false">IF($W208="","",IFERROR(TRIM(INDEX('🎓 Alumnas'!$C$2:$C$1000,MATCH($W208,'🎓 Alumnas'!$A$2:$A$1000,0))),""))</f>
        <v/>
      </c>
      <c r="F208" s="34" t="str">
        <f aca="false">IF($W208="","",IFERROR(IF(INDEX('🎓 Alumnas'!$D$2:$D$1000,MATCH($W208,'🎓 Alumnas'!$A$2:$A$1000,0))="","",INDEX('🎓 Alumnas'!$D$2:$D$1000,MATCH($W208,'🎓 Alumnas'!$A$2:$A$1000,0))),""))</f>
        <v/>
      </c>
      <c r="G208" s="28" t="str">
        <f aca="false">IF($W208="","",IFERROR(IF(INDEX('🎓 Alumnas'!$E$2:$E$1000,MATCH($W208,'🎓 Alumnas'!$A$2:$A$1000,0))="","",INDEX('🎓 Alumnas'!$E$2:$E$1000,MATCH($W208,'🎓 Alumnas'!$A$2:$A$1000,0))),""))</f>
        <v/>
      </c>
      <c r="H208" s="28" t="str">
        <f aca="false">IF($W208="","",IFERROR(IF(INDEX('🎓 Alumnas'!$F$2:$F$1000,MATCH($W208,'🎓 Alumnas'!$A$2:$A$1000,0))="","",INDEX('🎓 Alumnas'!$F$2:$F$1000,MATCH($W208,'🎓 Alumnas'!$A$2:$A$1000,0))),""))</f>
        <v/>
      </c>
      <c r="I208" s="30" t="str">
        <f aca="false">IF($W208="","",IFERROR(IF(INDEX('🎓 Alumnas'!$G$2:$G$1000,MATCH($W208,'🎓 Alumnas'!$A$2:$A$1000,0))="","",INDEX('🎓 Alumnas'!$G$2:$G$1000,MATCH($W208,'🎓 Alumnas'!$A$2:$A$1000,0))),""))</f>
        <v/>
      </c>
      <c r="J208" s="28" t="str">
        <f aca="true">IF(I208="","",DATEDIF(I208,TODAY(),"Y"))</f>
        <v/>
      </c>
      <c r="K208" s="25"/>
      <c r="L208" s="28" t="str">
        <f aca="false">IF(K208="","",IF(LEFT(K208,6)="1 Pole","Alquiler",IF(LEFT(K208,7)="1 Clase","Clase suelta","Paquete")))</f>
        <v/>
      </c>
      <c r="M208" s="25"/>
      <c r="N208" s="25"/>
      <c r="O208" s="35"/>
      <c r="P208" s="29" t="str">
        <f aca="false">IF(O208="","",N208*O208)</f>
        <v/>
      </c>
      <c r="Q208" s="36"/>
      <c r="R208" s="25"/>
      <c r="S208" s="25"/>
      <c r="T208" s="28" t="str">
        <f aca="false">IF(OR(LEFT(W208,2)&lt;&gt;"A-",ISERROR(MATCH(W208,'🎓 Alumnas'!$A$2:$A$1000,0))),"",IF(COUNTIF($W$2:W208,W208)=1,"Nueva","Recurrente"))</f>
        <v/>
      </c>
      <c r="U208" s="28" t="str">
        <f aca="false">IF(OR(T208="",L208&lt;&gt;"Paquete"),"",COUNTIFS($W$2:W208,W208,$L$2:L208,"Paquete"))</f>
        <v/>
      </c>
      <c r="V208" s="25"/>
      <c r="W208" s="34" t="str">
        <f aca="false">IF(TRIM($C208)="","",IF(COUNTIF('🎓 Alumnas'!$P$2:$P$1000,TRIM($C208))&gt;0,INDEX('🎓 Alumnas'!$A$2:$A$1000,MATCH(TRIM($C208),'🎓 Alumnas'!$P$2:$P$1000,0)),IF(COUNTIF('🎓 Alumnas'!$O$2:$O$1000,TRIM($C208)&amp;"|*")=1,INDEX('🎓 Alumnas'!$A$2:$A$1000,MATCH(TRIM($C208)&amp;"|*",'🎓 Alumnas'!$O$2:$O$1000,0)),IF(COUNTIF('🎓 Alumnas'!$O$2:$O$1000,"*|"&amp;TRIM($C208))=1,INDEX('🎓 Alumnas'!$A$2:$A$1000,MATCH("*|"&amp;TRIM($C208),'🎓 Alumnas'!$O$2:$O$1000,0)),IF(COUNTIF('🎓 Alumnas'!$Q$2:$Q$1000,TRIM($C208))=1,INDEX('🎓 Alumnas'!$A$2:$A$1000,MATCH(TRIM($C208),'🎓 Alumnas'!$Q$2:$Q$1000,0)),IF(COUNTIF('🎓 Alumnas'!$P$2:$P$1000,"*"&amp;TRIM($C208)&amp;"*")=1,INDEX('🎓 Alumnas'!$A$2:$A$1000,MATCH("*"&amp;TRIM($C208)&amp;"*",'🎓 Alumnas'!$P$2:$P$1000,0)),IF(COUNTIF('🎓 Alumnas'!$Q$2:$Q$1000,"*"&amp;TRIM($C208)&amp;"*")=1,INDEX('🎓 Alumnas'!$A$2:$A$1000,MATCH("*"&amp;TRIM($C208)&amp;"*",'🎓 Alumnas'!$Q$2:$Q$1000,0)),IF(COUNTIF('🎓 Alumnas'!$P$2:$P$1000,"*"&amp;TRIM($C208)&amp;"*")+COUNTIF('🎓 Alumnas'!$Q$2:$Q$1000,"*"&amp;TRIM($C208)&amp;"*")&gt;1,"Varias: elige de la lista","No encontrada"))))))))</f>
        <v/>
      </c>
    </row>
    <row r="209" customFormat="false" ht="14.25" hidden="false" customHeight="true" outlineLevel="0" collapsed="false">
      <c r="A209" s="25" t="s">
        <v>754</v>
      </c>
      <c r="B209" s="27"/>
      <c r="C209" s="25"/>
      <c r="D209" s="34" t="str">
        <f aca="false">IF($W209="","",IFERROR(TRIM(INDEX('🎓 Alumnas'!$B$2:$B$1000,MATCH($W209,'🎓 Alumnas'!$A$2:$A$1000,0))),""))</f>
        <v/>
      </c>
      <c r="E209" s="34" t="str">
        <f aca="false">IF($W209="","",IFERROR(TRIM(INDEX('🎓 Alumnas'!$C$2:$C$1000,MATCH($W209,'🎓 Alumnas'!$A$2:$A$1000,0))),""))</f>
        <v/>
      </c>
      <c r="F209" s="34" t="str">
        <f aca="false">IF($W209="","",IFERROR(IF(INDEX('🎓 Alumnas'!$D$2:$D$1000,MATCH($W209,'🎓 Alumnas'!$A$2:$A$1000,0))="","",INDEX('🎓 Alumnas'!$D$2:$D$1000,MATCH($W209,'🎓 Alumnas'!$A$2:$A$1000,0))),""))</f>
        <v/>
      </c>
      <c r="G209" s="28" t="str">
        <f aca="false">IF($W209="","",IFERROR(IF(INDEX('🎓 Alumnas'!$E$2:$E$1000,MATCH($W209,'🎓 Alumnas'!$A$2:$A$1000,0))="","",INDEX('🎓 Alumnas'!$E$2:$E$1000,MATCH($W209,'🎓 Alumnas'!$A$2:$A$1000,0))),""))</f>
        <v/>
      </c>
      <c r="H209" s="28" t="str">
        <f aca="false">IF($W209="","",IFERROR(IF(INDEX('🎓 Alumnas'!$F$2:$F$1000,MATCH($W209,'🎓 Alumnas'!$A$2:$A$1000,0))="","",INDEX('🎓 Alumnas'!$F$2:$F$1000,MATCH($W209,'🎓 Alumnas'!$A$2:$A$1000,0))),""))</f>
        <v/>
      </c>
      <c r="I209" s="30" t="str">
        <f aca="false">IF($W209="","",IFERROR(IF(INDEX('🎓 Alumnas'!$G$2:$G$1000,MATCH($W209,'🎓 Alumnas'!$A$2:$A$1000,0))="","",INDEX('🎓 Alumnas'!$G$2:$G$1000,MATCH($W209,'🎓 Alumnas'!$A$2:$A$1000,0))),""))</f>
        <v/>
      </c>
      <c r="J209" s="28" t="str">
        <f aca="true">IF(I209="","",DATEDIF(I209,TODAY(),"Y"))</f>
        <v/>
      </c>
      <c r="K209" s="25"/>
      <c r="L209" s="28" t="str">
        <f aca="false">IF(K209="","",IF(LEFT(K209,6)="1 Pole","Alquiler",IF(LEFT(K209,7)="1 Clase","Clase suelta","Paquete")))</f>
        <v/>
      </c>
      <c r="M209" s="25"/>
      <c r="N209" s="25"/>
      <c r="O209" s="35"/>
      <c r="P209" s="29" t="str">
        <f aca="false">IF(O209="","",N209*O209)</f>
        <v/>
      </c>
      <c r="Q209" s="36"/>
      <c r="R209" s="25"/>
      <c r="S209" s="25"/>
      <c r="T209" s="28" t="str">
        <f aca="false">IF(OR(LEFT(W209,2)&lt;&gt;"A-",ISERROR(MATCH(W209,'🎓 Alumnas'!$A$2:$A$1000,0))),"",IF(COUNTIF($W$2:W209,W209)=1,"Nueva","Recurrente"))</f>
        <v/>
      </c>
      <c r="U209" s="28" t="str">
        <f aca="false">IF(OR(T209="",L209&lt;&gt;"Paquete"),"",COUNTIFS($W$2:W209,W209,$L$2:L209,"Paquete"))</f>
        <v/>
      </c>
      <c r="V209" s="25"/>
      <c r="W209" s="34" t="str">
        <f aca="false">IF(TRIM($C209)="","",IF(COUNTIF('🎓 Alumnas'!$P$2:$P$1000,TRIM($C209))&gt;0,INDEX('🎓 Alumnas'!$A$2:$A$1000,MATCH(TRIM($C209),'🎓 Alumnas'!$P$2:$P$1000,0)),IF(COUNTIF('🎓 Alumnas'!$O$2:$O$1000,TRIM($C209)&amp;"|*")=1,INDEX('🎓 Alumnas'!$A$2:$A$1000,MATCH(TRIM($C209)&amp;"|*",'🎓 Alumnas'!$O$2:$O$1000,0)),IF(COUNTIF('🎓 Alumnas'!$O$2:$O$1000,"*|"&amp;TRIM($C209))=1,INDEX('🎓 Alumnas'!$A$2:$A$1000,MATCH("*|"&amp;TRIM($C209),'🎓 Alumnas'!$O$2:$O$1000,0)),IF(COUNTIF('🎓 Alumnas'!$Q$2:$Q$1000,TRIM($C209))=1,INDEX('🎓 Alumnas'!$A$2:$A$1000,MATCH(TRIM($C209),'🎓 Alumnas'!$Q$2:$Q$1000,0)),IF(COUNTIF('🎓 Alumnas'!$P$2:$P$1000,"*"&amp;TRIM($C209)&amp;"*")=1,INDEX('🎓 Alumnas'!$A$2:$A$1000,MATCH("*"&amp;TRIM($C209)&amp;"*",'🎓 Alumnas'!$P$2:$P$1000,0)),IF(COUNTIF('🎓 Alumnas'!$Q$2:$Q$1000,"*"&amp;TRIM($C209)&amp;"*")=1,INDEX('🎓 Alumnas'!$A$2:$A$1000,MATCH("*"&amp;TRIM($C209)&amp;"*",'🎓 Alumnas'!$Q$2:$Q$1000,0)),IF(COUNTIF('🎓 Alumnas'!$P$2:$P$1000,"*"&amp;TRIM($C209)&amp;"*")+COUNTIF('🎓 Alumnas'!$Q$2:$Q$1000,"*"&amp;TRIM($C209)&amp;"*")&gt;1,"Varias: elige de la lista","No encontrada"))))))))</f>
        <v/>
      </c>
    </row>
    <row r="210" customFormat="false" ht="14.25" hidden="false" customHeight="true" outlineLevel="0" collapsed="false">
      <c r="A210" s="25" t="s">
        <v>755</v>
      </c>
      <c r="B210" s="27"/>
      <c r="C210" s="25"/>
      <c r="D210" s="34" t="str">
        <f aca="false">IF($W210="","",IFERROR(TRIM(INDEX('🎓 Alumnas'!$B$2:$B$1000,MATCH($W210,'🎓 Alumnas'!$A$2:$A$1000,0))),""))</f>
        <v/>
      </c>
      <c r="E210" s="34" t="str">
        <f aca="false">IF($W210="","",IFERROR(TRIM(INDEX('🎓 Alumnas'!$C$2:$C$1000,MATCH($W210,'🎓 Alumnas'!$A$2:$A$1000,0))),""))</f>
        <v/>
      </c>
      <c r="F210" s="34" t="str">
        <f aca="false">IF($W210="","",IFERROR(IF(INDEX('🎓 Alumnas'!$D$2:$D$1000,MATCH($W210,'🎓 Alumnas'!$A$2:$A$1000,0))="","",INDEX('🎓 Alumnas'!$D$2:$D$1000,MATCH($W210,'🎓 Alumnas'!$A$2:$A$1000,0))),""))</f>
        <v/>
      </c>
      <c r="G210" s="28" t="str">
        <f aca="false">IF($W210="","",IFERROR(IF(INDEX('🎓 Alumnas'!$E$2:$E$1000,MATCH($W210,'🎓 Alumnas'!$A$2:$A$1000,0))="","",INDEX('🎓 Alumnas'!$E$2:$E$1000,MATCH($W210,'🎓 Alumnas'!$A$2:$A$1000,0))),""))</f>
        <v/>
      </c>
      <c r="H210" s="28" t="str">
        <f aca="false">IF($W210="","",IFERROR(IF(INDEX('🎓 Alumnas'!$F$2:$F$1000,MATCH($W210,'🎓 Alumnas'!$A$2:$A$1000,0))="","",INDEX('🎓 Alumnas'!$F$2:$F$1000,MATCH($W210,'🎓 Alumnas'!$A$2:$A$1000,0))),""))</f>
        <v/>
      </c>
      <c r="I210" s="30" t="str">
        <f aca="false">IF($W210="","",IFERROR(IF(INDEX('🎓 Alumnas'!$G$2:$G$1000,MATCH($W210,'🎓 Alumnas'!$A$2:$A$1000,0))="","",INDEX('🎓 Alumnas'!$G$2:$G$1000,MATCH($W210,'🎓 Alumnas'!$A$2:$A$1000,0))),""))</f>
        <v/>
      </c>
      <c r="J210" s="28" t="str">
        <f aca="true">IF(I210="","",DATEDIF(I210,TODAY(),"Y"))</f>
        <v/>
      </c>
      <c r="K210" s="25"/>
      <c r="L210" s="28" t="str">
        <f aca="false">IF(K210="","",IF(LEFT(K210,6)="1 Pole","Alquiler",IF(LEFT(K210,7)="1 Clase","Clase suelta","Paquete")))</f>
        <v/>
      </c>
      <c r="M210" s="25"/>
      <c r="N210" s="25"/>
      <c r="O210" s="35"/>
      <c r="P210" s="29" t="str">
        <f aca="false">IF(O210="","",N210*O210)</f>
        <v/>
      </c>
      <c r="Q210" s="36"/>
      <c r="R210" s="25"/>
      <c r="S210" s="25"/>
      <c r="T210" s="28" t="str">
        <f aca="false">IF(OR(LEFT(W210,2)&lt;&gt;"A-",ISERROR(MATCH(W210,'🎓 Alumnas'!$A$2:$A$1000,0))),"",IF(COUNTIF($W$2:W210,W210)=1,"Nueva","Recurrente"))</f>
        <v/>
      </c>
      <c r="U210" s="28" t="str">
        <f aca="false">IF(OR(T210="",L210&lt;&gt;"Paquete"),"",COUNTIFS($W$2:W210,W210,$L$2:L210,"Paquete"))</f>
        <v/>
      </c>
      <c r="V210" s="25"/>
      <c r="W210" s="34" t="str">
        <f aca="false">IF(TRIM($C210)="","",IF(COUNTIF('🎓 Alumnas'!$P$2:$P$1000,TRIM($C210))&gt;0,INDEX('🎓 Alumnas'!$A$2:$A$1000,MATCH(TRIM($C210),'🎓 Alumnas'!$P$2:$P$1000,0)),IF(COUNTIF('🎓 Alumnas'!$O$2:$O$1000,TRIM($C210)&amp;"|*")=1,INDEX('🎓 Alumnas'!$A$2:$A$1000,MATCH(TRIM($C210)&amp;"|*",'🎓 Alumnas'!$O$2:$O$1000,0)),IF(COUNTIF('🎓 Alumnas'!$O$2:$O$1000,"*|"&amp;TRIM($C210))=1,INDEX('🎓 Alumnas'!$A$2:$A$1000,MATCH("*|"&amp;TRIM($C210),'🎓 Alumnas'!$O$2:$O$1000,0)),IF(COUNTIF('🎓 Alumnas'!$Q$2:$Q$1000,TRIM($C210))=1,INDEX('🎓 Alumnas'!$A$2:$A$1000,MATCH(TRIM($C210),'🎓 Alumnas'!$Q$2:$Q$1000,0)),IF(COUNTIF('🎓 Alumnas'!$P$2:$P$1000,"*"&amp;TRIM($C210)&amp;"*")=1,INDEX('🎓 Alumnas'!$A$2:$A$1000,MATCH("*"&amp;TRIM($C210)&amp;"*",'🎓 Alumnas'!$P$2:$P$1000,0)),IF(COUNTIF('🎓 Alumnas'!$Q$2:$Q$1000,"*"&amp;TRIM($C210)&amp;"*")=1,INDEX('🎓 Alumnas'!$A$2:$A$1000,MATCH("*"&amp;TRIM($C210)&amp;"*",'🎓 Alumnas'!$Q$2:$Q$1000,0)),IF(COUNTIF('🎓 Alumnas'!$P$2:$P$1000,"*"&amp;TRIM($C210)&amp;"*")+COUNTIF('🎓 Alumnas'!$Q$2:$Q$1000,"*"&amp;TRIM($C210)&amp;"*")&gt;1,"Varias: elige de la lista","No encontrada"))))))))</f>
        <v/>
      </c>
    </row>
    <row r="211" customFormat="false" ht="14.25" hidden="false" customHeight="true" outlineLevel="0" collapsed="false">
      <c r="A211" s="25" t="s">
        <v>756</v>
      </c>
      <c r="B211" s="27"/>
      <c r="C211" s="25"/>
      <c r="D211" s="34" t="str">
        <f aca="false">IF($W211="","",IFERROR(TRIM(INDEX('🎓 Alumnas'!$B$2:$B$1000,MATCH($W211,'🎓 Alumnas'!$A$2:$A$1000,0))),""))</f>
        <v/>
      </c>
      <c r="E211" s="34" t="str">
        <f aca="false">IF($W211="","",IFERROR(TRIM(INDEX('🎓 Alumnas'!$C$2:$C$1000,MATCH($W211,'🎓 Alumnas'!$A$2:$A$1000,0))),""))</f>
        <v/>
      </c>
      <c r="F211" s="34" t="str">
        <f aca="false">IF($W211="","",IFERROR(IF(INDEX('🎓 Alumnas'!$D$2:$D$1000,MATCH($W211,'🎓 Alumnas'!$A$2:$A$1000,0))="","",INDEX('🎓 Alumnas'!$D$2:$D$1000,MATCH($W211,'🎓 Alumnas'!$A$2:$A$1000,0))),""))</f>
        <v/>
      </c>
      <c r="G211" s="28" t="str">
        <f aca="false">IF($W211="","",IFERROR(IF(INDEX('🎓 Alumnas'!$E$2:$E$1000,MATCH($W211,'🎓 Alumnas'!$A$2:$A$1000,0))="","",INDEX('🎓 Alumnas'!$E$2:$E$1000,MATCH($W211,'🎓 Alumnas'!$A$2:$A$1000,0))),""))</f>
        <v/>
      </c>
      <c r="H211" s="28" t="str">
        <f aca="false">IF($W211="","",IFERROR(IF(INDEX('🎓 Alumnas'!$F$2:$F$1000,MATCH($W211,'🎓 Alumnas'!$A$2:$A$1000,0))="","",INDEX('🎓 Alumnas'!$F$2:$F$1000,MATCH($W211,'🎓 Alumnas'!$A$2:$A$1000,0))),""))</f>
        <v/>
      </c>
      <c r="I211" s="30" t="str">
        <f aca="false">IF($W211="","",IFERROR(IF(INDEX('🎓 Alumnas'!$G$2:$G$1000,MATCH($W211,'🎓 Alumnas'!$A$2:$A$1000,0))="","",INDEX('🎓 Alumnas'!$G$2:$G$1000,MATCH($W211,'🎓 Alumnas'!$A$2:$A$1000,0))),""))</f>
        <v/>
      </c>
      <c r="J211" s="28" t="str">
        <f aca="true">IF(I211="","",DATEDIF(I211,TODAY(),"Y"))</f>
        <v/>
      </c>
      <c r="K211" s="25"/>
      <c r="L211" s="28" t="str">
        <f aca="false">IF(K211="","",IF(LEFT(K211,6)="1 Pole","Alquiler",IF(LEFT(K211,7)="1 Clase","Clase suelta","Paquete")))</f>
        <v/>
      </c>
      <c r="M211" s="25"/>
      <c r="N211" s="25"/>
      <c r="O211" s="35"/>
      <c r="P211" s="29" t="str">
        <f aca="false">IF(O211="","",N211*O211)</f>
        <v/>
      </c>
      <c r="Q211" s="36"/>
      <c r="R211" s="25"/>
      <c r="S211" s="25"/>
      <c r="T211" s="28" t="str">
        <f aca="false">IF(OR(LEFT(W211,2)&lt;&gt;"A-",ISERROR(MATCH(W211,'🎓 Alumnas'!$A$2:$A$1000,0))),"",IF(COUNTIF($W$2:W211,W211)=1,"Nueva","Recurrente"))</f>
        <v/>
      </c>
      <c r="U211" s="28" t="str">
        <f aca="false">IF(OR(T211="",L211&lt;&gt;"Paquete"),"",COUNTIFS($W$2:W211,W211,$L$2:L211,"Paquete"))</f>
        <v/>
      </c>
      <c r="V211" s="25"/>
      <c r="W211" s="34" t="str">
        <f aca="false">IF(TRIM($C211)="","",IF(COUNTIF('🎓 Alumnas'!$P$2:$P$1000,TRIM($C211))&gt;0,INDEX('🎓 Alumnas'!$A$2:$A$1000,MATCH(TRIM($C211),'🎓 Alumnas'!$P$2:$P$1000,0)),IF(COUNTIF('🎓 Alumnas'!$O$2:$O$1000,TRIM($C211)&amp;"|*")=1,INDEX('🎓 Alumnas'!$A$2:$A$1000,MATCH(TRIM($C211)&amp;"|*",'🎓 Alumnas'!$O$2:$O$1000,0)),IF(COUNTIF('🎓 Alumnas'!$O$2:$O$1000,"*|"&amp;TRIM($C211))=1,INDEX('🎓 Alumnas'!$A$2:$A$1000,MATCH("*|"&amp;TRIM($C211),'🎓 Alumnas'!$O$2:$O$1000,0)),IF(COUNTIF('🎓 Alumnas'!$Q$2:$Q$1000,TRIM($C211))=1,INDEX('🎓 Alumnas'!$A$2:$A$1000,MATCH(TRIM($C211),'🎓 Alumnas'!$Q$2:$Q$1000,0)),IF(COUNTIF('🎓 Alumnas'!$P$2:$P$1000,"*"&amp;TRIM($C211)&amp;"*")=1,INDEX('🎓 Alumnas'!$A$2:$A$1000,MATCH("*"&amp;TRIM($C211)&amp;"*",'🎓 Alumnas'!$P$2:$P$1000,0)),IF(COUNTIF('🎓 Alumnas'!$Q$2:$Q$1000,"*"&amp;TRIM($C211)&amp;"*")=1,INDEX('🎓 Alumnas'!$A$2:$A$1000,MATCH("*"&amp;TRIM($C211)&amp;"*",'🎓 Alumnas'!$Q$2:$Q$1000,0)),IF(COUNTIF('🎓 Alumnas'!$P$2:$P$1000,"*"&amp;TRIM($C211)&amp;"*")+COUNTIF('🎓 Alumnas'!$Q$2:$Q$1000,"*"&amp;TRIM($C211)&amp;"*")&gt;1,"Varias: elige de la lista","No encontrada"))))))))</f>
        <v/>
      </c>
    </row>
    <row r="212" customFormat="false" ht="14.25" hidden="false" customHeight="true" outlineLevel="0" collapsed="false">
      <c r="A212" s="25" t="s">
        <v>757</v>
      </c>
      <c r="B212" s="27"/>
      <c r="C212" s="25"/>
      <c r="D212" s="34" t="str">
        <f aca="false">IF($W212="","",IFERROR(TRIM(INDEX('🎓 Alumnas'!$B$2:$B$1000,MATCH($W212,'🎓 Alumnas'!$A$2:$A$1000,0))),""))</f>
        <v/>
      </c>
      <c r="E212" s="34" t="str">
        <f aca="false">IF($W212="","",IFERROR(TRIM(INDEX('🎓 Alumnas'!$C$2:$C$1000,MATCH($W212,'🎓 Alumnas'!$A$2:$A$1000,0))),""))</f>
        <v/>
      </c>
      <c r="F212" s="34" t="str">
        <f aca="false">IF($W212="","",IFERROR(IF(INDEX('🎓 Alumnas'!$D$2:$D$1000,MATCH($W212,'🎓 Alumnas'!$A$2:$A$1000,0))="","",INDEX('🎓 Alumnas'!$D$2:$D$1000,MATCH($W212,'🎓 Alumnas'!$A$2:$A$1000,0))),""))</f>
        <v/>
      </c>
      <c r="G212" s="28" t="str">
        <f aca="false">IF($W212="","",IFERROR(IF(INDEX('🎓 Alumnas'!$E$2:$E$1000,MATCH($W212,'🎓 Alumnas'!$A$2:$A$1000,0))="","",INDEX('🎓 Alumnas'!$E$2:$E$1000,MATCH($W212,'🎓 Alumnas'!$A$2:$A$1000,0))),""))</f>
        <v/>
      </c>
      <c r="H212" s="28" t="str">
        <f aca="false">IF($W212="","",IFERROR(IF(INDEX('🎓 Alumnas'!$F$2:$F$1000,MATCH($W212,'🎓 Alumnas'!$A$2:$A$1000,0))="","",INDEX('🎓 Alumnas'!$F$2:$F$1000,MATCH($W212,'🎓 Alumnas'!$A$2:$A$1000,0))),""))</f>
        <v/>
      </c>
      <c r="I212" s="30" t="str">
        <f aca="false">IF($W212="","",IFERROR(IF(INDEX('🎓 Alumnas'!$G$2:$G$1000,MATCH($W212,'🎓 Alumnas'!$A$2:$A$1000,0))="","",INDEX('🎓 Alumnas'!$G$2:$G$1000,MATCH($W212,'🎓 Alumnas'!$A$2:$A$1000,0))),""))</f>
        <v/>
      </c>
      <c r="J212" s="28" t="str">
        <f aca="true">IF(I212="","",DATEDIF(I212,TODAY(),"Y"))</f>
        <v/>
      </c>
      <c r="K212" s="25"/>
      <c r="L212" s="28" t="str">
        <f aca="false">IF(K212="","",IF(LEFT(K212,6)="1 Pole","Alquiler",IF(LEFT(K212,7)="1 Clase","Clase suelta","Paquete")))</f>
        <v/>
      </c>
      <c r="M212" s="25"/>
      <c r="N212" s="25"/>
      <c r="O212" s="35"/>
      <c r="P212" s="29" t="str">
        <f aca="false">IF(O212="","",N212*O212)</f>
        <v/>
      </c>
      <c r="Q212" s="36"/>
      <c r="R212" s="25"/>
      <c r="S212" s="25"/>
      <c r="T212" s="28" t="str">
        <f aca="false">IF(OR(LEFT(W212,2)&lt;&gt;"A-",ISERROR(MATCH(W212,'🎓 Alumnas'!$A$2:$A$1000,0))),"",IF(COUNTIF($W$2:W212,W212)=1,"Nueva","Recurrente"))</f>
        <v/>
      </c>
      <c r="U212" s="28" t="str">
        <f aca="false">IF(OR(T212="",L212&lt;&gt;"Paquete"),"",COUNTIFS($W$2:W212,W212,$L$2:L212,"Paquete"))</f>
        <v/>
      </c>
      <c r="V212" s="25"/>
      <c r="W212" s="34" t="str">
        <f aca="false">IF(TRIM($C212)="","",IF(COUNTIF('🎓 Alumnas'!$P$2:$P$1000,TRIM($C212))&gt;0,INDEX('🎓 Alumnas'!$A$2:$A$1000,MATCH(TRIM($C212),'🎓 Alumnas'!$P$2:$P$1000,0)),IF(COUNTIF('🎓 Alumnas'!$O$2:$O$1000,TRIM($C212)&amp;"|*")=1,INDEX('🎓 Alumnas'!$A$2:$A$1000,MATCH(TRIM($C212)&amp;"|*",'🎓 Alumnas'!$O$2:$O$1000,0)),IF(COUNTIF('🎓 Alumnas'!$O$2:$O$1000,"*|"&amp;TRIM($C212))=1,INDEX('🎓 Alumnas'!$A$2:$A$1000,MATCH("*|"&amp;TRIM($C212),'🎓 Alumnas'!$O$2:$O$1000,0)),IF(COUNTIF('🎓 Alumnas'!$Q$2:$Q$1000,TRIM($C212))=1,INDEX('🎓 Alumnas'!$A$2:$A$1000,MATCH(TRIM($C212),'🎓 Alumnas'!$Q$2:$Q$1000,0)),IF(COUNTIF('🎓 Alumnas'!$P$2:$P$1000,"*"&amp;TRIM($C212)&amp;"*")=1,INDEX('🎓 Alumnas'!$A$2:$A$1000,MATCH("*"&amp;TRIM($C212)&amp;"*",'🎓 Alumnas'!$P$2:$P$1000,0)),IF(COUNTIF('🎓 Alumnas'!$Q$2:$Q$1000,"*"&amp;TRIM($C212)&amp;"*")=1,INDEX('🎓 Alumnas'!$A$2:$A$1000,MATCH("*"&amp;TRIM($C212)&amp;"*",'🎓 Alumnas'!$Q$2:$Q$1000,0)),IF(COUNTIF('🎓 Alumnas'!$P$2:$P$1000,"*"&amp;TRIM($C212)&amp;"*")+COUNTIF('🎓 Alumnas'!$Q$2:$Q$1000,"*"&amp;TRIM($C212)&amp;"*")&gt;1,"Varias: elige de la lista","No encontrada"))))))))</f>
        <v/>
      </c>
    </row>
    <row r="213" customFormat="false" ht="14.25" hidden="false" customHeight="true" outlineLevel="0" collapsed="false">
      <c r="A213" s="25" t="s">
        <v>758</v>
      </c>
      <c r="B213" s="27"/>
      <c r="C213" s="25"/>
      <c r="D213" s="34" t="str">
        <f aca="false">IF($W213="","",IFERROR(TRIM(INDEX('🎓 Alumnas'!$B$2:$B$1000,MATCH($W213,'🎓 Alumnas'!$A$2:$A$1000,0))),""))</f>
        <v/>
      </c>
      <c r="E213" s="34" t="str">
        <f aca="false">IF($W213="","",IFERROR(TRIM(INDEX('🎓 Alumnas'!$C$2:$C$1000,MATCH($W213,'🎓 Alumnas'!$A$2:$A$1000,0))),""))</f>
        <v/>
      </c>
      <c r="F213" s="34" t="str">
        <f aca="false">IF($W213="","",IFERROR(IF(INDEX('🎓 Alumnas'!$D$2:$D$1000,MATCH($W213,'🎓 Alumnas'!$A$2:$A$1000,0))="","",INDEX('🎓 Alumnas'!$D$2:$D$1000,MATCH($W213,'🎓 Alumnas'!$A$2:$A$1000,0))),""))</f>
        <v/>
      </c>
      <c r="G213" s="28" t="str">
        <f aca="false">IF($W213="","",IFERROR(IF(INDEX('🎓 Alumnas'!$E$2:$E$1000,MATCH($W213,'🎓 Alumnas'!$A$2:$A$1000,0))="","",INDEX('🎓 Alumnas'!$E$2:$E$1000,MATCH($W213,'🎓 Alumnas'!$A$2:$A$1000,0))),""))</f>
        <v/>
      </c>
      <c r="H213" s="28" t="str">
        <f aca="false">IF($W213="","",IFERROR(IF(INDEX('🎓 Alumnas'!$F$2:$F$1000,MATCH($W213,'🎓 Alumnas'!$A$2:$A$1000,0))="","",INDEX('🎓 Alumnas'!$F$2:$F$1000,MATCH($W213,'🎓 Alumnas'!$A$2:$A$1000,0))),""))</f>
        <v/>
      </c>
      <c r="I213" s="30" t="str">
        <f aca="false">IF($W213="","",IFERROR(IF(INDEX('🎓 Alumnas'!$G$2:$G$1000,MATCH($W213,'🎓 Alumnas'!$A$2:$A$1000,0))="","",INDEX('🎓 Alumnas'!$G$2:$G$1000,MATCH($W213,'🎓 Alumnas'!$A$2:$A$1000,0))),""))</f>
        <v/>
      </c>
      <c r="J213" s="28" t="str">
        <f aca="true">IF(I213="","",DATEDIF(I213,TODAY(),"Y"))</f>
        <v/>
      </c>
      <c r="K213" s="25"/>
      <c r="L213" s="28" t="str">
        <f aca="false">IF(K213="","",IF(LEFT(K213,6)="1 Pole","Alquiler",IF(LEFT(K213,7)="1 Clase","Clase suelta","Paquete")))</f>
        <v/>
      </c>
      <c r="M213" s="25"/>
      <c r="N213" s="25"/>
      <c r="O213" s="35"/>
      <c r="P213" s="29" t="str">
        <f aca="false">IF(O213="","",N213*O213)</f>
        <v/>
      </c>
      <c r="Q213" s="36"/>
      <c r="R213" s="25"/>
      <c r="S213" s="25"/>
      <c r="T213" s="28" t="str">
        <f aca="false">IF(OR(LEFT(W213,2)&lt;&gt;"A-",ISERROR(MATCH(W213,'🎓 Alumnas'!$A$2:$A$1000,0))),"",IF(COUNTIF($W$2:W213,W213)=1,"Nueva","Recurrente"))</f>
        <v/>
      </c>
      <c r="U213" s="28" t="str">
        <f aca="false">IF(OR(T213="",L213&lt;&gt;"Paquete"),"",COUNTIFS($W$2:W213,W213,$L$2:L213,"Paquete"))</f>
        <v/>
      </c>
      <c r="V213" s="25"/>
      <c r="W213" s="34" t="str">
        <f aca="false">IF(TRIM($C213)="","",IF(COUNTIF('🎓 Alumnas'!$P$2:$P$1000,TRIM($C213))&gt;0,INDEX('🎓 Alumnas'!$A$2:$A$1000,MATCH(TRIM($C213),'🎓 Alumnas'!$P$2:$P$1000,0)),IF(COUNTIF('🎓 Alumnas'!$O$2:$O$1000,TRIM($C213)&amp;"|*")=1,INDEX('🎓 Alumnas'!$A$2:$A$1000,MATCH(TRIM($C213)&amp;"|*",'🎓 Alumnas'!$O$2:$O$1000,0)),IF(COUNTIF('🎓 Alumnas'!$O$2:$O$1000,"*|"&amp;TRIM($C213))=1,INDEX('🎓 Alumnas'!$A$2:$A$1000,MATCH("*|"&amp;TRIM($C213),'🎓 Alumnas'!$O$2:$O$1000,0)),IF(COUNTIF('🎓 Alumnas'!$Q$2:$Q$1000,TRIM($C213))=1,INDEX('🎓 Alumnas'!$A$2:$A$1000,MATCH(TRIM($C213),'🎓 Alumnas'!$Q$2:$Q$1000,0)),IF(COUNTIF('🎓 Alumnas'!$P$2:$P$1000,"*"&amp;TRIM($C213)&amp;"*")=1,INDEX('🎓 Alumnas'!$A$2:$A$1000,MATCH("*"&amp;TRIM($C213)&amp;"*",'🎓 Alumnas'!$P$2:$P$1000,0)),IF(COUNTIF('🎓 Alumnas'!$Q$2:$Q$1000,"*"&amp;TRIM($C213)&amp;"*")=1,INDEX('🎓 Alumnas'!$A$2:$A$1000,MATCH("*"&amp;TRIM($C213)&amp;"*",'🎓 Alumnas'!$Q$2:$Q$1000,0)),IF(COUNTIF('🎓 Alumnas'!$P$2:$P$1000,"*"&amp;TRIM($C213)&amp;"*")+COUNTIF('🎓 Alumnas'!$Q$2:$Q$1000,"*"&amp;TRIM($C213)&amp;"*")&gt;1,"Varias: elige de la lista","No encontrada"))))))))</f>
        <v/>
      </c>
    </row>
    <row r="214" customFormat="false" ht="14.25" hidden="false" customHeight="true" outlineLevel="0" collapsed="false">
      <c r="A214" s="25" t="s">
        <v>759</v>
      </c>
      <c r="B214" s="27"/>
      <c r="C214" s="25"/>
      <c r="D214" s="34" t="str">
        <f aca="false">IF($W214="","",IFERROR(TRIM(INDEX('🎓 Alumnas'!$B$2:$B$1000,MATCH($W214,'🎓 Alumnas'!$A$2:$A$1000,0))),""))</f>
        <v/>
      </c>
      <c r="E214" s="34" t="str">
        <f aca="false">IF($W214="","",IFERROR(TRIM(INDEX('🎓 Alumnas'!$C$2:$C$1000,MATCH($W214,'🎓 Alumnas'!$A$2:$A$1000,0))),""))</f>
        <v/>
      </c>
      <c r="F214" s="34" t="str">
        <f aca="false">IF($W214="","",IFERROR(IF(INDEX('🎓 Alumnas'!$D$2:$D$1000,MATCH($W214,'🎓 Alumnas'!$A$2:$A$1000,0))="","",INDEX('🎓 Alumnas'!$D$2:$D$1000,MATCH($W214,'🎓 Alumnas'!$A$2:$A$1000,0))),""))</f>
        <v/>
      </c>
      <c r="G214" s="28" t="str">
        <f aca="false">IF($W214="","",IFERROR(IF(INDEX('🎓 Alumnas'!$E$2:$E$1000,MATCH($W214,'🎓 Alumnas'!$A$2:$A$1000,0))="","",INDEX('🎓 Alumnas'!$E$2:$E$1000,MATCH($W214,'🎓 Alumnas'!$A$2:$A$1000,0))),""))</f>
        <v/>
      </c>
      <c r="H214" s="28" t="str">
        <f aca="false">IF($W214="","",IFERROR(IF(INDEX('🎓 Alumnas'!$F$2:$F$1000,MATCH($W214,'🎓 Alumnas'!$A$2:$A$1000,0))="","",INDEX('🎓 Alumnas'!$F$2:$F$1000,MATCH($W214,'🎓 Alumnas'!$A$2:$A$1000,0))),""))</f>
        <v/>
      </c>
      <c r="I214" s="30" t="str">
        <f aca="false">IF($W214="","",IFERROR(IF(INDEX('🎓 Alumnas'!$G$2:$G$1000,MATCH($W214,'🎓 Alumnas'!$A$2:$A$1000,0))="","",INDEX('🎓 Alumnas'!$G$2:$G$1000,MATCH($W214,'🎓 Alumnas'!$A$2:$A$1000,0))),""))</f>
        <v/>
      </c>
      <c r="J214" s="28" t="str">
        <f aca="true">IF(I214="","",DATEDIF(I214,TODAY(),"Y"))</f>
        <v/>
      </c>
      <c r="K214" s="25"/>
      <c r="L214" s="28" t="str">
        <f aca="false">IF(K214="","",IF(LEFT(K214,6)="1 Pole","Alquiler",IF(LEFT(K214,7)="1 Clase","Clase suelta","Paquete")))</f>
        <v/>
      </c>
      <c r="M214" s="25"/>
      <c r="N214" s="25"/>
      <c r="O214" s="35"/>
      <c r="P214" s="29" t="str">
        <f aca="false">IF(O214="","",N214*O214)</f>
        <v/>
      </c>
      <c r="Q214" s="36"/>
      <c r="R214" s="25"/>
      <c r="S214" s="25"/>
      <c r="T214" s="28" t="str">
        <f aca="false">IF(OR(LEFT(W214,2)&lt;&gt;"A-",ISERROR(MATCH(W214,'🎓 Alumnas'!$A$2:$A$1000,0))),"",IF(COUNTIF($W$2:W214,W214)=1,"Nueva","Recurrente"))</f>
        <v/>
      </c>
      <c r="U214" s="28" t="str">
        <f aca="false">IF(OR(T214="",L214&lt;&gt;"Paquete"),"",COUNTIFS($W$2:W214,W214,$L$2:L214,"Paquete"))</f>
        <v/>
      </c>
      <c r="V214" s="25"/>
      <c r="W214" s="34" t="str">
        <f aca="false">IF(TRIM($C214)="","",IF(COUNTIF('🎓 Alumnas'!$P$2:$P$1000,TRIM($C214))&gt;0,INDEX('🎓 Alumnas'!$A$2:$A$1000,MATCH(TRIM($C214),'🎓 Alumnas'!$P$2:$P$1000,0)),IF(COUNTIF('🎓 Alumnas'!$O$2:$O$1000,TRIM($C214)&amp;"|*")=1,INDEX('🎓 Alumnas'!$A$2:$A$1000,MATCH(TRIM($C214)&amp;"|*",'🎓 Alumnas'!$O$2:$O$1000,0)),IF(COUNTIF('🎓 Alumnas'!$O$2:$O$1000,"*|"&amp;TRIM($C214))=1,INDEX('🎓 Alumnas'!$A$2:$A$1000,MATCH("*|"&amp;TRIM($C214),'🎓 Alumnas'!$O$2:$O$1000,0)),IF(COUNTIF('🎓 Alumnas'!$Q$2:$Q$1000,TRIM($C214))=1,INDEX('🎓 Alumnas'!$A$2:$A$1000,MATCH(TRIM($C214),'🎓 Alumnas'!$Q$2:$Q$1000,0)),IF(COUNTIF('🎓 Alumnas'!$P$2:$P$1000,"*"&amp;TRIM($C214)&amp;"*")=1,INDEX('🎓 Alumnas'!$A$2:$A$1000,MATCH("*"&amp;TRIM($C214)&amp;"*",'🎓 Alumnas'!$P$2:$P$1000,0)),IF(COUNTIF('🎓 Alumnas'!$Q$2:$Q$1000,"*"&amp;TRIM($C214)&amp;"*")=1,INDEX('🎓 Alumnas'!$A$2:$A$1000,MATCH("*"&amp;TRIM($C214)&amp;"*",'🎓 Alumnas'!$Q$2:$Q$1000,0)),IF(COUNTIF('🎓 Alumnas'!$P$2:$P$1000,"*"&amp;TRIM($C214)&amp;"*")+COUNTIF('🎓 Alumnas'!$Q$2:$Q$1000,"*"&amp;TRIM($C214)&amp;"*")&gt;1,"Varias: elige de la lista","No encontrada"))))))))</f>
        <v/>
      </c>
    </row>
    <row r="215" customFormat="false" ht="14.25" hidden="false" customHeight="true" outlineLevel="0" collapsed="false">
      <c r="A215" s="25" t="s">
        <v>760</v>
      </c>
      <c r="B215" s="27"/>
      <c r="C215" s="25"/>
      <c r="D215" s="34" t="str">
        <f aca="false">IF($W215="","",IFERROR(TRIM(INDEX('🎓 Alumnas'!$B$2:$B$1000,MATCH($W215,'🎓 Alumnas'!$A$2:$A$1000,0))),""))</f>
        <v/>
      </c>
      <c r="E215" s="34" t="str">
        <f aca="false">IF($W215="","",IFERROR(TRIM(INDEX('🎓 Alumnas'!$C$2:$C$1000,MATCH($W215,'🎓 Alumnas'!$A$2:$A$1000,0))),""))</f>
        <v/>
      </c>
      <c r="F215" s="34" t="str">
        <f aca="false">IF($W215="","",IFERROR(IF(INDEX('🎓 Alumnas'!$D$2:$D$1000,MATCH($W215,'🎓 Alumnas'!$A$2:$A$1000,0))="","",INDEX('🎓 Alumnas'!$D$2:$D$1000,MATCH($W215,'🎓 Alumnas'!$A$2:$A$1000,0))),""))</f>
        <v/>
      </c>
      <c r="G215" s="28" t="str">
        <f aca="false">IF($W215="","",IFERROR(IF(INDEX('🎓 Alumnas'!$E$2:$E$1000,MATCH($W215,'🎓 Alumnas'!$A$2:$A$1000,0))="","",INDEX('🎓 Alumnas'!$E$2:$E$1000,MATCH($W215,'🎓 Alumnas'!$A$2:$A$1000,0))),""))</f>
        <v/>
      </c>
      <c r="H215" s="28" t="str">
        <f aca="false">IF($W215="","",IFERROR(IF(INDEX('🎓 Alumnas'!$F$2:$F$1000,MATCH($W215,'🎓 Alumnas'!$A$2:$A$1000,0))="","",INDEX('🎓 Alumnas'!$F$2:$F$1000,MATCH($W215,'🎓 Alumnas'!$A$2:$A$1000,0))),""))</f>
        <v/>
      </c>
      <c r="I215" s="30" t="str">
        <f aca="false">IF($W215="","",IFERROR(IF(INDEX('🎓 Alumnas'!$G$2:$G$1000,MATCH($W215,'🎓 Alumnas'!$A$2:$A$1000,0))="","",INDEX('🎓 Alumnas'!$G$2:$G$1000,MATCH($W215,'🎓 Alumnas'!$A$2:$A$1000,0))),""))</f>
        <v/>
      </c>
      <c r="J215" s="28" t="str">
        <f aca="true">IF(I215="","",DATEDIF(I215,TODAY(),"Y"))</f>
        <v/>
      </c>
      <c r="K215" s="25"/>
      <c r="L215" s="28" t="str">
        <f aca="false">IF(K215="","",IF(LEFT(K215,6)="1 Pole","Alquiler",IF(LEFT(K215,7)="1 Clase","Clase suelta","Paquete")))</f>
        <v/>
      </c>
      <c r="M215" s="25"/>
      <c r="N215" s="25"/>
      <c r="O215" s="35"/>
      <c r="P215" s="29" t="str">
        <f aca="false">IF(O215="","",N215*O215)</f>
        <v/>
      </c>
      <c r="Q215" s="36"/>
      <c r="R215" s="25"/>
      <c r="S215" s="25"/>
      <c r="T215" s="28" t="str">
        <f aca="false">IF(OR(LEFT(W215,2)&lt;&gt;"A-",ISERROR(MATCH(W215,'🎓 Alumnas'!$A$2:$A$1000,0))),"",IF(COUNTIF($W$2:W215,W215)=1,"Nueva","Recurrente"))</f>
        <v/>
      </c>
      <c r="U215" s="28" t="str">
        <f aca="false">IF(OR(T215="",L215&lt;&gt;"Paquete"),"",COUNTIFS($W$2:W215,W215,$L$2:L215,"Paquete"))</f>
        <v/>
      </c>
      <c r="V215" s="25"/>
      <c r="W215" s="34" t="str">
        <f aca="false">IF(TRIM($C215)="","",IF(COUNTIF('🎓 Alumnas'!$P$2:$P$1000,TRIM($C215))&gt;0,INDEX('🎓 Alumnas'!$A$2:$A$1000,MATCH(TRIM($C215),'🎓 Alumnas'!$P$2:$P$1000,0)),IF(COUNTIF('🎓 Alumnas'!$O$2:$O$1000,TRIM($C215)&amp;"|*")=1,INDEX('🎓 Alumnas'!$A$2:$A$1000,MATCH(TRIM($C215)&amp;"|*",'🎓 Alumnas'!$O$2:$O$1000,0)),IF(COUNTIF('🎓 Alumnas'!$O$2:$O$1000,"*|"&amp;TRIM($C215))=1,INDEX('🎓 Alumnas'!$A$2:$A$1000,MATCH("*|"&amp;TRIM($C215),'🎓 Alumnas'!$O$2:$O$1000,0)),IF(COUNTIF('🎓 Alumnas'!$Q$2:$Q$1000,TRIM($C215))=1,INDEX('🎓 Alumnas'!$A$2:$A$1000,MATCH(TRIM($C215),'🎓 Alumnas'!$Q$2:$Q$1000,0)),IF(COUNTIF('🎓 Alumnas'!$P$2:$P$1000,"*"&amp;TRIM($C215)&amp;"*")=1,INDEX('🎓 Alumnas'!$A$2:$A$1000,MATCH("*"&amp;TRIM($C215)&amp;"*",'🎓 Alumnas'!$P$2:$P$1000,0)),IF(COUNTIF('🎓 Alumnas'!$Q$2:$Q$1000,"*"&amp;TRIM($C215)&amp;"*")=1,INDEX('🎓 Alumnas'!$A$2:$A$1000,MATCH("*"&amp;TRIM($C215)&amp;"*",'🎓 Alumnas'!$Q$2:$Q$1000,0)),IF(COUNTIF('🎓 Alumnas'!$P$2:$P$1000,"*"&amp;TRIM($C215)&amp;"*")+COUNTIF('🎓 Alumnas'!$Q$2:$Q$1000,"*"&amp;TRIM($C215)&amp;"*")&gt;1,"Varias: elige de la lista","No encontrada"))))))))</f>
        <v/>
      </c>
    </row>
    <row r="216" customFormat="false" ht="14.25" hidden="false" customHeight="true" outlineLevel="0" collapsed="false">
      <c r="A216" s="25" t="s">
        <v>761</v>
      </c>
      <c r="B216" s="27"/>
      <c r="C216" s="25"/>
      <c r="D216" s="34" t="str">
        <f aca="false">IF($W216="","",IFERROR(TRIM(INDEX('🎓 Alumnas'!$B$2:$B$1000,MATCH($W216,'🎓 Alumnas'!$A$2:$A$1000,0))),""))</f>
        <v/>
      </c>
      <c r="E216" s="34" t="str">
        <f aca="false">IF($W216="","",IFERROR(TRIM(INDEX('🎓 Alumnas'!$C$2:$C$1000,MATCH($W216,'🎓 Alumnas'!$A$2:$A$1000,0))),""))</f>
        <v/>
      </c>
      <c r="F216" s="34" t="str">
        <f aca="false">IF($W216="","",IFERROR(IF(INDEX('🎓 Alumnas'!$D$2:$D$1000,MATCH($W216,'🎓 Alumnas'!$A$2:$A$1000,0))="","",INDEX('🎓 Alumnas'!$D$2:$D$1000,MATCH($W216,'🎓 Alumnas'!$A$2:$A$1000,0))),""))</f>
        <v/>
      </c>
      <c r="G216" s="28" t="str">
        <f aca="false">IF($W216="","",IFERROR(IF(INDEX('🎓 Alumnas'!$E$2:$E$1000,MATCH($W216,'🎓 Alumnas'!$A$2:$A$1000,0))="","",INDEX('🎓 Alumnas'!$E$2:$E$1000,MATCH($W216,'🎓 Alumnas'!$A$2:$A$1000,0))),""))</f>
        <v/>
      </c>
      <c r="H216" s="28" t="str">
        <f aca="false">IF($W216="","",IFERROR(IF(INDEX('🎓 Alumnas'!$F$2:$F$1000,MATCH($W216,'🎓 Alumnas'!$A$2:$A$1000,0))="","",INDEX('🎓 Alumnas'!$F$2:$F$1000,MATCH($W216,'🎓 Alumnas'!$A$2:$A$1000,0))),""))</f>
        <v/>
      </c>
      <c r="I216" s="30" t="str">
        <f aca="false">IF($W216="","",IFERROR(IF(INDEX('🎓 Alumnas'!$G$2:$G$1000,MATCH($W216,'🎓 Alumnas'!$A$2:$A$1000,0))="","",INDEX('🎓 Alumnas'!$G$2:$G$1000,MATCH($W216,'🎓 Alumnas'!$A$2:$A$1000,0))),""))</f>
        <v/>
      </c>
      <c r="J216" s="28" t="str">
        <f aca="true">IF(I216="","",DATEDIF(I216,TODAY(),"Y"))</f>
        <v/>
      </c>
      <c r="K216" s="25"/>
      <c r="L216" s="28" t="str">
        <f aca="false">IF(K216="","",IF(LEFT(K216,6)="1 Pole","Alquiler",IF(LEFT(K216,7)="1 Clase","Clase suelta","Paquete")))</f>
        <v/>
      </c>
      <c r="M216" s="25"/>
      <c r="N216" s="25"/>
      <c r="O216" s="35"/>
      <c r="P216" s="29" t="str">
        <f aca="false">IF(O216="","",N216*O216)</f>
        <v/>
      </c>
      <c r="Q216" s="36"/>
      <c r="R216" s="25"/>
      <c r="S216" s="25"/>
      <c r="T216" s="28" t="str">
        <f aca="false">IF(OR(LEFT(W216,2)&lt;&gt;"A-",ISERROR(MATCH(W216,'🎓 Alumnas'!$A$2:$A$1000,0))),"",IF(COUNTIF($W$2:W216,W216)=1,"Nueva","Recurrente"))</f>
        <v/>
      </c>
      <c r="U216" s="28" t="str">
        <f aca="false">IF(OR(T216="",L216&lt;&gt;"Paquete"),"",COUNTIFS($W$2:W216,W216,$L$2:L216,"Paquete"))</f>
        <v/>
      </c>
      <c r="V216" s="25"/>
      <c r="W216" s="34" t="str">
        <f aca="false">IF(TRIM($C216)="","",IF(COUNTIF('🎓 Alumnas'!$P$2:$P$1000,TRIM($C216))&gt;0,INDEX('🎓 Alumnas'!$A$2:$A$1000,MATCH(TRIM($C216),'🎓 Alumnas'!$P$2:$P$1000,0)),IF(COUNTIF('🎓 Alumnas'!$O$2:$O$1000,TRIM($C216)&amp;"|*")=1,INDEX('🎓 Alumnas'!$A$2:$A$1000,MATCH(TRIM($C216)&amp;"|*",'🎓 Alumnas'!$O$2:$O$1000,0)),IF(COUNTIF('🎓 Alumnas'!$O$2:$O$1000,"*|"&amp;TRIM($C216))=1,INDEX('🎓 Alumnas'!$A$2:$A$1000,MATCH("*|"&amp;TRIM($C216),'🎓 Alumnas'!$O$2:$O$1000,0)),IF(COUNTIF('🎓 Alumnas'!$Q$2:$Q$1000,TRIM($C216))=1,INDEX('🎓 Alumnas'!$A$2:$A$1000,MATCH(TRIM($C216),'🎓 Alumnas'!$Q$2:$Q$1000,0)),IF(COUNTIF('🎓 Alumnas'!$P$2:$P$1000,"*"&amp;TRIM($C216)&amp;"*")=1,INDEX('🎓 Alumnas'!$A$2:$A$1000,MATCH("*"&amp;TRIM($C216)&amp;"*",'🎓 Alumnas'!$P$2:$P$1000,0)),IF(COUNTIF('🎓 Alumnas'!$Q$2:$Q$1000,"*"&amp;TRIM($C216)&amp;"*")=1,INDEX('🎓 Alumnas'!$A$2:$A$1000,MATCH("*"&amp;TRIM($C216)&amp;"*",'🎓 Alumnas'!$Q$2:$Q$1000,0)),IF(COUNTIF('🎓 Alumnas'!$P$2:$P$1000,"*"&amp;TRIM($C216)&amp;"*")+COUNTIF('🎓 Alumnas'!$Q$2:$Q$1000,"*"&amp;TRIM($C216)&amp;"*")&gt;1,"Varias: elige de la lista","No encontrada"))))))))</f>
        <v/>
      </c>
    </row>
    <row r="217" customFormat="false" ht="14.25" hidden="false" customHeight="true" outlineLevel="0" collapsed="false">
      <c r="A217" s="25" t="s">
        <v>762</v>
      </c>
      <c r="B217" s="27"/>
      <c r="C217" s="25"/>
      <c r="D217" s="34" t="str">
        <f aca="false">IF($W217="","",IFERROR(TRIM(INDEX('🎓 Alumnas'!$B$2:$B$1000,MATCH($W217,'🎓 Alumnas'!$A$2:$A$1000,0))),""))</f>
        <v/>
      </c>
      <c r="E217" s="34" t="str">
        <f aca="false">IF($W217="","",IFERROR(TRIM(INDEX('🎓 Alumnas'!$C$2:$C$1000,MATCH($W217,'🎓 Alumnas'!$A$2:$A$1000,0))),""))</f>
        <v/>
      </c>
      <c r="F217" s="34" t="str">
        <f aca="false">IF($W217="","",IFERROR(IF(INDEX('🎓 Alumnas'!$D$2:$D$1000,MATCH($W217,'🎓 Alumnas'!$A$2:$A$1000,0))="","",INDEX('🎓 Alumnas'!$D$2:$D$1000,MATCH($W217,'🎓 Alumnas'!$A$2:$A$1000,0))),""))</f>
        <v/>
      </c>
      <c r="G217" s="28" t="str">
        <f aca="false">IF($W217="","",IFERROR(IF(INDEX('🎓 Alumnas'!$E$2:$E$1000,MATCH($W217,'🎓 Alumnas'!$A$2:$A$1000,0))="","",INDEX('🎓 Alumnas'!$E$2:$E$1000,MATCH($W217,'🎓 Alumnas'!$A$2:$A$1000,0))),""))</f>
        <v/>
      </c>
      <c r="H217" s="28" t="str">
        <f aca="false">IF($W217="","",IFERROR(IF(INDEX('🎓 Alumnas'!$F$2:$F$1000,MATCH($W217,'🎓 Alumnas'!$A$2:$A$1000,0))="","",INDEX('🎓 Alumnas'!$F$2:$F$1000,MATCH($W217,'🎓 Alumnas'!$A$2:$A$1000,0))),""))</f>
        <v/>
      </c>
      <c r="I217" s="30" t="str">
        <f aca="false">IF($W217="","",IFERROR(IF(INDEX('🎓 Alumnas'!$G$2:$G$1000,MATCH($W217,'🎓 Alumnas'!$A$2:$A$1000,0))="","",INDEX('🎓 Alumnas'!$G$2:$G$1000,MATCH($W217,'🎓 Alumnas'!$A$2:$A$1000,0))),""))</f>
        <v/>
      </c>
      <c r="J217" s="28" t="str">
        <f aca="true">IF(I217="","",DATEDIF(I217,TODAY(),"Y"))</f>
        <v/>
      </c>
      <c r="K217" s="25"/>
      <c r="L217" s="28" t="str">
        <f aca="false">IF(K217="","",IF(LEFT(K217,6)="1 Pole","Alquiler",IF(LEFT(K217,7)="1 Clase","Clase suelta","Paquete")))</f>
        <v/>
      </c>
      <c r="M217" s="25"/>
      <c r="N217" s="25"/>
      <c r="O217" s="35"/>
      <c r="P217" s="29" t="str">
        <f aca="false">IF(O217="","",N217*O217)</f>
        <v/>
      </c>
      <c r="Q217" s="36"/>
      <c r="R217" s="25"/>
      <c r="S217" s="25"/>
      <c r="T217" s="28" t="str">
        <f aca="false">IF(OR(LEFT(W217,2)&lt;&gt;"A-",ISERROR(MATCH(W217,'🎓 Alumnas'!$A$2:$A$1000,0))),"",IF(COUNTIF($W$2:W217,W217)=1,"Nueva","Recurrente"))</f>
        <v/>
      </c>
      <c r="U217" s="28" t="str">
        <f aca="false">IF(OR(T217="",L217&lt;&gt;"Paquete"),"",COUNTIFS($W$2:W217,W217,$L$2:L217,"Paquete"))</f>
        <v/>
      </c>
      <c r="V217" s="25"/>
      <c r="W217" s="34" t="str">
        <f aca="false">IF(TRIM($C217)="","",IF(COUNTIF('🎓 Alumnas'!$P$2:$P$1000,TRIM($C217))&gt;0,INDEX('🎓 Alumnas'!$A$2:$A$1000,MATCH(TRIM($C217),'🎓 Alumnas'!$P$2:$P$1000,0)),IF(COUNTIF('🎓 Alumnas'!$O$2:$O$1000,TRIM($C217)&amp;"|*")=1,INDEX('🎓 Alumnas'!$A$2:$A$1000,MATCH(TRIM($C217)&amp;"|*",'🎓 Alumnas'!$O$2:$O$1000,0)),IF(COUNTIF('🎓 Alumnas'!$O$2:$O$1000,"*|"&amp;TRIM($C217))=1,INDEX('🎓 Alumnas'!$A$2:$A$1000,MATCH("*|"&amp;TRIM($C217),'🎓 Alumnas'!$O$2:$O$1000,0)),IF(COUNTIF('🎓 Alumnas'!$Q$2:$Q$1000,TRIM($C217))=1,INDEX('🎓 Alumnas'!$A$2:$A$1000,MATCH(TRIM($C217),'🎓 Alumnas'!$Q$2:$Q$1000,0)),IF(COUNTIF('🎓 Alumnas'!$P$2:$P$1000,"*"&amp;TRIM($C217)&amp;"*")=1,INDEX('🎓 Alumnas'!$A$2:$A$1000,MATCH("*"&amp;TRIM($C217)&amp;"*",'🎓 Alumnas'!$P$2:$P$1000,0)),IF(COUNTIF('🎓 Alumnas'!$Q$2:$Q$1000,"*"&amp;TRIM($C217)&amp;"*")=1,INDEX('🎓 Alumnas'!$A$2:$A$1000,MATCH("*"&amp;TRIM($C217)&amp;"*",'🎓 Alumnas'!$Q$2:$Q$1000,0)),IF(COUNTIF('🎓 Alumnas'!$P$2:$P$1000,"*"&amp;TRIM($C217)&amp;"*")+COUNTIF('🎓 Alumnas'!$Q$2:$Q$1000,"*"&amp;TRIM($C217)&amp;"*")&gt;1,"Varias: elige de la lista","No encontrada"))))))))</f>
        <v/>
      </c>
    </row>
    <row r="218" customFormat="false" ht="14.25" hidden="false" customHeight="true" outlineLevel="0" collapsed="false">
      <c r="A218" s="25" t="s">
        <v>763</v>
      </c>
      <c r="B218" s="27"/>
      <c r="C218" s="25"/>
      <c r="D218" s="34" t="str">
        <f aca="false">IF($W218="","",IFERROR(TRIM(INDEX('🎓 Alumnas'!$B$2:$B$1000,MATCH($W218,'🎓 Alumnas'!$A$2:$A$1000,0))),""))</f>
        <v/>
      </c>
      <c r="E218" s="34" t="str">
        <f aca="false">IF($W218="","",IFERROR(TRIM(INDEX('🎓 Alumnas'!$C$2:$C$1000,MATCH($W218,'🎓 Alumnas'!$A$2:$A$1000,0))),""))</f>
        <v/>
      </c>
      <c r="F218" s="34" t="str">
        <f aca="false">IF($W218="","",IFERROR(IF(INDEX('🎓 Alumnas'!$D$2:$D$1000,MATCH($W218,'🎓 Alumnas'!$A$2:$A$1000,0))="","",INDEX('🎓 Alumnas'!$D$2:$D$1000,MATCH($W218,'🎓 Alumnas'!$A$2:$A$1000,0))),""))</f>
        <v/>
      </c>
      <c r="G218" s="28" t="str">
        <f aca="false">IF($W218="","",IFERROR(IF(INDEX('🎓 Alumnas'!$E$2:$E$1000,MATCH($W218,'🎓 Alumnas'!$A$2:$A$1000,0))="","",INDEX('🎓 Alumnas'!$E$2:$E$1000,MATCH($W218,'🎓 Alumnas'!$A$2:$A$1000,0))),""))</f>
        <v/>
      </c>
      <c r="H218" s="28" t="str">
        <f aca="false">IF($W218="","",IFERROR(IF(INDEX('🎓 Alumnas'!$F$2:$F$1000,MATCH($W218,'🎓 Alumnas'!$A$2:$A$1000,0))="","",INDEX('🎓 Alumnas'!$F$2:$F$1000,MATCH($W218,'🎓 Alumnas'!$A$2:$A$1000,0))),""))</f>
        <v/>
      </c>
      <c r="I218" s="30" t="str">
        <f aca="false">IF($W218="","",IFERROR(IF(INDEX('🎓 Alumnas'!$G$2:$G$1000,MATCH($W218,'🎓 Alumnas'!$A$2:$A$1000,0))="","",INDEX('🎓 Alumnas'!$G$2:$G$1000,MATCH($W218,'🎓 Alumnas'!$A$2:$A$1000,0))),""))</f>
        <v/>
      </c>
      <c r="J218" s="28" t="str">
        <f aca="true">IF(I218="","",DATEDIF(I218,TODAY(),"Y"))</f>
        <v/>
      </c>
      <c r="K218" s="25"/>
      <c r="L218" s="28" t="str">
        <f aca="false">IF(K218="","",IF(LEFT(K218,6)="1 Pole","Alquiler",IF(LEFT(K218,7)="1 Clase","Clase suelta","Paquete")))</f>
        <v/>
      </c>
      <c r="M218" s="25"/>
      <c r="N218" s="25"/>
      <c r="O218" s="35"/>
      <c r="P218" s="29" t="str">
        <f aca="false">IF(O218="","",N218*O218)</f>
        <v/>
      </c>
      <c r="Q218" s="36"/>
      <c r="R218" s="25"/>
      <c r="S218" s="25"/>
      <c r="T218" s="28" t="str">
        <f aca="false">IF(OR(LEFT(W218,2)&lt;&gt;"A-",ISERROR(MATCH(W218,'🎓 Alumnas'!$A$2:$A$1000,0))),"",IF(COUNTIF($W$2:W218,W218)=1,"Nueva","Recurrente"))</f>
        <v/>
      </c>
      <c r="U218" s="28" t="str">
        <f aca="false">IF(OR(T218="",L218&lt;&gt;"Paquete"),"",COUNTIFS($W$2:W218,W218,$L$2:L218,"Paquete"))</f>
        <v/>
      </c>
      <c r="V218" s="25"/>
      <c r="W218" s="34" t="str">
        <f aca="false">IF(TRIM($C218)="","",IF(COUNTIF('🎓 Alumnas'!$P$2:$P$1000,TRIM($C218))&gt;0,INDEX('🎓 Alumnas'!$A$2:$A$1000,MATCH(TRIM($C218),'🎓 Alumnas'!$P$2:$P$1000,0)),IF(COUNTIF('🎓 Alumnas'!$O$2:$O$1000,TRIM($C218)&amp;"|*")=1,INDEX('🎓 Alumnas'!$A$2:$A$1000,MATCH(TRIM($C218)&amp;"|*",'🎓 Alumnas'!$O$2:$O$1000,0)),IF(COUNTIF('🎓 Alumnas'!$O$2:$O$1000,"*|"&amp;TRIM($C218))=1,INDEX('🎓 Alumnas'!$A$2:$A$1000,MATCH("*|"&amp;TRIM($C218),'🎓 Alumnas'!$O$2:$O$1000,0)),IF(COUNTIF('🎓 Alumnas'!$Q$2:$Q$1000,TRIM($C218))=1,INDEX('🎓 Alumnas'!$A$2:$A$1000,MATCH(TRIM($C218),'🎓 Alumnas'!$Q$2:$Q$1000,0)),IF(COUNTIF('🎓 Alumnas'!$P$2:$P$1000,"*"&amp;TRIM($C218)&amp;"*")=1,INDEX('🎓 Alumnas'!$A$2:$A$1000,MATCH("*"&amp;TRIM($C218)&amp;"*",'🎓 Alumnas'!$P$2:$P$1000,0)),IF(COUNTIF('🎓 Alumnas'!$Q$2:$Q$1000,"*"&amp;TRIM($C218)&amp;"*")=1,INDEX('🎓 Alumnas'!$A$2:$A$1000,MATCH("*"&amp;TRIM($C218)&amp;"*",'🎓 Alumnas'!$Q$2:$Q$1000,0)),IF(COUNTIF('🎓 Alumnas'!$P$2:$P$1000,"*"&amp;TRIM($C218)&amp;"*")+COUNTIF('🎓 Alumnas'!$Q$2:$Q$1000,"*"&amp;TRIM($C218)&amp;"*")&gt;1,"Varias: elige de la lista","No encontrada"))))))))</f>
        <v/>
      </c>
    </row>
    <row r="219" customFormat="false" ht="14.25" hidden="false" customHeight="true" outlineLevel="0" collapsed="false">
      <c r="A219" s="25" t="s">
        <v>764</v>
      </c>
      <c r="B219" s="27"/>
      <c r="C219" s="25"/>
      <c r="D219" s="34" t="str">
        <f aca="false">IF($W219="","",IFERROR(TRIM(INDEX('🎓 Alumnas'!$B$2:$B$1000,MATCH($W219,'🎓 Alumnas'!$A$2:$A$1000,0))),""))</f>
        <v/>
      </c>
      <c r="E219" s="34" t="str">
        <f aca="false">IF($W219="","",IFERROR(TRIM(INDEX('🎓 Alumnas'!$C$2:$C$1000,MATCH($W219,'🎓 Alumnas'!$A$2:$A$1000,0))),""))</f>
        <v/>
      </c>
      <c r="F219" s="34" t="str">
        <f aca="false">IF($W219="","",IFERROR(IF(INDEX('🎓 Alumnas'!$D$2:$D$1000,MATCH($W219,'🎓 Alumnas'!$A$2:$A$1000,0))="","",INDEX('🎓 Alumnas'!$D$2:$D$1000,MATCH($W219,'🎓 Alumnas'!$A$2:$A$1000,0))),""))</f>
        <v/>
      </c>
      <c r="G219" s="28" t="str">
        <f aca="false">IF($W219="","",IFERROR(IF(INDEX('🎓 Alumnas'!$E$2:$E$1000,MATCH($W219,'🎓 Alumnas'!$A$2:$A$1000,0))="","",INDEX('🎓 Alumnas'!$E$2:$E$1000,MATCH($W219,'🎓 Alumnas'!$A$2:$A$1000,0))),""))</f>
        <v/>
      </c>
      <c r="H219" s="28" t="str">
        <f aca="false">IF($W219="","",IFERROR(IF(INDEX('🎓 Alumnas'!$F$2:$F$1000,MATCH($W219,'🎓 Alumnas'!$A$2:$A$1000,0))="","",INDEX('🎓 Alumnas'!$F$2:$F$1000,MATCH($W219,'🎓 Alumnas'!$A$2:$A$1000,0))),""))</f>
        <v/>
      </c>
      <c r="I219" s="30" t="str">
        <f aca="false">IF($W219="","",IFERROR(IF(INDEX('🎓 Alumnas'!$G$2:$G$1000,MATCH($W219,'🎓 Alumnas'!$A$2:$A$1000,0))="","",INDEX('🎓 Alumnas'!$G$2:$G$1000,MATCH($W219,'🎓 Alumnas'!$A$2:$A$1000,0))),""))</f>
        <v/>
      </c>
      <c r="J219" s="28" t="str">
        <f aca="true">IF(I219="","",DATEDIF(I219,TODAY(),"Y"))</f>
        <v/>
      </c>
      <c r="K219" s="25"/>
      <c r="L219" s="28" t="str">
        <f aca="false">IF(K219="","",IF(LEFT(K219,6)="1 Pole","Alquiler",IF(LEFT(K219,7)="1 Clase","Clase suelta","Paquete")))</f>
        <v/>
      </c>
      <c r="M219" s="25"/>
      <c r="N219" s="25"/>
      <c r="O219" s="35"/>
      <c r="P219" s="29" t="str">
        <f aca="false">IF(O219="","",N219*O219)</f>
        <v/>
      </c>
      <c r="Q219" s="36"/>
      <c r="R219" s="25"/>
      <c r="S219" s="25"/>
      <c r="T219" s="28" t="str">
        <f aca="false">IF(OR(LEFT(W219,2)&lt;&gt;"A-",ISERROR(MATCH(W219,'🎓 Alumnas'!$A$2:$A$1000,0))),"",IF(COUNTIF($W$2:W219,W219)=1,"Nueva","Recurrente"))</f>
        <v/>
      </c>
      <c r="U219" s="28" t="str">
        <f aca="false">IF(OR(T219="",L219&lt;&gt;"Paquete"),"",COUNTIFS($W$2:W219,W219,$L$2:L219,"Paquete"))</f>
        <v/>
      </c>
      <c r="V219" s="25"/>
      <c r="W219" s="34" t="str">
        <f aca="false">IF(TRIM($C219)="","",IF(COUNTIF('🎓 Alumnas'!$P$2:$P$1000,TRIM($C219))&gt;0,INDEX('🎓 Alumnas'!$A$2:$A$1000,MATCH(TRIM($C219),'🎓 Alumnas'!$P$2:$P$1000,0)),IF(COUNTIF('🎓 Alumnas'!$O$2:$O$1000,TRIM($C219)&amp;"|*")=1,INDEX('🎓 Alumnas'!$A$2:$A$1000,MATCH(TRIM($C219)&amp;"|*",'🎓 Alumnas'!$O$2:$O$1000,0)),IF(COUNTIF('🎓 Alumnas'!$O$2:$O$1000,"*|"&amp;TRIM($C219))=1,INDEX('🎓 Alumnas'!$A$2:$A$1000,MATCH("*|"&amp;TRIM($C219),'🎓 Alumnas'!$O$2:$O$1000,0)),IF(COUNTIF('🎓 Alumnas'!$Q$2:$Q$1000,TRIM($C219))=1,INDEX('🎓 Alumnas'!$A$2:$A$1000,MATCH(TRIM($C219),'🎓 Alumnas'!$Q$2:$Q$1000,0)),IF(COUNTIF('🎓 Alumnas'!$P$2:$P$1000,"*"&amp;TRIM($C219)&amp;"*")=1,INDEX('🎓 Alumnas'!$A$2:$A$1000,MATCH("*"&amp;TRIM($C219)&amp;"*",'🎓 Alumnas'!$P$2:$P$1000,0)),IF(COUNTIF('🎓 Alumnas'!$Q$2:$Q$1000,"*"&amp;TRIM($C219)&amp;"*")=1,INDEX('🎓 Alumnas'!$A$2:$A$1000,MATCH("*"&amp;TRIM($C219)&amp;"*",'🎓 Alumnas'!$Q$2:$Q$1000,0)),IF(COUNTIF('🎓 Alumnas'!$P$2:$P$1000,"*"&amp;TRIM($C219)&amp;"*")+COUNTIF('🎓 Alumnas'!$Q$2:$Q$1000,"*"&amp;TRIM($C219)&amp;"*")&gt;1,"Varias: elige de la lista","No encontrada"))))))))</f>
        <v/>
      </c>
    </row>
    <row r="220" customFormat="false" ht="14.25" hidden="false" customHeight="true" outlineLevel="0" collapsed="false">
      <c r="A220" s="25" t="s">
        <v>765</v>
      </c>
      <c r="B220" s="27"/>
      <c r="C220" s="25"/>
      <c r="D220" s="34" t="str">
        <f aca="false">IF($W220="","",IFERROR(TRIM(INDEX('🎓 Alumnas'!$B$2:$B$1000,MATCH($W220,'🎓 Alumnas'!$A$2:$A$1000,0))),""))</f>
        <v/>
      </c>
      <c r="E220" s="34" t="str">
        <f aca="false">IF($W220="","",IFERROR(TRIM(INDEX('🎓 Alumnas'!$C$2:$C$1000,MATCH($W220,'🎓 Alumnas'!$A$2:$A$1000,0))),""))</f>
        <v/>
      </c>
      <c r="F220" s="34" t="str">
        <f aca="false">IF($W220="","",IFERROR(IF(INDEX('🎓 Alumnas'!$D$2:$D$1000,MATCH($W220,'🎓 Alumnas'!$A$2:$A$1000,0))="","",INDEX('🎓 Alumnas'!$D$2:$D$1000,MATCH($W220,'🎓 Alumnas'!$A$2:$A$1000,0))),""))</f>
        <v/>
      </c>
      <c r="G220" s="28" t="str">
        <f aca="false">IF($W220="","",IFERROR(IF(INDEX('🎓 Alumnas'!$E$2:$E$1000,MATCH($W220,'🎓 Alumnas'!$A$2:$A$1000,0))="","",INDEX('🎓 Alumnas'!$E$2:$E$1000,MATCH($W220,'🎓 Alumnas'!$A$2:$A$1000,0))),""))</f>
        <v/>
      </c>
      <c r="H220" s="28" t="str">
        <f aca="false">IF($W220="","",IFERROR(IF(INDEX('🎓 Alumnas'!$F$2:$F$1000,MATCH($W220,'🎓 Alumnas'!$A$2:$A$1000,0))="","",INDEX('🎓 Alumnas'!$F$2:$F$1000,MATCH($W220,'🎓 Alumnas'!$A$2:$A$1000,0))),""))</f>
        <v/>
      </c>
      <c r="I220" s="30" t="str">
        <f aca="false">IF($W220="","",IFERROR(IF(INDEX('🎓 Alumnas'!$G$2:$G$1000,MATCH($W220,'🎓 Alumnas'!$A$2:$A$1000,0))="","",INDEX('🎓 Alumnas'!$G$2:$G$1000,MATCH($W220,'🎓 Alumnas'!$A$2:$A$1000,0))),""))</f>
        <v/>
      </c>
      <c r="J220" s="28" t="str">
        <f aca="true">IF(I220="","",DATEDIF(I220,TODAY(),"Y"))</f>
        <v/>
      </c>
      <c r="K220" s="25"/>
      <c r="L220" s="28" t="str">
        <f aca="false">IF(K220="","",IF(LEFT(K220,6)="1 Pole","Alquiler",IF(LEFT(K220,7)="1 Clase","Clase suelta","Paquete")))</f>
        <v/>
      </c>
      <c r="M220" s="25"/>
      <c r="N220" s="25"/>
      <c r="O220" s="35"/>
      <c r="P220" s="29" t="str">
        <f aca="false">IF(O220="","",N220*O220)</f>
        <v/>
      </c>
      <c r="Q220" s="36"/>
      <c r="R220" s="25"/>
      <c r="S220" s="25"/>
      <c r="T220" s="28" t="str">
        <f aca="false">IF(OR(LEFT(W220,2)&lt;&gt;"A-",ISERROR(MATCH(W220,'🎓 Alumnas'!$A$2:$A$1000,0))),"",IF(COUNTIF($W$2:W220,W220)=1,"Nueva","Recurrente"))</f>
        <v/>
      </c>
      <c r="U220" s="28" t="str">
        <f aca="false">IF(OR(T220="",L220&lt;&gt;"Paquete"),"",COUNTIFS($W$2:W220,W220,$L$2:L220,"Paquete"))</f>
        <v/>
      </c>
      <c r="V220" s="25"/>
      <c r="W220" s="34" t="str">
        <f aca="false">IF(TRIM($C220)="","",IF(COUNTIF('🎓 Alumnas'!$P$2:$P$1000,TRIM($C220))&gt;0,INDEX('🎓 Alumnas'!$A$2:$A$1000,MATCH(TRIM($C220),'🎓 Alumnas'!$P$2:$P$1000,0)),IF(COUNTIF('🎓 Alumnas'!$O$2:$O$1000,TRIM($C220)&amp;"|*")=1,INDEX('🎓 Alumnas'!$A$2:$A$1000,MATCH(TRIM($C220)&amp;"|*",'🎓 Alumnas'!$O$2:$O$1000,0)),IF(COUNTIF('🎓 Alumnas'!$O$2:$O$1000,"*|"&amp;TRIM($C220))=1,INDEX('🎓 Alumnas'!$A$2:$A$1000,MATCH("*|"&amp;TRIM($C220),'🎓 Alumnas'!$O$2:$O$1000,0)),IF(COUNTIF('🎓 Alumnas'!$Q$2:$Q$1000,TRIM($C220))=1,INDEX('🎓 Alumnas'!$A$2:$A$1000,MATCH(TRIM($C220),'🎓 Alumnas'!$Q$2:$Q$1000,0)),IF(COUNTIF('🎓 Alumnas'!$P$2:$P$1000,"*"&amp;TRIM($C220)&amp;"*")=1,INDEX('🎓 Alumnas'!$A$2:$A$1000,MATCH("*"&amp;TRIM($C220)&amp;"*",'🎓 Alumnas'!$P$2:$P$1000,0)),IF(COUNTIF('🎓 Alumnas'!$Q$2:$Q$1000,"*"&amp;TRIM($C220)&amp;"*")=1,INDEX('🎓 Alumnas'!$A$2:$A$1000,MATCH("*"&amp;TRIM($C220)&amp;"*",'🎓 Alumnas'!$Q$2:$Q$1000,0)),IF(COUNTIF('🎓 Alumnas'!$P$2:$P$1000,"*"&amp;TRIM($C220)&amp;"*")+COUNTIF('🎓 Alumnas'!$Q$2:$Q$1000,"*"&amp;TRIM($C220)&amp;"*")&gt;1,"Varias: elige de la lista","No encontrada"))))))))</f>
        <v/>
      </c>
    </row>
    <row r="221" customFormat="false" ht="14.25" hidden="false" customHeight="true" outlineLevel="0" collapsed="false">
      <c r="A221" s="25" t="s">
        <v>766</v>
      </c>
      <c r="B221" s="27"/>
      <c r="C221" s="25"/>
      <c r="D221" s="34" t="str">
        <f aca="false">IF($W221="","",IFERROR(TRIM(INDEX('🎓 Alumnas'!$B$2:$B$1000,MATCH($W221,'🎓 Alumnas'!$A$2:$A$1000,0))),""))</f>
        <v/>
      </c>
      <c r="E221" s="34" t="str">
        <f aca="false">IF($W221="","",IFERROR(TRIM(INDEX('🎓 Alumnas'!$C$2:$C$1000,MATCH($W221,'🎓 Alumnas'!$A$2:$A$1000,0))),""))</f>
        <v/>
      </c>
      <c r="F221" s="34" t="str">
        <f aca="false">IF($W221="","",IFERROR(IF(INDEX('🎓 Alumnas'!$D$2:$D$1000,MATCH($W221,'🎓 Alumnas'!$A$2:$A$1000,0))="","",INDEX('🎓 Alumnas'!$D$2:$D$1000,MATCH($W221,'🎓 Alumnas'!$A$2:$A$1000,0))),""))</f>
        <v/>
      </c>
      <c r="G221" s="28" t="str">
        <f aca="false">IF($W221="","",IFERROR(IF(INDEX('🎓 Alumnas'!$E$2:$E$1000,MATCH($W221,'🎓 Alumnas'!$A$2:$A$1000,0))="","",INDEX('🎓 Alumnas'!$E$2:$E$1000,MATCH($W221,'🎓 Alumnas'!$A$2:$A$1000,0))),""))</f>
        <v/>
      </c>
      <c r="H221" s="28" t="str">
        <f aca="false">IF($W221="","",IFERROR(IF(INDEX('🎓 Alumnas'!$F$2:$F$1000,MATCH($W221,'🎓 Alumnas'!$A$2:$A$1000,0))="","",INDEX('🎓 Alumnas'!$F$2:$F$1000,MATCH($W221,'🎓 Alumnas'!$A$2:$A$1000,0))),""))</f>
        <v/>
      </c>
      <c r="I221" s="30" t="str">
        <f aca="false">IF($W221="","",IFERROR(IF(INDEX('🎓 Alumnas'!$G$2:$G$1000,MATCH($W221,'🎓 Alumnas'!$A$2:$A$1000,0))="","",INDEX('🎓 Alumnas'!$G$2:$G$1000,MATCH($W221,'🎓 Alumnas'!$A$2:$A$1000,0))),""))</f>
        <v/>
      </c>
      <c r="J221" s="28" t="str">
        <f aca="true">IF(I221="","",DATEDIF(I221,TODAY(),"Y"))</f>
        <v/>
      </c>
      <c r="K221" s="25"/>
      <c r="L221" s="28" t="str">
        <f aca="false">IF(K221="","",IF(LEFT(K221,6)="1 Pole","Alquiler",IF(LEFT(K221,7)="1 Clase","Clase suelta","Paquete")))</f>
        <v/>
      </c>
      <c r="M221" s="25"/>
      <c r="N221" s="25"/>
      <c r="O221" s="35"/>
      <c r="P221" s="29" t="str">
        <f aca="false">IF(O221="","",N221*O221)</f>
        <v/>
      </c>
      <c r="Q221" s="36"/>
      <c r="R221" s="25"/>
      <c r="S221" s="25"/>
      <c r="T221" s="28" t="str">
        <f aca="false">IF(OR(LEFT(W221,2)&lt;&gt;"A-",ISERROR(MATCH(W221,'🎓 Alumnas'!$A$2:$A$1000,0))),"",IF(COUNTIF($W$2:W221,W221)=1,"Nueva","Recurrente"))</f>
        <v/>
      </c>
      <c r="U221" s="28" t="str">
        <f aca="false">IF(OR(T221="",L221&lt;&gt;"Paquete"),"",COUNTIFS($W$2:W221,W221,$L$2:L221,"Paquete"))</f>
        <v/>
      </c>
      <c r="V221" s="25"/>
      <c r="W221" s="34" t="str">
        <f aca="false">IF(TRIM($C221)="","",IF(COUNTIF('🎓 Alumnas'!$P$2:$P$1000,TRIM($C221))&gt;0,INDEX('🎓 Alumnas'!$A$2:$A$1000,MATCH(TRIM($C221),'🎓 Alumnas'!$P$2:$P$1000,0)),IF(COUNTIF('🎓 Alumnas'!$O$2:$O$1000,TRIM($C221)&amp;"|*")=1,INDEX('🎓 Alumnas'!$A$2:$A$1000,MATCH(TRIM($C221)&amp;"|*",'🎓 Alumnas'!$O$2:$O$1000,0)),IF(COUNTIF('🎓 Alumnas'!$O$2:$O$1000,"*|"&amp;TRIM($C221))=1,INDEX('🎓 Alumnas'!$A$2:$A$1000,MATCH("*|"&amp;TRIM($C221),'🎓 Alumnas'!$O$2:$O$1000,0)),IF(COUNTIF('🎓 Alumnas'!$Q$2:$Q$1000,TRIM($C221))=1,INDEX('🎓 Alumnas'!$A$2:$A$1000,MATCH(TRIM($C221),'🎓 Alumnas'!$Q$2:$Q$1000,0)),IF(COUNTIF('🎓 Alumnas'!$P$2:$P$1000,"*"&amp;TRIM($C221)&amp;"*")=1,INDEX('🎓 Alumnas'!$A$2:$A$1000,MATCH("*"&amp;TRIM($C221)&amp;"*",'🎓 Alumnas'!$P$2:$P$1000,0)),IF(COUNTIF('🎓 Alumnas'!$Q$2:$Q$1000,"*"&amp;TRIM($C221)&amp;"*")=1,INDEX('🎓 Alumnas'!$A$2:$A$1000,MATCH("*"&amp;TRIM($C221)&amp;"*",'🎓 Alumnas'!$Q$2:$Q$1000,0)),IF(COUNTIF('🎓 Alumnas'!$P$2:$P$1000,"*"&amp;TRIM($C221)&amp;"*")+COUNTIF('🎓 Alumnas'!$Q$2:$Q$1000,"*"&amp;TRIM($C221)&amp;"*")&gt;1,"Varias: elige de la lista","No encontrada"))))))))</f>
        <v/>
      </c>
    </row>
    <row r="222" customFormat="false" ht="14.25" hidden="false" customHeight="true" outlineLevel="0" collapsed="false">
      <c r="A222" s="25" t="s">
        <v>767</v>
      </c>
      <c r="B222" s="27"/>
      <c r="C222" s="25"/>
      <c r="D222" s="34" t="str">
        <f aca="false">IF($W222="","",IFERROR(TRIM(INDEX('🎓 Alumnas'!$B$2:$B$1000,MATCH($W222,'🎓 Alumnas'!$A$2:$A$1000,0))),""))</f>
        <v/>
      </c>
      <c r="E222" s="34" t="str">
        <f aca="false">IF($W222="","",IFERROR(TRIM(INDEX('🎓 Alumnas'!$C$2:$C$1000,MATCH($W222,'🎓 Alumnas'!$A$2:$A$1000,0))),""))</f>
        <v/>
      </c>
      <c r="F222" s="34" t="str">
        <f aca="false">IF($W222="","",IFERROR(IF(INDEX('🎓 Alumnas'!$D$2:$D$1000,MATCH($W222,'🎓 Alumnas'!$A$2:$A$1000,0))="","",INDEX('🎓 Alumnas'!$D$2:$D$1000,MATCH($W222,'🎓 Alumnas'!$A$2:$A$1000,0))),""))</f>
        <v/>
      </c>
      <c r="G222" s="28" t="str">
        <f aca="false">IF($W222="","",IFERROR(IF(INDEX('🎓 Alumnas'!$E$2:$E$1000,MATCH($W222,'🎓 Alumnas'!$A$2:$A$1000,0))="","",INDEX('🎓 Alumnas'!$E$2:$E$1000,MATCH($W222,'🎓 Alumnas'!$A$2:$A$1000,0))),""))</f>
        <v/>
      </c>
      <c r="H222" s="28" t="str">
        <f aca="false">IF($W222="","",IFERROR(IF(INDEX('🎓 Alumnas'!$F$2:$F$1000,MATCH($W222,'🎓 Alumnas'!$A$2:$A$1000,0))="","",INDEX('🎓 Alumnas'!$F$2:$F$1000,MATCH($W222,'🎓 Alumnas'!$A$2:$A$1000,0))),""))</f>
        <v/>
      </c>
      <c r="I222" s="30" t="str">
        <f aca="false">IF($W222="","",IFERROR(IF(INDEX('🎓 Alumnas'!$G$2:$G$1000,MATCH($W222,'🎓 Alumnas'!$A$2:$A$1000,0))="","",INDEX('🎓 Alumnas'!$G$2:$G$1000,MATCH($W222,'🎓 Alumnas'!$A$2:$A$1000,0))),""))</f>
        <v/>
      </c>
      <c r="J222" s="28" t="str">
        <f aca="true">IF(I222="","",DATEDIF(I222,TODAY(),"Y"))</f>
        <v/>
      </c>
      <c r="K222" s="25"/>
      <c r="L222" s="28" t="str">
        <f aca="false">IF(K222="","",IF(LEFT(K222,6)="1 Pole","Alquiler",IF(LEFT(K222,7)="1 Clase","Clase suelta","Paquete")))</f>
        <v/>
      </c>
      <c r="M222" s="25"/>
      <c r="N222" s="25"/>
      <c r="O222" s="35"/>
      <c r="P222" s="29" t="str">
        <f aca="false">IF(O222="","",N222*O222)</f>
        <v/>
      </c>
      <c r="Q222" s="36"/>
      <c r="R222" s="25"/>
      <c r="S222" s="25"/>
      <c r="T222" s="28" t="str">
        <f aca="false">IF(OR(LEFT(W222,2)&lt;&gt;"A-",ISERROR(MATCH(W222,'🎓 Alumnas'!$A$2:$A$1000,0))),"",IF(COUNTIF($W$2:W222,W222)=1,"Nueva","Recurrente"))</f>
        <v/>
      </c>
      <c r="U222" s="28" t="str">
        <f aca="false">IF(OR(T222="",L222&lt;&gt;"Paquete"),"",COUNTIFS($W$2:W222,W222,$L$2:L222,"Paquete"))</f>
        <v/>
      </c>
      <c r="V222" s="25"/>
      <c r="W222" s="34" t="str">
        <f aca="false">IF(TRIM($C222)="","",IF(COUNTIF('🎓 Alumnas'!$P$2:$P$1000,TRIM($C222))&gt;0,INDEX('🎓 Alumnas'!$A$2:$A$1000,MATCH(TRIM($C222),'🎓 Alumnas'!$P$2:$P$1000,0)),IF(COUNTIF('🎓 Alumnas'!$O$2:$O$1000,TRIM($C222)&amp;"|*")=1,INDEX('🎓 Alumnas'!$A$2:$A$1000,MATCH(TRIM($C222)&amp;"|*",'🎓 Alumnas'!$O$2:$O$1000,0)),IF(COUNTIF('🎓 Alumnas'!$O$2:$O$1000,"*|"&amp;TRIM($C222))=1,INDEX('🎓 Alumnas'!$A$2:$A$1000,MATCH("*|"&amp;TRIM($C222),'🎓 Alumnas'!$O$2:$O$1000,0)),IF(COUNTIF('🎓 Alumnas'!$Q$2:$Q$1000,TRIM($C222))=1,INDEX('🎓 Alumnas'!$A$2:$A$1000,MATCH(TRIM($C222),'🎓 Alumnas'!$Q$2:$Q$1000,0)),IF(COUNTIF('🎓 Alumnas'!$P$2:$P$1000,"*"&amp;TRIM($C222)&amp;"*")=1,INDEX('🎓 Alumnas'!$A$2:$A$1000,MATCH("*"&amp;TRIM($C222)&amp;"*",'🎓 Alumnas'!$P$2:$P$1000,0)),IF(COUNTIF('🎓 Alumnas'!$Q$2:$Q$1000,"*"&amp;TRIM($C222)&amp;"*")=1,INDEX('🎓 Alumnas'!$A$2:$A$1000,MATCH("*"&amp;TRIM($C222)&amp;"*",'🎓 Alumnas'!$Q$2:$Q$1000,0)),IF(COUNTIF('🎓 Alumnas'!$P$2:$P$1000,"*"&amp;TRIM($C222)&amp;"*")+COUNTIF('🎓 Alumnas'!$Q$2:$Q$1000,"*"&amp;TRIM($C222)&amp;"*")&gt;1,"Varias: elige de la lista","No encontrada"))))))))</f>
        <v/>
      </c>
    </row>
    <row r="223" customFormat="false" ht="14.25" hidden="false" customHeight="true" outlineLevel="0" collapsed="false">
      <c r="A223" s="25" t="s">
        <v>768</v>
      </c>
      <c r="B223" s="27"/>
      <c r="C223" s="25"/>
      <c r="D223" s="34" t="str">
        <f aca="false">IF($W223="","",IFERROR(TRIM(INDEX('🎓 Alumnas'!$B$2:$B$1000,MATCH($W223,'🎓 Alumnas'!$A$2:$A$1000,0))),""))</f>
        <v/>
      </c>
      <c r="E223" s="34" t="str">
        <f aca="false">IF($W223="","",IFERROR(TRIM(INDEX('🎓 Alumnas'!$C$2:$C$1000,MATCH($W223,'🎓 Alumnas'!$A$2:$A$1000,0))),""))</f>
        <v/>
      </c>
      <c r="F223" s="34" t="str">
        <f aca="false">IF($W223="","",IFERROR(IF(INDEX('🎓 Alumnas'!$D$2:$D$1000,MATCH($W223,'🎓 Alumnas'!$A$2:$A$1000,0))="","",INDEX('🎓 Alumnas'!$D$2:$D$1000,MATCH($W223,'🎓 Alumnas'!$A$2:$A$1000,0))),""))</f>
        <v/>
      </c>
      <c r="G223" s="28" t="str">
        <f aca="false">IF($W223="","",IFERROR(IF(INDEX('🎓 Alumnas'!$E$2:$E$1000,MATCH($W223,'🎓 Alumnas'!$A$2:$A$1000,0))="","",INDEX('🎓 Alumnas'!$E$2:$E$1000,MATCH($W223,'🎓 Alumnas'!$A$2:$A$1000,0))),""))</f>
        <v/>
      </c>
      <c r="H223" s="28" t="str">
        <f aca="false">IF($W223="","",IFERROR(IF(INDEX('🎓 Alumnas'!$F$2:$F$1000,MATCH($W223,'🎓 Alumnas'!$A$2:$A$1000,0))="","",INDEX('🎓 Alumnas'!$F$2:$F$1000,MATCH($W223,'🎓 Alumnas'!$A$2:$A$1000,0))),""))</f>
        <v/>
      </c>
      <c r="I223" s="30" t="str">
        <f aca="false">IF($W223="","",IFERROR(IF(INDEX('🎓 Alumnas'!$G$2:$G$1000,MATCH($W223,'🎓 Alumnas'!$A$2:$A$1000,0))="","",INDEX('🎓 Alumnas'!$G$2:$G$1000,MATCH($W223,'🎓 Alumnas'!$A$2:$A$1000,0))),""))</f>
        <v/>
      </c>
      <c r="J223" s="28" t="str">
        <f aca="true">IF(I223="","",DATEDIF(I223,TODAY(),"Y"))</f>
        <v/>
      </c>
      <c r="K223" s="25"/>
      <c r="L223" s="28" t="str">
        <f aca="false">IF(K223="","",IF(LEFT(K223,6)="1 Pole","Alquiler",IF(LEFT(K223,7)="1 Clase","Clase suelta","Paquete")))</f>
        <v/>
      </c>
      <c r="M223" s="25"/>
      <c r="N223" s="25"/>
      <c r="O223" s="35"/>
      <c r="P223" s="29" t="str">
        <f aca="false">IF(O223="","",N223*O223)</f>
        <v/>
      </c>
      <c r="Q223" s="36"/>
      <c r="R223" s="25"/>
      <c r="S223" s="25"/>
      <c r="T223" s="28" t="str">
        <f aca="false">IF(OR(LEFT(W223,2)&lt;&gt;"A-",ISERROR(MATCH(W223,'🎓 Alumnas'!$A$2:$A$1000,0))),"",IF(COUNTIF($W$2:W223,W223)=1,"Nueva","Recurrente"))</f>
        <v/>
      </c>
      <c r="U223" s="28" t="str">
        <f aca="false">IF(OR(T223="",L223&lt;&gt;"Paquete"),"",COUNTIFS($W$2:W223,W223,$L$2:L223,"Paquete"))</f>
        <v/>
      </c>
      <c r="V223" s="25"/>
      <c r="W223" s="34" t="str">
        <f aca="false">IF(TRIM($C223)="","",IF(COUNTIF('🎓 Alumnas'!$P$2:$P$1000,TRIM($C223))&gt;0,INDEX('🎓 Alumnas'!$A$2:$A$1000,MATCH(TRIM($C223),'🎓 Alumnas'!$P$2:$P$1000,0)),IF(COUNTIF('🎓 Alumnas'!$O$2:$O$1000,TRIM($C223)&amp;"|*")=1,INDEX('🎓 Alumnas'!$A$2:$A$1000,MATCH(TRIM($C223)&amp;"|*",'🎓 Alumnas'!$O$2:$O$1000,0)),IF(COUNTIF('🎓 Alumnas'!$O$2:$O$1000,"*|"&amp;TRIM($C223))=1,INDEX('🎓 Alumnas'!$A$2:$A$1000,MATCH("*|"&amp;TRIM($C223),'🎓 Alumnas'!$O$2:$O$1000,0)),IF(COUNTIF('🎓 Alumnas'!$Q$2:$Q$1000,TRIM($C223))=1,INDEX('🎓 Alumnas'!$A$2:$A$1000,MATCH(TRIM($C223),'🎓 Alumnas'!$Q$2:$Q$1000,0)),IF(COUNTIF('🎓 Alumnas'!$P$2:$P$1000,"*"&amp;TRIM($C223)&amp;"*")=1,INDEX('🎓 Alumnas'!$A$2:$A$1000,MATCH("*"&amp;TRIM($C223)&amp;"*",'🎓 Alumnas'!$P$2:$P$1000,0)),IF(COUNTIF('🎓 Alumnas'!$Q$2:$Q$1000,"*"&amp;TRIM($C223)&amp;"*")=1,INDEX('🎓 Alumnas'!$A$2:$A$1000,MATCH("*"&amp;TRIM($C223)&amp;"*",'🎓 Alumnas'!$Q$2:$Q$1000,0)),IF(COUNTIF('🎓 Alumnas'!$P$2:$P$1000,"*"&amp;TRIM($C223)&amp;"*")+COUNTIF('🎓 Alumnas'!$Q$2:$Q$1000,"*"&amp;TRIM($C223)&amp;"*")&gt;1,"Varias: elige de la lista","No encontrada"))))))))</f>
        <v/>
      </c>
    </row>
    <row r="224" customFormat="false" ht="14.25" hidden="false" customHeight="true" outlineLevel="0" collapsed="false">
      <c r="A224" s="25" t="s">
        <v>769</v>
      </c>
      <c r="B224" s="27"/>
      <c r="C224" s="25"/>
      <c r="D224" s="34" t="str">
        <f aca="false">IF($W224="","",IFERROR(TRIM(INDEX('🎓 Alumnas'!$B$2:$B$1000,MATCH($W224,'🎓 Alumnas'!$A$2:$A$1000,0))),""))</f>
        <v/>
      </c>
      <c r="E224" s="34" t="str">
        <f aca="false">IF($W224="","",IFERROR(TRIM(INDEX('🎓 Alumnas'!$C$2:$C$1000,MATCH($W224,'🎓 Alumnas'!$A$2:$A$1000,0))),""))</f>
        <v/>
      </c>
      <c r="F224" s="34" t="str">
        <f aca="false">IF($W224="","",IFERROR(IF(INDEX('🎓 Alumnas'!$D$2:$D$1000,MATCH($W224,'🎓 Alumnas'!$A$2:$A$1000,0))="","",INDEX('🎓 Alumnas'!$D$2:$D$1000,MATCH($W224,'🎓 Alumnas'!$A$2:$A$1000,0))),""))</f>
        <v/>
      </c>
      <c r="G224" s="28" t="str">
        <f aca="false">IF($W224="","",IFERROR(IF(INDEX('🎓 Alumnas'!$E$2:$E$1000,MATCH($W224,'🎓 Alumnas'!$A$2:$A$1000,0))="","",INDEX('🎓 Alumnas'!$E$2:$E$1000,MATCH($W224,'🎓 Alumnas'!$A$2:$A$1000,0))),""))</f>
        <v/>
      </c>
      <c r="H224" s="28" t="str">
        <f aca="false">IF($W224="","",IFERROR(IF(INDEX('🎓 Alumnas'!$F$2:$F$1000,MATCH($W224,'🎓 Alumnas'!$A$2:$A$1000,0))="","",INDEX('🎓 Alumnas'!$F$2:$F$1000,MATCH($W224,'🎓 Alumnas'!$A$2:$A$1000,0))),""))</f>
        <v/>
      </c>
      <c r="I224" s="30" t="str">
        <f aca="false">IF($W224="","",IFERROR(IF(INDEX('🎓 Alumnas'!$G$2:$G$1000,MATCH($W224,'🎓 Alumnas'!$A$2:$A$1000,0))="","",INDEX('🎓 Alumnas'!$G$2:$G$1000,MATCH($W224,'🎓 Alumnas'!$A$2:$A$1000,0))),""))</f>
        <v/>
      </c>
      <c r="J224" s="28" t="str">
        <f aca="true">IF(I224="","",DATEDIF(I224,TODAY(),"Y"))</f>
        <v/>
      </c>
      <c r="K224" s="25"/>
      <c r="L224" s="28" t="str">
        <f aca="false">IF(K224="","",IF(LEFT(K224,6)="1 Pole","Alquiler",IF(LEFT(K224,7)="1 Clase","Clase suelta","Paquete")))</f>
        <v/>
      </c>
      <c r="M224" s="25"/>
      <c r="N224" s="25"/>
      <c r="O224" s="35"/>
      <c r="P224" s="29" t="str">
        <f aca="false">IF(O224="","",N224*O224)</f>
        <v/>
      </c>
      <c r="Q224" s="36"/>
      <c r="R224" s="25"/>
      <c r="S224" s="25"/>
      <c r="T224" s="28" t="str">
        <f aca="false">IF(OR(LEFT(W224,2)&lt;&gt;"A-",ISERROR(MATCH(W224,'🎓 Alumnas'!$A$2:$A$1000,0))),"",IF(COUNTIF($W$2:W224,W224)=1,"Nueva","Recurrente"))</f>
        <v/>
      </c>
      <c r="U224" s="28" t="str">
        <f aca="false">IF(OR(T224="",L224&lt;&gt;"Paquete"),"",COUNTIFS($W$2:W224,W224,$L$2:L224,"Paquete"))</f>
        <v/>
      </c>
      <c r="V224" s="25"/>
      <c r="W224" s="34" t="str">
        <f aca="false">IF(TRIM($C224)="","",IF(COUNTIF('🎓 Alumnas'!$P$2:$P$1000,TRIM($C224))&gt;0,INDEX('🎓 Alumnas'!$A$2:$A$1000,MATCH(TRIM($C224),'🎓 Alumnas'!$P$2:$P$1000,0)),IF(COUNTIF('🎓 Alumnas'!$O$2:$O$1000,TRIM($C224)&amp;"|*")=1,INDEX('🎓 Alumnas'!$A$2:$A$1000,MATCH(TRIM($C224)&amp;"|*",'🎓 Alumnas'!$O$2:$O$1000,0)),IF(COUNTIF('🎓 Alumnas'!$O$2:$O$1000,"*|"&amp;TRIM($C224))=1,INDEX('🎓 Alumnas'!$A$2:$A$1000,MATCH("*|"&amp;TRIM($C224),'🎓 Alumnas'!$O$2:$O$1000,0)),IF(COUNTIF('🎓 Alumnas'!$Q$2:$Q$1000,TRIM($C224))=1,INDEX('🎓 Alumnas'!$A$2:$A$1000,MATCH(TRIM($C224),'🎓 Alumnas'!$Q$2:$Q$1000,0)),IF(COUNTIF('🎓 Alumnas'!$P$2:$P$1000,"*"&amp;TRIM($C224)&amp;"*")=1,INDEX('🎓 Alumnas'!$A$2:$A$1000,MATCH("*"&amp;TRIM($C224)&amp;"*",'🎓 Alumnas'!$P$2:$P$1000,0)),IF(COUNTIF('🎓 Alumnas'!$Q$2:$Q$1000,"*"&amp;TRIM($C224)&amp;"*")=1,INDEX('🎓 Alumnas'!$A$2:$A$1000,MATCH("*"&amp;TRIM($C224)&amp;"*",'🎓 Alumnas'!$Q$2:$Q$1000,0)),IF(COUNTIF('🎓 Alumnas'!$P$2:$P$1000,"*"&amp;TRIM($C224)&amp;"*")+COUNTIF('🎓 Alumnas'!$Q$2:$Q$1000,"*"&amp;TRIM($C224)&amp;"*")&gt;1,"Varias: elige de la lista","No encontrada"))))))))</f>
        <v/>
      </c>
    </row>
    <row r="225" customFormat="false" ht="14.25" hidden="false" customHeight="true" outlineLevel="0" collapsed="false">
      <c r="A225" s="25" t="s">
        <v>770</v>
      </c>
      <c r="B225" s="27"/>
      <c r="C225" s="25"/>
      <c r="D225" s="34" t="str">
        <f aca="false">IF($W225="","",IFERROR(TRIM(INDEX('🎓 Alumnas'!$B$2:$B$1000,MATCH($W225,'🎓 Alumnas'!$A$2:$A$1000,0))),""))</f>
        <v/>
      </c>
      <c r="E225" s="34" t="str">
        <f aca="false">IF($W225="","",IFERROR(TRIM(INDEX('🎓 Alumnas'!$C$2:$C$1000,MATCH($W225,'🎓 Alumnas'!$A$2:$A$1000,0))),""))</f>
        <v/>
      </c>
      <c r="F225" s="34" t="str">
        <f aca="false">IF($W225="","",IFERROR(IF(INDEX('🎓 Alumnas'!$D$2:$D$1000,MATCH($W225,'🎓 Alumnas'!$A$2:$A$1000,0))="","",INDEX('🎓 Alumnas'!$D$2:$D$1000,MATCH($W225,'🎓 Alumnas'!$A$2:$A$1000,0))),""))</f>
        <v/>
      </c>
      <c r="G225" s="28" t="str">
        <f aca="false">IF($W225="","",IFERROR(IF(INDEX('🎓 Alumnas'!$E$2:$E$1000,MATCH($W225,'🎓 Alumnas'!$A$2:$A$1000,0))="","",INDEX('🎓 Alumnas'!$E$2:$E$1000,MATCH($W225,'🎓 Alumnas'!$A$2:$A$1000,0))),""))</f>
        <v/>
      </c>
      <c r="H225" s="28" t="str">
        <f aca="false">IF($W225="","",IFERROR(IF(INDEX('🎓 Alumnas'!$F$2:$F$1000,MATCH($W225,'🎓 Alumnas'!$A$2:$A$1000,0))="","",INDEX('🎓 Alumnas'!$F$2:$F$1000,MATCH($W225,'🎓 Alumnas'!$A$2:$A$1000,0))),""))</f>
        <v/>
      </c>
      <c r="I225" s="30" t="str">
        <f aca="false">IF($W225="","",IFERROR(IF(INDEX('🎓 Alumnas'!$G$2:$G$1000,MATCH($W225,'🎓 Alumnas'!$A$2:$A$1000,0))="","",INDEX('🎓 Alumnas'!$G$2:$G$1000,MATCH($W225,'🎓 Alumnas'!$A$2:$A$1000,0))),""))</f>
        <v/>
      </c>
      <c r="J225" s="28" t="str">
        <f aca="true">IF(I225="","",DATEDIF(I225,TODAY(),"Y"))</f>
        <v/>
      </c>
      <c r="K225" s="25"/>
      <c r="L225" s="28" t="str">
        <f aca="false">IF(K225="","",IF(LEFT(K225,6)="1 Pole","Alquiler",IF(LEFT(K225,7)="1 Clase","Clase suelta","Paquete")))</f>
        <v/>
      </c>
      <c r="M225" s="25"/>
      <c r="N225" s="25"/>
      <c r="O225" s="35"/>
      <c r="P225" s="29" t="str">
        <f aca="false">IF(O225="","",N225*O225)</f>
        <v/>
      </c>
      <c r="Q225" s="36"/>
      <c r="R225" s="25"/>
      <c r="S225" s="25"/>
      <c r="T225" s="28" t="str">
        <f aca="false">IF(OR(LEFT(W225,2)&lt;&gt;"A-",ISERROR(MATCH(W225,'🎓 Alumnas'!$A$2:$A$1000,0))),"",IF(COUNTIF($W$2:W225,W225)=1,"Nueva","Recurrente"))</f>
        <v/>
      </c>
      <c r="U225" s="28" t="str">
        <f aca="false">IF(OR(T225="",L225&lt;&gt;"Paquete"),"",COUNTIFS($W$2:W225,W225,$L$2:L225,"Paquete"))</f>
        <v/>
      </c>
      <c r="V225" s="25"/>
      <c r="W225" s="34" t="str">
        <f aca="false">IF(TRIM($C225)="","",IF(COUNTIF('🎓 Alumnas'!$P$2:$P$1000,TRIM($C225))&gt;0,INDEX('🎓 Alumnas'!$A$2:$A$1000,MATCH(TRIM($C225),'🎓 Alumnas'!$P$2:$P$1000,0)),IF(COUNTIF('🎓 Alumnas'!$O$2:$O$1000,TRIM($C225)&amp;"|*")=1,INDEX('🎓 Alumnas'!$A$2:$A$1000,MATCH(TRIM($C225)&amp;"|*",'🎓 Alumnas'!$O$2:$O$1000,0)),IF(COUNTIF('🎓 Alumnas'!$O$2:$O$1000,"*|"&amp;TRIM($C225))=1,INDEX('🎓 Alumnas'!$A$2:$A$1000,MATCH("*|"&amp;TRIM($C225),'🎓 Alumnas'!$O$2:$O$1000,0)),IF(COUNTIF('🎓 Alumnas'!$Q$2:$Q$1000,TRIM($C225))=1,INDEX('🎓 Alumnas'!$A$2:$A$1000,MATCH(TRIM($C225),'🎓 Alumnas'!$Q$2:$Q$1000,0)),IF(COUNTIF('🎓 Alumnas'!$P$2:$P$1000,"*"&amp;TRIM($C225)&amp;"*")=1,INDEX('🎓 Alumnas'!$A$2:$A$1000,MATCH("*"&amp;TRIM($C225)&amp;"*",'🎓 Alumnas'!$P$2:$P$1000,0)),IF(COUNTIF('🎓 Alumnas'!$Q$2:$Q$1000,"*"&amp;TRIM($C225)&amp;"*")=1,INDEX('🎓 Alumnas'!$A$2:$A$1000,MATCH("*"&amp;TRIM($C225)&amp;"*",'🎓 Alumnas'!$Q$2:$Q$1000,0)),IF(COUNTIF('🎓 Alumnas'!$P$2:$P$1000,"*"&amp;TRIM($C225)&amp;"*")+COUNTIF('🎓 Alumnas'!$Q$2:$Q$1000,"*"&amp;TRIM($C225)&amp;"*")&gt;1,"Varias: elige de la lista","No encontrada"))))))))</f>
        <v/>
      </c>
    </row>
    <row r="226" customFormat="false" ht="14.25" hidden="false" customHeight="true" outlineLevel="0" collapsed="false">
      <c r="A226" s="25" t="s">
        <v>771</v>
      </c>
      <c r="B226" s="27"/>
      <c r="C226" s="25"/>
      <c r="D226" s="34" t="str">
        <f aca="false">IF($W226="","",IFERROR(TRIM(INDEX('🎓 Alumnas'!$B$2:$B$1000,MATCH($W226,'🎓 Alumnas'!$A$2:$A$1000,0))),""))</f>
        <v/>
      </c>
      <c r="E226" s="34" t="str">
        <f aca="false">IF($W226="","",IFERROR(TRIM(INDEX('🎓 Alumnas'!$C$2:$C$1000,MATCH($W226,'🎓 Alumnas'!$A$2:$A$1000,0))),""))</f>
        <v/>
      </c>
      <c r="F226" s="34" t="str">
        <f aca="false">IF($W226="","",IFERROR(IF(INDEX('🎓 Alumnas'!$D$2:$D$1000,MATCH($W226,'🎓 Alumnas'!$A$2:$A$1000,0))="","",INDEX('🎓 Alumnas'!$D$2:$D$1000,MATCH($W226,'🎓 Alumnas'!$A$2:$A$1000,0))),""))</f>
        <v/>
      </c>
      <c r="G226" s="28" t="str">
        <f aca="false">IF($W226="","",IFERROR(IF(INDEX('🎓 Alumnas'!$E$2:$E$1000,MATCH($W226,'🎓 Alumnas'!$A$2:$A$1000,0))="","",INDEX('🎓 Alumnas'!$E$2:$E$1000,MATCH($W226,'🎓 Alumnas'!$A$2:$A$1000,0))),""))</f>
        <v/>
      </c>
      <c r="H226" s="28" t="str">
        <f aca="false">IF($W226="","",IFERROR(IF(INDEX('🎓 Alumnas'!$F$2:$F$1000,MATCH($W226,'🎓 Alumnas'!$A$2:$A$1000,0))="","",INDEX('🎓 Alumnas'!$F$2:$F$1000,MATCH($W226,'🎓 Alumnas'!$A$2:$A$1000,0))),""))</f>
        <v/>
      </c>
      <c r="I226" s="30" t="str">
        <f aca="false">IF($W226="","",IFERROR(IF(INDEX('🎓 Alumnas'!$G$2:$G$1000,MATCH($W226,'🎓 Alumnas'!$A$2:$A$1000,0))="","",INDEX('🎓 Alumnas'!$G$2:$G$1000,MATCH($W226,'🎓 Alumnas'!$A$2:$A$1000,0))),""))</f>
        <v/>
      </c>
      <c r="J226" s="28" t="str">
        <f aca="true">IF(I226="","",DATEDIF(I226,TODAY(),"Y"))</f>
        <v/>
      </c>
      <c r="K226" s="25"/>
      <c r="L226" s="28" t="str">
        <f aca="false">IF(K226="","",IF(LEFT(K226,6)="1 Pole","Alquiler",IF(LEFT(K226,7)="1 Clase","Clase suelta","Paquete")))</f>
        <v/>
      </c>
      <c r="M226" s="25"/>
      <c r="N226" s="25"/>
      <c r="O226" s="35"/>
      <c r="P226" s="29" t="str">
        <f aca="false">IF(O226="","",N226*O226)</f>
        <v/>
      </c>
      <c r="Q226" s="36"/>
      <c r="R226" s="25"/>
      <c r="S226" s="25"/>
      <c r="T226" s="28" t="str">
        <f aca="false">IF(OR(LEFT(W226,2)&lt;&gt;"A-",ISERROR(MATCH(W226,'🎓 Alumnas'!$A$2:$A$1000,0))),"",IF(COUNTIF($W$2:W226,W226)=1,"Nueva","Recurrente"))</f>
        <v/>
      </c>
      <c r="U226" s="28" t="str">
        <f aca="false">IF(OR(T226="",L226&lt;&gt;"Paquete"),"",COUNTIFS($W$2:W226,W226,$L$2:L226,"Paquete"))</f>
        <v/>
      </c>
      <c r="V226" s="25"/>
      <c r="W226" s="34" t="str">
        <f aca="false">IF(TRIM($C226)="","",IF(COUNTIF('🎓 Alumnas'!$P$2:$P$1000,TRIM($C226))&gt;0,INDEX('🎓 Alumnas'!$A$2:$A$1000,MATCH(TRIM($C226),'🎓 Alumnas'!$P$2:$P$1000,0)),IF(COUNTIF('🎓 Alumnas'!$O$2:$O$1000,TRIM($C226)&amp;"|*")=1,INDEX('🎓 Alumnas'!$A$2:$A$1000,MATCH(TRIM($C226)&amp;"|*",'🎓 Alumnas'!$O$2:$O$1000,0)),IF(COUNTIF('🎓 Alumnas'!$O$2:$O$1000,"*|"&amp;TRIM($C226))=1,INDEX('🎓 Alumnas'!$A$2:$A$1000,MATCH("*|"&amp;TRIM($C226),'🎓 Alumnas'!$O$2:$O$1000,0)),IF(COUNTIF('🎓 Alumnas'!$Q$2:$Q$1000,TRIM($C226))=1,INDEX('🎓 Alumnas'!$A$2:$A$1000,MATCH(TRIM($C226),'🎓 Alumnas'!$Q$2:$Q$1000,0)),IF(COUNTIF('🎓 Alumnas'!$P$2:$P$1000,"*"&amp;TRIM($C226)&amp;"*")=1,INDEX('🎓 Alumnas'!$A$2:$A$1000,MATCH("*"&amp;TRIM($C226)&amp;"*",'🎓 Alumnas'!$P$2:$P$1000,0)),IF(COUNTIF('🎓 Alumnas'!$Q$2:$Q$1000,"*"&amp;TRIM($C226)&amp;"*")=1,INDEX('🎓 Alumnas'!$A$2:$A$1000,MATCH("*"&amp;TRIM($C226)&amp;"*",'🎓 Alumnas'!$Q$2:$Q$1000,0)),IF(COUNTIF('🎓 Alumnas'!$P$2:$P$1000,"*"&amp;TRIM($C226)&amp;"*")+COUNTIF('🎓 Alumnas'!$Q$2:$Q$1000,"*"&amp;TRIM($C226)&amp;"*")&gt;1,"Varias: elige de la lista","No encontrada"))))))))</f>
        <v/>
      </c>
    </row>
    <row r="227" customFormat="false" ht="14.25" hidden="false" customHeight="true" outlineLevel="0" collapsed="false">
      <c r="A227" s="25" t="s">
        <v>772</v>
      </c>
      <c r="B227" s="27"/>
      <c r="C227" s="25"/>
      <c r="D227" s="34" t="str">
        <f aca="false">IF($W227="","",IFERROR(TRIM(INDEX('🎓 Alumnas'!$B$2:$B$1000,MATCH($W227,'🎓 Alumnas'!$A$2:$A$1000,0))),""))</f>
        <v/>
      </c>
      <c r="E227" s="34" t="str">
        <f aca="false">IF($W227="","",IFERROR(TRIM(INDEX('🎓 Alumnas'!$C$2:$C$1000,MATCH($W227,'🎓 Alumnas'!$A$2:$A$1000,0))),""))</f>
        <v/>
      </c>
      <c r="F227" s="34" t="str">
        <f aca="false">IF($W227="","",IFERROR(IF(INDEX('🎓 Alumnas'!$D$2:$D$1000,MATCH($W227,'🎓 Alumnas'!$A$2:$A$1000,0))="","",INDEX('🎓 Alumnas'!$D$2:$D$1000,MATCH($W227,'🎓 Alumnas'!$A$2:$A$1000,0))),""))</f>
        <v/>
      </c>
      <c r="G227" s="28" t="str">
        <f aca="false">IF($W227="","",IFERROR(IF(INDEX('🎓 Alumnas'!$E$2:$E$1000,MATCH($W227,'🎓 Alumnas'!$A$2:$A$1000,0))="","",INDEX('🎓 Alumnas'!$E$2:$E$1000,MATCH($W227,'🎓 Alumnas'!$A$2:$A$1000,0))),""))</f>
        <v/>
      </c>
      <c r="H227" s="28" t="str">
        <f aca="false">IF($W227="","",IFERROR(IF(INDEX('🎓 Alumnas'!$F$2:$F$1000,MATCH($W227,'🎓 Alumnas'!$A$2:$A$1000,0))="","",INDEX('🎓 Alumnas'!$F$2:$F$1000,MATCH($W227,'🎓 Alumnas'!$A$2:$A$1000,0))),""))</f>
        <v/>
      </c>
      <c r="I227" s="30" t="str">
        <f aca="false">IF($W227="","",IFERROR(IF(INDEX('🎓 Alumnas'!$G$2:$G$1000,MATCH($W227,'🎓 Alumnas'!$A$2:$A$1000,0))="","",INDEX('🎓 Alumnas'!$G$2:$G$1000,MATCH($W227,'🎓 Alumnas'!$A$2:$A$1000,0))),""))</f>
        <v/>
      </c>
      <c r="J227" s="28" t="str">
        <f aca="true">IF(I227="","",DATEDIF(I227,TODAY(),"Y"))</f>
        <v/>
      </c>
      <c r="K227" s="25"/>
      <c r="L227" s="28" t="str">
        <f aca="false">IF(K227="","",IF(LEFT(K227,6)="1 Pole","Alquiler",IF(LEFT(K227,7)="1 Clase","Clase suelta","Paquete")))</f>
        <v/>
      </c>
      <c r="M227" s="25"/>
      <c r="N227" s="25"/>
      <c r="O227" s="35"/>
      <c r="P227" s="29" t="str">
        <f aca="false">IF(O227="","",N227*O227)</f>
        <v/>
      </c>
      <c r="Q227" s="36"/>
      <c r="R227" s="25"/>
      <c r="S227" s="25"/>
      <c r="T227" s="28" t="str">
        <f aca="false">IF(OR(LEFT(W227,2)&lt;&gt;"A-",ISERROR(MATCH(W227,'🎓 Alumnas'!$A$2:$A$1000,0))),"",IF(COUNTIF($W$2:W227,W227)=1,"Nueva","Recurrente"))</f>
        <v/>
      </c>
      <c r="U227" s="28" t="str">
        <f aca="false">IF(OR(T227="",L227&lt;&gt;"Paquete"),"",COUNTIFS($W$2:W227,W227,$L$2:L227,"Paquete"))</f>
        <v/>
      </c>
      <c r="V227" s="25"/>
      <c r="W227" s="34" t="str">
        <f aca="false">IF(TRIM($C227)="","",IF(COUNTIF('🎓 Alumnas'!$P$2:$P$1000,TRIM($C227))&gt;0,INDEX('🎓 Alumnas'!$A$2:$A$1000,MATCH(TRIM($C227),'🎓 Alumnas'!$P$2:$P$1000,0)),IF(COUNTIF('🎓 Alumnas'!$O$2:$O$1000,TRIM($C227)&amp;"|*")=1,INDEX('🎓 Alumnas'!$A$2:$A$1000,MATCH(TRIM($C227)&amp;"|*",'🎓 Alumnas'!$O$2:$O$1000,0)),IF(COUNTIF('🎓 Alumnas'!$O$2:$O$1000,"*|"&amp;TRIM($C227))=1,INDEX('🎓 Alumnas'!$A$2:$A$1000,MATCH("*|"&amp;TRIM($C227),'🎓 Alumnas'!$O$2:$O$1000,0)),IF(COUNTIF('🎓 Alumnas'!$Q$2:$Q$1000,TRIM($C227))=1,INDEX('🎓 Alumnas'!$A$2:$A$1000,MATCH(TRIM($C227),'🎓 Alumnas'!$Q$2:$Q$1000,0)),IF(COUNTIF('🎓 Alumnas'!$P$2:$P$1000,"*"&amp;TRIM($C227)&amp;"*")=1,INDEX('🎓 Alumnas'!$A$2:$A$1000,MATCH("*"&amp;TRIM($C227)&amp;"*",'🎓 Alumnas'!$P$2:$P$1000,0)),IF(COUNTIF('🎓 Alumnas'!$Q$2:$Q$1000,"*"&amp;TRIM($C227)&amp;"*")=1,INDEX('🎓 Alumnas'!$A$2:$A$1000,MATCH("*"&amp;TRIM($C227)&amp;"*",'🎓 Alumnas'!$Q$2:$Q$1000,0)),IF(COUNTIF('🎓 Alumnas'!$P$2:$P$1000,"*"&amp;TRIM($C227)&amp;"*")+COUNTIF('🎓 Alumnas'!$Q$2:$Q$1000,"*"&amp;TRIM($C227)&amp;"*")&gt;1,"Varias: elige de la lista","No encontrada"))))))))</f>
        <v/>
      </c>
    </row>
    <row r="228" customFormat="false" ht="14.25" hidden="false" customHeight="true" outlineLevel="0" collapsed="false">
      <c r="A228" s="25" t="s">
        <v>773</v>
      </c>
      <c r="B228" s="27"/>
      <c r="C228" s="25"/>
      <c r="D228" s="34" t="str">
        <f aca="false">IF($W228="","",IFERROR(TRIM(INDEX('🎓 Alumnas'!$B$2:$B$1000,MATCH($W228,'🎓 Alumnas'!$A$2:$A$1000,0))),""))</f>
        <v/>
      </c>
      <c r="E228" s="34" t="str">
        <f aca="false">IF($W228="","",IFERROR(TRIM(INDEX('🎓 Alumnas'!$C$2:$C$1000,MATCH($W228,'🎓 Alumnas'!$A$2:$A$1000,0))),""))</f>
        <v/>
      </c>
      <c r="F228" s="34" t="str">
        <f aca="false">IF($W228="","",IFERROR(IF(INDEX('🎓 Alumnas'!$D$2:$D$1000,MATCH($W228,'🎓 Alumnas'!$A$2:$A$1000,0))="","",INDEX('🎓 Alumnas'!$D$2:$D$1000,MATCH($W228,'🎓 Alumnas'!$A$2:$A$1000,0))),""))</f>
        <v/>
      </c>
      <c r="G228" s="28" t="str">
        <f aca="false">IF($W228="","",IFERROR(IF(INDEX('🎓 Alumnas'!$E$2:$E$1000,MATCH($W228,'🎓 Alumnas'!$A$2:$A$1000,0))="","",INDEX('🎓 Alumnas'!$E$2:$E$1000,MATCH($W228,'🎓 Alumnas'!$A$2:$A$1000,0))),""))</f>
        <v/>
      </c>
      <c r="H228" s="28" t="str">
        <f aca="false">IF($W228="","",IFERROR(IF(INDEX('🎓 Alumnas'!$F$2:$F$1000,MATCH($W228,'🎓 Alumnas'!$A$2:$A$1000,0))="","",INDEX('🎓 Alumnas'!$F$2:$F$1000,MATCH($W228,'🎓 Alumnas'!$A$2:$A$1000,0))),""))</f>
        <v/>
      </c>
      <c r="I228" s="30" t="str">
        <f aca="false">IF($W228="","",IFERROR(IF(INDEX('🎓 Alumnas'!$G$2:$G$1000,MATCH($W228,'🎓 Alumnas'!$A$2:$A$1000,0))="","",INDEX('🎓 Alumnas'!$G$2:$G$1000,MATCH($W228,'🎓 Alumnas'!$A$2:$A$1000,0))),""))</f>
        <v/>
      </c>
      <c r="J228" s="28" t="str">
        <f aca="true">IF(I228="","",DATEDIF(I228,TODAY(),"Y"))</f>
        <v/>
      </c>
      <c r="K228" s="25"/>
      <c r="L228" s="28" t="str">
        <f aca="false">IF(K228="","",IF(LEFT(K228,6)="1 Pole","Alquiler",IF(LEFT(K228,7)="1 Clase","Clase suelta","Paquete")))</f>
        <v/>
      </c>
      <c r="M228" s="25"/>
      <c r="N228" s="25"/>
      <c r="O228" s="35"/>
      <c r="P228" s="29" t="str">
        <f aca="false">IF(O228="","",N228*O228)</f>
        <v/>
      </c>
      <c r="Q228" s="36"/>
      <c r="R228" s="25"/>
      <c r="S228" s="25"/>
      <c r="T228" s="28" t="str">
        <f aca="false">IF(OR(LEFT(W228,2)&lt;&gt;"A-",ISERROR(MATCH(W228,'🎓 Alumnas'!$A$2:$A$1000,0))),"",IF(COUNTIF($W$2:W228,W228)=1,"Nueva","Recurrente"))</f>
        <v/>
      </c>
      <c r="U228" s="28" t="str">
        <f aca="false">IF(OR(T228="",L228&lt;&gt;"Paquete"),"",COUNTIFS($W$2:W228,W228,$L$2:L228,"Paquete"))</f>
        <v/>
      </c>
      <c r="V228" s="25"/>
      <c r="W228" s="34" t="str">
        <f aca="false">IF(TRIM($C228)="","",IF(COUNTIF('🎓 Alumnas'!$P$2:$P$1000,TRIM($C228))&gt;0,INDEX('🎓 Alumnas'!$A$2:$A$1000,MATCH(TRIM($C228),'🎓 Alumnas'!$P$2:$P$1000,0)),IF(COUNTIF('🎓 Alumnas'!$O$2:$O$1000,TRIM($C228)&amp;"|*")=1,INDEX('🎓 Alumnas'!$A$2:$A$1000,MATCH(TRIM($C228)&amp;"|*",'🎓 Alumnas'!$O$2:$O$1000,0)),IF(COUNTIF('🎓 Alumnas'!$O$2:$O$1000,"*|"&amp;TRIM($C228))=1,INDEX('🎓 Alumnas'!$A$2:$A$1000,MATCH("*|"&amp;TRIM($C228),'🎓 Alumnas'!$O$2:$O$1000,0)),IF(COUNTIF('🎓 Alumnas'!$Q$2:$Q$1000,TRIM($C228))=1,INDEX('🎓 Alumnas'!$A$2:$A$1000,MATCH(TRIM($C228),'🎓 Alumnas'!$Q$2:$Q$1000,0)),IF(COUNTIF('🎓 Alumnas'!$P$2:$P$1000,"*"&amp;TRIM($C228)&amp;"*")=1,INDEX('🎓 Alumnas'!$A$2:$A$1000,MATCH("*"&amp;TRIM($C228)&amp;"*",'🎓 Alumnas'!$P$2:$P$1000,0)),IF(COUNTIF('🎓 Alumnas'!$Q$2:$Q$1000,"*"&amp;TRIM($C228)&amp;"*")=1,INDEX('🎓 Alumnas'!$A$2:$A$1000,MATCH("*"&amp;TRIM($C228)&amp;"*",'🎓 Alumnas'!$Q$2:$Q$1000,0)),IF(COUNTIF('🎓 Alumnas'!$P$2:$P$1000,"*"&amp;TRIM($C228)&amp;"*")+COUNTIF('🎓 Alumnas'!$Q$2:$Q$1000,"*"&amp;TRIM($C228)&amp;"*")&gt;1,"Varias: elige de la lista","No encontrada"))))))))</f>
        <v/>
      </c>
    </row>
    <row r="229" customFormat="false" ht="14.25" hidden="false" customHeight="true" outlineLevel="0" collapsed="false">
      <c r="A229" s="25" t="s">
        <v>774</v>
      </c>
      <c r="B229" s="27"/>
      <c r="C229" s="25"/>
      <c r="D229" s="34" t="str">
        <f aca="false">IF($W229="","",IFERROR(TRIM(INDEX('🎓 Alumnas'!$B$2:$B$1000,MATCH($W229,'🎓 Alumnas'!$A$2:$A$1000,0))),""))</f>
        <v/>
      </c>
      <c r="E229" s="34" t="str">
        <f aca="false">IF($W229="","",IFERROR(TRIM(INDEX('🎓 Alumnas'!$C$2:$C$1000,MATCH($W229,'🎓 Alumnas'!$A$2:$A$1000,0))),""))</f>
        <v/>
      </c>
      <c r="F229" s="34" t="str">
        <f aca="false">IF($W229="","",IFERROR(IF(INDEX('🎓 Alumnas'!$D$2:$D$1000,MATCH($W229,'🎓 Alumnas'!$A$2:$A$1000,0))="","",INDEX('🎓 Alumnas'!$D$2:$D$1000,MATCH($W229,'🎓 Alumnas'!$A$2:$A$1000,0))),""))</f>
        <v/>
      </c>
      <c r="G229" s="28" t="str">
        <f aca="false">IF($W229="","",IFERROR(IF(INDEX('🎓 Alumnas'!$E$2:$E$1000,MATCH($W229,'🎓 Alumnas'!$A$2:$A$1000,0))="","",INDEX('🎓 Alumnas'!$E$2:$E$1000,MATCH($W229,'🎓 Alumnas'!$A$2:$A$1000,0))),""))</f>
        <v/>
      </c>
      <c r="H229" s="28" t="str">
        <f aca="false">IF($W229="","",IFERROR(IF(INDEX('🎓 Alumnas'!$F$2:$F$1000,MATCH($W229,'🎓 Alumnas'!$A$2:$A$1000,0))="","",INDEX('🎓 Alumnas'!$F$2:$F$1000,MATCH($W229,'🎓 Alumnas'!$A$2:$A$1000,0))),""))</f>
        <v/>
      </c>
      <c r="I229" s="30" t="str">
        <f aca="false">IF($W229="","",IFERROR(IF(INDEX('🎓 Alumnas'!$G$2:$G$1000,MATCH($W229,'🎓 Alumnas'!$A$2:$A$1000,0))="","",INDEX('🎓 Alumnas'!$G$2:$G$1000,MATCH($W229,'🎓 Alumnas'!$A$2:$A$1000,0))),""))</f>
        <v/>
      </c>
      <c r="J229" s="28" t="str">
        <f aca="true">IF(I229="","",DATEDIF(I229,TODAY(),"Y"))</f>
        <v/>
      </c>
      <c r="K229" s="25"/>
      <c r="L229" s="28" t="str">
        <f aca="false">IF(K229="","",IF(LEFT(K229,6)="1 Pole","Alquiler",IF(LEFT(K229,7)="1 Clase","Clase suelta","Paquete")))</f>
        <v/>
      </c>
      <c r="M229" s="25"/>
      <c r="N229" s="25"/>
      <c r="O229" s="35"/>
      <c r="P229" s="29" t="str">
        <f aca="false">IF(O229="","",N229*O229)</f>
        <v/>
      </c>
      <c r="Q229" s="36"/>
      <c r="R229" s="25"/>
      <c r="S229" s="25"/>
      <c r="T229" s="28" t="str">
        <f aca="false">IF(OR(LEFT(W229,2)&lt;&gt;"A-",ISERROR(MATCH(W229,'🎓 Alumnas'!$A$2:$A$1000,0))),"",IF(COUNTIF($W$2:W229,W229)=1,"Nueva","Recurrente"))</f>
        <v/>
      </c>
      <c r="U229" s="28" t="str">
        <f aca="false">IF(OR(T229="",L229&lt;&gt;"Paquete"),"",COUNTIFS($W$2:W229,W229,$L$2:L229,"Paquete"))</f>
        <v/>
      </c>
      <c r="V229" s="25"/>
      <c r="W229" s="34" t="str">
        <f aca="false">IF(TRIM($C229)="","",IF(COUNTIF('🎓 Alumnas'!$P$2:$P$1000,TRIM($C229))&gt;0,INDEX('🎓 Alumnas'!$A$2:$A$1000,MATCH(TRIM($C229),'🎓 Alumnas'!$P$2:$P$1000,0)),IF(COUNTIF('🎓 Alumnas'!$O$2:$O$1000,TRIM($C229)&amp;"|*")=1,INDEX('🎓 Alumnas'!$A$2:$A$1000,MATCH(TRIM($C229)&amp;"|*",'🎓 Alumnas'!$O$2:$O$1000,0)),IF(COUNTIF('🎓 Alumnas'!$O$2:$O$1000,"*|"&amp;TRIM($C229))=1,INDEX('🎓 Alumnas'!$A$2:$A$1000,MATCH("*|"&amp;TRIM($C229),'🎓 Alumnas'!$O$2:$O$1000,0)),IF(COUNTIF('🎓 Alumnas'!$Q$2:$Q$1000,TRIM($C229))=1,INDEX('🎓 Alumnas'!$A$2:$A$1000,MATCH(TRIM($C229),'🎓 Alumnas'!$Q$2:$Q$1000,0)),IF(COUNTIF('🎓 Alumnas'!$P$2:$P$1000,"*"&amp;TRIM($C229)&amp;"*")=1,INDEX('🎓 Alumnas'!$A$2:$A$1000,MATCH("*"&amp;TRIM($C229)&amp;"*",'🎓 Alumnas'!$P$2:$P$1000,0)),IF(COUNTIF('🎓 Alumnas'!$Q$2:$Q$1000,"*"&amp;TRIM($C229)&amp;"*")=1,INDEX('🎓 Alumnas'!$A$2:$A$1000,MATCH("*"&amp;TRIM($C229)&amp;"*",'🎓 Alumnas'!$Q$2:$Q$1000,0)),IF(COUNTIF('🎓 Alumnas'!$P$2:$P$1000,"*"&amp;TRIM($C229)&amp;"*")+COUNTIF('🎓 Alumnas'!$Q$2:$Q$1000,"*"&amp;TRIM($C229)&amp;"*")&gt;1,"Varias: elige de la lista","No encontrada"))))))))</f>
        <v/>
      </c>
    </row>
    <row r="230" customFormat="false" ht="14.25" hidden="false" customHeight="true" outlineLevel="0" collapsed="false">
      <c r="A230" s="25" t="s">
        <v>775</v>
      </c>
      <c r="B230" s="27"/>
      <c r="C230" s="25"/>
      <c r="D230" s="34" t="str">
        <f aca="false">IF($W230="","",IFERROR(TRIM(INDEX('🎓 Alumnas'!$B$2:$B$1000,MATCH($W230,'🎓 Alumnas'!$A$2:$A$1000,0))),""))</f>
        <v/>
      </c>
      <c r="E230" s="34" t="str">
        <f aca="false">IF($W230="","",IFERROR(TRIM(INDEX('🎓 Alumnas'!$C$2:$C$1000,MATCH($W230,'🎓 Alumnas'!$A$2:$A$1000,0))),""))</f>
        <v/>
      </c>
      <c r="F230" s="34" t="str">
        <f aca="false">IF($W230="","",IFERROR(IF(INDEX('🎓 Alumnas'!$D$2:$D$1000,MATCH($W230,'🎓 Alumnas'!$A$2:$A$1000,0))="","",INDEX('🎓 Alumnas'!$D$2:$D$1000,MATCH($W230,'🎓 Alumnas'!$A$2:$A$1000,0))),""))</f>
        <v/>
      </c>
      <c r="G230" s="28" t="str">
        <f aca="false">IF($W230="","",IFERROR(IF(INDEX('🎓 Alumnas'!$E$2:$E$1000,MATCH($W230,'🎓 Alumnas'!$A$2:$A$1000,0))="","",INDEX('🎓 Alumnas'!$E$2:$E$1000,MATCH($W230,'🎓 Alumnas'!$A$2:$A$1000,0))),""))</f>
        <v/>
      </c>
      <c r="H230" s="28" t="str">
        <f aca="false">IF($W230="","",IFERROR(IF(INDEX('🎓 Alumnas'!$F$2:$F$1000,MATCH($W230,'🎓 Alumnas'!$A$2:$A$1000,0))="","",INDEX('🎓 Alumnas'!$F$2:$F$1000,MATCH($W230,'🎓 Alumnas'!$A$2:$A$1000,0))),""))</f>
        <v/>
      </c>
      <c r="I230" s="30" t="str">
        <f aca="false">IF($W230="","",IFERROR(IF(INDEX('🎓 Alumnas'!$G$2:$G$1000,MATCH($W230,'🎓 Alumnas'!$A$2:$A$1000,0))="","",INDEX('🎓 Alumnas'!$G$2:$G$1000,MATCH($W230,'🎓 Alumnas'!$A$2:$A$1000,0))),""))</f>
        <v/>
      </c>
      <c r="J230" s="28" t="str">
        <f aca="true">IF(I230="","",DATEDIF(I230,TODAY(),"Y"))</f>
        <v/>
      </c>
      <c r="K230" s="25"/>
      <c r="L230" s="28" t="str">
        <f aca="false">IF(K230="","",IF(LEFT(K230,6)="1 Pole","Alquiler",IF(LEFT(K230,7)="1 Clase","Clase suelta","Paquete")))</f>
        <v/>
      </c>
      <c r="M230" s="25"/>
      <c r="N230" s="25"/>
      <c r="O230" s="35"/>
      <c r="P230" s="29" t="str">
        <f aca="false">IF(O230="","",N230*O230)</f>
        <v/>
      </c>
      <c r="Q230" s="36"/>
      <c r="R230" s="25"/>
      <c r="S230" s="25"/>
      <c r="T230" s="28" t="str">
        <f aca="false">IF(OR(LEFT(W230,2)&lt;&gt;"A-",ISERROR(MATCH(W230,'🎓 Alumnas'!$A$2:$A$1000,0))),"",IF(COUNTIF($W$2:W230,W230)=1,"Nueva","Recurrente"))</f>
        <v/>
      </c>
      <c r="U230" s="28" t="str">
        <f aca="false">IF(OR(T230="",L230&lt;&gt;"Paquete"),"",COUNTIFS($W$2:W230,W230,$L$2:L230,"Paquete"))</f>
        <v/>
      </c>
      <c r="V230" s="25"/>
      <c r="W230" s="34" t="str">
        <f aca="false">IF(TRIM($C230)="","",IF(COUNTIF('🎓 Alumnas'!$P$2:$P$1000,TRIM($C230))&gt;0,INDEX('🎓 Alumnas'!$A$2:$A$1000,MATCH(TRIM($C230),'🎓 Alumnas'!$P$2:$P$1000,0)),IF(COUNTIF('🎓 Alumnas'!$O$2:$O$1000,TRIM($C230)&amp;"|*")=1,INDEX('🎓 Alumnas'!$A$2:$A$1000,MATCH(TRIM($C230)&amp;"|*",'🎓 Alumnas'!$O$2:$O$1000,0)),IF(COUNTIF('🎓 Alumnas'!$O$2:$O$1000,"*|"&amp;TRIM($C230))=1,INDEX('🎓 Alumnas'!$A$2:$A$1000,MATCH("*|"&amp;TRIM($C230),'🎓 Alumnas'!$O$2:$O$1000,0)),IF(COUNTIF('🎓 Alumnas'!$Q$2:$Q$1000,TRIM($C230))=1,INDEX('🎓 Alumnas'!$A$2:$A$1000,MATCH(TRIM($C230),'🎓 Alumnas'!$Q$2:$Q$1000,0)),IF(COUNTIF('🎓 Alumnas'!$P$2:$P$1000,"*"&amp;TRIM($C230)&amp;"*")=1,INDEX('🎓 Alumnas'!$A$2:$A$1000,MATCH("*"&amp;TRIM($C230)&amp;"*",'🎓 Alumnas'!$P$2:$P$1000,0)),IF(COUNTIF('🎓 Alumnas'!$Q$2:$Q$1000,"*"&amp;TRIM($C230)&amp;"*")=1,INDEX('🎓 Alumnas'!$A$2:$A$1000,MATCH("*"&amp;TRIM($C230)&amp;"*",'🎓 Alumnas'!$Q$2:$Q$1000,0)),IF(COUNTIF('🎓 Alumnas'!$P$2:$P$1000,"*"&amp;TRIM($C230)&amp;"*")+COUNTIF('🎓 Alumnas'!$Q$2:$Q$1000,"*"&amp;TRIM($C230)&amp;"*")&gt;1,"Varias: elige de la lista","No encontrada"))))))))</f>
        <v/>
      </c>
    </row>
    <row r="231" customFormat="false" ht="14.25" hidden="false" customHeight="true" outlineLevel="0" collapsed="false">
      <c r="A231" s="25" t="s">
        <v>776</v>
      </c>
      <c r="B231" s="27"/>
      <c r="C231" s="25"/>
      <c r="D231" s="34" t="str">
        <f aca="false">IF($W231="","",IFERROR(TRIM(INDEX('🎓 Alumnas'!$B$2:$B$1000,MATCH($W231,'🎓 Alumnas'!$A$2:$A$1000,0))),""))</f>
        <v/>
      </c>
      <c r="E231" s="34" t="str">
        <f aca="false">IF($W231="","",IFERROR(TRIM(INDEX('🎓 Alumnas'!$C$2:$C$1000,MATCH($W231,'🎓 Alumnas'!$A$2:$A$1000,0))),""))</f>
        <v/>
      </c>
      <c r="F231" s="34" t="str">
        <f aca="false">IF($W231="","",IFERROR(IF(INDEX('🎓 Alumnas'!$D$2:$D$1000,MATCH($W231,'🎓 Alumnas'!$A$2:$A$1000,0))="","",INDEX('🎓 Alumnas'!$D$2:$D$1000,MATCH($W231,'🎓 Alumnas'!$A$2:$A$1000,0))),""))</f>
        <v/>
      </c>
      <c r="G231" s="28" t="str">
        <f aca="false">IF($W231="","",IFERROR(IF(INDEX('🎓 Alumnas'!$E$2:$E$1000,MATCH($W231,'🎓 Alumnas'!$A$2:$A$1000,0))="","",INDEX('🎓 Alumnas'!$E$2:$E$1000,MATCH($W231,'🎓 Alumnas'!$A$2:$A$1000,0))),""))</f>
        <v/>
      </c>
      <c r="H231" s="28" t="str">
        <f aca="false">IF($W231="","",IFERROR(IF(INDEX('🎓 Alumnas'!$F$2:$F$1000,MATCH($W231,'🎓 Alumnas'!$A$2:$A$1000,0))="","",INDEX('🎓 Alumnas'!$F$2:$F$1000,MATCH($W231,'🎓 Alumnas'!$A$2:$A$1000,0))),""))</f>
        <v/>
      </c>
      <c r="I231" s="30" t="str">
        <f aca="false">IF($W231="","",IFERROR(IF(INDEX('🎓 Alumnas'!$G$2:$G$1000,MATCH($W231,'🎓 Alumnas'!$A$2:$A$1000,0))="","",INDEX('🎓 Alumnas'!$G$2:$G$1000,MATCH($W231,'🎓 Alumnas'!$A$2:$A$1000,0))),""))</f>
        <v/>
      </c>
      <c r="J231" s="28" t="str">
        <f aca="true">IF(I231="","",DATEDIF(I231,TODAY(),"Y"))</f>
        <v/>
      </c>
      <c r="K231" s="25"/>
      <c r="L231" s="28" t="str">
        <f aca="false">IF(K231="","",IF(LEFT(K231,6)="1 Pole","Alquiler",IF(LEFT(K231,7)="1 Clase","Clase suelta","Paquete")))</f>
        <v/>
      </c>
      <c r="M231" s="25"/>
      <c r="N231" s="25"/>
      <c r="O231" s="35"/>
      <c r="P231" s="29" t="str">
        <f aca="false">IF(O231="","",N231*O231)</f>
        <v/>
      </c>
      <c r="Q231" s="36"/>
      <c r="R231" s="25"/>
      <c r="S231" s="25"/>
      <c r="T231" s="28" t="str">
        <f aca="false">IF(OR(LEFT(W231,2)&lt;&gt;"A-",ISERROR(MATCH(W231,'🎓 Alumnas'!$A$2:$A$1000,0))),"",IF(COUNTIF($W$2:W231,W231)=1,"Nueva","Recurrente"))</f>
        <v/>
      </c>
      <c r="U231" s="28" t="str">
        <f aca="false">IF(OR(T231="",L231&lt;&gt;"Paquete"),"",COUNTIFS($W$2:W231,W231,$L$2:L231,"Paquete"))</f>
        <v/>
      </c>
      <c r="V231" s="25"/>
      <c r="W231" s="34" t="str">
        <f aca="false">IF(TRIM($C231)="","",IF(COUNTIF('🎓 Alumnas'!$P$2:$P$1000,TRIM($C231))&gt;0,INDEX('🎓 Alumnas'!$A$2:$A$1000,MATCH(TRIM($C231),'🎓 Alumnas'!$P$2:$P$1000,0)),IF(COUNTIF('🎓 Alumnas'!$O$2:$O$1000,TRIM($C231)&amp;"|*")=1,INDEX('🎓 Alumnas'!$A$2:$A$1000,MATCH(TRIM($C231)&amp;"|*",'🎓 Alumnas'!$O$2:$O$1000,0)),IF(COUNTIF('🎓 Alumnas'!$O$2:$O$1000,"*|"&amp;TRIM($C231))=1,INDEX('🎓 Alumnas'!$A$2:$A$1000,MATCH("*|"&amp;TRIM($C231),'🎓 Alumnas'!$O$2:$O$1000,0)),IF(COUNTIF('🎓 Alumnas'!$Q$2:$Q$1000,TRIM($C231))=1,INDEX('🎓 Alumnas'!$A$2:$A$1000,MATCH(TRIM($C231),'🎓 Alumnas'!$Q$2:$Q$1000,0)),IF(COUNTIF('🎓 Alumnas'!$P$2:$P$1000,"*"&amp;TRIM($C231)&amp;"*")=1,INDEX('🎓 Alumnas'!$A$2:$A$1000,MATCH("*"&amp;TRIM($C231)&amp;"*",'🎓 Alumnas'!$P$2:$P$1000,0)),IF(COUNTIF('🎓 Alumnas'!$Q$2:$Q$1000,"*"&amp;TRIM($C231)&amp;"*")=1,INDEX('🎓 Alumnas'!$A$2:$A$1000,MATCH("*"&amp;TRIM($C231)&amp;"*",'🎓 Alumnas'!$Q$2:$Q$1000,0)),IF(COUNTIF('🎓 Alumnas'!$P$2:$P$1000,"*"&amp;TRIM($C231)&amp;"*")+COUNTIF('🎓 Alumnas'!$Q$2:$Q$1000,"*"&amp;TRIM($C231)&amp;"*")&gt;1,"Varias: elige de la lista","No encontrada"))))))))</f>
        <v/>
      </c>
    </row>
    <row r="232" customFormat="false" ht="14.25" hidden="false" customHeight="true" outlineLevel="0" collapsed="false">
      <c r="A232" s="25" t="s">
        <v>777</v>
      </c>
      <c r="B232" s="27"/>
      <c r="C232" s="25"/>
      <c r="D232" s="34" t="str">
        <f aca="false">IF($W232="","",IFERROR(TRIM(INDEX('🎓 Alumnas'!$B$2:$B$1000,MATCH($W232,'🎓 Alumnas'!$A$2:$A$1000,0))),""))</f>
        <v/>
      </c>
      <c r="E232" s="34" t="str">
        <f aca="false">IF($W232="","",IFERROR(TRIM(INDEX('🎓 Alumnas'!$C$2:$C$1000,MATCH($W232,'🎓 Alumnas'!$A$2:$A$1000,0))),""))</f>
        <v/>
      </c>
      <c r="F232" s="34" t="str">
        <f aca="false">IF($W232="","",IFERROR(IF(INDEX('🎓 Alumnas'!$D$2:$D$1000,MATCH($W232,'🎓 Alumnas'!$A$2:$A$1000,0))="","",INDEX('🎓 Alumnas'!$D$2:$D$1000,MATCH($W232,'🎓 Alumnas'!$A$2:$A$1000,0))),""))</f>
        <v/>
      </c>
      <c r="G232" s="28" t="str">
        <f aca="false">IF($W232="","",IFERROR(IF(INDEX('🎓 Alumnas'!$E$2:$E$1000,MATCH($W232,'🎓 Alumnas'!$A$2:$A$1000,0))="","",INDEX('🎓 Alumnas'!$E$2:$E$1000,MATCH($W232,'🎓 Alumnas'!$A$2:$A$1000,0))),""))</f>
        <v/>
      </c>
      <c r="H232" s="28" t="str">
        <f aca="false">IF($W232="","",IFERROR(IF(INDEX('🎓 Alumnas'!$F$2:$F$1000,MATCH($W232,'🎓 Alumnas'!$A$2:$A$1000,0))="","",INDEX('🎓 Alumnas'!$F$2:$F$1000,MATCH($W232,'🎓 Alumnas'!$A$2:$A$1000,0))),""))</f>
        <v/>
      </c>
      <c r="I232" s="30" t="str">
        <f aca="false">IF($W232="","",IFERROR(IF(INDEX('🎓 Alumnas'!$G$2:$G$1000,MATCH($W232,'🎓 Alumnas'!$A$2:$A$1000,0))="","",INDEX('🎓 Alumnas'!$G$2:$G$1000,MATCH($W232,'🎓 Alumnas'!$A$2:$A$1000,0))),""))</f>
        <v/>
      </c>
      <c r="J232" s="28" t="str">
        <f aca="true">IF(I232="","",DATEDIF(I232,TODAY(),"Y"))</f>
        <v/>
      </c>
      <c r="K232" s="25"/>
      <c r="L232" s="28" t="str">
        <f aca="false">IF(K232="","",IF(LEFT(K232,6)="1 Pole","Alquiler",IF(LEFT(K232,7)="1 Clase","Clase suelta","Paquete")))</f>
        <v/>
      </c>
      <c r="M232" s="25"/>
      <c r="N232" s="25"/>
      <c r="O232" s="35"/>
      <c r="P232" s="29" t="str">
        <f aca="false">IF(O232="","",N232*O232)</f>
        <v/>
      </c>
      <c r="Q232" s="36"/>
      <c r="R232" s="25"/>
      <c r="S232" s="25"/>
      <c r="T232" s="28" t="str">
        <f aca="false">IF(OR(LEFT(W232,2)&lt;&gt;"A-",ISERROR(MATCH(W232,'🎓 Alumnas'!$A$2:$A$1000,0))),"",IF(COUNTIF($W$2:W232,W232)=1,"Nueva","Recurrente"))</f>
        <v/>
      </c>
      <c r="U232" s="28" t="str">
        <f aca="false">IF(OR(T232="",L232&lt;&gt;"Paquete"),"",COUNTIFS($W$2:W232,W232,$L$2:L232,"Paquete"))</f>
        <v/>
      </c>
      <c r="V232" s="25"/>
      <c r="W232" s="34" t="str">
        <f aca="false">IF(TRIM($C232)="","",IF(COUNTIF('🎓 Alumnas'!$P$2:$P$1000,TRIM($C232))&gt;0,INDEX('🎓 Alumnas'!$A$2:$A$1000,MATCH(TRIM($C232),'🎓 Alumnas'!$P$2:$P$1000,0)),IF(COUNTIF('🎓 Alumnas'!$O$2:$O$1000,TRIM($C232)&amp;"|*")=1,INDEX('🎓 Alumnas'!$A$2:$A$1000,MATCH(TRIM($C232)&amp;"|*",'🎓 Alumnas'!$O$2:$O$1000,0)),IF(COUNTIF('🎓 Alumnas'!$O$2:$O$1000,"*|"&amp;TRIM($C232))=1,INDEX('🎓 Alumnas'!$A$2:$A$1000,MATCH("*|"&amp;TRIM($C232),'🎓 Alumnas'!$O$2:$O$1000,0)),IF(COUNTIF('🎓 Alumnas'!$Q$2:$Q$1000,TRIM($C232))=1,INDEX('🎓 Alumnas'!$A$2:$A$1000,MATCH(TRIM($C232),'🎓 Alumnas'!$Q$2:$Q$1000,0)),IF(COUNTIF('🎓 Alumnas'!$P$2:$P$1000,"*"&amp;TRIM($C232)&amp;"*")=1,INDEX('🎓 Alumnas'!$A$2:$A$1000,MATCH("*"&amp;TRIM($C232)&amp;"*",'🎓 Alumnas'!$P$2:$P$1000,0)),IF(COUNTIF('🎓 Alumnas'!$Q$2:$Q$1000,"*"&amp;TRIM($C232)&amp;"*")=1,INDEX('🎓 Alumnas'!$A$2:$A$1000,MATCH("*"&amp;TRIM($C232)&amp;"*",'🎓 Alumnas'!$Q$2:$Q$1000,0)),IF(COUNTIF('🎓 Alumnas'!$P$2:$P$1000,"*"&amp;TRIM($C232)&amp;"*")+COUNTIF('🎓 Alumnas'!$Q$2:$Q$1000,"*"&amp;TRIM($C232)&amp;"*")&gt;1,"Varias: elige de la lista","No encontrada"))))))))</f>
        <v/>
      </c>
    </row>
    <row r="233" customFormat="false" ht="14.25" hidden="false" customHeight="true" outlineLevel="0" collapsed="false">
      <c r="A233" s="25" t="s">
        <v>778</v>
      </c>
      <c r="B233" s="27"/>
      <c r="C233" s="25"/>
      <c r="D233" s="34" t="str">
        <f aca="false">IF($W233="","",IFERROR(TRIM(INDEX('🎓 Alumnas'!$B$2:$B$1000,MATCH($W233,'🎓 Alumnas'!$A$2:$A$1000,0))),""))</f>
        <v/>
      </c>
      <c r="E233" s="34" t="str">
        <f aca="false">IF($W233="","",IFERROR(TRIM(INDEX('🎓 Alumnas'!$C$2:$C$1000,MATCH($W233,'🎓 Alumnas'!$A$2:$A$1000,0))),""))</f>
        <v/>
      </c>
      <c r="F233" s="34" t="str">
        <f aca="false">IF($W233="","",IFERROR(IF(INDEX('🎓 Alumnas'!$D$2:$D$1000,MATCH($W233,'🎓 Alumnas'!$A$2:$A$1000,0))="","",INDEX('🎓 Alumnas'!$D$2:$D$1000,MATCH($W233,'🎓 Alumnas'!$A$2:$A$1000,0))),""))</f>
        <v/>
      </c>
      <c r="G233" s="28" t="str">
        <f aca="false">IF($W233="","",IFERROR(IF(INDEX('🎓 Alumnas'!$E$2:$E$1000,MATCH($W233,'🎓 Alumnas'!$A$2:$A$1000,0))="","",INDEX('🎓 Alumnas'!$E$2:$E$1000,MATCH($W233,'🎓 Alumnas'!$A$2:$A$1000,0))),""))</f>
        <v/>
      </c>
      <c r="H233" s="28" t="str">
        <f aca="false">IF($W233="","",IFERROR(IF(INDEX('🎓 Alumnas'!$F$2:$F$1000,MATCH($W233,'🎓 Alumnas'!$A$2:$A$1000,0))="","",INDEX('🎓 Alumnas'!$F$2:$F$1000,MATCH($W233,'🎓 Alumnas'!$A$2:$A$1000,0))),""))</f>
        <v/>
      </c>
      <c r="I233" s="30" t="str">
        <f aca="false">IF($W233="","",IFERROR(IF(INDEX('🎓 Alumnas'!$G$2:$G$1000,MATCH($W233,'🎓 Alumnas'!$A$2:$A$1000,0))="","",INDEX('🎓 Alumnas'!$G$2:$G$1000,MATCH($W233,'🎓 Alumnas'!$A$2:$A$1000,0))),""))</f>
        <v/>
      </c>
      <c r="J233" s="28" t="str">
        <f aca="true">IF(I233="","",DATEDIF(I233,TODAY(),"Y"))</f>
        <v/>
      </c>
      <c r="K233" s="25"/>
      <c r="L233" s="28" t="str">
        <f aca="false">IF(K233="","",IF(LEFT(K233,6)="1 Pole","Alquiler",IF(LEFT(K233,7)="1 Clase","Clase suelta","Paquete")))</f>
        <v/>
      </c>
      <c r="M233" s="25"/>
      <c r="N233" s="25"/>
      <c r="O233" s="35"/>
      <c r="P233" s="29" t="str">
        <f aca="false">IF(O233="","",N233*O233)</f>
        <v/>
      </c>
      <c r="Q233" s="36"/>
      <c r="R233" s="25"/>
      <c r="S233" s="25"/>
      <c r="T233" s="28" t="str">
        <f aca="false">IF(OR(LEFT(W233,2)&lt;&gt;"A-",ISERROR(MATCH(W233,'🎓 Alumnas'!$A$2:$A$1000,0))),"",IF(COUNTIF($W$2:W233,W233)=1,"Nueva","Recurrente"))</f>
        <v/>
      </c>
      <c r="U233" s="28" t="str">
        <f aca="false">IF(OR(T233="",L233&lt;&gt;"Paquete"),"",COUNTIFS($W$2:W233,W233,$L$2:L233,"Paquete"))</f>
        <v/>
      </c>
      <c r="V233" s="25"/>
      <c r="W233" s="34" t="str">
        <f aca="false">IF(TRIM($C233)="","",IF(COUNTIF('🎓 Alumnas'!$P$2:$P$1000,TRIM($C233))&gt;0,INDEX('🎓 Alumnas'!$A$2:$A$1000,MATCH(TRIM($C233),'🎓 Alumnas'!$P$2:$P$1000,0)),IF(COUNTIF('🎓 Alumnas'!$O$2:$O$1000,TRIM($C233)&amp;"|*")=1,INDEX('🎓 Alumnas'!$A$2:$A$1000,MATCH(TRIM($C233)&amp;"|*",'🎓 Alumnas'!$O$2:$O$1000,0)),IF(COUNTIF('🎓 Alumnas'!$O$2:$O$1000,"*|"&amp;TRIM($C233))=1,INDEX('🎓 Alumnas'!$A$2:$A$1000,MATCH("*|"&amp;TRIM($C233),'🎓 Alumnas'!$O$2:$O$1000,0)),IF(COUNTIF('🎓 Alumnas'!$Q$2:$Q$1000,TRIM($C233))=1,INDEX('🎓 Alumnas'!$A$2:$A$1000,MATCH(TRIM($C233),'🎓 Alumnas'!$Q$2:$Q$1000,0)),IF(COUNTIF('🎓 Alumnas'!$P$2:$P$1000,"*"&amp;TRIM($C233)&amp;"*")=1,INDEX('🎓 Alumnas'!$A$2:$A$1000,MATCH("*"&amp;TRIM($C233)&amp;"*",'🎓 Alumnas'!$P$2:$P$1000,0)),IF(COUNTIF('🎓 Alumnas'!$Q$2:$Q$1000,"*"&amp;TRIM($C233)&amp;"*")=1,INDEX('🎓 Alumnas'!$A$2:$A$1000,MATCH("*"&amp;TRIM($C233)&amp;"*",'🎓 Alumnas'!$Q$2:$Q$1000,0)),IF(COUNTIF('🎓 Alumnas'!$P$2:$P$1000,"*"&amp;TRIM($C233)&amp;"*")+COUNTIF('🎓 Alumnas'!$Q$2:$Q$1000,"*"&amp;TRIM($C233)&amp;"*")&gt;1,"Varias: elige de la lista","No encontrada"))))))))</f>
        <v/>
      </c>
    </row>
    <row r="234" customFormat="false" ht="14.25" hidden="false" customHeight="true" outlineLevel="0" collapsed="false">
      <c r="A234" s="25" t="s">
        <v>779</v>
      </c>
      <c r="B234" s="27"/>
      <c r="C234" s="25"/>
      <c r="D234" s="34" t="str">
        <f aca="false">IF($W234="","",IFERROR(TRIM(INDEX('🎓 Alumnas'!$B$2:$B$1000,MATCH($W234,'🎓 Alumnas'!$A$2:$A$1000,0))),""))</f>
        <v/>
      </c>
      <c r="E234" s="34" t="str">
        <f aca="false">IF($W234="","",IFERROR(TRIM(INDEX('🎓 Alumnas'!$C$2:$C$1000,MATCH($W234,'🎓 Alumnas'!$A$2:$A$1000,0))),""))</f>
        <v/>
      </c>
      <c r="F234" s="34" t="str">
        <f aca="false">IF($W234="","",IFERROR(IF(INDEX('🎓 Alumnas'!$D$2:$D$1000,MATCH($W234,'🎓 Alumnas'!$A$2:$A$1000,0))="","",INDEX('🎓 Alumnas'!$D$2:$D$1000,MATCH($W234,'🎓 Alumnas'!$A$2:$A$1000,0))),""))</f>
        <v/>
      </c>
      <c r="G234" s="28" t="str">
        <f aca="false">IF($W234="","",IFERROR(IF(INDEX('🎓 Alumnas'!$E$2:$E$1000,MATCH($W234,'🎓 Alumnas'!$A$2:$A$1000,0))="","",INDEX('🎓 Alumnas'!$E$2:$E$1000,MATCH($W234,'🎓 Alumnas'!$A$2:$A$1000,0))),""))</f>
        <v/>
      </c>
      <c r="H234" s="28" t="str">
        <f aca="false">IF($W234="","",IFERROR(IF(INDEX('🎓 Alumnas'!$F$2:$F$1000,MATCH($W234,'🎓 Alumnas'!$A$2:$A$1000,0))="","",INDEX('🎓 Alumnas'!$F$2:$F$1000,MATCH($W234,'🎓 Alumnas'!$A$2:$A$1000,0))),""))</f>
        <v/>
      </c>
      <c r="I234" s="30" t="str">
        <f aca="false">IF($W234="","",IFERROR(IF(INDEX('🎓 Alumnas'!$G$2:$G$1000,MATCH($W234,'🎓 Alumnas'!$A$2:$A$1000,0))="","",INDEX('🎓 Alumnas'!$G$2:$G$1000,MATCH($W234,'🎓 Alumnas'!$A$2:$A$1000,0))),""))</f>
        <v/>
      </c>
      <c r="J234" s="28" t="str">
        <f aca="true">IF(I234="","",DATEDIF(I234,TODAY(),"Y"))</f>
        <v/>
      </c>
      <c r="K234" s="25"/>
      <c r="L234" s="28" t="str">
        <f aca="false">IF(K234="","",IF(LEFT(K234,6)="1 Pole","Alquiler",IF(LEFT(K234,7)="1 Clase","Clase suelta","Paquete")))</f>
        <v/>
      </c>
      <c r="M234" s="25"/>
      <c r="N234" s="25"/>
      <c r="O234" s="35"/>
      <c r="P234" s="29" t="str">
        <f aca="false">IF(O234="","",N234*O234)</f>
        <v/>
      </c>
      <c r="Q234" s="36"/>
      <c r="R234" s="25"/>
      <c r="S234" s="25"/>
      <c r="T234" s="28" t="str">
        <f aca="false">IF(OR(LEFT(W234,2)&lt;&gt;"A-",ISERROR(MATCH(W234,'🎓 Alumnas'!$A$2:$A$1000,0))),"",IF(COUNTIF($W$2:W234,W234)=1,"Nueva","Recurrente"))</f>
        <v/>
      </c>
      <c r="U234" s="28" t="str">
        <f aca="false">IF(OR(T234="",L234&lt;&gt;"Paquete"),"",COUNTIFS($W$2:W234,W234,$L$2:L234,"Paquete"))</f>
        <v/>
      </c>
      <c r="V234" s="25"/>
      <c r="W234" s="34" t="str">
        <f aca="false">IF(TRIM($C234)="","",IF(COUNTIF('🎓 Alumnas'!$P$2:$P$1000,TRIM($C234))&gt;0,INDEX('🎓 Alumnas'!$A$2:$A$1000,MATCH(TRIM($C234),'🎓 Alumnas'!$P$2:$P$1000,0)),IF(COUNTIF('🎓 Alumnas'!$O$2:$O$1000,TRIM($C234)&amp;"|*")=1,INDEX('🎓 Alumnas'!$A$2:$A$1000,MATCH(TRIM($C234)&amp;"|*",'🎓 Alumnas'!$O$2:$O$1000,0)),IF(COUNTIF('🎓 Alumnas'!$O$2:$O$1000,"*|"&amp;TRIM($C234))=1,INDEX('🎓 Alumnas'!$A$2:$A$1000,MATCH("*|"&amp;TRIM($C234),'🎓 Alumnas'!$O$2:$O$1000,0)),IF(COUNTIF('🎓 Alumnas'!$Q$2:$Q$1000,TRIM($C234))=1,INDEX('🎓 Alumnas'!$A$2:$A$1000,MATCH(TRIM($C234),'🎓 Alumnas'!$Q$2:$Q$1000,0)),IF(COUNTIF('🎓 Alumnas'!$P$2:$P$1000,"*"&amp;TRIM($C234)&amp;"*")=1,INDEX('🎓 Alumnas'!$A$2:$A$1000,MATCH("*"&amp;TRIM($C234)&amp;"*",'🎓 Alumnas'!$P$2:$P$1000,0)),IF(COUNTIF('🎓 Alumnas'!$Q$2:$Q$1000,"*"&amp;TRIM($C234)&amp;"*")=1,INDEX('🎓 Alumnas'!$A$2:$A$1000,MATCH("*"&amp;TRIM($C234)&amp;"*",'🎓 Alumnas'!$Q$2:$Q$1000,0)),IF(COUNTIF('🎓 Alumnas'!$P$2:$P$1000,"*"&amp;TRIM($C234)&amp;"*")+COUNTIF('🎓 Alumnas'!$Q$2:$Q$1000,"*"&amp;TRIM($C234)&amp;"*")&gt;1,"Varias: elige de la lista","No encontrada"))))))))</f>
        <v/>
      </c>
    </row>
    <row r="235" customFormat="false" ht="14.25" hidden="false" customHeight="true" outlineLevel="0" collapsed="false">
      <c r="A235" s="25" t="s">
        <v>780</v>
      </c>
      <c r="B235" s="27"/>
      <c r="C235" s="25"/>
      <c r="D235" s="34" t="str">
        <f aca="false">IF($W235="","",IFERROR(TRIM(INDEX('🎓 Alumnas'!$B$2:$B$1000,MATCH($W235,'🎓 Alumnas'!$A$2:$A$1000,0))),""))</f>
        <v/>
      </c>
      <c r="E235" s="34" t="str">
        <f aca="false">IF($W235="","",IFERROR(TRIM(INDEX('🎓 Alumnas'!$C$2:$C$1000,MATCH($W235,'🎓 Alumnas'!$A$2:$A$1000,0))),""))</f>
        <v/>
      </c>
      <c r="F235" s="34" t="str">
        <f aca="false">IF($W235="","",IFERROR(IF(INDEX('🎓 Alumnas'!$D$2:$D$1000,MATCH($W235,'🎓 Alumnas'!$A$2:$A$1000,0))="","",INDEX('🎓 Alumnas'!$D$2:$D$1000,MATCH($W235,'🎓 Alumnas'!$A$2:$A$1000,0))),""))</f>
        <v/>
      </c>
      <c r="G235" s="28" t="str">
        <f aca="false">IF($W235="","",IFERROR(IF(INDEX('🎓 Alumnas'!$E$2:$E$1000,MATCH($W235,'🎓 Alumnas'!$A$2:$A$1000,0))="","",INDEX('🎓 Alumnas'!$E$2:$E$1000,MATCH($W235,'🎓 Alumnas'!$A$2:$A$1000,0))),""))</f>
        <v/>
      </c>
      <c r="H235" s="28" t="str">
        <f aca="false">IF($W235="","",IFERROR(IF(INDEX('🎓 Alumnas'!$F$2:$F$1000,MATCH($W235,'🎓 Alumnas'!$A$2:$A$1000,0))="","",INDEX('🎓 Alumnas'!$F$2:$F$1000,MATCH($W235,'🎓 Alumnas'!$A$2:$A$1000,0))),""))</f>
        <v/>
      </c>
      <c r="I235" s="30" t="str">
        <f aca="false">IF($W235="","",IFERROR(IF(INDEX('🎓 Alumnas'!$G$2:$G$1000,MATCH($W235,'🎓 Alumnas'!$A$2:$A$1000,0))="","",INDEX('🎓 Alumnas'!$G$2:$G$1000,MATCH($W235,'🎓 Alumnas'!$A$2:$A$1000,0))),""))</f>
        <v/>
      </c>
      <c r="J235" s="28" t="str">
        <f aca="true">IF(I235="","",DATEDIF(I235,TODAY(),"Y"))</f>
        <v/>
      </c>
      <c r="K235" s="25"/>
      <c r="L235" s="28" t="str">
        <f aca="false">IF(K235="","",IF(LEFT(K235,6)="1 Pole","Alquiler",IF(LEFT(K235,7)="1 Clase","Clase suelta","Paquete")))</f>
        <v/>
      </c>
      <c r="M235" s="25"/>
      <c r="N235" s="25"/>
      <c r="O235" s="35"/>
      <c r="P235" s="29" t="str">
        <f aca="false">IF(O235="","",N235*O235)</f>
        <v/>
      </c>
      <c r="Q235" s="36"/>
      <c r="R235" s="25"/>
      <c r="S235" s="25"/>
      <c r="T235" s="28" t="str">
        <f aca="false">IF(OR(LEFT(W235,2)&lt;&gt;"A-",ISERROR(MATCH(W235,'🎓 Alumnas'!$A$2:$A$1000,0))),"",IF(COUNTIF($W$2:W235,W235)=1,"Nueva","Recurrente"))</f>
        <v/>
      </c>
      <c r="U235" s="28" t="str">
        <f aca="false">IF(OR(T235="",L235&lt;&gt;"Paquete"),"",COUNTIFS($W$2:W235,W235,$L$2:L235,"Paquete"))</f>
        <v/>
      </c>
      <c r="V235" s="25"/>
      <c r="W235" s="34" t="str">
        <f aca="false">IF(TRIM($C235)="","",IF(COUNTIF('🎓 Alumnas'!$P$2:$P$1000,TRIM($C235))&gt;0,INDEX('🎓 Alumnas'!$A$2:$A$1000,MATCH(TRIM($C235),'🎓 Alumnas'!$P$2:$P$1000,0)),IF(COUNTIF('🎓 Alumnas'!$O$2:$O$1000,TRIM($C235)&amp;"|*")=1,INDEX('🎓 Alumnas'!$A$2:$A$1000,MATCH(TRIM($C235)&amp;"|*",'🎓 Alumnas'!$O$2:$O$1000,0)),IF(COUNTIF('🎓 Alumnas'!$O$2:$O$1000,"*|"&amp;TRIM($C235))=1,INDEX('🎓 Alumnas'!$A$2:$A$1000,MATCH("*|"&amp;TRIM($C235),'🎓 Alumnas'!$O$2:$O$1000,0)),IF(COUNTIF('🎓 Alumnas'!$Q$2:$Q$1000,TRIM($C235))=1,INDEX('🎓 Alumnas'!$A$2:$A$1000,MATCH(TRIM($C235),'🎓 Alumnas'!$Q$2:$Q$1000,0)),IF(COUNTIF('🎓 Alumnas'!$P$2:$P$1000,"*"&amp;TRIM($C235)&amp;"*")=1,INDEX('🎓 Alumnas'!$A$2:$A$1000,MATCH("*"&amp;TRIM($C235)&amp;"*",'🎓 Alumnas'!$P$2:$P$1000,0)),IF(COUNTIF('🎓 Alumnas'!$Q$2:$Q$1000,"*"&amp;TRIM($C235)&amp;"*")=1,INDEX('🎓 Alumnas'!$A$2:$A$1000,MATCH("*"&amp;TRIM($C235)&amp;"*",'🎓 Alumnas'!$Q$2:$Q$1000,0)),IF(COUNTIF('🎓 Alumnas'!$P$2:$P$1000,"*"&amp;TRIM($C235)&amp;"*")+COUNTIF('🎓 Alumnas'!$Q$2:$Q$1000,"*"&amp;TRIM($C235)&amp;"*")&gt;1,"Varias: elige de la lista","No encontrada"))))))))</f>
        <v/>
      </c>
    </row>
    <row r="236" customFormat="false" ht="14.25" hidden="false" customHeight="true" outlineLevel="0" collapsed="false">
      <c r="A236" s="25" t="s">
        <v>781</v>
      </c>
      <c r="B236" s="27"/>
      <c r="C236" s="25"/>
      <c r="D236" s="34" t="str">
        <f aca="false">IF($W236="","",IFERROR(TRIM(INDEX('🎓 Alumnas'!$B$2:$B$1000,MATCH($W236,'🎓 Alumnas'!$A$2:$A$1000,0))),""))</f>
        <v/>
      </c>
      <c r="E236" s="34" t="str">
        <f aca="false">IF($W236="","",IFERROR(TRIM(INDEX('🎓 Alumnas'!$C$2:$C$1000,MATCH($W236,'🎓 Alumnas'!$A$2:$A$1000,0))),""))</f>
        <v/>
      </c>
      <c r="F236" s="34" t="str">
        <f aca="false">IF($W236="","",IFERROR(IF(INDEX('🎓 Alumnas'!$D$2:$D$1000,MATCH($W236,'🎓 Alumnas'!$A$2:$A$1000,0))="","",INDEX('🎓 Alumnas'!$D$2:$D$1000,MATCH($W236,'🎓 Alumnas'!$A$2:$A$1000,0))),""))</f>
        <v/>
      </c>
      <c r="G236" s="28" t="str">
        <f aca="false">IF($W236="","",IFERROR(IF(INDEX('🎓 Alumnas'!$E$2:$E$1000,MATCH($W236,'🎓 Alumnas'!$A$2:$A$1000,0))="","",INDEX('🎓 Alumnas'!$E$2:$E$1000,MATCH($W236,'🎓 Alumnas'!$A$2:$A$1000,0))),""))</f>
        <v/>
      </c>
      <c r="H236" s="28" t="str">
        <f aca="false">IF($W236="","",IFERROR(IF(INDEX('🎓 Alumnas'!$F$2:$F$1000,MATCH($W236,'🎓 Alumnas'!$A$2:$A$1000,0))="","",INDEX('🎓 Alumnas'!$F$2:$F$1000,MATCH($W236,'🎓 Alumnas'!$A$2:$A$1000,0))),""))</f>
        <v/>
      </c>
      <c r="I236" s="30" t="str">
        <f aca="false">IF($W236="","",IFERROR(IF(INDEX('🎓 Alumnas'!$G$2:$G$1000,MATCH($W236,'🎓 Alumnas'!$A$2:$A$1000,0))="","",INDEX('🎓 Alumnas'!$G$2:$G$1000,MATCH($W236,'🎓 Alumnas'!$A$2:$A$1000,0))),""))</f>
        <v/>
      </c>
      <c r="J236" s="28" t="str">
        <f aca="true">IF(I236="","",DATEDIF(I236,TODAY(),"Y"))</f>
        <v/>
      </c>
      <c r="K236" s="25"/>
      <c r="L236" s="28" t="str">
        <f aca="false">IF(K236="","",IF(LEFT(K236,6)="1 Pole","Alquiler",IF(LEFT(K236,7)="1 Clase","Clase suelta","Paquete")))</f>
        <v/>
      </c>
      <c r="M236" s="25"/>
      <c r="N236" s="25"/>
      <c r="O236" s="35"/>
      <c r="P236" s="29" t="str">
        <f aca="false">IF(O236="","",N236*O236)</f>
        <v/>
      </c>
      <c r="Q236" s="36"/>
      <c r="R236" s="25"/>
      <c r="S236" s="25"/>
      <c r="T236" s="28" t="str">
        <f aca="false">IF(OR(LEFT(W236,2)&lt;&gt;"A-",ISERROR(MATCH(W236,'🎓 Alumnas'!$A$2:$A$1000,0))),"",IF(COUNTIF($W$2:W236,W236)=1,"Nueva","Recurrente"))</f>
        <v/>
      </c>
      <c r="U236" s="28" t="str">
        <f aca="false">IF(OR(T236="",L236&lt;&gt;"Paquete"),"",COUNTIFS($W$2:W236,W236,$L$2:L236,"Paquete"))</f>
        <v/>
      </c>
      <c r="V236" s="25"/>
      <c r="W236" s="34" t="str">
        <f aca="false">IF(TRIM($C236)="","",IF(COUNTIF('🎓 Alumnas'!$P$2:$P$1000,TRIM($C236))&gt;0,INDEX('🎓 Alumnas'!$A$2:$A$1000,MATCH(TRIM($C236),'🎓 Alumnas'!$P$2:$P$1000,0)),IF(COUNTIF('🎓 Alumnas'!$O$2:$O$1000,TRIM($C236)&amp;"|*")=1,INDEX('🎓 Alumnas'!$A$2:$A$1000,MATCH(TRIM($C236)&amp;"|*",'🎓 Alumnas'!$O$2:$O$1000,0)),IF(COUNTIF('🎓 Alumnas'!$O$2:$O$1000,"*|"&amp;TRIM($C236))=1,INDEX('🎓 Alumnas'!$A$2:$A$1000,MATCH("*|"&amp;TRIM($C236),'🎓 Alumnas'!$O$2:$O$1000,0)),IF(COUNTIF('🎓 Alumnas'!$Q$2:$Q$1000,TRIM($C236))=1,INDEX('🎓 Alumnas'!$A$2:$A$1000,MATCH(TRIM($C236),'🎓 Alumnas'!$Q$2:$Q$1000,0)),IF(COUNTIF('🎓 Alumnas'!$P$2:$P$1000,"*"&amp;TRIM($C236)&amp;"*")=1,INDEX('🎓 Alumnas'!$A$2:$A$1000,MATCH("*"&amp;TRIM($C236)&amp;"*",'🎓 Alumnas'!$P$2:$P$1000,0)),IF(COUNTIF('🎓 Alumnas'!$Q$2:$Q$1000,"*"&amp;TRIM($C236)&amp;"*")=1,INDEX('🎓 Alumnas'!$A$2:$A$1000,MATCH("*"&amp;TRIM($C236)&amp;"*",'🎓 Alumnas'!$Q$2:$Q$1000,0)),IF(COUNTIF('🎓 Alumnas'!$P$2:$P$1000,"*"&amp;TRIM($C236)&amp;"*")+COUNTIF('🎓 Alumnas'!$Q$2:$Q$1000,"*"&amp;TRIM($C236)&amp;"*")&gt;1,"Varias: elige de la lista","No encontrada"))))))))</f>
        <v/>
      </c>
    </row>
    <row r="237" customFormat="false" ht="14.25" hidden="false" customHeight="true" outlineLevel="0" collapsed="false">
      <c r="A237" s="25" t="s">
        <v>782</v>
      </c>
      <c r="B237" s="27"/>
      <c r="C237" s="25"/>
      <c r="D237" s="34" t="str">
        <f aca="false">IF($W237="","",IFERROR(TRIM(INDEX('🎓 Alumnas'!$B$2:$B$1000,MATCH($W237,'🎓 Alumnas'!$A$2:$A$1000,0))),""))</f>
        <v/>
      </c>
      <c r="E237" s="34" t="str">
        <f aca="false">IF($W237="","",IFERROR(TRIM(INDEX('🎓 Alumnas'!$C$2:$C$1000,MATCH($W237,'🎓 Alumnas'!$A$2:$A$1000,0))),""))</f>
        <v/>
      </c>
      <c r="F237" s="34" t="str">
        <f aca="false">IF($W237="","",IFERROR(IF(INDEX('🎓 Alumnas'!$D$2:$D$1000,MATCH($W237,'🎓 Alumnas'!$A$2:$A$1000,0))="","",INDEX('🎓 Alumnas'!$D$2:$D$1000,MATCH($W237,'🎓 Alumnas'!$A$2:$A$1000,0))),""))</f>
        <v/>
      </c>
      <c r="G237" s="28" t="str">
        <f aca="false">IF($W237="","",IFERROR(IF(INDEX('🎓 Alumnas'!$E$2:$E$1000,MATCH($W237,'🎓 Alumnas'!$A$2:$A$1000,0))="","",INDEX('🎓 Alumnas'!$E$2:$E$1000,MATCH($W237,'🎓 Alumnas'!$A$2:$A$1000,0))),""))</f>
        <v/>
      </c>
      <c r="H237" s="28" t="str">
        <f aca="false">IF($W237="","",IFERROR(IF(INDEX('🎓 Alumnas'!$F$2:$F$1000,MATCH($W237,'🎓 Alumnas'!$A$2:$A$1000,0))="","",INDEX('🎓 Alumnas'!$F$2:$F$1000,MATCH($W237,'🎓 Alumnas'!$A$2:$A$1000,0))),""))</f>
        <v/>
      </c>
      <c r="I237" s="30" t="str">
        <f aca="false">IF($W237="","",IFERROR(IF(INDEX('🎓 Alumnas'!$G$2:$G$1000,MATCH($W237,'🎓 Alumnas'!$A$2:$A$1000,0))="","",INDEX('🎓 Alumnas'!$G$2:$G$1000,MATCH($W237,'🎓 Alumnas'!$A$2:$A$1000,0))),""))</f>
        <v/>
      </c>
      <c r="J237" s="28" t="str">
        <f aca="true">IF(I237="","",DATEDIF(I237,TODAY(),"Y"))</f>
        <v/>
      </c>
      <c r="K237" s="25"/>
      <c r="L237" s="28" t="str">
        <f aca="false">IF(K237="","",IF(LEFT(K237,6)="1 Pole","Alquiler",IF(LEFT(K237,7)="1 Clase","Clase suelta","Paquete")))</f>
        <v/>
      </c>
      <c r="M237" s="25"/>
      <c r="N237" s="25"/>
      <c r="O237" s="35"/>
      <c r="P237" s="29" t="str">
        <f aca="false">IF(O237="","",N237*O237)</f>
        <v/>
      </c>
      <c r="Q237" s="36"/>
      <c r="R237" s="25"/>
      <c r="S237" s="25"/>
      <c r="T237" s="28" t="str">
        <f aca="false">IF(OR(LEFT(W237,2)&lt;&gt;"A-",ISERROR(MATCH(W237,'🎓 Alumnas'!$A$2:$A$1000,0))),"",IF(COUNTIF($W$2:W237,W237)=1,"Nueva","Recurrente"))</f>
        <v/>
      </c>
      <c r="U237" s="28" t="str">
        <f aca="false">IF(OR(T237="",L237&lt;&gt;"Paquete"),"",COUNTIFS($W$2:W237,W237,$L$2:L237,"Paquete"))</f>
        <v/>
      </c>
      <c r="V237" s="25"/>
      <c r="W237" s="34" t="str">
        <f aca="false">IF(TRIM($C237)="","",IF(COUNTIF('🎓 Alumnas'!$P$2:$P$1000,TRIM($C237))&gt;0,INDEX('🎓 Alumnas'!$A$2:$A$1000,MATCH(TRIM($C237),'🎓 Alumnas'!$P$2:$P$1000,0)),IF(COUNTIF('🎓 Alumnas'!$O$2:$O$1000,TRIM($C237)&amp;"|*")=1,INDEX('🎓 Alumnas'!$A$2:$A$1000,MATCH(TRIM($C237)&amp;"|*",'🎓 Alumnas'!$O$2:$O$1000,0)),IF(COUNTIF('🎓 Alumnas'!$O$2:$O$1000,"*|"&amp;TRIM($C237))=1,INDEX('🎓 Alumnas'!$A$2:$A$1000,MATCH("*|"&amp;TRIM($C237),'🎓 Alumnas'!$O$2:$O$1000,0)),IF(COUNTIF('🎓 Alumnas'!$Q$2:$Q$1000,TRIM($C237))=1,INDEX('🎓 Alumnas'!$A$2:$A$1000,MATCH(TRIM($C237),'🎓 Alumnas'!$Q$2:$Q$1000,0)),IF(COUNTIF('🎓 Alumnas'!$P$2:$P$1000,"*"&amp;TRIM($C237)&amp;"*")=1,INDEX('🎓 Alumnas'!$A$2:$A$1000,MATCH("*"&amp;TRIM($C237)&amp;"*",'🎓 Alumnas'!$P$2:$P$1000,0)),IF(COUNTIF('🎓 Alumnas'!$Q$2:$Q$1000,"*"&amp;TRIM($C237)&amp;"*")=1,INDEX('🎓 Alumnas'!$A$2:$A$1000,MATCH("*"&amp;TRIM($C237)&amp;"*",'🎓 Alumnas'!$Q$2:$Q$1000,0)),IF(COUNTIF('🎓 Alumnas'!$P$2:$P$1000,"*"&amp;TRIM($C237)&amp;"*")+COUNTIF('🎓 Alumnas'!$Q$2:$Q$1000,"*"&amp;TRIM($C237)&amp;"*")&gt;1,"Varias: elige de la lista","No encontrada"))))))))</f>
        <v/>
      </c>
    </row>
    <row r="238" customFormat="false" ht="14.25" hidden="false" customHeight="true" outlineLevel="0" collapsed="false">
      <c r="A238" s="25" t="s">
        <v>783</v>
      </c>
      <c r="B238" s="27"/>
      <c r="C238" s="25"/>
      <c r="D238" s="34" t="str">
        <f aca="false">IF($W238="","",IFERROR(TRIM(INDEX('🎓 Alumnas'!$B$2:$B$1000,MATCH($W238,'🎓 Alumnas'!$A$2:$A$1000,0))),""))</f>
        <v/>
      </c>
      <c r="E238" s="34" t="str">
        <f aca="false">IF($W238="","",IFERROR(TRIM(INDEX('🎓 Alumnas'!$C$2:$C$1000,MATCH($W238,'🎓 Alumnas'!$A$2:$A$1000,0))),""))</f>
        <v/>
      </c>
      <c r="F238" s="34" t="str">
        <f aca="false">IF($W238="","",IFERROR(IF(INDEX('🎓 Alumnas'!$D$2:$D$1000,MATCH($W238,'🎓 Alumnas'!$A$2:$A$1000,0))="","",INDEX('🎓 Alumnas'!$D$2:$D$1000,MATCH($W238,'🎓 Alumnas'!$A$2:$A$1000,0))),""))</f>
        <v/>
      </c>
      <c r="G238" s="28" t="str">
        <f aca="false">IF($W238="","",IFERROR(IF(INDEX('🎓 Alumnas'!$E$2:$E$1000,MATCH($W238,'🎓 Alumnas'!$A$2:$A$1000,0))="","",INDEX('🎓 Alumnas'!$E$2:$E$1000,MATCH($W238,'🎓 Alumnas'!$A$2:$A$1000,0))),""))</f>
        <v/>
      </c>
      <c r="H238" s="28" t="str">
        <f aca="false">IF($W238="","",IFERROR(IF(INDEX('🎓 Alumnas'!$F$2:$F$1000,MATCH($W238,'🎓 Alumnas'!$A$2:$A$1000,0))="","",INDEX('🎓 Alumnas'!$F$2:$F$1000,MATCH($W238,'🎓 Alumnas'!$A$2:$A$1000,0))),""))</f>
        <v/>
      </c>
      <c r="I238" s="30" t="str">
        <f aca="false">IF($W238="","",IFERROR(IF(INDEX('🎓 Alumnas'!$G$2:$G$1000,MATCH($W238,'🎓 Alumnas'!$A$2:$A$1000,0))="","",INDEX('🎓 Alumnas'!$G$2:$G$1000,MATCH($W238,'🎓 Alumnas'!$A$2:$A$1000,0))),""))</f>
        <v/>
      </c>
      <c r="J238" s="28" t="str">
        <f aca="true">IF(I238="","",DATEDIF(I238,TODAY(),"Y"))</f>
        <v/>
      </c>
      <c r="K238" s="25"/>
      <c r="L238" s="28" t="str">
        <f aca="false">IF(K238="","",IF(LEFT(K238,6)="1 Pole","Alquiler",IF(LEFT(K238,7)="1 Clase","Clase suelta","Paquete")))</f>
        <v/>
      </c>
      <c r="M238" s="25"/>
      <c r="N238" s="25"/>
      <c r="O238" s="35"/>
      <c r="P238" s="29" t="str">
        <f aca="false">IF(O238="","",N238*O238)</f>
        <v/>
      </c>
      <c r="Q238" s="36"/>
      <c r="R238" s="25"/>
      <c r="S238" s="25"/>
      <c r="T238" s="28" t="str">
        <f aca="false">IF(OR(LEFT(W238,2)&lt;&gt;"A-",ISERROR(MATCH(W238,'🎓 Alumnas'!$A$2:$A$1000,0))),"",IF(COUNTIF($W$2:W238,W238)=1,"Nueva","Recurrente"))</f>
        <v/>
      </c>
      <c r="U238" s="28" t="str">
        <f aca="false">IF(OR(T238="",L238&lt;&gt;"Paquete"),"",COUNTIFS($W$2:W238,W238,$L$2:L238,"Paquete"))</f>
        <v/>
      </c>
      <c r="V238" s="25"/>
      <c r="W238" s="34" t="str">
        <f aca="false">IF(TRIM($C238)="","",IF(COUNTIF('🎓 Alumnas'!$P$2:$P$1000,TRIM($C238))&gt;0,INDEX('🎓 Alumnas'!$A$2:$A$1000,MATCH(TRIM($C238),'🎓 Alumnas'!$P$2:$P$1000,0)),IF(COUNTIF('🎓 Alumnas'!$O$2:$O$1000,TRIM($C238)&amp;"|*")=1,INDEX('🎓 Alumnas'!$A$2:$A$1000,MATCH(TRIM($C238)&amp;"|*",'🎓 Alumnas'!$O$2:$O$1000,0)),IF(COUNTIF('🎓 Alumnas'!$O$2:$O$1000,"*|"&amp;TRIM($C238))=1,INDEX('🎓 Alumnas'!$A$2:$A$1000,MATCH("*|"&amp;TRIM($C238),'🎓 Alumnas'!$O$2:$O$1000,0)),IF(COUNTIF('🎓 Alumnas'!$Q$2:$Q$1000,TRIM($C238))=1,INDEX('🎓 Alumnas'!$A$2:$A$1000,MATCH(TRIM($C238),'🎓 Alumnas'!$Q$2:$Q$1000,0)),IF(COUNTIF('🎓 Alumnas'!$P$2:$P$1000,"*"&amp;TRIM($C238)&amp;"*")=1,INDEX('🎓 Alumnas'!$A$2:$A$1000,MATCH("*"&amp;TRIM($C238)&amp;"*",'🎓 Alumnas'!$P$2:$P$1000,0)),IF(COUNTIF('🎓 Alumnas'!$Q$2:$Q$1000,"*"&amp;TRIM($C238)&amp;"*")=1,INDEX('🎓 Alumnas'!$A$2:$A$1000,MATCH("*"&amp;TRIM($C238)&amp;"*",'🎓 Alumnas'!$Q$2:$Q$1000,0)),IF(COUNTIF('🎓 Alumnas'!$P$2:$P$1000,"*"&amp;TRIM($C238)&amp;"*")+COUNTIF('🎓 Alumnas'!$Q$2:$Q$1000,"*"&amp;TRIM($C238)&amp;"*")&gt;1,"Varias: elige de la lista","No encontrada"))))))))</f>
        <v/>
      </c>
    </row>
    <row r="239" customFormat="false" ht="14.25" hidden="false" customHeight="true" outlineLevel="0" collapsed="false">
      <c r="A239" s="25" t="s">
        <v>784</v>
      </c>
      <c r="B239" s="27"/>
      <c r="C239" s="25"/>
      <c r="D239" s="34" t="str">
        <f aca="false">IF($W239="","",IFERROR(TRIM(INDEX('🎓 Alumnas'!$B$2:$B$1000,MATCH($W239,'🎓 Alumnas'!$A$2:$A$1000,0))),""))</f>
        <v/>
      </c>
      <c r="E239" s="34" t="str">
        <f aca="false">IF($W239="","",IFERROR(TRIM(INDEX('🎓 Alumnas'!$C$2:$C$1000,MATCH($W239,'🎓 Alumnas'!$A$2:$A$1000,0))),""))</f>
        <v/>
      </c>
      <c r="F239" s="34" t="str">
        <f aca="false">IF($W239="","",IFERROR(IF(INDEX('🎓 Alumnas'!$D$2:$D$1000,MATCH($W239,'🎓 Alumnas'!$A$2:$A$1000,0))="","",INDEX('🎓 Alumnas'!$D$2:$D$1000,MATCH($W239,'🎓 Alumnas'!$A$2:$A$1000,0))),""))</f>
        <v/>
      </c>
      <c r="G239" s="28" t="str">
        <f aca="false">IF($W239="","",IFERROR(IF(INDEX('🎓 Alumnas'!$E$2:$E$1000,MATCH($W239,'🎓 Alumnas'!$A$2:$A$1000,0))="","",INDEX('🎓 Alumnas'!$E$2:$E$1000,MATCH($W239,'🎓 Alumnas'!$A$2:$A$1000,0))),""))</f>
        <v/>
      </c>
      <c r="H239" s="28" t="str">
        <f aca="false">IF($W239="","",IFERROR(IF(INDEX('🎓 Alumnas'!$F$2:$F$1000,MATCH($W239,'🎓 Alumnas'!$A$2:$A$1000,0))="","",INDEX('🎓 Alumnas'!$F$2:$F$1000,MATCH($W239,'🎓 Alumnas'!$A$2:$A$1000,0))),""))</f>
        <v/>
      </c>
      <c r="I239" s="30" t="str">
        <f aca="false">IF($W239="","",IFERROR(IF(INDEX('🎓 Alumnas'!$G$2:$G$1000,MATCH($W239,'🎓 Alumnas'!$A$2:$A$1000,0))="","",INDEX('🎓 Alumnas'!$G$2:$G$1000,MATCH($W239,'🎓 Alumnas'!$A$2:$A$1000,0))),""))</f>
        <v/>
      </c>
      <c r="J239" s="28" t="str">
        <f aca="true">IF(I239="","",DATEDIF(I239,TODAY(),"Y"))</f>
        <v/>
      </c>
      <c r="K239" s="25"/>
      <c r="L239" s="28" t="str">
        <f aca="false">IF(K239="","",IF(LEFT(K239,6)="1 Pole","Alquiler",IF(LEFT(K239,7)="1 Clase","Clase suelta","Paquete")))</f>
        <v/>
      </c>
      <c r="M239" s="25"/>
      <c r="N239" s="25"/>
      <c r="O239" s="35"/>
      <c r="P239" s="29" t="str">
        <f aca="false">IF(O239="","",N239*O239)</f>
        <v/>
      </c>
      <c r="Q239" s="36"/>
      <c r="R239" s="25"/>
      <c r="S239" s="25"/>
      <c r="T239" s="28" t="str">
        <f aca="false">IF(OR(LEFT(W239,2)&lt;&gt;"A-",ISERROR(MATCH(W239,'🎓 Alumnas'!$A$2:$A$1000,0))),"",IF(COUNTIF($W$2:W239,W239)=1,"Nueva","Recurrente"))</f>
        <v/>
      </c>
      <c r="U239" s="28" t="str">
        <f aca="false">IF(OR(T239="",L239&lt;&gt;"Paquete"),"",COUNTIFS($W$2:W239,W239,$L$2:L239,"Paquete"))</f>
        <v/>
      </c>
      <c r="V239" s="25"/>
      <c r="W239" s="34" t="str">
        <f aca="false">IF(TRIM($C239)="","",IF(COUNTIF('🎓 Alumnas'!$P$2:$P$1000,TRIM($C239))&gt;0,INDEX('🎓 Alumnas'!$A$2:$A$1000,MATCH(TRIM($C239),'🎓 Alumnas'!$P$2:$P$1000,0)),IF(COUNTIF('🎓 Alumnas'!$O$2:$O$1000,TRIM($C239)&amp;"|*")=1,INDEX('🎓 Alumnas'!$A$2:$A$1000,MATCH(TRIM($C239)&amp;"|*",'🎓 Alumnas'!$O$2:$O$1000,0)),IF(COUNTIF('🎓 Alumnas'!$O$2:$O$1000,"*|"&amp;TRIM($C239))=1,INDEX('🎓 Alumnas'!$A$2:$A$1000,MATCH("*|"&amp;TRIM($C239),'🎓 Alumnas'!$O$2:$O$1000,0)),IF(COUNTIF('🎓 Alumnas'!$Q$2:$Q$1000,TRIM($C239))=1,INDEX('🎓 Alumnas'!$A$2:$A$1000,MATCH(TRIM($C239),'🎓 Alumnas'!$Q$2:$Q$1000,0)),IF(COUNTIF('🎓 Alumnas'!$P$2:$P$1000,"*"&amp;TRIM($C239)&amp;"*")=1,INDEX('🎓 Alumnas'!$A$2:$A$1000,MATCH("*"&amp;TRIM($C239)&amp;"*",'🎓 Alumnas'!$P$2:$P$1000,0)),IF(COUNTIF('🎓 Alumnas'!$Q$2:$Q$1000,"*"&amp;TRIM($C239)&amp;"*")=1,INDEX('🎓 Alumnas'!$A$2:$A$1000,MATCH("*"&amp;TRIM($C239)&amp;"*",'🎓 Alumnas'!$Q$2:$Q$1000,0)),IF(COUNTIF('🎓 Alumnas'!$P$2:$P$1000,"*"&amp;TRIM($C239)&amp;"*")+COUNTIF('🎓 Alumnas'!$Q$2:$Q$1000,"*"&amp;TRIM($C239)&amp;"*")&gt;1,"Varias: elige de la lista","No encontrada"))))))))</f>
        <v/>
      </c>
    </row>
    <row r="240" customFormat="false" ht="14.25" hidden="false" customHeight="true" outlineLevel="0" collapsed="false">
      <c r="A240" s="25" t="s">
        <v>785</v>
      </c>
      <c r="B240" s="27"/>
      <c r="C240" s="25"/>
      <c r="D240" s="34" t="str">
        <f aca="false">IF($W240="","",IFERROR(TRIM(INDEX('🎓 Alumnas'!$B$2:$B$1000,MATCH($W240,'🎓 Alumnas'!$A$2:$A$1000,0))),""))</f>
        <v/>
      </c>
      <c r="E240" s="34" t="str">
        <f aca="false">IF($W240="","",IFERROR(TRIM(INDEX('🎓 Alumnas'!$C$2:$C$1000,MATCH($W240,'🎓 Alumnas'!$A$2:$A$1000,0))),""))</f>
        <v/>
      </c>
      <c r="F240" s="34" t="str">
        <f aca="false">IF($W240="","",IFERROR(IF(INDEX('🎓 Alumnas'!$D$2:$D$1000,MATCH($W240,'🎓 Alumnas'!$A$2:$A$1000,0))="","",INDEX('🎓 Alumnas'!$D$2:$D$1000,MATCH($W240,'🎓 Alumnas'!$A$2:$A$1000,0))),""))</f>
        <v/>
      </c>
      <c r="G240" s="28" t="str">
        <f aca="false">IF($W240="","",IFERROR(IF(INDEX('🎓 Alumnas'!$E$2:$E$1000,MATCH($W240,'🎓 Alumnas'!$A$2:$A$1000,0))="","",INDEX('🎓 Alumnas'!$E$2:$E$1000,MATCH($W240,'🎓 Alumnas'!$A$2:$A$1000,0))),""))</f>
        <v/>
      </c>
      <c r="H240" s="28" t="str">
        <f aca="false">IF($W240="","",IFERROR(IF(INDEX('🎓 Alumnas'!$F$2:$F$1000,MATCH($W240,'🎓 Alumnas'!$A$2:$A$1000,0))="","",INDEX('🎓 Alumnas'!$F$2:$F$1000,MATCH($W240,'🎓 Alumnas'!$A$2:$A$1000,0))),""))</f>
        <v/>
      </c>
      <c r="I240" s="30" t="str">
        <f aca="false">IF($W240="","",IFERROR(IF(INDEX('🎓 Alumnas'!$G$2:$G$1000,MATCH($W240,'🎓 Alumnas'!$A$2:$A$1000,0))="","",INDEX('🎓 Alumnas'!$G$2:$G$1000,MATCH($W240,'🎓 Alumnas'!$A$2:$A$1000,0))),""))</f>
        <v/>
      </c>
      <c r="J240" s="28" t="str">
        <f aca="true">IF(I240="","",DATEDIF(I240,TODAY(),"Y"))</f>
        <v/>
      </c>
      <c r="K240" s="25"/>
      <c r="L240" s="28" t="str">
        <f aca="false">IF(K240="","",IF(LEFT(K240,6)="1 Pole","Alquiler",IF(LEFT(K240,7)="1 Clase","Clase suelta","Paquete")))</f>
        <v/>
      </c>
      <c r="M240" s="25"/>
      <c r="N240" s="25"/>
      <c r="O240" s="35"/>
      <c r="P240" s="29" t="str">
        <f aca="false">IF(O240="","",N240*O240)</f>
        <v/>
      </c>
      <c r="Q240" s="36"/>
      <c r="R240" s="25"/>
      <c r="S240" s="25"/>
      <c r="T240" s="28" t="str">
        <f aca="false">IF(OR(LEFT(W240,2)&lt;&gt;"A-",ISERROR(MATCH(W240,'🎓 Alumnas'!$A$2:$A$1000,0))),"",IF(COUNTIF($W$2:W240,W240)=1,"Nueva","Recurrente"))</f>
        <v/>
      </c>
      <c r="U240" s="28" t="str">
        <f aca="false">IF(OR(T240="",L240&lt;&gt;"Paquete"),"",COUNTIFS($W$2:W240,W240,$L$2:L240,"Paquete"))</f>
        <v/>
      </c>
      <c r="V240" s="25"/>
      <c r="W240" s="34" t="str">
        <f aca="false">IF(TRIM($C240)="","",IF(COUNTIF('🎓 Alumnas'!$P$2:$P$1000,TRIM($C240))&gt;0,INDEX('🎓 Alumnas'!$A$2:$A$1000,MATCH(TRIM($C240),'🎓 Alumnas'!$P$2:$P$1000,0)),IF(COUNTIF('🎓 Alumnas'!$O$2:$O$1000,TRIM($C240)&amp;"|*")=1,INDEX('🎓 Alumnas'!$A$2:$A$1000,MATCH(TRIM($C240)&amp;"|*",'🎓 Alumnas'!$O$2:$O$1000,0)),IF(COUNTIF('🎓 Alumnas'!$O$2:$O$1000,"*|"&amp;TRIM($C240))=1,INDEX('🎓 Alumnas'!$A$2:$A$1000,MATCH("*|"&amp;TRIM($C240),'🎓 Alumnas'!$O$2:$O$1000,0)),IF(COUNTIF('🎓 Alumnas'!$Q$2:$Q$1000,TRIM($C240))=1,INDEX('🎓 Alumnas'!$A$2:$A$1000,MATCH(TRIM($C240),'🎓 Alumnas'!$Q$2:$Q$1000,0)),IF(COUNTIF('🎓 Alumnas'!$P$2:$P$1000,"*"&amp;TRIM($C240)&amp;"*")=1,INDEX('🎓 Alumnas'!$A$2:$A$1000,MATCH("*"&amp;TRIM($C240)&amp;"*",'🎓 Alumnas'!$P$2:$P$1000,0)),IF(COUNTIF('🎓 Alumnas'!$Q$2:$Q$1000,"*"&amp;TRIM($C240)&amp;"*")=1,INDEX('🎓 Alumnas'!$A$2:$A$1000,MATCH("*"&amp;TRIM($C240)&amp;"*",'🎓 Alumnas'!$Q$2:$Q$1000,0)),IF(COUNTIF('🎓 Alumnas'!$P$2:$P$1000,"*"&amp;TRIM($C240)&amp;"*")+COUNTIF('🎓 Alumnas'!$Q$2:$Q$1000,"*"&amp;TRIM($C240)&amp;"*")&gt;1,"Varias: elige de la lista","No encontrada"))))))))</f>
        <v/>
      </c>
    </row>
    <row r="241" customFormat="false" ht="14.25" hidden="false" customHeight="true" outlineLevel="0" collapsed="false">
      <c r="A241" s="25" t="s">
        <v>786</v>
      </c>
      <c r="B241" s="27"/>
      <c r="C241" s="25"/>
      <c r="D241" s="34" t="str">
        <f aca="false">IF($W241="","",IFERROR(TRIM(INDEX('🎓 Alumnas'!$B$2:$B$1000,MATCH($W241,'🎓 Alumnas'!$A$2:$A$1000,0))),""))</f>
        <v/>
      </c>
      <c r="E241" s="34" t="str">
        <f aca="false">IF($W241="","",IFERROR(TRIM(INDEX('🎓 Alumnas'!$C$2:$C$1000,MATCH($W241,'🎓 Alumnas'!$A$2:$A$1000,0))),""))</f>
        <v/>
      </c>
      <c r="F241" s="34" t="str">
        <f aca="false">IF($W241="","",IFERROR(IF(INDEX('🎓 Alumnas'!$D$2:$D$1000,MATCH($W241,'🎓 Alumnas'!$A$2:$A$1000,0))="","",INDEX('🎓 Alumnas'!$D$2:$D$1000,MATCH($W241,'🎓 Alumnas'!$A$2:$A$1000,0))),""))</f>
        <v/>
      </c>
      <c r="G241" s="28" t="str">
        <f aca="false">IF($W241="","",IFERROR(IF(INDEX('🎓 Alumnas'!$E$2:$E$1000,MATCH($W241,'🎓 Alumnas'!$A$2:$A$1000,0))="","",INDEX('🎓 Alumnas'!$E$2:$E$1000,MATCH($W241,'🎓 Alumnas'!$A$2:$A$1000,0))),""))</f>
        <v/>
      </c>
      <c r="H241" s="28" t="str">
        <f aca="false">IF($W241="","",IFERROR(IF(INDEX('🎓 Alumnas'!$F$2:$F$1000,MATCH($W241,'🎓 Alumnas'!$A$2:$A$1000,0))="","",INDEX('🎓 Alumnas'!$F$2:$F$1000,MATCH($W241,'🎓 Alumnas'!$A$2:$A$1000,0))),""))</f>
        <v/>
      </c>
      <c r="I241" s="30" t="str">
        <f aca="false">IF($W241="","",IFERROR(IF(INDEX('🎓 Alumnas'!$G$2:$G$1000,MATCH($W241,'🎓 Alumnas'!$A$2:$A$1000,0))="","",INDEX('🎓 Alumnas'!$G$2:$G$1000,MATCH($W241,'🎓 Alumnas'!$A$2:$A$1000,0))),""))</f>
        <v/>
      </c>
      <c r="J241" s="28" t="str">
        <f aca="true">IF(I241="","",DATEDIF(I241,TODAY(),"Y"))</f>
        <v/>
      </c>
      <c r="K241" s="25"/>
      <c r="L241" s="28" t="str">
        <f aca="false">IF(K241="","",IF(LEFT(K241,6)="1 Pole","Alquiler",IF(LEFT(K241,7)="1 Clase","Clase suelta","Paquete")))</f>
        <v/>
      </c>
      <c r="M241" s="25"/>
      <c r="N241" s="25"/>
      <c r="O241" s="35"/>
      <c r="P241" s="29" t="str">
        <f aca="false">IF(O241="","",N241*O241)</f>
        <v/>
      </c>
      <c r="Q241" s="36"/>
      <c r="R241" s="25"/>
      <c r="S241" s="25"/>
      <c r="T241" s="28" t="str">
        <f aca="false">IF(OR(LEFT(W241,2)&lt;&gt;"A-",ISERROR(MATCH(W241,'🎓 Alumnas'!$A$2:$A$1000,0))),"",IF(COUNTIF($W$2:W241,W241)=1,"Nueva","Recurrente"))</f>
        <v/>
      </c>
      <c r="U241" s="28" t="str">
        <f aca="false">IF(OR(T241="",L241&lt;&gt;"Paquete"),"",COUNTIFS($W$2:W241,W241,$L$2:L241,"Paquete"))</f>
        <v/>
      </c>
      <c r="V241" s="25"/>
      <c r="W241" s="34" t="str">
        <f aca="false">IF(TRIM($C241)="","",IF(COUNTIF('🎓 Alumnas'!$P$2:$P$1000,TRIM($C241))&gt;0,INDEX('🎓 Alumnas'!$A$2:$A$1000,MATCH(TRIM($C241),'🎓 Alumnas'!$P$2:$P$1000,0)),IF(COUNTIF('🎓 Alumnas'!$O$2:$O$1000,TRIM($C241)&amp;"|*")=1,INDEX('🎓 Alumnas'!$A$2:$A$1000,MATCH(TRIM($C241)&amp;"|*",'🎓 Alumnas'!$O$2:$O$1000,0)),IF(COUNTIF('🎓 Alumnas'!$O$2:$O$1000,"*|"&amp;TRIM($C241))=1,INDEX('🎓 Alumnas'!$A$2:$A$1000,MATCH("*|"&amp;TRIM($C241),'🎓 Alumnas'!$O$2:$O$1000,0)),IF(COUNTIF('🎓 Alumnas'!$Q$2:$Q$1000,TRIM($C241))=1,INDEX('🎓 Alumnas'!$A$2:$A$1000,MATCH(TRIM($C241),'🎓 Alumnas'!$Q$2:$Q$1000,0)),IF(COUNTIF('🎓 Alumnas'!$P$2:$P$1000,"*"&amp;TRIM($C241)&amp;"*")=1,INDEX('🎓 Alumnas'!$A$2:$A$1000,MATCH("*"&amp;TRIM($C241)&amp;"*",'🎓 Alumnas'!$P$2:$P$1000,0)),IF(COUNTIF('🎓 Alumnas'!$Q$2:$Q$1000,"*"&amp;TRIM($C241)&amp;"*")=1,INDEX('🎓 Alumnas'!$A$2:$A$1000,MATCH("*"&amp;TRIM($C241)&amp;"*",'🎓 Alumnas'!$Q$2:$Q$1000,0)),IF(COUNTIF('🎓 Alumnas'!$P$2:$P$1000,"*"&amp;TRIM($C241)&amp;"*")+COUNTIF('🎓 Alumnas'!$Q$2:$Q$1000,"*"&amp;TRIM($C241)&amp;"*")&gt;1,"Varias: elige de la lista","No encontrada"))))))))</f>
        <v/>
      </c>
    </row>
    <row r="242" customFormat="false" ht="14.25" hidden="false" customHeight="true" outlineLevel="0" collapsed="false">
      <c r="A242" s="25" t="s">
        <v>787</v>
      </c>
      <c r="B242" s="27"/>
      <c r="C242" s="25"/>
      <c r="D242" s="34" t="str">
        <f aca="false">IF($W242="","",IFERROR(TRIM(INDEX('🎓 Alumnas'!$B$2:$B$1000,MATCH($W242,'🎓 Alumnas'!$A$2:$A$1000,0))),""))</f>
        <v/>
      </c>
      <c r="E242" s="34" t="str">
        <f aca="false">IF($W242="","",IFERROR(TRIM(INDEX('🎓 Alumnas'!$C$2:$C$1000,MATCH($W242,'🎓 Alumnas'!$A$2:$A$1000,0))),""))</f>
        <v/>
      </c>
      <c r="F242" s="34" t="str">
        <f aca="false">IF($W242="","",IFERROR(IF(INDEX('🎓 Alumnas'!$D$2:$D$1000,MATCH($W242,'🎓 Alumnas'!$A$2:$A$1000,0))="","",INDEX('🎓 Alumnas'!$D$2:$D$1000,MATCH($W242,'🎓 Alumnas'!$A$2:$A$1000,0))),""))</f>
        <v/>
      </c>
      <c r="G242" s="28" t="str">
        <f aca="false">IF($W242="","",IFERROR(IF(INDEX('🎓 Alumnas'!$E$2:$E$1000,MATCH($W242,'🎓 Alumnas'!$A$2:$A$1000,0))="","",INDEX('🎓 Alumnas'!$E$2:$E$1000,MATCH($W242,'🎓 Alumnas'!$A$2:$A$1000,0))),""))</f>
        <v/>
      </c>
      <c r="H242" s="28" t="str">
        <f aca="false">IF($W242="","",IFERROR(IF(INDEX('🎓 Alumnas'!$F$2:$F$1000,MATCH($W242,'🎓 Alumnas'!$A$2:$A$1000,0))="","",INDEX('🎓 Alumnas'!$F$2:$F$1000,MATCH($W242,'🎓 Alumnas'!$A$2:$A$1000,0))),""))</f>
        <v/>
      </c>
      <c r="I242" s="30" t="str">
        <f aca="false">IF($W242="","",IFERROR(IF(INDEX('🎓 Alumnas'!$G$2:$G$1000,MATCH($W242,'🎓 Alumnas'!$A$2:$A$1000,0))="","",INDEX('🎓 Alumnas'!$G$2:$G$1000,MATCH($W242,'🎓 Alumnas'!$A$2:$A$1000,0))),""))</f>
        <v/>
      </c>
      <c r="J242" s="28" t="str">
        <f aca="true">IF(I242="","",DATEDIF(I242,TODAY(),"Y"))</f>
        <v/>
      </c>
      <c r="K242" s="25"/>
      <c r="L242" s="28" t="str">
        <f aca="false">IF(K242="","",IF(LEFT(K242,6)="1 Pole","Alquiler",IF(LEFT(K242,7)="1 Clase","Clase suelta","Paquete")))</f>
        <v/>
      </c>
      <c r="M242" s="25"/>
      <c r="N242" s="25"/>
      <c r="O242" s="35"/>
      <c r="P242" s="29" t="str">
        <f aca="false">IF(O242="","",N242*O242)</f>
        <v/>
      </c>
      <c r="Q242" s="36"/>
      <c r="R242" s="25"/>
      <c r="S242" s="25"/>
      <c r="T242" s="28" t="str">
        <f aca="false">IF(OR(LEFT(W242,2)&lt;&gt;"A-",ISERROR(MATCH(W242,'🎓 Alumnas'!$A$2:$A$1000,0))),"",IF(COUNTIF($W$2:W242,W242)=1,"Nueva","Recurrente"))</f>
        <v/>
      </c>
      <c r="U242" s="28" t="str">
        <f aca="false">IF(OR(T242="",L242&lt;&gt;"Paquete"),"",COUNTIFS($W$2:W242,W242,$L$2:L242,"Paquete"))</f>
        <v/>
      </c>
      <c r="V242" s="25"/>
      <c r="W242" s="34" t="str">
        <f aca="false">IF(TRIM($C242)="","",IF(COUNTIF('🎓 Alumnas'!$P$2:$P$1000,TRIM($C242))&gt;0,INDEX('🎓 Alumnas'!$A$2:$A$1000,MATCH(TRIM($C242),'🎓 Alumnas'!$P$2:$P$1000,0)),IF(COUNTIF('🎓 Alumnas'!$O$2:$O$1000,TRIM($C242)&amp;"|*")=1,INDEX('🎓 Alumnas'!$A$2:$A$1000,MATCH(TRIM($C242)&amp;"|*",'🎓 Alumnas'!$O$2:$O$1000,0)),IF(COUNTIF('🎓 Alumnas'!$O$2:$O$1000,"*|"&amp;TRIM($C242))=1,INDEX('🎓 Alumnas'!$A$2:$A$1000,MATCH("*|"&amp;TRIM($C242),'🎓 Alumnas'!$O$2:$O$1000,0)),IF(COUNTIF('🎓 Alumnas'!$Q$2:$Q$1000,TRIM($C242))=1,INDEX('🎓 Alumnas'!$A$2:$A$1000,MATCH(TRIM($C242),'🎓 Alumnas'!$Q$2:$Q$1000,0)),IF(COUNTIF('🎓 Alumnas'!$P$2:$P$1000,"*"&amp;TRIM($C242)&amp;"*")=1,INDEX('🎓 Alumnas'!$A$2:$A$1000,MATCH("*"&amp;TRIM($C242)&amp;"*",'🎓 Alumnas'!$P$2:$P$1000,0)),IF(COUNTIF('🎓 Alumnas'!$Q$2:$Q$1000,"*"&amp;TRIM($C242)&amp;"*")=1,INDEX('🎓 Alumnas'!$A$2:$A$1000,MATCH("*"&amp;TRIM($C242)&amp;"*",'🎓 Alumnas'!$Q$2:$Q$1000,0)),IF(COUNTIF('🎓 Alumnas'!$P$2:$P$1000,"*"&amp;TRIM($C242)&amp;"*")+COUNTIF('🎓 Alumnas'!$Q$2:$Q$1000,"*"&amp;TRIM($C242)&amp;"*")&gt;1,"Varias: elige de la lista","No encontrada"))))))))</f>
        <v/>
      </c>
    </row>
    <row r="243" customFormat="false" ht="14.25" hidden="false" customHeight="true" outlineLevel="0" collapsed="false">
      <c r="A243" s="25" t="s">
        <v>788</v>
      </c>
      <c r="B243" s="27"/>
      <c r="C243" s="25"/>
      <c r="D243" s="34" t="str">
        <f aca="false">IF($W243="","",IFERROR(TRIM(INDEX('🎓 Alumnas'!$B$2:$B$1000,MATCH($W243,'🎓 Alumnas'!$A$2:$A$1000,0))),""))</f>
        <v/>
      </c>
      <c r="E243" s="34" t="str">
        <f aca="false">IF($W243="","",IFERROR(TRIM(INDEX('🎓 Alumnas'!$C$2:$C$1000,MATCH($W243,'🎓 Alumnas'!$A$2:$A$1000,0))),""))</f>
        <v/>
      </c>
      <c r="F243" s="34" t="str">
        <f aca="false">IF($W243="","",IFERROR(IF(INDEX('🎓 Alumnas'!$D$2:$D$1000,MATCH($W243,'🎓 Alumnas'!$A$2:$A$1000,0))="","",INDEX('🎓 Alumnas'!$D$2:$D$1000,MATCH($W243,'🎓 Alumnas'!$A$2:$A$1000,0))),""))</f>
        <v/>
      </c>
      <c r="G243" s="28" t="str">
        <f aca="false">IF($W243="","",IFERROR(IF(INDEX('🎓 Alumnas'!$E$2:$E$1000,MATCH($W243,'🎓 Alumnas'!$A$2:$A$1000,0))="","",INDEX('🎓 Alumnas'!$E$2:$E$1000,MATCH($W243,'🎓 Alumnas'!$A$2:$A$1000,0))),""))</f>
        <v/>
      </c>
      <c r="H243" s="28" t="str">
        <f aca="false">IF($W243="","",IFERROR(IF(INDEX('🎓 Alumnas'!$F$2:$F$1000,MATCH($W243,'🎓 Alumnas'!$A$2:$A$1000,0))="","",INDEX('🎓 Alumnas'!$F$2:$F$1000,MATCH($W243,'🎓 Alumnas'!$A$2:$A$1000,0))),""))</f>
        <v/>
      </c>
      <c r="I243" s="30" t="str">
        <f aca="false">IF($W243="","",IFERROR(IF(INDEX('🎓 Alumnas'!$G$2:$G$1000,MATCH($W243,'🎓 Alumnas'!$A$2:$A$1000,0))="","",INDEX('🎓 Alumnas'!$G$2:$G$1000,MATCH($W243,'🎓 Alumnas'!$A$2:$A$1000,0))),""))</f>
        <v/>
      </c>
      <c r="J243" s="28" t="str">
        <f aca="true">IF(I243="","",DATEDIF(I243,TODAY(),"Y"))</f>
        <v/>
      </c>
      <c r="K243" s="25"/>
      <c r="L243" s="28" t="str">
        <f aca="false">IF(K243="","",IF(LEFT(K243,6)="1 Pole","Alquiler",IF(LEFT(K243,7)="1 Clase","Clase suelta","Paquete")))</f>
        <v/>
      </c>
      <c r="M243" s="25"/>
      <c r="N243" s="25"/>
      <c r="O243" s="35"/>
      <c r="P243" s="29" t="str">
        <f aca="false">IF(O243="","",N243*O243)</f>
        <v/>
      </c>
      <c r="Q243" s="36"/>
      <c r="R243" s="25"/>
      <c r="S243" s="25"/>
      <c r="T243" s="28" t="str">
        <f aca="false">IF(OR(LEFT(W243,2)&lt;&gt;"A-",ISERROR(MATCH(W243,'🎓 Alumnas'!$A$2:$A$1000,0))),"",IF(COUNTIF($W$2:W243,W243)=1,"Nueva","Recurrente"))</f>
        <v/>
      </c>
      <c r="U243" s="28" t="str">
        <f aca="false">IF(OR(T243="",L243&lt;&gt;"Paquete"),"",COUNTIFS($W$2:W243,W243,$L$2:L243,"Paquete"))</f>
        <v/>
      </c>
      <c r="V243" s="25"/>
      <c r="W243" s="34" t="str">
        <f aca="false">IF(TRIM($C243)="","",IF(COUNTIF('🎓 Alumnas'!$P$2:$P$1000,TRIM($C243))&gt;0,INDEX('🎓 Alumnas'!$A$2:$A$1000,MATCH(TRIM($C243),'🎓 Alumnas'!$P$2:$P$1000,0)),IF(COUNTIF('🎓 Alumnas'!$O$2:$O$1000,TRIM($C243)&amp;"|*")=1,INDEX('🎓 Alumnas'!$A$2:$A$1000,MATCH(TRIM($C243)&amp;"|*",'🎓 Alumnas'!$O$2:$O$1000,0)),IF(COUNTIF('🎓 Alumnas'!$O$2:$O$1000,"*|"&amp;TRIM($C243))=1,INDEX('🎓 Alumnas'!$A$2:$A$1000,MATCH("*|"&amp;TRIM($C243),'🎓 Alumnas'!$O$2:$O$1000,0)),IF(COUNTIF('🎓 Alumnas'!$Q$2:$Q$1000,TRIM($C243))=1,INDEX('🎓 Alumnas'!$A$2:$A$1000,MATCH(TRIM($C243),'🎓 Alumnas'!$Q$2:$Q$1000,0)),IF(COUNTIF('🎓 Alumnas'!$P$2:$P$1000,"*"&amp;TRIM($C243)&amp;"*")=1,INDEX('🎓 Alumnas'!$A$2:$A$1000,MATCH("*"&amp;TRIM($C243)&amp;"*",'🎓 Alumnas'!$P$2:$P$1000,0)),IF(COUNTIF('🎓 Alumnas'!$Q$2:$Q$1000,"*"&amp;TRIM($C243)&amp;"*")=1,INDEX('🎓 Alumnas'!$A$2:$A$1000,MATCH("*"&amp;TRIM($C243)&amp;"*",'🎓 Alumnas'!$Q$2:$Q$1000,0)),IF(COUNTIF('🎓 Alumnas'!$P$2:$P$1000,"*"&amp;TRIM($C243)&amp;"*")+COUNTIF('🎓 Alumnas'!$Q$2:$Q$1000,"*"&amp;TRIM($C243)&amp;"*")&gt;1,"Varias: elige de la lista","No encontrada"))))))))</f>
        <v/>
      </c>
    </row>
    <row r="244" customFormat="false" ht="14.25" hidden="false" customHeight="true" outlineLevel="0" collapsed="false">
      <c r="A244" s="25" t="s">
        <v>789</v>
      </c>
      <c r="B244" s="27"/>
      <c r="C244" s="25"/>
      <c r="D244" s="34" t="str">
        <f aca="false">IF($W244="","",IFERROR(TRIM(INDEX('🎓 Alumnas'!$B$2:$B$1000,MATCH($W244,'🎓 Alumnas'!$A$2:$A$1000,0))),""))</f>
        <v/>
      </c>
      <c r="E244" s="34" t="str">
        <f aca="false">IF($W244="","",IFERROR(TRIM(INDEX('🎓 Alumnas'!$C$2:$C$1000,MATCH($W244,'🎓 Alumnas'!$A$2:$A$1000,0))),""))</f>
        <v/>
      </c>
      <c r="F244" s="34" t="str">
        <f aca="false">IF($W244="","",IFERROR(IF(INDEX('🎓 Alumnas'!$D$2:$D$1000,MATCH($W244,'🎓 Alumnas'!$A$2:$A$1000,0))="","",INDEX('🎓 Alumnas'!$D$2:$D$1000,MATCH($W244,'🎓 Alumnas'!$A$2:$A$1000,0))),""))</f>
        <v/>
      </c>
      <c r="G244" s="28" t="str">
        <f aca="false">IF($W244="","",IFERROR(IF(INDEX('🎓 Alumnas'!$E$2:$E$1000,MATCH($W244,'🎓 Alumnas'!$A$2:$A$1000,0))="","",INDEX('🎓 Alumnas'!$E$2:$E$1000,MATCH($W244,'🎓 Alumnas'!$A$2:$A$1000,0))),""))</f>
        <v/>
      </c>
      <c r="H244" s="28" t="str">
        <f aca="false">IF($W244="","",IFERROR(IF(INDEX('🎓 Alumnas'!$F$2:$F$1000,MATCH($W244,'🎓 Alumnas'!$A$2:$A$1000,0))="","",INDEX('🎓 Alumnas'!$F$2:$F$1000,MATCH($W244,'🎓 Alumnas'!$A$2:$A$1000,0))),""))</f>
        <v/>
      </c>
      <c r="I244" s="30" t="str">
        <f aca="false">IF($W244="","",IFERROR(IF(INDEX('🎓 Alumnas'!$G$2:$G$1000,MATCH($W244,'🎓 Alumnas'!$A$2:$A$1000,0))="","",INDEX('🎓 Alumnas'!$G$2:$G$1000,MATCH($W244,'🎓 Alumnas'!$A$2:$A$1000,0))),""))</f>
        <v/>
      </c>
      <c r="J244" s="28" t="str">
        <f aca="true">IF(I244="","",DATEDIF(I244,TODAY(),"Y"))</f>
        <v/>
      </c>
      <c r="K244" s="25"/>
      <c r="L244" s="28" t="str">
        <f aca="false">IF(K244="","",IF(LEFT(K244,6)="1 Pole","Alquiler",IF(LEFT(K244,7)="1 Clase","Clase suelta","Paquete")))</f>
        <v/>
      </c>
      <c r="M244" s="25"/>
      <c r="N244" s="25"/>
      <c r="O244" s="35"/>
      <c r="P244" s="29" t="str">
        <f aca="false">IF(O244="","",N244*O244)</f>
        <v/>
      </c>
      <c r="Q244" s="36"/>
      <c r="R244" s="25"/>
      <c r="S244" s="25"/>
      <c r="T244" s="28" t="str">
        <f aca="false">IF(OR(LEFT(W244,2)&lt;&gt;"A-",ISERROR(MATCH(W244,'🎓 Alumnas'!$A$2:$A$1000,0))),"",IF(COUNTIF($W$2:W244,W244)=1,"Nueva","Recurrente"))</f>
        <v/>
      </c>
      <c r="U244" s="28" t="str">
        <f aca="false">IF(OR(T244="",L244&lt;&gt;"Paquete"),"",COUNTIFS($W$2:W244,W244,$L$2:L244,"Paquete"))</f>
        <v/>
      </c>
      <c r="V244" s="25"/>
      <c r="W244" s="34" t="str">
        <f aca="false">IF(TRIM($C244)="","",IF(COUNTIF('🎓 Alumnas'!$P$2:$P$1000,TRIM($C244))&gt;0,INDEX('🎓 Alumnas'!$A$2:$A$1000,MATCH(TRIM($C244),'🎓 Alumnas'!$P$2:$P$1000,0)),IF(COUNTIF('🎓 Alumnas'!$O$2:$O$1000,TRIM($C244)&amp;"|*")=1,INDEX('🎓 Alumnas'!$A$2:$A$1000,MATCH(TRIM($C244)&amp;"|*",'🎓 Alumnas'!$O$2:$O$1000,0)),IF(COUNTIF('🎓 Alumnas'!$O$2:$O$1000,"*|"&amp;TRIM($C244))=1,INDEX('🎓 Alumnas'!$A$2:$A$1000,MATCH("*|"&amp;TRIM($C244),'🎓 Alumnas'!$O$2:$O$1000,0)),IF(COUNTIF('🎓 Alumnas'!$Q$2:$Q$1000,TRIM($C244))=1,INDEX('🎓 Alumnas'!$A$2:$A$1000,MATCH(TRIM($C244),'🎓 Alumnas'!$Q$2:$Q$1000,0)),IF(COUNTIF('🎓 Alumnas'!$P$2:$P$1000,"*"&amp;TRIM($C244)&amp;"*")=1,INDEX('🎓 Alumnas'!$A$2:$A$1000,MATCH("*"&amp;TRIM($C244)&amp;"*",'🎓 Alumnas'!$P$2:$P$1000,0)),IF(COUNTIF('🎓 Alumnas'!$Q$2:$Q$1000,"*"&amp;TRIM($C244)&amp;"*")=1,INDEX('🎓 Alumnas'!$A$2:$A$1000,MATCH("*"&amp;TRIM($C244)&amp;"*",'🎓 Alumnas'!$Q$2:$Q$1000,0)),IF(COUNTIF('🎓 Alumnas'!$P$2:$P$1000,"*"&amp;TRIM($C244)&amp;"*")+COUNTIF('🎓 Alumnas'!$Q$2:$Q$1000,"*"&amp;TRIM($C244)&amp;"*")&gt;1,"Varias: elige de la lista","No encontrada"))))))))</f>
        <v/>
      </c>
    </row>
    <row r="245" customFormat="false" ht="14.25" hidden="false" customHeight="true" outlineLevel="0" collapsed="false">
      <c r="A245" s="25" t="s">
        <v>790</v>
      </c>
      <c r="B245" s="27"/>
      <c r="C245" s="25"/>
      <c r="D245" s="34" t="str">
        <f aca="false">IF($W245="","",IFERROR(TRIM(INDEX('🎓 Alumnas'!$B$2:$B$1000,MATCH($W245,'🎓 Alumnas'!$A$2:$A$1000,0))),""))</f>
        <v/>
      </c>
      <c r="E245" s="34" t="str">
        <f aca="false">IF($W245="","",IFERROR(TRIM(INDEX('🎓 Alumnas'!$C$2:$C$1000,MATCH($W245,'🎓 Alumnas'!$A$2:$A$1000,0))),""))</f>
        <v/>
      </c>
      <c r="F245" s="34" t="str">
        <f aca="false">IF($W245="","",IFERROR(IF(INDEX('🎓 Alumnas'!$D$2:$D$1000,MATCH($W245,'🎓 Alumnas'!$A$2:$A$1000,0))="","",INDEX('🎓 Alumnas'!$D$2:$D$1000,MATCH($W245,'🎓 Alumnas'!$A$2:$A$1000,0))),""))</f>
        <v/>
      </c>
      <c r="G245" s="28" t="str">
        <f aca="false">IF($W245="","",IFERROR(IF(INDEX('🎓 Alumnas'!$E$2:$E$1000,MATCH($W245,'🎓 Alumnas'!$A$2:$A$1000,0))="","",INDEX('🎓 Alumnas'!$E$2:$E$1000,MATCH($W245,'🎓 Alumnas'!$A$2:$A$1000,0))),""))</f>
        <v/>
      </c>
      <c r="H245" s="28" t="str">
        <f aca="false">IF($W245="","",IFERROR(IF(INDEX('🎓 Alumnas'!$F$2:$F$1000,MATCH($W245,'🎓 Alumnas'!$A$2:$A$1000,0))="","",INDEX('🎓 Alumnas'!$F$2:$F$1000,MATCH($W245,'🎓 Alumnas'!$A$2:$A$1000,0))),""))</f>
        <v/>
      </c>
      <c r="I245" s="30" t="str">
        <f aca="false">IF($W245="","",IFERROR(IF(INDEX('🎓 Alumnas'!$G$2:$G$1000,MATCH($W245,'🎓 Alumnas'!$A$2:$A$1000,0))="","",INDEX('🎓 Alumnas'!$G$2:$G$1000,MATCH($W245,'🎓 Alumnas'!$A$2:$A$1000,0))),""))</f>
        <v/>
      </c>
      <c r="J245" s="28" t="str">
        <f aca="true">IF(I245="","",DATEDIF(I245,TODAY(),"Y"))</f>
        <v/>
      </c>
      <c r="K245" s="25"/>
      <c r="L245" s="28" t="str">
        <f aca="false">IF(K245="","",IF(LEFT(K245,6)="1 Pole","Alquiler",IF(LEFT(K245,7)="1 Clase","Clase suelta","Paquete")))</f>
        <v/>
      </c>
      <c r="M245" s="25"/>
      <c r="N245" s="25"/>
      <c r="O245" s="35"/>
      <c r="P245" s="29" t="str">
        <f aca="false">IF(O245="","",N245*O245)</f>
        <v/>
      </c>
      <c r="Q245" s="36"/>
      <c r="R245" s="25"/>
      <c r="S245" s="25"/>
      <c r="T245" s="28" t="str">
        <f aca="false">IF(OR(LEFT(W245,2)&lt;&gt;"A-",ISERROR(MATCH(W245,'🎓 Alumnas'!$A$2:$A$1000,0))),"",IF(COUNTIF($W$2:W245,W245)=1,"Nueva","Recurrente"))</f>
        <v/>
      </c>
      <c r="U245" s="28" t="str">
        <f aca="false">IF(OR(T245="",L245&lt;&gt;"Paquete"),"",COUNTIFS($W$2:W245,W245,$L$2:L245,"Paquete"))</f>
        <v/>
      </c>
      <c r="V245" s="25"/>
      <c r="W245" s="34" t="str">
        <f aca="false">IF(TRIM($C245)="","",IF(COUNTIF('🎓 Alumnas'!$P$2:$P$1000,TRIM($C245))&gt;0,INDEX('🎓 Alumnas'!$A$2:$A$1000,MATCH(TRIM($C245),'🎓 Alumnas'!$P$2:$P$1000,0)),IF(COUNTIF('🎓 Alumnas'!$O$2:$O$1000,TRIM($C245)&amp;"|*")=1,INDEX('🎓 Alumnas'!$A$2:$A$1000,MATCH(TRIM($C245)&amp;"|*",'🎓 Alumnas'!$O$2:$O$1000,0)),IF(COUNTIF('🎓 Alumnas'!$O$2:$O$1000,"*|"&amp;TRIM($C245))=1,INDEX('🎓 Alumnas'!$A$2:$A$1000,MATCH("*|"&amp;TRIM($C245),'🎓 Alumnas'!$O$2:$O$1000,0)),IF(COUNTIF('🎓 Alumnas'!$Q$2:$Q$1000,TRIM($C245))=1,INDEX('🎓 Alumnas'!$A$2:$A$1000,MATCH(TRIM($C245),'🎓 Alumnas'!$Q$2:$Q$1000,0)),IF(COUNTIF('🎓 Alumnas'!$P$2:$P$1000,"*"&amp;TRIM($C245)&amp;"*")=1,INDEX('🎓 Alumnas'!$A$2:$A$1000,MATCH("*"&amp;TRIM($C245)&amp;"*",'🎓 Alumnas'!$P$2:$P$1000,0)),IF(COUNTIF('🎓 Alumnas'!$Q$2:$Q$1000,"*"&amp;TRIM($C245)&amp;"*")=1,INDEX('🎓 Alumnas'!$A$2:$A$1000,MATCH("*"&amp;TRIM($C245)&amp;"*",'🎓 Alumnas'!$Q$2:$Q$1000,0)),IF(COUNTIF('🎓 Alumnas'!$P$2:$P$1000,"*"&amp;TRIM($C245)&amp;"*")+COUNTIF('🎓 Alumnas'!$Q$2:$Q$1000,"*"&amp;TRIM($C245)&amp;"*")&gt;1,"Varias: elige de la lista","No encontrada"))))))))</f>
        <v/>
      </c>
    </row>
    <row r="246" customFormat="false" ht="14.25" hidden="false" customHeight="true" outlineLevel="0" collapsed="false">
      <c r="A246" s="25" t="s">
        <v>791</v>
      </c>
      <c r="B246" s="27"/>
      <c r="C246" s="25"/>
      <c r="D246" s="34" t="str">
        <f aca="false">IF($W246="","",IFERROR(TRIM(INDEX('🎓 Alumnas'!$B$2:$B$1000,MATCH($W246,'🎓 Alumnas'!$A$2:$A$1000,0))),""))</f>
        <v/>
      </c>
      <c r="E246" s="34" t="str">
        <f aca="false">IF($W246="","",IFERROR(TRIM(INDEX('🎓 Alumnas'!$C$2:$C$1000,MATCH($W246,'🎓 Alumnas'!$A$2:$A$1000,0))),""))</f>
        <v/>
      </c>
      <c r="F246" s="34" t="str">
        <f aca="false">IF($W246="","",IFERROR(IF(INDEX('🎓 Alumnas'!$D$2:$D$1000,MATCH($W246,'🎓 Alumnas'!$A$2:$A$1000,0))="","",INDEX('🎓 Alumnas'!$D$2:$D$1000,MATCH($W246,'🎓 Alumnas'!$A$2:$A$1000,0))),""))</f>
        <v/>
      </c>
      <c r="G246" s="28" t="str">
        <f aca="false">IF($W246="","",IFERROR(IF(INDEX('🎓 Alumnas'!$E$2:$E$1000,MATCH($W246,'🎓 Alumnas'!$A$2:$A$1000,0))="","",INDEX('🎓 Alumnas'!$E$2:$E$1000,MATCH($W246,'🎓 Alumnas'!$A$2:$A$1000,0))),""))</f>
        <v/>
      </c>
      <c r="H246" s="28" t="str">
        <f aca="false">IF($W246="","",IFERROR(IF(INDEX('🎓 Alumnas'!$F$2:$F$1000,MATCH($W246,'🎓 Alumnas'!$A$2:$A$1000,0))="","",INDEX('🎓 Alumnas'!$F$2:$F$1000,MATCH($W246,'🎓 Alumnas'!$A$2:$A$1000,0))),""))</f>
        <v/>
      </c>
      <c r="I246" s="30" t="str">
        <f aca="false">IF($W246="","",IFERROR(IF(INDEX('🎓 Alumnas'!$G$2:$G$1000,MATCH($W246,'🎓 Alumnas'!$A$2:$A$1000,0))="","",INDEX('🎓 Alumnas'!$G$2:$G$1000,MATCH($W246,'🎓 Alumnas'!$A$2:$A$1000,0))),""))</f>
        <v/>
      </c>
      <c r="J246" s="28" t="str">
        <f aca="true">IF(I246="","",DATEDIF(I246,TODAY(),"Y"))</f>
        <v/>
      </c>
      <c r="K246" s="25"/>
      <c r="L246" s="28" t="str">
        <f aca="false">IF(K246="","",IF(LEFT(K246,6)="1 Pole","Alquiler",IF(LEFT(K246,7)="1 Clase","Clase suelta","Paquete")))</f>
        <v/>
      </c>
      <c r="M246" s="25"/>
      <c r="N246" s="25"/>
      <c r="O246" s="35"/>
      <c r="P246" s="29" t="str">
        <f aca="false">IF(O246="","",N246*O246)</f>
        <v/>
      </c>
      <c r="Q246" s="36"/>
      <c r="R246" s="25"/>
      <c r="S246" s="25"/>
      <c r="T246" s="28" t="str">
        <f aca="false">IF(OR(LEFT(W246,2)&lt;&gt;"A-",ISERROR(MATCH(W246,'🎓 Alumnas'!$A$2:$A$1000,0))),"",IF(COUNTIF($W$2:W246,W246)=1,"Nueva","Recurrente"))</f>
        <v/>
      </c>
      <c r="U246" s="28" t="str">
        <f aca="false">IF(OR(T246="",L246&lt;&gt;"Paquete"),"",COUNTIFS($W$2:W246,W246,$L$2:L246,"Paquete"))</f>
        <v/>
      </c>
      <c r="V246" s="25"/>
      <c r="W246" s="34" t="str">
        <f aca="false">IF(TRIM($C246)="","",IF(COUNTIF('🎓 Alumnas'!$P$2:$P$1000,TRIM($C246))&gt;0,INDEX('🎓 Alumnas'!$A$2:$A$1000,MATCH(TRIM($C246),'🎓 Alumnas'!$P$2:$P$1000,0)),IF(COUNTIF('🎓 Alumnas'!$O$2:$O$1000,TRIM($C246)&amp;"|*")=1,INDEX('🎓 Alumnas'!$A$2:$A$1000,MATCH(TRIM($C246)&amp;"|*",'🎓 Alumnas'!$O$2:$O$1000,0)),IF(COUNTIF('🎓 Alumnas'!$O$2:$O$1000,"*|"&amp;TRIM($C246))=1,INDEX('🎓 Alumnas'!$A$2:$A$1000,MATCH("*|"&amp;TRIM($C246),'🎓 Alumnas'!$O$2:$O$1000,0)),IF(COUNTIF('🎓 Alumnas'!$Q$2:$Q$1000,TRIM($C246))=1,INDEX('🎓 Alumnas'!$A$2:$A$1000,MATCH(TRIM($C246),'🎓 Alumnas'!$Q$2:$Q$1000,0)),IF(COUNTIF('🎓 Alumnas'!$P$2:$P$1000,"*"&amp;TRIM($C246)&amp;"*")=1,INDEX('🎓 Alumnas'!$A$2:$A$1000,MATCH("*"&amp;TRIM($C246)&amp;"*",'🎓 Alumnas'!$P$2:$P$1000,0)),IF(COUNTIF('🎓 Alumnas'!$Q$2:$Q$1000,"*"&amp;TRIM($C246)&amp;"*")=1,INDEX('🎓 Alumnas'!$A$2:$A$1000,MATCH("*"&amp;TRIM($C246)&amp;"*",'🎓 Alumnas'!$Q$2:$Q$1000,0)),IF(COUNTIF('🎓 Alumnas'!$P$2:$P$1000,"*"&amp;TRIM($C246)&amp;"*")+COUNTIF('🎓 Alumnas'!$Q$2:$Q$1000,"*"&amp;TRIM($C246)&amp;"*")&gt;1,"Varias: elige de la lista","No encontrada"))))))))</f>
        <v/>
      </c>
    </row>
    <row r="247" customFormat="false" ht="14.25" hidden="false" customHeight="true" outlineLevel="0" collapsed="false">
      <c r="A247" s="25" t="s">
        <v>792</v>
      </c>
      <c r="B247" s="27"/>
      <c r="C247" s="25"/>
      <c r="D247" s="34" t="str">
        <f aca="false">IF($W247="","",IFERROR(TRIM(INDEX('🎓 Alumnas'!$B$2:$B$1000,MATCH($W247,'🎓 Alumnas'!$A$2:$A$1000,0))),""))</f>
        <v/>
      </c>
      <c r="E247" s="34" t="str">
        <f aca="false">IF($W247="","",IFERROR(TRIM(INDEX('🎓 Alumnas'!$C$2:$C$1000,MATCH($W247,'🎓 Alumnas'!$A$2:$A$1000,0))),""))</f>
        <v/>
      </c>
      <c r="F247" s="34" t="str">
        <f aca="false">IF($W247="","",IFERROR(IF(INDEX('🎓 Alumnas'!$D$2:$D$1000,MATCH($W247,'🎓 Alumnas'!$A$2:$A$1000,0))="","",INDEX('🎓 Alumnas'!$D$2:$D$1000,MATCH($W247,'🎓 Alumnas'!$A$2:$A$1000,0))),""))</f>
        <v/>
      </c>
      <c r="G247" s="28" t="str">
        <f aca="false">IF($W247="","",IFERROR(IF(INDEX('🎓 Alumnas'!$E$2:$E$1000,MATCH($W247,'🎓 Alumnas'!$A$2:$A$1000,0))="","",INDEX('🎓 Alumnas'!$E$2:$E$1000,MATCH($W247,'🎓 Alumnas'!$A$2:$A$1000,0))),""))</f>
        <v/>
      </c>
      <c r="H247" s="28" t="str">
        <f aca="false">IF($W247="","",IFERROR(IF(INDEX('🎓 Alumnas'!$F$2:$F$1000,MATCH($W247,'🎓 Alumnas'!$A$2:$A$1000,0))="","",INDEX('🎓 Alumnas'!$F$2:$F$1000,MATCH($W247,'🎓 Alumnas'!$A$2:$A$1000,0))),""))</f>
        <v/>
      </c>
      <c r="I247" s="30" t="str">
        <f aca="false">IF($W247="","",IFERROR(IF(INDEX('🎓 Alumnas'!$G$2:$G$1000,MATCH($W247,'🎓 Alumnas'!$A$2:$A$1000,0))="","",INDEX('🎓 Alumnas'!$G$2:$G$1000,MATCH($W247,'🎓 Alumnas'!$A$2:$A$1000,0))),""))</f>
        <v/>
      </c>
      <c r="J247" s="28" t="str">
        <f aca="true">IF(I247="","",DATEDIF(I247,TODAY(),"Y"))</f>
        <v/>
      </c>
      <c r="K247" s="25"/>
      <c r="L247" s="28" t="str">
        <f aca="false">IF(K247="","",IF(LEFT(K247,6)="1 Pole","Alquiler",IF(LEFT(K247,7)="1 Clase","Clase suelta","Paquete")))</f>
        <v/>
      </c>
      <c r="M247" s="25"/>
      <c r="N247" s="25"/>
      <c r="O247" s="35"/>
      <c r="P247" s="29" t="str">
        <f aca="false">IF(O247="","",N247*O247)</f>
        <v/>
      </c>
      <c r="Q247" s="36"/>
      <c r="R247" s="25"/>
      <c r="S247" s="25"/>
      <c r="T247" s="28" t="str">
        <f aca="false">IF(OR(LEFT(W247,2)&lt;&gt;"A-",ISERROR(MATCH(W247,'🎓 Alumnas'!$A$2:$A$1000,0))),"",IF(COUNTIF($W$2:W247,W247)=1,"Nueva","Recurrente"))</f>
        <v/>
      </c>
      <c r="U247" s="28" t="str">
        <f aca="false">IF(OR(T247="",L247&lt;&gt;"Paquete"),"",COUNTIFS($W$2:W247,W247,$L$2:L247,"Paquete"))</f>
        <v/>
      </c>
      <c r="V247" s="25"/>
      <c r="W247" s="34" t="str">
        <f aca="false">IF(TRIM($C247)="","",IF(COUNTIF('🎓 Alumnas'!$P$2:$P$1000,TRIM($C247))&gt;0,INDEX('🎓 Alumnas'!$A$2:$A$1000,MATCH(TRIM($C247),'🎓 Alumnas'!$P$2:$P$1000,0)),IF(COUNTIF('🎓 Alumnas'!$O$2:$O$1000,TRIM($C247)&amp;"|*")=1,INDEX('🎓 Alumnas'!$A$2:$A$1000,MATCH(TRIM($C247)&amp;"|*",'🎓 Alumnas'!$O$2:$O$1000,0)),IF(COUNTIF('🎓 Alumnas'!$O$2:$O$1000,"*|"&amp;TRIM($C247))=1,INDEX('🎓 Alumnas'!$A$2:$A$1000,MATCH("*|"&amp;TRIM($C247),'🎓 Alumnas'!$O$2:$O$1000,0)),IF(COUNTIF('🎓 Alumnas'!$Q$2:$Q$1000,TRIM($C247))=1,INDEX('🎓 Alumnas'!$A$2:$A$1000,MATCH(TRIM($C247),'🎓 Alumnas'!$Q$2:$Q$1000,0)),IF(COUNTIF('🎓 Alumnas'!$P$2:$P$1000,"*"&amp;TRIM($C247)&amp;"*")=1,INDEX('🎓 Alumnas'!$A$2:$A$1000,MATCH("*"&amp;TRIM($C247)&amp;"*",'🎓 Alumnas'!$P$2:$P$1000,0)),IF(COUNTIF('🎓 Alumnas'!$Q$2:$Q$1000,"*"&amp;TRIM($C247)&amp;"*")=1,INDEX('🎓 Alumnas'!$A$2:$A$1000,MATCH("*"&amp;TRIM($C247)&amp;"*",'🎓 Alumnas'!$Q$2:$Q$1000,0)),IF(COUNTIF('🎓 Alumnas'!$P$2:$P$1000,"*"&amp;TRIM($C247)&amp;"*")+COUNTIF('🎓 Alumnas'!$Q$2:$Q$1000,"*"&amp;TRIM($C247)&amp;"*")&gt;1,"Varias: elige de la lista","No encontrada"))))))))</f>
        <v/>
      </c>
    </row>
    <row r="248" customFormat="false" ht="14.25" hidden="false" customHeight="true" outlineLevel="0" collapsed="false">
      <c r="A248" s="25" t="s">
        <v>793</v>
      </c>
      <c r="B248" s="27"/>
      <c r="C248" s="25"/>
      <c r="D248" s="34" t="str">
        <f aca="false">IF($W248="","",IFERROR(TRIM(INDEX('🎓 Alumnas'!$B$2:$B$1000,MATCH($W248,'🎓 Alumnas'!$A$2:$A$1000,0))),""))</f>
        <v/>
      </c>
      <c r="E248" s="34" t="str">
        <f aca="false">IF($W248="","",IFERROR(TRIM(INDEX('🎓 Alumnas'!$C$2:$C$1000,MATCH($W248,'🎓 Alumnas'!$A$2:$A$1000,0))),""))</f>
        <v/>
      </c>
      <c r="F248" s="34" t="str">
        <f aca="false">IF($W248="","",IFERROR(IF(INDEX('🎓 Alumnas'!$D$2:$D$1000,MATCH($W248,'🎓 Alumnas'!$A$2:$A$1000,0))="","",INDEX('🎓 Alumnas'!$D$2:$D$1000,MATCH($W248,'🎓 Alumnas'!$A$2:$A$1000,0))),""))</f>
        <v/>
      </c>
      <c r="G248" s="28" t="str">
        <f aca="false">IF($W248="","",IFERROR(IF(INDEX('🎓 Alumnas'!$E$2:$E$1000,MATCH($W248,'🎓 Alumnas'!$A$2:$A$1000,0))="","",INDEX('🎓 Alumnas'!$E$2:$E$1000,MATCH($W248,'🎓 Alumnas'!$A$2:$A$1000,0))),""))</f>
        <v/>
      </c>
      <c r="H248" s="28" t="str">
        <f aca="false">IF($W248="","",IFERROR(IF(INDEX('🎓 Alumnas'!$F$2:$F$1000,MATCH($W248,'🎓 Alumnas'!$A$2:$A$1000,0))="","",INDEX('🎓 Alumnas'!$F$2:$F$1000,MATCH($W248,'🎓 Alumnas'!$A$2:$A$1000,0))),""))</f>
        <v/>
      </c>
      <c r="I248" s="30" t="str">
        <f aca="false">IF($W248="","",IFERROR(IF(INDEX('🎓 Alumnas'!$G$2:$G$1000,MATCH($W248,'🎓 Alumnas'!$A$2:$A$1000,0))="","",INDEX('🎓 Alumnas'!$G$2:$G$1000,MATCH($W248,'🎓 Alumnas'!$A$2:$A$1000,0))),""))</f>
        <v/>
      </c>
      <c r="J248" s="28" t="str">
        <f aca="true">IF(I248="","",DATEDIF(I248,TODAY(),"Y"))</f>
        <v/>
      </c>
      <c r="K248" s="25"/>
      <c r="L248" s="28" t="str">
        <f aca="false">IF(K248="","",IF(LEFT(K248,6)="1 Pole","Alquiler",IF(LEFT(K248,7)="1 Clase","Clase suelta","Paquete")))</f>
        <v/>
      </c>
      <c r="M248" s="25"/>
      <c r="N248" s="25"/>
      <c r="O248" s="35"/>
      <c r="P248" s="29" t="str">
        <f aca="false">IF(O248="","",N248*O248)</f>
        <v/>
      </c>
      <c r="Q248" s="36"/>
      <c r="R248" s="25"/>
      <c r="S248" s="25"/>
      <c r="T248" s="28" t="str">
        <f aca="false">IF(OR(LEFT(W248,2)&lt;&gt;"A-",ISERROR(MATCH(W248,'🎓 Alumnas'!$A$2:$A$1000,0))),"",IF(COUNTIF($W$2:W248,W248)=1,"Nueva","Recurrente"))</f>
        <v/>
      </c>
      <c r="U248" s="28" t="str">
        <f aca="false">IF(OR(T248="",L248&lt;&gt;"Paquete"),"",COUNTIFS($W$2:W248,W248,$L$2:L248,"Paquete"))</f>
        <v/>
      </c>
      <c r="V248" s="25"/>
      <c r="W248" s="34" t="str">
        <f aca="false">IF(TRIM($C248)="","",IF(COUNTIF('🎓 Alumnas'!$P$2:$P$1000,TRIM($C248))&gt;0,INDEX('🎓 Alumnas'!$A$2:$A$1000,MATCH(TRIM($C248),'🎓 Alumnas'!$P$2:$P$1000,0)),IF(COUNTIF('🎓 Alumnas'!$O$2:$O$1000,TRIM($C248)&amp;"|*")=1,INDEX('🎓 Alumnas'!$A$2:$A$1000,MATCH(TRIM($C248)&amp;"|*",'🎓 Alumnas'!$O$2:$O$1000,0)),IF(COUNTIF('🎓 Alumnas'!$O$2:$O$1000,"*|"&amp;TRIM($C248))=1,INDEX('🎓 Alumnas'!$A$2:$A$1000,MATCH("*|"&amp;TRIM($C248),'🎓 Alumnas'!$O$2:$O$1000,0)),IF(COUNTIF('🎓 Alumnas'!$Q$2:$Q$1000,TRIM($C248))=1,INDEX('🎓 Alumnas'!$A$2:$A$1000,MATCH(TRIM($C248),'🎓 Alumnas'!$Q$2:$Q$1000,0)),IF(COUNTIF('🎓 Alumnas'!$P$2:$P$1000,"*"&amp;TRIM($C248)&amp;"*")=1,INDEX('🎓 Alumnas'!$A$2:$A$1000,MATCH("*"&amp;TRIM($C248)&amp;"*",'🎓 Alumnas'!$P$2:$P$1000,0)),IF(COUNTIF('🎓 Alumnas'!$Q$2:$Q$1000,"*"&amp;TRIM($C248)&amp;"*")=1,INDEX('🎓 Alumnas'!$A$2:$A$1000,MATCH("*"&amp;TRIM($C248)&amp;"*",'🎓 Alumnas'!$Q$2:$Q$1000,0)),IF(COUNTIF('🎓 Alumnas'!$P$2:$P$1000,"*"&amp;TRIM($C248)&amp;"*")+COUNTIF('🎓 Alumnas'!$Q$2:$Q$1000,"*"&amp;TRIM($C248)&amp;"*")&gt;1,"Varias: elige de la lista","No encontrada"))))))))</f>
        <v/>
      </c>
    </row>
    <row r="249" customFormat="false" ht="14.25" hidden="false" customHeight="true" outlineLevel="0" collapsed="false">
      <c r="A249" s="25" t="s">
        <v>793</v>
      </c>
      <c r="B249" s="27"/>
      <c r="C249" s="25"/>
      <c r="D249" s="34" t="str">
        <f aca="false">IF($W249="","",IFERROR(TRIM(INDEX('🎓 Alumnas'!$B$2:$B$1000,MATCH($W249,'🎓 Alumnas'!$A$2:$A$1000,0))),""))</f>
        <v/>
      </c>
      <c r="E249" s="34" t="str">
        <f aca="false">IF($W249="","",IFERROR(TRIM(INDEX('🎓 Alumnas'!$C$2:$C$1000,MATCH($W249,'🎓 Alumnas'!$A$2:$A$1000,0))),""))</f>
        <v/>
      </c>
      <c r="F249" s="34" t="str">
        <f aca="false">IF($W249="","",IFERROR(IF(INDEX('🎓 Alumnas'!$D$2:$D$1000,MATCH($W249,'🎓 Alumnas'!$A$2:$A$1000,0))="","",INDEX('🎓 Alumnas'!$D$2:$D$1000,MATCH($W249,'🎓 Alumnas'!$A$2:$A$1000,0))),""))</f>
        <v/>
      </c>
      <c r="G249" s="28" t="str">
        <f aca="false">IF($W249="","",IFERROR(IF(INDEX('🎓 Alumnas'!$E$2:$E$1000,MATCH($W249,'🎓 Alumnas'!$A$2:$A$1000,0))="","",INDEX('🎓 Alumnas'!$E$2:$E$1000,MATCH($W249,'🎓 Alumnas'!$A$2:$A$1000,0))),""))</f>
        <v/>
      </c>
      <c r="H249" s="28" t="str">
        <f aca="false">IF($W249="","",IFERROR(IF(INDEX('🎓 Alumnas'!$F$2:$F$1000,MATCH($W249,'🎓 Alumnas'!$A$2:$A$1000,0))="","",INDEX('🎓 Alumnas'!$F$2:$F$1000,MATCH($W249,'🎓 Alumnas'!$A$2:$A$1000,0))),""))</f>
        <v/>
      </c>
      <c r="I249" s="30" t="str">
        <f aca="false">IF($W249="","",IFERROR(IF(INDEX('🎓 Alumnas'!$G$2:$G$1000,MATCH($W249,'🎓 Alumnas'!$A$2:$A$1000,0))="","",INDEX('🎓 Alumnas'!$G$2:$G$1000,MATCH($W249,'🎓 Alumnas'!$A$2:$A$1000,0))),""))</f>
        <v/>
      </c>
      <c r="J249" s="28" t="str">
        <f aca="true">IF(I249="","",DATEDIF(I249,TODAY(),"Y"))</f>
        <v/>
      </c>
      <c r="K249" s="25"/>
      <c r="L249" s="28" t="str">
        <f aca="false">IF(K249="","",IF(LEFT(K249,6)="1 Pole","Alquiler",IF(LEFT(K249,7)="1 Clase","Clase suelta","Paquete")))</f>
        <v/>
      </c>
      <c r="M249" s="25"/>
      <c r="N249" s="25"/>
      <c r="O249" s="35"/>
      <c r="P249" s="29" t="str">
        <f aca="false">IF(O249="","",N249*O249)</f>
        <v/>
      </c>
      <c r="Q249" s="36"/>
      <c r="R249" s="25"/>
      <c r="S249" s="25"/>
      <c r="T249" s="28" t="str">
        <f aca="false">IF(OR(LEFT(W249,2)&lt;&gt;"A-",ISERROR(MATCH(W249,'🎓 Alumnas'!$A$2:$A$1000,0))),"",IF(COUNTIF($W$2:W249,W249)=1,"Nueva","Recurrente"))</f>
        <v/>
      </c>
      <c r="U249" s="28" t="str">
        <f aca="false">IF(OR(T249="",L249&lt;&gt;"Paquete"),"",COUNTIFS($W$2:W249,W249,$L$2:L249,"Paquete"))</f>
        <v/>
      </c>
      <c r="V249" s="25"/>
      <c r="W249" s="34" t="str">
        <f aca="false">IF(TRIM($C249)="","",IF(COUNTIF('🎓 Alumnas'!$P$2:$P$1000,TRIM($C249))&gt;0,INDEX('🎓 Alumnas'!$A$2:$A$1000,MATCH(TRIM($C249),'🎓 Alumnas'!$P$2:$P$1000,0)),IF(COUNTIF('🎓 Alumnas'!$O$2:$O$1000,TRIM($C249)&amp;"|*")=1,INDEX('🎓 Alumnas'!$A$2:$A$1000,MATCH(TRIM($C249)&amp;"|*",'🎓 Alumnas'!$O$2:$O$1000,0)),IF(COUNTIF('🎓 Alumnas'!$O$2:$O$1000,"*|"&amp;TRIM($C249))=1,INDEX('🎓 Alumnas'!$A$2:$A$1000,MATCH("*|"&amp;TRIM($C249),'🎓 Alumnas'!$O$2:$O$1000,0)),IF(COUNTIF('🎓 Alumnas'!$Q$2:$Q$1000,TRIM($C249))=1,INDEX('🎓 Alumnas'!$A$2:$A$1000,MATCH(TRIM($C249),'🎓 Alumnas'!$Q$2:$Q$1000,0)),IF(COUNTIF('🎓 Alumnas'!$P$2:$P$1000,"*"&amp;TRIM($C249)&amp;"*")=1,INDEX('🎓 Alumnas'!$A$2:$A$1000,MATCH("*"&amp;TRIM($C249)&amp;"*",'🎓 Alumnas'!$P$2:$P$1000,0)),IF(COUNTIF('🎓 Alumnas'!$Q$2:$Q$1000,"*"&amp;TRIM($C249)&amp;"*")=1,INDEX('🎓 Alumnas'!$A$2:$A$1000,MATCH("*"&amp;TRIM($C249)&amp;"*",'🎓 Alumnas'!$Q$2:$Q$1000,0)),IF(COUNTIF('🎓 Alumnas'!$P$2:$P$1000,"*"&amp;TRIM($C249)&amp;"*")+COUNTIF('🎓 Alumnas'!$Q$2:$Q$1000,"*"&amp;TRIM($C249)&amp;"*")&gt;1,"Varias: elige de la lista","No encontrada"))))))))</f>
        <v/>
      </c>
    </row>
    <row r="250" customFormat="false" ht="14.25" hidden="false" customHeight="true" outlineLevel="0" collapsed="false">
      <c r="A250" s="25" t="s">
        <v>794</v>
      </c>
      <c r="B250" s="27"/>
      <c r="C250" s="25"/>
      <c r="D250" s="34" t="str">
        <f aca="false">IF($W250="","",IFERROR(TRIM(INDEX('🎓 Alumnas'!$B$2:$B$1000,MATCH($W250,'🎓 Alumnas'!$A$2:$A$1000,0))),""))</f>
        <v/>
      </c>
      <c r="E250" s="34" t="str">
        <f aca="false">IF($W250="","",IFERROR(TRIM(INDEX('🎓 Alumnas'!$C$2:$C$1000,MATCH($W250,'🎓 Alumnas'!$A$2:$A$1000,0))),""))</f>
        <v/>
      </c>
      <c r="F250" s="34" t="str">
        <f aca="false">IF($W250="","",IFERROR(IF(INDEX('🎓 Alumnas'!$D$2:$D$1000,MATCH($W250,'🎓 Alumnas'!$A$2:$A$1000,0))="","",INDEX('🎓 Alumnas'!$D$2:$D$1000,MATCH($W250,'🎓 Alumnas'!$A$2:$A$1000,0))),""))</f>
        <v/>
      </c>
      <c r="G250" s="28" t="str">
        <f aca="false">IF($W250="","",IFERROR(IF(INDEX('🎓 Alumnas'!$E$2:$E$1000,MATCH($W250,'🎓 Alumnas'!$A$2:$A$1000,0))="","",INDEX('🎓 Alumnas'!$E$2:$E$1000,MATCH($W250,'🎓 Alumnas'!$A$2:$A$1000,0))),""))</f>
        <v/>
      </c>
      <c r="H250" s="28" t="str">
        <f aca="false">IF($W250="","",IFERROR(IF(INDEX('🎓 Alumnas'!$F$2:$F$1000,MATCH($W250,'🎓 Alumnas'!$A$2:$A$1000,0))="","",INDEX('🎓 Alumnas'!$F$2:$F$1000,MATCH($W250,'🎓 Alumnas'!$A$2:$A$1000,0))),""))</f>
        <v/>
      </c>
      <c r="I250" s="30" t="str">
        <f aca="false">IF($W250="","",IFERROR(IF(INDEX('🎓 Alumnas'!$G$2:$G$1000,MATCH($W250,'🎓 Alumnas'!$A$2:$A$1000,0))="","",INDEX('🎓 Alumnas'!$G$2:$G$1000,MATCH($W250,'🎓 Alumnas'!$A$2:$A$1000,0))),""))</f>
        <v/>
      </c>
      <c r="J250" s="28" t="str">
        <f aca="true">IF(I250="","",DATEDIF(I250,TODAY(),"Y"))</f>
        <v/>
      </c>
      <c r="K250" s="25"/>
      <c r="L250" s="28" t="str">
        <f aca="false">IF(K250="","",IF(LEFT(K250,6)="1 Pole","Alquiler",IF(LEFT(K250,7)="1 Clase","Clase suelta","Paquete")))</f>
        <v/>
      </c>
      <c r="M250" s="25"/>
      <c r="N250" s="25"/>
      <c r="O250" s="35"/>
      <c r="P250" s="29" t="str">
        <f aca="false">IF(O250="","",N250*O250)</f>
        <v/>
      </c>
      <c r="Q250" s="36"/>
      <c r="R250" s="25"/>
      <c r="S250" s="25"/>
      <c r="T250" s="28" t="str">
        <f aca="false">IF(OR(LEFT(W250,2)&lt;&gt;"A-",ISERROR(MATCH(W250,'🎓 Alumnas'!$A$2:$A$1000,0))),"",IF(COUNTIF($W$2:W250,W250)=1,"Nueva","Recurrente"))</f>
        <v/>
      </c>
      <c r="U250" s="28" t="str">
        <f aca="false">IF(OR(T250="",L250&lt;&gt;"Paquete"),"",COUNTIFS($W$2:W250,W250,$L$2:L250,"Paquete"))</f>
        <v/>
      </c>
      <c r="V250" s="25"/>
      <c r="W250" s="34" t="str">
        <f aca="false">IF(TRIM($C250)="","",IF(COUNTIF('🎓 Alumnas'!$P$2:$P$1000,TRIM($C250))&gt;0,INDEX('🎓 Alumnas'!$A$2:$A$1000,MATCH(TRIM($C250),'🎓 Alumnas'!$P$2:$P$1000,0)),IF(COUNTIF('🎓 Alumnas'!$O$2:$O$1000,TRIM($C250)&amp;"|*")=1,INDEX('🎓 Alumnas'!$A$2:$A$1000,MATCH(TRIM($C250)&amp;"|*",'🎓 Alumnas'!$O$2:$O$1000,0)),IF(COUNTIF('🎓 Alumnas'!$O$2:$O$1000,"*|"&amp;TRIM($C250))=1,INDEX('🎓 Alumnas'!$A$2:$A$1000,MATCH("*|"&amp;TRIM($C250),'🎓 Alumnas'!$O$2:$O$1000,0)),IF(COUNTIF('🎓 Alumnas'!$Q$2:$Q$1000,TRIM($C250))=1,INDEX('🎓 Alumnas'!$A$2:$A$1000,MATCH(TRIM($C250),'🎓 Alumnas'!$Q$2:$Q$1000,0)),IF(COUNTIF('🎓 Alumnas'!$P$2:$P$1000,"*"&amp;TRIM($C250)&amp;"*")=1,INDEX('🎓 Alumnas'!$A$2:$A$1000,MATCH("*"&amp;TRIM($C250)&amp;"*",'🎓 Alumnas'!$P$2:$P$1000,0)),IF(COUNTIF('🎓 Alumnas'!$Q$2:$Q$1000,"*"&amp;TRIM($C250)&amp;"*")=1,INDEX('🎓 Alumnas'!$A$2:$A$1000,MATCH("*"&amp;TRIM($C250)&amp;"*",'🎓 Alumnas'!$Q$2:$Q$1000,0)),IF(COUNTIF('🎓 Alumnas'!$P$2:$P$1000,"*"&amp;TRIM($C250)&amp;"*")+COUNTIF('🎓 Alumnas'!$Q$2:$Q$1000,"*"&amp;TRIM($C250)&amp;"*")&gt;1,"Varias: elige de la lista","No encontrada"))))))))</f>
        <v/>
      </c>
    </row>
    <row r="251" customFormat="false" ht="14.25" hidden="false" customHeight="true" outlineLevel="0" collapsed="false">
      <c r="A251" s="25" t="s">
        <v>795</v>
      </c>
      <c r="B251" s="27"/>
      <c r="C251" s="25"/>
      <c r="D251" s="34" t="str">
        <f aca="false">IF($W251="","",IFERROR(TRIM(INDEX('🎓 Alumnas'!$B$2:$B$1000,MATCH($W251,'🎓 Alumnas'!$A$2:$A$1000,0))),""))</f>
        <v/>
      </c>
      <c r="E251" s="34" t="str">
        <f aca="false">IF($W251="","",IFERROR(TRIM(INDEX('🎓 Alumnas'!$C$2:$C$1000,MATCH($W251,'🎓 Alumnas'!$A$2:$A$1000,0))),""))</f>
        <v/>
      </c>
      <c r="F251" s="34" t="str">
        <f aca="false">IF($W251="","",IFERROR(IF(INDEX('🎓 Alumnas'!$D$2:$D$1000,MATCH($W251,'🎓 Alumnas'!$A$2:$A$1000,0))="","",INDEX('🎓 Alumnas'!$D$2:$D$1000,MATCH($W251,'🎓 Alumnas'!$A$2:$A$1000,0))),""))</f>
        <v/>
      </c>
      <c r="G251" s="28" t="str">
        <f aca="false">IF($W251="","",IFERROR(IF(INDEX('🎓 Alumnas'!$E$2:$E$1000,MATCH($W251,'🎓 Alumnas'!$A$2:$A$1000,0))="","",INDEX('🎓 Alumnas'!$E$2:$E$1000,MATCH($W251,'🎓 Alumnas'!$A$2:$A$1000,0))),""))</f>
        <v/>
      </c>
      <c r="H251" s="28" t="str">
        <f aca="false">IF($W251="","",IFERROR(IF(INDEX('🎓 Alumnas'!$F$2:$F$1000,MATCH($W251,'🎓 Alumnas'!$A$2:$A$1000,0))="","",INDEX('🎓 Alumnas'!$F$2:$F$1000,MATCH($W251,'🎓 Alumnas'!$A$2:$A$1000,0))),""))</f>
        <v/>
      </c>
      <c r="I251" s="30" t="str">
        <f aca="false">IF($W251="","",IFERROR(IF(INDEX('🎓 Alumnas'!$G$2:$G$1000,MATCH($W251,'🎓 Alumnas'!$A$2:$A$1000,0))="","",INDEX('🎓 Alumnas'!$G$2:$G$1000,MATCH($W251,'🎓 Alumnas'!$A$2:$A$1000,0))),""))</f>
        <v/>
      </c>
      <c r="J251" s="28" t="str">
        <f aca="true">IF(I251="","",DATEDIF(I251,TODAY(),"Y"))</f>
        <v/>
      </c>
      <c r="K251" s="25"/>
      <c r="L251" s="28" t="str">
        <f aca="false">IF(K251="","",IF(LEFT(K251,6)="1 Pole","Alquiler",IF(LEFT(K251,7)="1 Clase","Clase suelta","Paquete")))</f>
        <v/>
      </c>
      <c r="M251" s="25"/>
      <c r="N251" s="25"/>
      <c r="O251" s="35"/>
      <c r="P251" s="29" t="str">
        <f aca="false">IF(O251="","",N251*O251)</f>
        <v/>
      </c>
      <c r="Q251" s="36"/>
      <c r="R251" s="25"/>
      <c r="S251" s="25"/>
      <c r="T251" s="28" t="str">
        <f aca="false">IF(OR(LEFT(W251,2)&lt;&gt;"A-",ISERROR(MATCH(W251,'🎓 Alumnas'!$A$2:$A$1000,0))),"",IF(COUNTIF($W$2:W251,W251)=1,"Nueva","Recurrente"))</f>
        <v/>
      </c>
      <c r="U251" s="28" t="str">
        <f aca="false">IF(OR(T251="",L251&lt;&gt;"Paquete"),"",COUNTIFS($W$2:W251,W251,$L$2:L251,"Paquete"))</f>
        <v/>
      </c>
      <c r="V251" s="25"/>
      <c r="W251" s="34" t="str">
        <f aca="false">IF(TRIM($C251)="","",IF(COUNTIF('🎓 Alumnas'!$P$2:$P$1000,TRIM($C251))&gt;0,INDEX('🎓 Alumnas'!$A$2:$A$1000,MATCH(TRIM($C251),'🎓 Alumnas'!$P$2:$P$1000,0)),IF(COUNTIF('🎓 Alumnas'!$O$2:$O$1000,TRIM($C251)&amp;"|*")=1,INDEX('🎓 Alumnas'!$A$2:$A$1000,MATCH(TRIM($C251)&amp;"|*",'🎓 Alumnas'!$O$2:$O$1000,0)),IF(COUNTIF('🎓 Alumnas'!$O$2:$O$1000,"*|"&amp;TRIM($C251))=1,INDEX('🎓 Alumnas'!$A$2:$A$1000,MATCH("*|"&amp;TRIM($C251),'🎓 Alumnas'!$O$2:$O$1000,0)),IF(COUNTIF('🎓 Alumnas'!$Q$2:$Q$1000,TRIM($C251))=1,INDEX('🎓 Alumnas'!$A$2:$A$1000,MATCH(TRIM($C251),'🎓 Alumnas'!$Q$2:$Q$1000,0)),IF(COUNTIF('🎓 Alumnas'!$P$2:$P$1000,"*"&amp;TRIM($C251)&amp;"*")=1,INDEX('🎓 Alumnas'!$A$2:$A$1000,MATCH("*"&amp;TRIM($C251)&amp;"*",'🎓 Alumnas'!$P$2:$P$1000,0)),IF(COUNTIF('🎓 Alumnas'!$Q$2:$Q$1000,"*"&amp;TRIM($C251)&amp;"*")=1,INDEX('🎓 Alumnas'!$A$2:$A$1000,MATCH("*"&amp;TRIM($C251)&amp;"*",'🎓 Alumnas'!$Q$2:$Q$1000,0)),IF(COUNTIF('🎓 Alumnas'!$P$2:$P$1000,"*"&amp;TRIM($C251)&amp;"*")+COUNTIF('🎓 Alumnas'!$Q$2:$Q$1000,"*"&amp;TRIM($C251)&amp;"*")&gt;1,"Varias: elige de la lista","No encontrada"))))))))</f>
        <v/>
      </c>
    </row>
    <row r="252" customFormat="false" ht="14.25" hidden="false" customHeight="true" outlineLevel="0" collapsed="false">
      <c r="A252" s="25" t="s">
        <v>796</v>
      </c>
      <c r="B252" s="27"/>
      <c r="C252" s="25"/>
      <c r="D252" s="34" t="str">
        <f aca="false">IF($W252="","",IFERROR(TRIM(INDEX('🎓 Alumnas'!$B$2:$B$1000,MATCH($W252,'🎓 Alumnas'!$A$2:$A$1000,0))),""))</f>
        <v/>
      </c>
      <c r="E252" s="34" t="str">
        <f aca="false">IF($W252="","",IFERROR(TRIM(INDEX('🎓 Alumnas'!$C$2:$C$1000,MATCH($W252,'🎓 Alumnas'!$A$2:$A$1000,0))),""))</f>
        <v/>
      </c>
      <c r="F252" s="34" t="str">
        <f aca="false">IF($W252="","",IFERROR(IF(INDEX('🎓 Alumnas'!$D$2:$D$1000,MATCH($W252,'🎓 Alumnas'!$A$2:$A$1000,0))="","",INDEX('🎓 Alumnas'!$D$2:$D$1000,MATCH($W252,'🎓 Alumnas'!$A$2:$A$1000,0))),""))</f>
        <v/>
      </c>
      <c r="G252" s="28" t="str">
        <f aca="false">IF($W252="","",IFERROR(IF(INDEX('🎓 Alumnas'!$E$2:$E$1000,MATCH($W252,'🎓 Alumnas'!$A$2:$A$1000,0))="","",INDEX('🎓 Alumnas'!$E$2:$E$1000,MATCH($W252,'🎓 Alumnas'!$A$2:$A$1000,0))),""))</f>
        <v/>
      </c>
      <c r="H252" s="28" t="str">
        <f aca="false">IF($W252="","",IFERROR(IF(INDEX('🎓 Alumnas'!$F$2:$F$1000,MATCH($W252,'🎓 Alumnas'!$A$2:$A$1000,0))="","",INDEX('🎓 Alumnas'!$F$2:$F$1000,MATCH($W252,'🎓 Alumnas'!$A$2:$A$1000,0))),""))</f>
        <v/>
      </c>
      <c r="I252" s="30" t="str">
        <f aca="false">IF($W252="","",IFERROR(IF(INDEX('🎓 Alumnas'!$G$2:$G$1000,MATCH($W252,'🎓 Alumnas'!$A$2:$A$1000,0))="","",INDEX('🎓 Alumnas'!$G$2:$G$1000,MATCH($W252,'🎓 Alumnas'!$A$2:$A$1000,0))),""))</f>
        <v/>
      </c>
      <c r="J252" s="28" t="str">
        <f aca="true">IF(I252="","",DATEDIF(I252,TODAY(),"Y"))</f>
        <v/>
      </c>
      <c r="K252" s="25"/>
      <c r="L252" s="28" t="str">
        <f aca="false">IF(K252="","",IF(LEFT(K252,6)="1 Pole","Alquiler",IF(LEFT(K252,7)="1 Clase","Clase suelta","Paquete")))</f>
        <v/>
      </c>
      <c r="M252" s="25"/>
      <c r="N252" s="25"/>
      <c r="O252" s="35"/>
      <c r="P252" s="29" t="str">
        <f aca="false">IF(O252="","",N252*O252)</f>
        <v/>
      </c>
      <c r="Q252" s="36"/>
      <c r="R252" s="25"/>
      <c r="S252" s="25"/>
      <c r="T252" s="28" t="str">
        <f aca="false">IF(OR(LEFT(W252,2)&lt;&gt;"A-",ISERROR(MATCH(W252,'🎓 Alumnas'!$A$2:$A$1000,0))),"",IF(COUNTIF($W$2:W252,W252)=1,"Nueva","Recurrente"))</f>
        <v/>
      </c>
      <c r="U252" s="28" t="str">
        <f aca="false">IF(OR(T252="",L252&lt;&gt;"Paquete"),"",COUNTIFS($W$2:W252,W252,$L$2:L252,"Paquete"))</f>
        <v/>
      </c>
      <c r="V252" s="25"/>
      <c r="W252" s="34" t="str">
        <f aca="false">IF(TRIM($C252)="","",IF(COUNTIF('🎓 Alumnas'!$P$2:$P$1000,TRIM($C252))&gt;0,INDEX('🎓 Alumnas'!$A$2:$A$1000,MATCH(TRIM($C252),'🎓 Alumnas'!$P$2:$P$1000,0)),IF(COUNTIF('🎓 Alumnas'!$O$2:$O$1000,TRIM($C252)&amp;"|*")=1,INDEX('🎓 Alumnas'!$A$2:$A$1000,MATCH(TRIM($C252)&amp;"|*",'🎓 Alumnas'!$O$2:$O$1000,0)),IF(COUNTIF('🎓 Alumnas'!$O$2:$O$1000,"*|"&amp;TRIM($C252))=1,INDEX('🎓 Alumnas'!$A$2:$A$1000,MATCH("*|"&amp;TRIM($C252),'🎓 Alumnas'!$O$2:$O$1000,0)),IF(COUNTIF('🎓 Alumnas'!$Q$2:$Q$1000,TRIM($C252))=1,INDEX('🎓 Alumnas'!$A$2:$A$1000,MATCH(TRIM($C252),'🎓 Alumnas'!$Q$2:$Q$1000,0)),IF(COUNTIF('🎓 Alumnas'!$P$2:$P$1000,"*"&amp;TRIM($C252)&amp;"*")=1,INDEX('🎓 Alumnas'!$A$2:$A$1000,MATCH("*"&amp;TRIM($C252)&amp;"*",'🎓 Alumnas'!$P$2:$P$1000,0)),IF(COUNTIF('🎓 Alumnas'!$Q$2:$Q$1000,"*"&amp;TRIM($C252)&amp;"*")=1,INDEX('🎓 Alumnas'!$A$2:$A$1000,MATCH("*"&amp;TRIM($C252)&amp;"*",'🎓 Alumnas'!$Q$2:$Q$1000,0)),IF(COUNTIF('🎓 Alumnas'!$P$2:$P$1000,"*"&amp;TRIM($C252)&amp;"*")+COUNTIF('🎓 Alumnas'!$Q$2:$Q$1000,"*"&amp;TRIM($C252)&amp;"*")&gt;1,"Varias: elige de la lista","No encontrada"))))))))</f>
        <v/>
      </c>
    </row>
    <row r="253" customFormat="false" ht="14.25" hidden="false" customHeight="true" outlineLevel="0" collapsed="false">
      <c r="A253" s="25" t="s">
        <v>797</v>
      </c>
      <c r="B253" s="27"/>
      <c r="C253" s="25"/>
      <c r="D253" s="34" t="str">
        <f aca="false">IF($W253="","",IFERROR(TRIM(INDEX('🎓 Alumnas'!$B$2:$B$1000,MATCH($W253,'🎓 Alumnas'!$A$2:$A$1000,0))),""))</f>
        <v/>
      </c>
      <c r="E253" s="34" t="str">
        <f aca="false">IF($W253="","",IFERROR(TRIM(INDEX('🎓 Alumnas'!$C$2:$C$1000,MATCH($W253,'🎓 Alumnas'!$A$2:$A$1000,0))),""))</f>
        <v/>
      </c>
      <c r="F253" s="34" t="str">
        <f aca="false">IF($W253="","",IFERROR(IF(INDEX('🎓 Alumnas'!$D$2:$D$1000,MATCH($W253,'🎓 Alumnas'!$A$2:$A$1000,0))="","",INDEX('🎓 Alumnas'!$D$2:$D$1000,MATCH($W253,'🎓 Alumnas'!$A$2:$A$1000,0))),""))</f>
        <v/>
      </c>
      <c r="G253" s="28" t="str">
        <f aca="false">IF($W253="","",IFERROR(IF(INDEX('🎓 Alumnas'!$E$2:$E$1000,MATCH($W253,'🎓 Alumnas'!$A$2:$A$1000,0))="","",INDEX('🎓 Alumnas'!$E$2:$E$1000,MATCH($W253,'🎓 Alumnas'!$A$2:$A$1000,0))),""))</f>
        <v/>
      </c>
      <c r="H253" s="28" t="str">
        <f aca="false">IF($W253="","",IFERROR(IF(INDEX('🎓 Alumnas'!$F$2:$F$1000,MATCH($W253,'🎓 Alumnas'!$A$2:$A$1000,0))="","",INDEX('🎓 Alumnas'!$F$2:$F$1000,MATCH($W253,'🎓 Alumnas'!$A$2:$A$1000,0))),""))</f>
        <v/>
      </c>
      <c r="I253" s="30" t="str">
        <f aca="false">IF($W253="","",IFERROR(IF(INDEX('🎓 Alumnas'!$G$2:$G$1000,MATCH($W253,'🎓 Alumnas'!$A$2:$A$1000,0))="","",INDEX('🎓 Alumnas'!$G$2:$G$1000,MATCH($W253,'🎓 Alumnas'!$A$2:$A$1000,0))),""))</f>
        <v/>
      </c>
      <c r="J253" s="28" t="str">
        <f aca="true">IF(I253="","",DATEDIF(I253,TODAY(),"Y"))</f>
        <v/>
      </c>
      <c r="K253" s="25"/>
      <c r="L253" s="28" t="str">
        <f aca="false">IF(K253="","",IF(LEFT(K253,6)="1 Pole","Alquiler",IF(LEFT(K253,7)="1 Clase","Clase suelta","Paquete")))</f>
        <v/>
      </c>
      <c r="M253" s="25"/>
      <c r="N253" s="25"/>
      <c r="O253" s="35"/>
      <c r="P253" s="29" t="str">
        <f aca="false">IF(O253="","",N253*O253)</f>
        <v/>
      </c>
      <c r="Q253" s="36"/>
      <c r="R253" s="25"/>
      <c r="S253" s="25"/>
      <c r="T253" s="28" t="str">
        <f aca="false">IF(OR(LEFT(W253,2)&lt;&gt;"A-",ISERROR(MATCH(W253,'🎓 Alumnas'!$A$2:$A$1000,0))),"",IF(COUNTIF($W$2:W253,W253)=1,"Nueva","Recurrente"))</f>
        <v/>
      </c>
      <c r="U253" s="28" t="str">
        <f aca="false">IF(OR(T253="",L253&lt;&gt;"Paquete"),"",COUNTIFS($W$2:W253,W253,$L$2:L253,"Paquete"))</f>
        <v/>
      </c>
      <c r="V253" s="25"/>
      <c r="W253" s="34" t="str">
        <f aca="false">IF(TRIM($C253)="","",IF(COUNTIF('🎓 Alumnas'!$P$2:$P$1000,TRIM($C253))&gt;0,INDEX('🎓 Alumnas'!$A$2:$A$1000,MATCH(TRIM($C253),'🎓 Alumnas'!$P$2:$P$1000,0)),IF(COUNTIF('🎓 Alumnas'!$O$2:$O$1000,TRIM($C253)&amp;"|*")=1,INDEX('🎓 Alumnas'!$A$2:$A$1000,MATCH(TRIM($C253)&amp;"|*",'🎓 Alumnas'!$O$2:$O$1000,0)),IF(COUNTIF('🎓 Alumnas'!$O$2:$O$1000,"*|"&amp;TRIM($C253))=1,INDEX('🎓 Alumnas'!$A$2:$A$1000,MATCH("*|"&amp;TRIM($C253),'🎓 Alumnas'!$O$2:$O$1000,0)),IF(COUNTIF('🎓 Alumnas'!$Q$2:$Q$1000,TRIM($C253))=1,INDEX('🎓 Alumnas'!$A$2:$A$1000,MATCH(TRIM($C253),'🎓 Alumnas'!$Q$2:$Q$1000,0)),IF(COUNTIF('🎓 Alumnas'!$P$2:$P$1000,"*"&amp;TRIM($C253)&amp;"*")=1,INDEX('🎓 Alumnas'!$A$2:$A$1000,MATCH("*"&amp;TRIM($C253)&amp;"*",'🎓 Alumnas'!$P$2:$P$1000,0)),IF(COUNTIF('🎓 Alumnas'!$Q$2:$Q$1000,"*"&amp;TRIM($C253)&amp;"*")=1,INDEX('🎓 Alumnas'!$A$2:$A$1000,MATCH("*"&amp;TRIM($C253)&amp;"*",'🎓 Alumnas'!$Q$2:$Q$1000,0)),IF(COUNTIF('🎓 Alumnas'!$P$2:$P$1000,"*"&amp;TRIM($C253)&amp;"*")+COUNTIF('🎓 Alumnas'!$Q$2:$Q$1000,"*"&amp;TRIM($C253)&amp;"*")&gt;1,"Varias: elige de la lista","No encontrada"))))))))</f>
        <v/>
      </c>
    </row>
    <row r="254" customFormat="false" ht="14.25" hidden="false" customHeight="true" outlineLevel="0" collapsed="false">
      <c r="A254" s="25" t="s">
        <v>798</v>
      </c>
      <c r="B254" s="27"/>
      <c r="C254" s="25"/>
      <c r="D254" s="34" t="str">
        <f aca="false">IF($W254="","",IFERROR(TRIM(INDEX('🎓 Alumnas'!$B$2:$B$1000,MATCH($W254,'🎓 Alumnas'!$A$2:$A$1000,0))),""))</f>
        <v/>
      </c>
      <c r="E254" s="34" t="str">
        <f aca="false">IF($W254="","",IFERROR(TRIM(INDEX('🎓 Alumnas'!$C$2:$C$1000,MATCH($W254,'🎓 Alumnas'!$A$2:$A$1000,0))),""))</f>
        <v/>
      </c>
      <c r="F254" s="34" t="str">
        <f aca="false">IF($W254="","",IFERROR(IF(INDEX('🎓 Alumnas'!$D$2:$D$1000,MATCH($W254,'🎓 Alumnas'!$A$2:$A$1000,0))="","",INDEX('🎓 Alumnas'!$D$2:$D$1000,MATCH($W254,'🎓 Alumnas'!$A$2:$A$1000,0))),""))</f>
        <v/>
      </c>
      <c r="G254" s="28" t="str">
        <f aca="false">IF($W254="","",IFERROR(IF(INDEX('🎓 Alumnas'!$E$2:$E$1000,MATCH($W254,'🎓 Alumnas'!$A$2:$A$1000,0))="","",INDEX('🎓 Alumnas'!$E$2:$E$1000,MATCH($W254,'🎓 Alumnas'!$A$2:$A$1000,0))),""))</f>
        <v/>
      </c>
      <c r="H254" s="28" t="str">
        <f aca="false">IF($W254="","",IFERROR(IF(INDEX('🎓 Alumnas'!$F$2:$F$1000,MATCH($W254,'🎓 Alumnas'!$A$2:$A$1000,0))="","",INDEX('🎓 Alumnas'!$F$2:$F$1000,MATCH($W254,'🎓 Alumnas'!$A$2:$A$1000,0))),""))</f>
        <v/>
      </c>
      <c r="I254" s="30" t="str">
        <f aca="false">IF($W254="","",IFERROR(IF(INDEX('🎓 Alumnas'!$G$2:$G$1000,MATCH($W254,'🎓 Alumnas'!$A$2:$A$1000,0))="","",INDEX('🎓 Alumnas'!$G$2:$G$1000,MATCH($W254,'🎓 Alumnas'!$A$2:$A$1000,0))),""))</f>
        <v/>
      </c>
      <c r="J254" s="28" t="str">
        <f aca="true">IF(I254="","",DATEDIF(I254,TODAY(),"Y"))</f>
        <v/>
      </c>
      <c r="K254" s="25"/>
      <c r="L254" s="28" t="str">
        <f aca="false">IF(K254="","",IF(LEFT(K254,6)="1 Pole","Alquiler",IF(LEFT(K254,7)="1 Clase","Clase suelta","Paquete")))</f>
        <v/>
      </c>
      <c r="M254" s="25"/>
      <c r="N254" s="25"/>
      <c r="O254" s="35"/>
      <c r="P254" s="29" t="str">
        <f aca="false">IF(O254="","",N254*O254)</f>
        <v/>
      </c>
      <c r="Q254" s="36"/>
      <c r="R254" s="25"/>
      <c r="S254" s="25"/>
      <c r="T254" s="28" t="str">
        <f aca="false">IF(OR(LEFT(W254,2)&lt;&gt;"A-",ISERROR(MATCH(W254,'🎓 Alumnas'!$A$2:$A$1000,0))),"",IF(COUNTIF($W$2:W254,W254)=1,"Nueva","Recurrente"))</f>
        <v/>
      </c>
      <c r="U254" s="28" t="str">
        <f aca="false">IF(OR(T254="",L254&lt;&gt;"Paquete"),"",COUNTIFS($W$2:W254,W254,$L$2:L254,"Paquete"))</f>
        <v/>
      </c>
      <c r="V254" s="25"/>
      <c r="W254" s="34" t="str">
        <f aca="false">IF(TRIM($C254)="","",IF(COUNTIF('🎓 Alumnas'!$P$2:$P$1000,TRIM($C254))&gt;0,INDEX('🎓 Alumnas'!$A$2:$A$1000,MATCH(TRIM($C254),'🎓 Alumnas'!$P$2:$P$1000,0)),IF(COUNTIF('🎓 Alumnas'!$O$2:$O$1000,TRIM($C254)&amp;"|*")=1,INDEX('🎓 Alumnas'!$A$2:$A$1000,MATCH(TRIM($C254)&amp;"|*",'🎓 Alumnas'!$O$2:$O$1000,0)),IF(COUNTIF('🎓 Alumnas'!$O$2:$O$1000,"*|"&amp;TRIM($C254))=1,INDEX('🎓 Alumnas'!$A$2:$A$1000,MATCH("*|"&amp;TRIM($C254),'🎓 Alumnas'!$O$2:$O$1000,0)),IF(COUNTIF('🎓 Alumnas'!$Q$2:$Q$1000,TRIM($C254))=1,INDEX('🎓 Alumnas'!$A$2:$A$1000,MATCH(TRIM($C254),'🎓 Alumnas'!$Q$2:$Q$1000,0)),IF(COUNTIF('🎓 Alumnas'!$P$2:$P$1000,"*"&amp;TRIM($C254)&amp;"*")=1,INDEX('🎓 Alumnas'!$A$2:$A$1000,MATCH("*"&amp;TRIM($C254)&amp;"*",'🎓 Alumnas'!$P$2:$P$1000,0)),IF(COUNTIF('🎓 Alumnas'!$Q$2:$Q$1000,"*"&amp;TRIM($C254)&amp;"*")=1,INDEX('🎓 Alumnas'!$A$2:$A$1000,MATCH("*"&amp;TRIM($C254)&amp;"*",'🎓 Alumnas'!$Q$2:$Q$1000,0)),IF(COUNTIF('🎓 Alumnas'!$P$2:$P$1000,"*"&amp;TRIM($C254)&amp;"*")+COUNTIF('🎓 Alumnas'!$Q$2:$Q$1000,"*"&amp;TRIM($C254)&amp;"*")&gt;1,"Varias: elige de la lista","No encontrada"))))))))</f>
        <v/>
      </c>
    </row>
    <row r="255" customFormat="false" ht="14.25" hidden="false" customHeight="true" outlineLevel="0" collapsed="false">
      <c r="A255" s="25" t="s">
        <v>799</v>
      </c>
      <c r="B255" s="27"/>
      <c r="C255" s="25"/>
      <c r="D255" s="34" t="str">
        <f aca="false">IF($W255="","",IFERROR(TRIM(INDEX('🎓 Alumnas'!$B$2:$B$1000,MATCH($W255,'🎓 Alumnas'!$A$2:$A$1000,0))),""))</f>
        <v/>
      </c>
      <c r="E255" s="34" t="str">
        <f aca="false">IF($W255="","",IFERROR(TRIM(INDEX('🎓 Alumnas'!$C$2:$C$1000,MATCH($W255,'🎓 Alumnas'!$A$2:$A$1000,0))),""))</f>
        <v/>
      </c>
      <c r="F255" s="34" t="str">
        <f aca="false">IF($W255="","",IFERROR(IF(INDEX('🎓 Alumnas'!$D$2:$D$1000,MATCH($W255,'🎓 Alumnas'!$A$2:$A$1000,0))="","",INDEX('🎓 Alumnas'!$D$2:$D$1000,MATCH($W255,'🎓 Alumnas'!$A$2:$A$1000,0))),""))</f>
        <v/>
      </c>
      <c r="G255" s="28" t="str">
        <f aca="false">IF($W255="","",IFERROR(IF(INDEX('🎓 Alumnas'!$E$2:$E$1000,MATCH($W255,'🎓 Alumnas'!$A$2:$A$1000,0))="","",INDEX('🎓 Alumnas'!$E$2:$E$1000,MATCH($W255,'🎓 Alumnas'!$A$2:$A$1000,0))),""))</f>
        <v/>
      </c>
      <c r="H255" s="28" t="str">
        <f aca="false">IF($W255="","",IFERROR(IF(INDEX('🎓 Alumnas'!$F$2:$F$1000,MATCH($W255,'🎓 Alumnas'!$A$2:$A$1000,0))="","",INDEX('🎓 Alumnas'!$F$2:$F$1000,MATCH($W255,'🎓 Alumnas'!$A$2:$A$1000,0))),""))</f>
        <v/>
      </c>
      <c r="I255" s="30" t="str">
        <f aca="false">IF($W255="","",IFERROR(IF(INDEX('🎓 Alumnas'!$G$2:$G$1000,MATCH($W255,'🎓 Alumnas'!$A$2:$A$1000,0))="","",INDEX('🎓 Alumnas'!$G$2:$G$1000,MATCH($W255,'🎓 Alumnas'!$A$2:$A$1000,0))),""))</f>
        <v/>
      </c>
      <c r="J255" s="28" t="str">
        <f aca="true">IF(I255="","",DATEDIF(I255,TODAY(),"Y"))</f>
        <v/>
      </c>
      <c r="K255" s="25"/>
      <c r="L255" s="28" t="str">
        <f aca="false">IF(K255="","",IF(LEFT(K255,6)="1 Pole","Alquiler",IF(LEFT(K255,7)="1 Clase","Clase suelta","Paquete")))</f>
        <v/>
      </c>
      <c r="M255" s="25"/>
      <c r="N255" s="25"/>
      <c r="O255" s="35"/>
      <c r="P255" s="29" t="str">
        <f aca="false">IF(O255="","",N255*O255)</f>
        <v/>
      </c>
      <c r="Q255" s="36"/>
      <c r="R255" s="25"/>
      <c r="S255" s="25"/>
      <c r="T255" s="28" t="str">
        <f aca="false">IF(OR(LEFT(W255,2)&lt;&gt;"A-",ISERROR(MATCH(W255,'🎓 Alumnas'!$A$2:$A$1000,0))),"",IF(COUNTIF($W$2:W255,W255)=1,"Nueva","Recurrente"))</f>
        <v/>
      </c>
      <c r="U255" s="28" t="str">
        <f aca="false">IF(OR(T255="",L255&lt;&gt;"Paquete"),"",COUNTIFS($W$2:W255,W255,$L$2:L255,"Paquete"))</f>
        <v/>
      </c>
      <c r="V255" s="25"/>
      <c r="W255" s="34" t="str">
        <f aca="false">IF(TRIM($C255)="","",IF(COUNTIF('🎓 Alumnas'!$P$2:$P$1000,TRIM($C255))&gt;0,INDEX('🎓 Alumnas'!$A$2:$A$1000,MATCH(TRIM($C255),'🎓 Alumnas'!$P$2:$P$1000,0)),IF(COUNTIF('🎓 Alumnas'!$O$2:$O$1000,TRIM($C255)&amp;"|*")=1,INDEX('🎓 Alumnas'!$A$2:$A$1000,MATCH(TRIM($C255)&amp;"|*",'🎓 Alumnas'!$O$2:$O$1000,0)),IF(COUNTIF('🎓 Alumnas'!$O$2:$O$1000,"*|"&amp;TRIM($C255))=1,INDEX('🎓 Alumnas'!$A$2:$A$1000,MATCH("*|"&amp;TRIM($C255),'🎓 Alumnas'!$O$2:$O$1000,0)),IF(COUNTIF('🎓 Alumnas'!$Q$2:$Q$1000,TRIM($C255))=1,INDEX('🎓 Alumnas'!$A$2:$A$1000,MATCH(TRIM($C255),'🎓 Alumnas'!$Q$2:$Q$1000,0)),IF(COUNTIF('🎓 Alumnas'!$P$2:$P$1000,"*"&amp;TRIM($C255)&amp;"*")=1,INDEX('🎓 Alumnas'!$A$2:$A$1000,MATCH("*"&amp;TRIM($C255)&amp;"*",'🎓 Alumnas'!$P$2:$P$1000,0)),IF(COUNTIF('🎓 Alumnas'!$Q$2:$Q$1000,"*"&amp;TRIM($C255)&amp;"*")=1,INDEX('🎓 Alumnas'!$A$2:$A$1000,MATCH("*"&amp;TRIM($C255)&amp;"*",'🎓 Alumnas'!$Q$2:$Q$1000,0)),IF(COUNTIF('🎓 Alumnas'!$P$2:$P$1000,"*"&amp;TRIM($C255)&amp;"*")+COUNTIF('🎓 Alumnas'!$Q$2:$Q$1000,"*"&amp;TRIM($C255)&amp;"*")&gt;1,"Varias: elige de la lista","No encontrada"))))))))</f>
        <v/>
      </c>
    </row>
    <row r="256" customFormat="false" ht="14.25" hidden="false" customHeight="true" outlineLevel="0" collapsed="false">
      <c r="A256" s="25" t="s">
        <v>800</v>
      </c>
      <c r="B256" s="27"/>
      <c r="C256" s="25"/>
      <c r="D256" s="34" t="str">
        <f aca="false">IF($W256="","",IFERROR(TRIM(INDEX('🎓 Alumnas'!$B$2:$B$1000,MATCH($W256,'🎓 Alumnas'!$A$2:$A$1000,0))),""))</f>
        <v/>
      </c>
      <c r="E256" s="34" t="str">
        <f aca="false">IF($W256="","",IFERROR(TRIM(INDEX('🎓 Alumnas'!$C$2:$C$1000,MATCH($W256,'🎓 Alumnas'!$A$2:$A$1000,0))),""))</f>
        <v/>
      </c>
      <c r="F256" s="34" t="str">
        <f aca="false">IF($W256="","",IFERROR(IF(INDEX('🎓 Alumnas'!$D$2:$D$1000,MATCH($W256,'🎓 Alumnas'!$A$2:$A$1000,0))="","",INDEX('🎓 Alumnas'!$D$2:$D$1000,MATCH($W256,'🎓 Alumnas'!$A$2:$A$1000,0))),""))</f>
        <v/>
      </c>
      <c r="G256" s="28" t="str">
        <f aca="false">IF($W256="","",IFERROR(IF(INDEX('🎓 Alumnas'!$E$2:$E$1000,MATCH($W256,'🎓 Alumnas'!$A$2:$A$1000,0))="","",INDEX('🎓 Alumnas'!$E$2:$E$1000,MATCH($W256,'🎓 Alumnas'!$A$2:$A$1000,0))),""))</f>
        <v/>
      </c>
      <c r="H256" s="28" t="str">
        <f aca="false">IF($W256="","",IFERROR(IF(INDEX('🎓 Alumnas'!$F$2:$F$1000,MATCH($W256,'🎓 Alumnas'!$A$2:$A$1000,0))="","",INDEX('🎓 Alumnas'!$F$2:$F$1000,MATCH($W256,'🎓 Alumnas'!$A$2:$A$1000,0))),""))</f>
        <v/>
      </c>
      <c r="I256" s="30" t="str">
        <f aca="false">IF($W256="","",IFERROR(IF(INDEX('🎓 Alumnas'!$G$2:$G$1000,MATCH($W256,'🎓 Alumnas'!$A$2:$A$1000,0))="","",INDEX('🎓 Alumnas'!$G$2:$G$1000,MATCH($W256,'🎓 Alumnas'!$A$2:$A$1000,0))),""))</f>
        <v/>
      </c>
      <c r="J256" s="28" t="str">
        <f aca="true">IF(I256="","",DATEDIF(I256,TODAY(),"Y"))</f>
        <v/>
      </c>
      <c r="K256" s="25"/>
      <c r="L256" s="28" t="str">
        <f aca="false">IF(K256="","",IF(LEFT(K256,6)="1 Pole","Alquiler",IF(LEFT(K256,7)="1 Clase","Clase suelta","Paquete")))</f>
        <v/>
      </c>
      <c r="M256" s="25"/>
      <c r="N256" s="25"/>
      <c r="O256" s="35"/>
      <c r="P256" s="29" t="str">
        <f aca="false">IF(O256="","",N256*O256)</f>
        <v/>
      </c>
      <c r="Q256" s="36"/>
      <c r="R256" s="25"/>
      <c r="S256" s="25"/>
      <c r="T256" s="28" t="str">
        <f aca="false">IF(OR(LEFT(W256,2)&lt;&gt;"A-",ISERROR(MATCH(W256,'🎓 Alumnas'!$A$2:$A$1000,0))),"",IF(COUNTIF($W$2:W256,W256)=1,"Nueva","Recurrente"))</f>
        <v/>
      </c>
      <c r="U256" s="28" t="str">
        <f aca="false">IF(OR(T256="",L256&lt;&gt;"Paquete"),"",COUNTIFS($W$2:W256,W256,$L$2:L256,"Paquete"))</f>
        <v/>
      </c>
      <c r="V256" s="25"/>
      <c r="W256" s="34" t="str">
        <f aca="false">IF(TRIM($C256)="","",IF(COUNTIF('🎓 Alumnas'!$P$2:$P$1000,TRIM($C256))&gt;0,INDEX('🎓 Alumnas'!$A$2:$A$1000,MATCH(TRIM($C256),'🎓 Alumnas'!$P$2:$P$1000,0)),IF(COUNTIF('🎓 Alumnas'!$O$2:$O$1000,TRIM($C256)&amp;"|*")=1,INDEX('🎓 Alumnas'!$A$2:$A$1000,MATCH(TRIM($C256)&amp;"|*",'🎓 Alumnas'!$O$2:$O$1000,0)),IF(COUNTIF('🎓 Alumnas'!$O$2:$O$1000,"*|"&amp;TRIM($C256))=1,INDEX('🎓 Alumnas'!$A$2:$A$1000,MATCH("*|"&amp;TRIM($C256),'🎓 Alumnas'!$O$2:$O$1000,0)),IF(COUNTIF('🎓 Alumnas'!$Q$2:$Q$1000,TRIM($C256))=1,INDEX('🎓 Alumnas'!$A$2:$A$1000,MATCH(TRIM($C256),'🎓 Alumnas'!$Q$2:$Q$1000,0)),IF(COUNTIF('🎓 Alumnas'!$P$2:$P$1000,"*"&amp;TRIM($C256)&amp;"*")=1,INDEX('🎓 Alumnas'!$A$2:$A$1000,MATCH("*"&amp;TRIM($C256)&amp;"*",'🎓 Alumnas'!$P$2:$P$1000,0)),IF(COUNTIF('🎓 Alumnas'!$Q$2:$Q$1000,"*"&amp;TRIM($C256)&amp;"*")=1,INDEX('🎓 Alumnas'!$A$2:$A$1000,MATCH("*"&amp;TRIM($C256)&amp;"*",'🎓 Alumnas'!$Q$2:$Q$1000,0)),IF(COUNTIF('🎓 Alumnas'!$P$2:$P$1000,"*"&amp;TRIM($C256)&amp;"*")+COUNTIF('🎓 Alumnas'!$Q$2:$Q$1000,"*"&amp;TRIM($C256)&amp;"*")&gt;1,"Varias: elige de la lista","No encontrada"))))))))</f>
        <v/>
      </c>
    </row>
    <row r="257" customFormat="false" ht="14.25" hidden="false" customHeight="true" outlineLevel="0" collapsed="false">
      <c r="A257" s="25" t="s">
        <v>801</v>
      </c>
      <c r="B257" s="27"/>
      <c r="C257" s="25"/>
      <c r="D257" s="34" t="str">
        <f aca="false">IF($W257="","",IFERROR(TRIM(INDEX('🎓 Alumnas'!$B$2:$B$1000,MATCH($W257,'🎓 Alumnas'!$A$2:$A$1000,0))),""))</f>
        <v/>
      </c>
      <c r="E257" s="34" t="str">
        <f aca="false">IF($W257="","",IFERROR(TRIM(INDEX('🎓 Alumnas'!$C$2:$C$1000,MATCH($W257,'🎓 Alumnas'!$A$2:$A$1000,0))),""))</f>
        <v/>
      </c>
      <c r="F257" s="34" t="str">
        <f aca="false">IF($W257="","",IFERROR(IF(INDEX('🎓 Alumnas'!$D$2:$D$1000,MATCH($W257,'🎓 Alumnas'!$A$2:$A$1000,0))="","",INDEX('🎓 Alumnas'!$D$2:$D$1000,MATCH($W257,'🎓 Alumnas'!$A$2:$A$1000,0))),""))</f>
        <v/>
      </c>
      <c r="G257" s="28" t="str">
        <f aca="false">IF($W257="","",IFERROR(IF(INDEX('🎓 Alumnas'!$E$2:$E$1000,MATCH($W257,'🎓 Alumnas'!$A$2:$A$1000,0))="","",INDEX('🎓 Alumnas'!$E$2:$E$1000,MATCH($W257,'🎓 Alumnas'!$A$2:$A$1000,0))),""))</f>
        <v/>
      </c>
      <c r="H257" s="28" t="str">
        <f aca="false">IF($W257="","",IFERROR(IF(INDEX('🎓 Alumnas'!$F$2:$F$1000,MATCH($W257,'🎓 Alumnas'!$A$2:$A$1000,0))="","",INDEX('🎓 Alumnas'!$F$2:$F$1000,MATCH($W257,'🎓 Alumnas'!$A$2:$A$1000,0))),""))</f>
        <v/>
      </c>
      <c r="I257" s="30" t="str">
        <f aca="false">IF($W257="","",IFERROR(IF(INDEX('🎓 Alumnas'!$G$2:$G$1000,MATCH($W257,'🎓 Alumnas'!$A$2:$A$1000,0))="","",INDEX('🎓 Alumnas'!$G$2:$G$1000,MATCH($W257,'🎓 Alumnas'!$A$2:$A$1000,0))),""))</f>
        <v/>
      </c>
      <c r="J257" s="28" t="str">
        <f aca="true">IF(I257="","",DATEDIF(I257,TODAY(),"Y"))</f>
        <v/>
      </c>
      <c r="K257" s="25"/>
      <c r="L257" s="28" t="str">
        <f aca="false">IF(K257="","",IF(LEFT(K257,6)="1 Pole","Alquiler",IF(LEFT(K257,7)="1 Clase","Clase suelta","Paquete")))</f>
        <v/>
      </c>
      <c r="M257" s="25"/>
      <c r="N257" s="25"/>
      <c r="O257" s="35"/>
      <c r="P257" s="29" t="str">
        <f aca="false">IF(O257="","",N257*O257)</f>
        <v/>
      </c>
      <c r="Q257" s="36"/>
      <c r="R257" s="25"/>
      <c r="S257" s="25"/>
      <c r="T257" s="28" t="str">
        <f aca="false">IF(OR(LEFT(W257,2)&lt;&gt;"A-",ISERROR(MATCH(W257,'🎓 Alumnas'!$A$2:$A$1000,0))),"",IF(COUNTIF($W$2:W257,W257)=1,"Nueva","Recurrente"))</f>
        <v/>
      </c>
      <c r="U257" s="28" t="str">
        <f aca="false">IF(OR(T257="",L257&lt;&gt;"Paquete"),"",COUNTIFS($W$2:W257,W257,$L$2:L257,"Paquete"))</f>
        <v/>
      </c>
      <c r="V257" s="25"/>
      <c r="W257" s="34" t="str">
        <f aca="false">IF(TRIM($C257)="","",IF(COUNTIF('🎓 Alumnas'!$P$2:$P$1000,TRIM($C257))&gt;0,INDEX('🎓 Alumnas'!$A$2:$A$1000,MATCH(TRIM($C257),'🎓 Alumnas'!$P$2:$P$1000,0)),IF(COUNTIF('🎓 Alumnas'!$O$2:$O$1000,TRIM($C257)&amp;"|*")=1,INDEX('🎓 Alumnas'!$A$2:$A$1000,MATCH(TRIM($C257)&amp;"|*",'🎓 Alumnas'!$O$2:$O$1000,0)),IF(COUNTIF('🎓 Alumnas'!$O$2:$O$1000,"*|"&amp;TRIM($C257))=1,INDEX('🎓 Alumnas'!$A$2:$A$1000,MATCH("*|"&amp;TRIM($C257),'🎓 Alumnas'!$O$2:$O$1000,0)),IF(COUNTIF('🎓 Alumnas'!$Q$2:$Q$1000,TRIM($C257))=1,INDEX('🎓 Alumnas'!$A$2:$A$1000,MATCH(TRIM($C257),'🎓 Alumnas'!$Q$2:$Q$1000,0)),IF(COUNTIF('🎓 Alumnas'!$P$2:$P$1000,"*"&amp;TRIM($C257)&amp;"*")=1,INDEX('🎓 Alumnas'!$A$2:$A$1000,MATCH("*"&amp;TRIM($C257)&amp;"*",'🎓 Alumnas'!$P$2:$P$1000,0)),IF(COUNTIF('🎓 Alumnas'!$Q$2:$Q$1000,"*"&amp;TRIM($C257)&amp;"*")=1,INDEX('🎓 Alumnas'!$A$2:$A$1000,MATCH("*"&amp;TRIM($C257)&amp;"*",'🎓 Alumnas'!$Q$2:$Q$1000,0)),IF(COUNTIF('🎓 Alumnas'!$P$2:$P$1000,"*"&amp;TRIM($C257)&amp;"*")+COUNTIF('🎓 Alumnas'!$Q$2:$Q$1000,"*"&amp;TRIM($C257)&amp;"*")&gt;1,"Varias: elige de la lista","No encontrada"))))))))</f>
        <v/>
      </c>
    </row>
    <row r="258" customFormat="false" ht="14.25" hidden="false" customHeight="true" outlineLevel="0" collapsed="false">
      <c r="A258" s="25" t="s">
        <v>802</v>
      </c>
      <c r="B258" s="27"/>
      <c r="C258" s="25"/>
      <c r="D258" s="34" t="str">
        <f aca="false">IF($W258="","",IFERROR(TRIM(INDEX('🎓 Alumnas'!$B$2:$B$1000,MATCH($W258,'🎓 Alumnas'!$A$2:$A$1000,0))),""))</f>
        <v/>
      </c>
      <c r="E258" s="34" t="str">
        <f aca="false">IF($W258="","",IFERROR(TRIM(INDEX('🎓 Alumnas'!$C$2:$C$1000,MATCH($W258,'🎓 Alumnas'!$A$2:$A$1000,0))),""))</f>
        <v/>
      </c>
      <c r="F258" s="34" t="str">
        <f aca="false">IF($W258="","",IFERROR(IF(INDEX('🎓 Alumnas'!$D$2:$D$1000,MATCH($W258,'🎓 Alumnas'!$A$2:$A$1000,0))="","",INDEX('🎓 Alumnas'!$D$2:$D$1000,MATCH($W258,'🎓 Alumnas'!$A$2:$A$1000,0))),""))</f>
        <v/>
      </c>
      <c r="G258" s="28" t="str">
        <f aca="false">IF($W258="","",IFERROR(IF(INDEX('🎓 Alumnas'!$E$2:$E$1000,MATCH($W258,'🎓 Alumnas'!$A$2:$A$1000,0))="","",INDEX('🎓 Alumnas'!$E$2:$E$1000,MATCH($W258,'🎓 Alumnas'!$A$2:$A$1000,0))),""))</f>
        <v/>
      </c>
      <c r="H258" s="28" t="str">
        <f aca="false">IF($W258="","",IFERROR(IF(INDEX('🎓 Alumnas'!$F$2:$F$1000,MATCH($W258,'🎓 Alumnas'!$A$2:$A$1000,0))="","",INDEX('🎓 Alumnas'!$F$2:$F$1000,MATCH($W258,'🎓 Alumnas'!$A$2:$A$1000,0))),""))</f>
        <v/>
      </c>
      <c r="I258" s="30" t="str">
        <f aca="false">IF($W258="","",IFERROR(IF(INDEX('🎓 Alumnas'!$G$2:$G$1000,MATCH($W258,'🎓 Alumnas'!$A$2:$A$1000,0))="","",INDEX('🎓 Alumnas'!$G$2:$G$1000,MATCH($W258,'🎓 Alumnas'!$A$2:$A$1000,0))),""))</f>
        <v/>
      </c>
      <c r="J258" s="28" t="str">
        <f aca="true">IF(I258="","",DATEDIF(I258,TODAY(),"Y"))</f>
        <v/>
      </c>
      <c r="K258" s="25"/>
      <c r="L258" s="28" t="str">
        <f aca="false">IF(K258="","",IF(LEFT(K258,6)="1 Pole","Alquiler",IF(LEFT(K258,7)="1 Clase","Clase suelta","Paquete")))</f>
        <v/>
      </c>
      <c r="M258" s="25"/>
      <c r="N258" s="25"/>
      <c r="O258" s="35"/>
      <c r="P258" s="29" t="str">
        <f aca="false">IF(O258="","",N258*O258)</f>
        <v/>
      </c>
      <c r="Q258" s="36"/>
      <c r="R258" s="25"/>
      <c r="S258" s="25"/>
      <c r="T258" s="28" t="str">
        <f aca="false">IF(OR(LEFT(W258,2)&lt;&gt;"A-",ISERROR(MATCH(W258,'🎓 Alumnas'!$A$2:$A$1000,0))),"",IF(COUNTIF($W$2:W258,W258)=1,"Nueva","Recurrente"))</f>
        <v/>
      </c>
      <c r="U258" s="28" t="str">
        <f aca="false">IF(OR(T258="",L258&lt;&gt;"Paquete"),"",COUNTIFS($W$2:W258,W258,$L$2:L258,"Paquete"))</f>
        <v/>
      </c>
      <c r="V258" s="25"/>
      <c r="W258" s="34" t="str">
        <f aca="false">IF(TRIM($C258)="","",IF(COUNTIF('🎓 Alumnas'!$P$2:$P$1000,TRIM($C258))&gt;0,INDEX('🎓 Alumnas'!$A$2:$A$1000,MATCH(TRIM($C258),'🎓 Alumnas'!$P$2:$P$1000,0)),IF(COUNTIF('🎓 Alumnas'!$O$2:$O$1000,TRIM($C258)&amp;"|*")=1,INDEX('🎓 Alumnas'!$A$2:$A$1000,MATCH(TRIM($C258)&amp;"|*",'🎓 Alumnas'!$O$2:$O$1000,0)),IF(COUNTIF('🎓 Alumnas'!$O$2:$O$1000,"*|"&amp;TRIM($C258))=1,INDEX('🎓 Alumnas'!$A$2:$A$1000,MATCH("*|"&amp;TRIM($C258),'🎓 Alumnas'!$O$2:$O$1000,0)),IF(COUNTIF('🎓 Alumnas'!$Q$2:$Q$1000,TRIM($C258))=1,INDEX('🎓 Alumnas'!$A$2:$A$1000,MATCH(TRIM($C258),'🎓 Alumnas'!$Q$2:$Q$1000,0)),IF(COUNTIF('🎓 Alumnas'!$P$2:$P$1000,"*"&amp;TRIM($C258)&amp;"*")=1,INDEX('🎓 Alumnas'!$A$2:$A$1000,MATCH("*"&amp;TRIM($C258)&amp;"*",'🎓 Alumnas'!$P$2:$P$1000,0)),IF(COUNTIF('🎓 Alumnas'!$Q$2:$Q$1000,"*"&amp;TRIM($C258)&amp;"*")=1,INDEX('🎓 Alumnas'!$A$2:$A$1000,MATCH("*"&amp;TRIM($C258)&amp;"*",'🎓 Alumnas'!$Q$2:$Q$1000,0)),IF(COUNTIF('🎓 Alumnas'!$P$2:$P$1000,"*"&amp;TRIM($C258)&amp;"*")+COUNTIF('🎓 Alumnas'!$Q$2:$Q$1000,"*"&amp;TRIM($C258)&amp;"*")&gt;1,"Varias: elige de la lista","No encontrada"))))))))</f>
        <v/>
      </c>
    </row>
    <row r="259" customFormat="false" ht="14.25" hidden="false" customHeight="true" outlineLevel="0" collapsed="false">
      <c r="A259" s="25" t="s">
        <v>803</v>
      </c>
      <c r="B259" s="27"/>
      <c r="C259" s="25"/>
      <c r="D259" s="34" t="str">
        <f aca="false">IF($W259="","",IFERROR(TRIM(INDEX('🎓 Alumnas'!$B$2:$B$1000,MATCH($W259,'🎓 Alumnas'!$A$2:$A$1000,0))),""))</f>
        <v/>
      </c>
      <c r="E259" s="34" t="str">
        <f aca="false">IF($W259="","",IFERROR(TRIM(INDEX('🎓 Alumnas'!$C$2:$C$1000,MATCH($W259,'🎓 Alumnas'!$A$2:$A$1000,0))),""))</f>
        <v/>
      </c>
      <c r="F259" s="34" t="str">
        <f aca="false">IF($W259="","",IFERROR(IF(INDEX('🎓 Alumnas'!$D$2:$D$1000,MATCH($W259,'🎓 Alumnas'!$A$2:$A$1000,0))="","",INDEX('🎓 Alumnas'!$D$2:$D$1000,MATCH($W259,'🎓 Alumnas'!$A$2:$A$1000,0))),""))</f>
        <v/>
      </c>
      <c r="G259" s="28" t="str">
        <f aca="false">IF($W259="","",IFERROR(IF(INDEX('🎓 Alumnas'!$E$2:$E$1000,MATCH($W259,'🎓 Alumnas'!$A$2:$A$1000,0))="","",INDEX('🎓 Alumnas'!$E$2:$E$1000,MATCH($W259,'🎓 Alumnas'!$A$2:$A$1000,0))),""))</f>
        <v/>
      </c>
      <c r="H259" s="28" t="str">
        <f aca="false">IF($W259="","",IFERROR(IF(INDEX('🎓 Alumnas'!$F$2:$F$1000,MATCH($W259,'🎓 Alumnas'!$A$2:$A$1000,0))="","",INDEX('🎓 Alumnas'!$F$2:$F$1000,MATCH($W259,'🎓 Alumnas'!$A$2:$A$1000,0))),""))</f>
        <v/>
      </c>
      <c r="I259" s="30" t="str">
        <f aca="false">IF($W259="","",IFERROR(IF(INDEX('🎓 Alumnas'!$G$2:$G$1000,MATCH($W259,'🎓 Alumnas'!$A$2:$A$1000,0))="","",INDEX('🎓 Alumnas'!$G$2:$G$1000,MATCH($W259,'🎓 Alumnas'!$A$2:$A$1000,0))),""))</f>
        <v/>
      </c>
      <c r="J259" s="28" t="str">
        <f aca="true">IF(I259="","",DATEDIF(I259,TODAY(),"Y"))</f>
        <v/>
      </c>
      <c r="K259" s="25"/>
      <c r="L259" s="28" t="str">
        <f aca="false">IF(K259="","",IF(LEFT(K259,6)="1 Pole","Alquiler",IF(LEFT(K259,7)="1 Clase","Clase suelta","Paquete")))</f>
        <v/>
      </c>
      <c r="M259" s="25"/>
      <c r="N259" s="25"/>
      <c r="O259" s="35"/>
      <c r="P259" s="29" t="str">
        <f aca="false">IF(O259="","",N259*O259)</f>
        <v/>
      </c>
      <c r="Q259" s="36"/>
      <c r="R259" s="25"/>
      <c r="S259" s="25"/>
      <c r="T259" s="28" t="str">
        <f aca="false">IF(OR(LEFT(W259,2)&lt;&gt;"A-",ISERROR(MATCH(W259,'🎓 Alumnas'!$A$2:$A$1000,0))),"",IF(COUNTIF($W$2:W259,W259)=1,"Nueva","Recurrente"))</f>
        <v/>
      </c>
      <c r="U259" s="28" t="str">
        <f aca="false">IF(OR(T259="",L259&lt;&gt;"Paquete"),"",COUNTIFS($W$2:W259,W259,$L$2:L259,"Paquete"))</f>
        <v/>
      </c>
      <c r="V259" s="25"/>
      <c r="W259" s="34" t="str">
        <f aca="false">IF(TRIM($C259)="","",IF(COUNTIF('🎓 Alumnas'!$P$2:$P$1000,TRIM($C259))&gt;0,INDEX('🎓 Alumnas'!$A$2:$A$1000,MATCH(TRIM($C259),'🎓 Alumnas'!$P$2:$P$1000,0)),IF(COUNTIF('🎓 Alumnas'!$O$2:$O$1000,TRIM($C259)&amp;"|*")=1,INDEX('🎓 Alumnas'!$A$2:$A$1000,MATCH(TRIM($C259)&amp;"|*",'🎓 Alumnas'!$O$2:$O$1000,0)),IF(COUNTIF('🎓 Alumnas'!$O$2:$O$1000,"*|"&amp;TRIM($C259))=1,INDEX('🎓 Alumnas'!$A$2:$A$1000,MATCH("*|"&amp;TRIM($C259),'🎓 Alumnas'!$O$2:$O$1000,0)),IF(COUNTIF('🎓 Alumnas'!$Q$2:$Q$1000,TRIM($C259))=1,INDEX('🎓 Alumnas'!$A$2:$A$1000,MATCH(TRIM($C259),'🎓 Alumnas'!$Q$2:$Q$1000,0)),IF(COUNTIF('🎓 Alumnas'!$P$2:$P$1000,"*"&amp;TRIM($C259)&amp;"*")=1,INDEX('🎓 Alumnas'!$A$2:$A$1000,MATCH("*"&amp;TRIM($C259)&amp;"*",'🎓 Alumnas'!$P$2:$P$1000,0)),IF(COUNTIF('🎓 Alumnas'!$Q$2:$Q$1000,"*"&amp;TRIM($C259)&amp;"*")=1,INDEX('🎓 Alumnas'!$A$2:$A$1000,MATCH("*"&amp;TRIM($C259)&amp;"*",'🎓 Alumnas'!$Q$2:$Q$1000,0)),IF(COUNTIF('🎓 Alumnas'!$P$2:$P$1000,"*"&amp;TRIM($C259)&amp;"*")+COUNTIF('🎓 Alumnas'!$Q$2:$Q$1000,"*"&amp;TRIM($C259)&amp;"*")&gt;1,"Varias: elige de la lista","No encontrada"))))))))</f>
        <v/>
      </c>
    </row>
    <row r="260" customFormat="false" ht="14.25" hidden="false" customHeight="true" outlineLevel="0" collapsed="false">
      <c r="A260" s="25" t="s">
        <v>804</v>
      </c>
      <c r="B260" s="27"/>
      <c r="C260" s="25"/>
      <c r="D260" s="34" t="str">
        <f aca="false">IF($W260="","",IFERROR(TRIM(INDEX('🎓 Alumnas'!$B$2:$B$1000,MATCH($W260,'🎓 Alumnas'!$A$2:$A$1000,0))),""))</f>
        <v/>
      </c>
      <c r="E260" s="34" t="str">
        <f aca="false">IF($W260="","",IFERROR(TRIM(INDEX('🎓 Alumnas'!$C$2:$C$1000,MATCH($W260,'🎓 Alumnas'!$A$2:$A$1000,0))),""))</f>
        <v/>
      </c>
      <c r="F260" s="34" t="str">
        <f aca="false">IF($W260="","",IFERROR(IF(INDEX('🎓 Alumnas'!$D$2:$D$1000,MATCH($W260,'🎓 Alumnas'!$A$2:$A$1000,0))="","",INDEX('🎓 Alumnas'!$D$2:$D$1000,MATCH($W260,'🎓 Alumnas'!$A$2:$A$1000,0))),""))</f>
        <v/>
      </c>
      <c r="G260" s="28" t="str">
        <f aca="false">IF($W260="","",IFERROR(IF(INDEX('🎓 Alumnas'!$E$2:$E$1000,MATCH($W260,'🎓 Alumnas'!$A$2:$A$1000,0))="","",INDEX('🎓 Alumnas'!$E$2:$E$1000,MATCH($W260,'🎓 Alumnas'!$A$2:$A$1000,0))),""))</f>
        <v/>
      </c>
      <c r="H260" s="28" t="str">
        <f aca="false">IF($W260="","",IFERROR(IF(INDEX('🎓 Alumnas'!$F$2:$F$1000,MATCH($W260,'🎓 Alumnas'!$A$2:$A$1000,0))="","",INDEX('🎓 Alumnas'!$F$2:$F$1000,MATCH($W260,'🎓 Alumnas'!$A$2:$A$1000,0))),""))</f>
        <v/>
      </c>
      <c r="I260" s="30" t="str">
        <f aca="false">IF($W260="","",IFERROR(IF(INDEX('🎓 Alumnas'!$G$2:$G$1000,MATCH($W260,'🎓 Alumnas'!$A$2:$A$1000,0))="","",INDEX('🎓 Alumnas'!$G$2:$G$1000,MATCH($W260,'🎓 Alumnas'!$A$2:$A$1000,0))),""))</f>
        <v/>
      </c>
      <c r="J260" s="28" t="str">
        <f aca="true">IF(I260="","",DATEDIF(I260,TODAY(),"Y"))</f>
        <v/>
      </c>
      <c r="K260" s="25"/>
      <c r="L260" s="28" t="str">
        <f aca="false">IF(K260="","",IF(LEFT(K260,6)="1 Pole","Alquiler",IF(LEFT(K260,7)="1 Clase","Clase suelta","Paquete")))</f>
        <v/>
      </c>
      <c r="M260" s="25"/>
      <c r="N260" s="25"/>
      <c r="O260" s="35"/>
      <c r="P260" s="29" t="str">
        <f aca="false">IF(O260="","",N260*O260)</f>
        <v/>
      </c>
      <c r="Q260" s="36"/>
      <c r="R260" s="25"/>
      <c r="S260" s="25"/>
      <c r="T260" s="28" t="str">
        <f aca="false">IF(OR(LEFT(W260,2)&lt;&gt;"A-",ISERROR(MATCH(W260,'🎓 Alumnas'!$A$2:$A$1000,0))),"",IF(COUNTIF($W$2:W260,W260)=1,"Nueva","Recurrente"))</f>
        <v/>
      </c>
      <c r="U260" s="28" t="str">
        <f aca="false">IF(OR(T260="",L260&lt;&gt;"Paquete"),"",COUNTIFS($W$2:W260,W260,$L$2:L260,"Paquete"))</f>
        <v/>
      </c>
      <c r="V260" s="25"/>
      <c r="W260" s="34" t="str">
        <f aca="false">IF(TRIM($C260)="","",IF(COUNTIF('🎓 Alumnas'!$P$2:$P$1000,TRIM($C260))&gt;0,INDEX('🎓 Alumnas'!$A$2:$A$1000,MATCH(TRIM($C260),'🎓 Alumnas'!$P$2:$P$1000,0)),IF(COUNTIF('🎓 Alumnas'!$O$2:$O$1000,TRIM($C260)&amp;"|*")=1,INDEX('🎓 Alumnas'!$A$2:$A$1000,MATCH(TRIM($C260)&amp;"|*",'🎓 Alumnas'!$O$2:$O$1000,0)),IF(COUNTIF('🎓 Alumnas'!$O$2:$O$1000,"*|"&amp;TRIM($C260))=1,INDEX('🎓 Alumnas'!$A$2:$A$1000,MATCH("*|"&amp;TRIM($C260),'🎓 Alumnas'!$O$2:$O$1000,0)),IF(COUNTIF('🎓 Alumnas'!$Q$2:$Q$1000,TRIM($C260))=1,INDEX('🎓 Alumnas'!$A$2:$A$1000,MATCH(TRIM($C260),'🎓 Alumnas'!$Q$2:$Q$1000,0)),IF(COUNTIF('🎓 Alumnas'!$P$2:$P$1000,"*"&amp;TRIM($C260)&amp;"*")=1,INDEX('🎓 Alumnas'!$A$2:$A$1000,MATCH("*"&amp;TRIM($C260)&amp;"*",'🎓 Alumnas'!$P$2:$P$1000,0)),IF(COUNTIF('🎓 Alumnas'!$Q$2:$Q$1000,"*"&amp;TRIM($C260)&amp;"*")=1,INDEX('🎓 Alumnas'!$A$2:$A$1000,MATCH("*"&amp;TRIM($C260)&amp;"*",'🎓 Alumnas'!$Q$2:$Q$1000,0)),IF(COUNTIF('🎓 Alumnas'!$P$2:$P$1000,"*"&amp;TRIM($C260)&amp;"*")+COUNTIF('🎓 Alumnas'!$Q$2:$Q$1000,"*"&amp;TRIM($C260)&amp;"*")&gt;1,"Varias: elige de la lista","No encontrada"))))))))</f>
        <v/>
      </c>
    </row>
    <row r="261" customFormat="false" ht="14.25" hidden="false" customHeight="true" outlineLevel="0" collapsed="false">
      <c r="A261" s="25" t="s">
        <v>805</v>
      </c>
      <c r="B261" s="27"/>
      <c r="C261" s="25"/>
      <c r="D261" s="34" t="str">
        <f aca="false">IF($W261="","",IFERROR(TRIM(INDEX('🎓 Alumnas'!$B$2:$B$1000,MATCH($W261,'🎓 Alumnas'!$A$2:$A$1000,0))),""))</f>
        <v/>
      </c>
      <c r="E261" s="34" t="str">
        <f aca="false">IF($W261="","",IFERROR(TRIM(INDEX('🎓 Alumnas'!$C$2:$C$1000,MATCH($W261,'🎓 Alumnas'!$A$2:$A$1000,0))),""))</f>
        <v/>
      </c>
      <c r="F261" s="34" t="str">
        <f aca="false">IF($W261="","",IFERROR(IF(INDEX('🎓 Alumnas'!$D$2:$D$1000,MATCH($W261,'🎓 Alumnas'!$A$2:$A$1000,0))="","",INDEX('🎓 Alumnas'!$D$2:$D$1000,MATCH($W261,'🎓 Alumnas'!$A$2:$A$1000,0))),""))</f>
        <v/>
      </c>
      <c r="G261" s="28" t="str">
        <f aca="false">IF($W261="","",IFERROR(IF(INDEX('🎓 Alumnas'!$E$2:$E$1000,MATCH($W261,'🎓 Alumnas'!$A$2:$A$1000,0))="","",INDEX('🎓 Alumnas'!$E$2:$E$1000,MATCH($W261,'🎓 Alumnas'!$A$2:$A$1000,0))),""))</f>
        <v/>
      </c>
      <c r="H261" s="28" t="str">
        <f aca="false">IF($W261="","",IFERROR(IF(INDEX('🎓 Alumnas'!$F$2:$F$1000,MATCH($W261,'🎓 Alumnas'!$A$2:$A$1000,0))="","",INDEX('🎓 Alumnas'!$F$2:$F$1000,MATCH($W261,'🎓 Alumnas'!$A$2:$A$1000,0))),""))</f>
        <v/>
      </c>
      <c r="I261" s="30" t="str">
        <f aca="false">IF($W261="","",IFERROR(IF(INDEX('🎓 Alumnas'!$G$2:$G$1000,MATCH($W261,'🎓 Alumnas'!$A$2:$A$1000,0))="","",INDEX('🎓 Alumnas'!$G$2:$G$1000,MATCH($W261,'🎓 Alumnas'!$A$2:$A$1000,0))),""))</f>
        <v/>
      </c>
      <c r="J261" s="28" t="str">
        <f aca="true">IF(I261="","",DATEDIF(I261,TODAY(),"Y"))</f>
        <v/>
      </c>
      <c r="K261" s="25"/>
      <c r="L261" s="28" t="str">
        <f aca="false">IF(K261="","",IF(LEFT(K261,6)="1 Pole","Alquiler",IF(LEFT(K261,7)="1 Clase","Clase suelta","Paquete")))</f>
        <v/>
      </c>
      <c r="M261" s="25"/>
      <c r="N261" s="25"/>
      <c r="O261" s="35"/>
      <c r="P261" s="29" t="str">
        <f aca="false">IF(O261="","",N261*O261)</f>
        <v/>
      </c>
      <c r="Q261" s="36"/>
      <c r="R261" s="25"/>
      <c r="S261" s="25"/>
      <c r="T261" s="28" t="str">
        <f aca="false">IF(OR(LEFT(W261,2)&lt;&gt;"A-",ISERROR(MATCH(W261,'🎓 Alumnas'!$A$2:$A$1000,0))),"",IF(COUNTIF($W$2:W261,W261)=1,"Nueva","Recurrente"))</f>
        <v/>
      </c>
      <c r="U261" s="28" t="str">
        <f aca="false">IF(OR(T261="",L261&lt;&gt;"Paquete"),"",COUNTIFS($W$2:W261,W261,$L$2:L261,"Paquete"))</f>
        <v/>
      </c>
      <c r="V261" s="25"/>
      <c r="W261" s="34" t="str">
        <f aca="false">IF(TRIM($C261)="","",IF(COUNTIF('🎓 Alumnas'!$P$2:$P$1000,TRIM($C261))&gt;0,INDEX('🎓 Alumnas'!$A$2:$A$1000,MATCH(TRIM($C261),'🎓 Alumnas'!$P$2:$P$1000,0)),IF(COUNTIF('🎓 Alumnas'!$O$2:$O$1000,TRIM($C261)&amp;"|*")=1,INDEX('🎓 Alumnas'!$A$2:$A$1000,MATCH(TRIM($C261)&amp;"|*",'🎓 Alumnas'!$O$2:$O$1000,0)),IF(COUNTIF('🎓 Alumnas'!$O$2:$O$1000,"*|"&amp;TRIM($C261))=1,INDEX('🎓 Alumnas'!$A$2:$A$1000,MATCH("*|"&amp;TRIM($C261),'🎓 Alumnas'!$O$2:$O$1000,0)),IF(COUNTIF('🎓 Alumnas'!$Q$2:$Q$1000,TRIM($C261))=1,INDEX('🎓 Alumnas'!$A$2:$A$1000,MATCH(TRIM($C261),'🎓 Alumnas'!$Q$2:$Q$1000,0)),IF(COUNTIF('🎓 Alumnas'!$P$2:$P$1000,"*"&amp;TRIM($C261)&amp;"*")=1,INDEX('🎓 Alumnas'!$A$2:$A$1000,MATCH("*"&amp;TRIM($C261)&amp;"*",'🎓 Alumnas'!$P$2:$P$1000,0)),IF(COUNTIF('🎓 Alumnas'!$Q$2:$Q$1000,"*"&amp;TRIM($C261)&amp;"*")=1,INDEX('🎓 Alumnas'!$A$2:$A$1000,MATCH("*"&amp;TRIM($C261)&amp;"*",'🎓 Alumnas'!$Q$2:$Q$1000,0)),IF(COUNTIF('🎓 Alumnas'!$P$2:$P$1000,"*"&amp;TRIM($C261)&amp;"*")+COUNTIF('🎓 Alumnas'!$Q$2:$Q$1000,"*"&amp;TRIM($C261)&amp;"*")&gt;1,"Varias: elige de la lista","No encontrada"))))))))</f>
        <v/>
      </c>
    </row>
    <row r="262" customFormat="false" ht="14.25" hidden="false" customHeight="true" outlineLevel="0" collapsed="false">
      <c r="A262" s="25" t="s">
        <v>806</v>
      </c>
      <c r="B262" s="27"/>
      <c r="C262" s="25"/>
      <c r="D262" s="34" t="str">
        <f aca="false">IF($W262="","",IFERROR(TRIM(INDEX('🎓 Alumnas'!$B$2:$B$1000,MATCH($W262,'🎓 Alumnas'!$A$2:$A$1000,0))),""))</f>
        <v/>
      </c>
      <c r="E262" s="34" t="str">
        <f aca="false">IF($W262="","",IFERROR(TRIM(INDEX('🎓 Alumnas'!$C$2:$C$1000,MATCH($W262,'🎓 Alumnas'!$A$2:$A$1000,0))),""))</f>
        <v/>
      </c>
      <c r="F262" s="34" t="str">
        <f aca="false">IF($W262="","",IFERROR(IF(INDEX('🎓 Alumnas'!$D$2:$D$1000,MATCH($W262,'🎓 Alumnas'!$A$2:$A$1000,0))="","",INDEX('🎓 Alumnas'!$D$2:$D$1000,MATCH($W262,'🎓 Alumnas'!$A$2:$A$1000,0))),""))</f>
        <v/>
      </c>
      <c r="G262" s="28" t="str">
        <f aca="false">IF($W262="","",IFERROR(IF(INDEX('🎓 Alumnas'!$E$2:$E$1000,MATCH($W262,'🎓 Alumnas'!$A$2:$A$1000,0))="","",INDEX('🎓 Alumnas'!$E$2:$E$1000,MATCH($W262,'🎓 Alumnas'!$A$2:$A$1000,0))),""))</f>
        <v/>
      </c>
      <c r="H262" s="28" t="str">
        <f aca="false">IF($W262="","",IFERROR(IF(INDEX('🎓 Alumnas'!$F$2:$F$1000,MATCH($W262,'🎓 Alumnas'!$A$2:$A$1000,0))="","",INDEX('🎓 Alumnas'!$F$2:$F$1000,MATCH($W262,'🎓 Alumnas'!$A$2:$A$1000,0))),""))</f>
        <v/>
      </c>
      <c r="I262" s="30" t="str">
        <f aca="false">IF($W262="","",IFERROR(IF(INDEX('🎓 Alumnas'!$G$2:$G$1000,MATCH($W262,'🎓 Alumnas'!$A$2:$A$1000,0))="","",INDEX('🎓 Alumnas'!$G$2:$G$1000,MATCH($W262,'🎓 Alumnas'!$A$2:$A$1000,0))),""))</f>
        <v/>
      </c>
      <c r="J262" s="28" t="str">
        <f aca="true">IF(I262="","",DATEDIF(I262,TODAY(),"Y"))</f>
        <v/>
      </c>
      <c r="K262" s="25"/>
      <c r="L262" s="28" t="str">
        <f aca="false">IF(K262="","",IF(LEFT(K262,6)="1 Pole","Alquiler",IF(LEFT(K262,7)="1 Clase","Clase suelta","Paquete")))</f>
        <v/>
      </c>
      <c r="M262" s="25"/>
      <c r="N262" s="25"/>
      <c r="O262" s="35"/>
      <c r="P262" s="29" t="str">
        <f aca="false">IF(O262="","",N262*O262)</f>
        <v/>
      </c>
      <c r="Q262" s="36"/>
      <c r="R262" s="25"/>
      <c r="S262" s="25"/>
      <c r="T262" s="28" t="str">
        <f aca="false">IF(OR(LEFT(W262,2)&lt;&gt;"A-",ISERROR(MATCH(W262,'🎓 Alumnas'!$A$2:$A$1000,0))),"",IF(COUNTIF($W$2:W262,W262)=1,"Nueva","Recurrente"))</f>
        <v/>
      </c>
      <c r="U262" s="28" t="str">
        <f aca="false">IF(OR(T262="",L262&lt;&gt;"Paquete"),"",COUNTIFS($W$2:W262,W262,$L$2:L262,"Paquete"))</f>
        <v/>
      </c>
      <c r="V262" s="25"/>
      <c r="W262" s="34" t="str">
        <f aca="false">IF(TRIM($C262)="","",IF(COUNTIF('🎓 Alumnas'!$P$2:$P$1000,TRIM($C262))&gt;0,INDEX('🎓 Alumnas'!$A$2:$A$1000,MATCH(TRIM($C262),'🎓 Alumnas'!$P$2:$P$1000,0)),IF(COUNTIF('🎓 Alumnas'!$O$2:$O$1000,TRIM($C262)&amp;"|*")=1,INDEX('🎓 Alumnas'!$A$2:$A$1000,MATCH(TRIM($C262)&amp;"|*",'🎓 Alumnas'!$O$2:$O$1000,0)),IF(COUNTIF('🎓 Alumnas'!$O$2:$O$1000,"*|"&amp;TRIM($C262))=1,INDEX('🎓 Alumnas'!$A$2:$A$1000,MATCH("*|"&amp;TRIM($C262),'🎓 Alumnas'!$O$2:$O$1000,0)),IF(COUNTIF('🎓 Alumnas'!$Q$2:$Q$1000,TRIM($C262))=1,INDEX('🎓 Alumnas'!$A$2:$A$1000,MATCH(TRIM($C262),'🎓 Alumnas'!$Q$2:$Q$1000,0)),IF(COUNTIF('🎓 Alumnas'!$P$2:$P$1000,"*"&amp;TRIM($C262)&amp;"*")=1,INDEX('🎓 Alumnas'!$A$2:$A$1000,MATCH("*"&amp;TRIM($C262)&amp;"*",'🎓 Alumnas'!$P$2:$P$1000,0)),IF(COUNTIF('🎓 Alumnas'!$Q$2:$Q$1000,"*"&amp;TRIM($C262)&amp;"*")=1,INDEX('🎓 Alumnas'!$A$2:$A$1000,MATCH("*"&amp;TRIM($C262)&amp;"*",'🎓 Alumnas'!$Q$2:$Q$1000,0)),IF(COUNTIF('🎓 Alumnas'!$P$2:$P$1000,"*"&amp;TRIM($C262)&amp;"*")+COUNTIF('🎓 Alumnas'!$Q$2:$Q$1000,"*"&amp;TRIM($C262)&amp;"*")&gt;1,"Varias: elige de la lista","No encontrada"))))))))</f>
        <v/>
      </c>
    </row>
    <row r="263" customFormat="false" ht="14.25" hidden="false" customHeight="true" outlineLevel="0" collapsed="false">
      <c r="A263" s="25" t="s">
        <v>807</v>
      </c>
      <c r="B263" s="27"/>
      <c r="C263" s="25"/>
      <c r="D263" s="34" t="str">
        <f aca="false">IF($W263="","",IFERROR(TRIM(INDEX('🎓 Alumnas'!$B$2:$B$1000,MATCH($W263,'🎓 Alumnas'!$A$2:$A$1000,0))),""))</f>
        <v/>
      </c>
      <c r="E263" s="34" t="str">
        <f aca="false">IF($W263="","",IFERROR(TRIM(INDEX('🎓 Alumnas'!$C$2:$C$1000,MATCH($W263,'🎓 Alumnas'!$A$2:$A$1000,0))),""))</f>
        <v/>
      </c>
      <c r="F263" s="34" t="str">
        <f aca="false">IF($W263="","",IFERROR(IF(INDEX('🎓 Alumnas'!$D$2:$D$1000,MATCH($W263,'🎓 Alumnas'!$A$2:$A$1000,0))="","",INDEX('🎓 Alumnas'!$D$2:$D$1000,MATCH($W263,'🎓 Alumnas'!$A$2:$A$1000,0))),""))</f>
        <v/>
      </c>
      <c r="G263" s="28" t="str">
        <f aca="false">IF($W263="","",IFERROR(IF(INDEX('🎓 Alumnas'!$E$2:$E$1000,MATCH($W263,'🎓 Alumnas'!$A$2:$A$1000,0))="","",INDEX('🎓 Alumnas'!$E$2:$E$1000,MATCH($W263,'🎓 Alumnas'!$A$2:$A$1000,0))),""))</f>
        <v/>
      </c>
      <c r="H263" s="28" t="str">
        <f aca="false">IF($W263="","",IFERROR(IF(INDEX('🎓 Alumnas'!$F$2:$F$1000,MATCH($W263,'🎓 Alumnas'!$A$2:$A$1000,0))="","",INDEX('🎓 Alumnas'!$F$2:$F$1000,MATCH($W263,'🎓 Alumnas'!$A$2:$A$1000,0))),""))</f>
        <v/>
      </c>
      <c r="I263" s="30" t="str">
        <f aca="false">IF($W263="","",IFERROR(IF(INDEX('🎓 Alumnas'!$G$2:$G$1000,MATCH($W263,'🎓 Alumnas'!$A$2:$A$1000,0))="","",INDEX('🎓 Alumnas'!$G$2:$G$1000,MATCH($W263,'🎓 Alumnas'!$A$2:$A$1000,0))),""))</f>
        <v/>
      </c>
      <c r="J263" s="28" t="str">
        <f aca="true">IF(I263="","",DATEDIF(I263,TODAY(),"Y"))</f>
        <v/>
      </c>
      <c r="K263" s="25"/>
      <c r="L263" s="28" t="str">
        <f aca="false">IF(K263="","",IF(LEFT(K263,6)="1 Pole","Alquiler",IF(LEFT(K263,7)="1 Clase","Clase suelta","Paquete")))</f>
        <v/>
      </c>
      <c r="M263" s="25"/>
      <c r="N263" s="25"/>
      <c r="O263" s="35"/>
      <c r="P263" s="29" t="str">
        <f aca="false">IF(O263="","",N263*O263)</f>
        <v/>
      </c>
      <c r="Q263" s="36"/>
      <c r="R263" s="25"/>
      <c r="S263" s="25"/>
      <c r="T263" s="28" t="str">
        <f aca="false">IF(OR(LEFT(W263,2)&lt;&gt;"A-",ISERROR(MATCH(W263,'🎓 Alumnas'!$A$2:$A$1000,0))),"",IF(COUNTIF($W$2:W263,W263)=1,"Nueva","Recurrente"))</f>
        <v/>
      </c>
      <c r="U263" s="28" t="str">
        <f aca="false">IF(OR(T263="",L263&lt;&gt;"Paquete"),"",COUNTIFS($W$2:W263,W263,$L$2:L263,"Paquete"))</f>
        <v/>
      </c>
      <c r="V263" s="25"/>
      <c r="W263" s="34" t="str">
        <f aca="false">IF(TRIM($C263)="","",IF(COUNTIF('🎓 Alumnas'!$P$2:$P$1000,TRIM($C263))&gt;0,INDEX('🎓 Alumnas'!$A$2:$A$1000,MATCH(TRIM($C263),'🎓 Alumnas'!$P$2:$P$1000,0)),IF(COUNTIF('🎓 Alumnas'!$O$2:$O$1000,TRIM($C263)&amp;"|*")=1,INDEX('🎓 Alumnas'!$A$2:$A$1000,MATCH(TRIM($C263)&amp;"|*",'🎓 Alumnas'!$O$2:$O$1000,0)),IF(COUNTIF('🎓 Alumnas'!$O$2:$O$1000,"*|"&amp;TRIM($C263))=1,INDEX('🎓 Alumnas'!$A$2:$A$1000,MATCH("*|"&amp;TRIM($C263),'🎓 Alumnas'!$O$2:$O$1000,0)),IF(COUNTIF('🎓 Alumnas'!$Q$2:$Q$1000,TRIM($C263))=1,INDEX('🎓 Alumnas'!$A$2:$A$1000,MATCH(TRIM($C263),'🎓 Alumnas'!$Q$2:$Q$1000,0)),IF(COUNTIF('🎓 Alumnas'!$P$2:$P$1000,"*"&amp;TRIM($C263)&amp;"*")=1,INDEX('🎓 Alumnas'!$A$2:$A$1000,MATCH("*"&amp;TRIM($C263)&amp;"*",'🎓 Alumnas'!$P$2:$P$1000,0)),IF(COUNTIF('🎓 Alumnas'!$Q$2:$Q$1000,"*"&amp;TRIM($C263)&amp;"*")=1,INDEX('🎓 Alumnas'!$A$2:$A$1000,MATCH("*"&amp;TRIM($C263)&amp;"*",'🎓 Alumnas'!$Q$2:$Q$1000,0)),IF(COUNTIF('🎓 Alumnas'!$P$2:$P$1000,"*"&amp;TRIM($C263)&amp;"*")+COUNTIF('🎓 Alumnas'!$Q$2:$Q$1000,"*"&amp;TRIM($C263)&amp;"*")&gt;1,"Varias: elige de la lista","No encontrada"))))))))</f>
        <v/>
      </c>
    </row>
    <row r="264" customFormat="false" ht="14.25" hidden="false" customHeight="true" outlineLevel="0" collapsed="false">
      <c r="A264" s="25" t="s">
        <v>808</v>
      </c>
      <c r="B264" s="27"/>
      <c r="C264" s="25"/>
      <c r="D264" s="34" t="str">
        <f aca="false">IF($W264="","",IFERROR(TRIM(INDEX('🎓 Alumnas'!$B$2:$B$1000,MATCH($W264,'🎓 Alumnas'!$A$2:$A$1000,0))),""))</f>
        <v/>
      </c>
      <c r="E264" s="34" t="str">
        <f aca="false">IF($W264="","",IFERROR(TRIM(INDEX('🎓 Alumnas'!$C$2:$C$1000,MATCH($W264,'🎓 Alumnas'!$A$2:$A$1000,0))),""))</f>
        <v/>
      </c>
      <c r="F264" s="34" t="str">
        <f aca="false">IF($W264="","",IFERROR(IF(INDEX('🎓 Alumnas'!$D$2:$D$1000,MATCH($W264,'🎓 Alumnas'!$A$2:$A$1000,0))="","",INDEX('🎓 Alumnas'!$D$2:$D$1000,MATCH($W264,'🎓 Alumnas'!$A$2:$A$1000,0))),""))</f>
        <v/>
      </c>
      <c r="G264" s="28" t="str">
        <f aca="false">IF($W264="","",IFERROR(IF(INDEX('🎓 Alumnas'!$E$2:$E$1000,MATCH($W264,'🎓 Alumnas'!$A$2:$A$1000,0))="","",INDEX('🎓 Alumnas'!$E$2:$E$1000,MATCH($W264,'🎓 Alumnas'!$A$2:$A$1000,0))),""))</f>
        <v/>
      </c>
      <c r="H264" s="28" t="str">
        <f aca="false">IF($W264="","",IFERROR(IF(INDEX('🎓 Alumnas'!$F$2:$F$1000,MATCH($W264,'🎓 Alumnas'!$A$2:$A$1000,0))="","",INDEX('🎓 Alumnas'!$F$2:$F$1000,MATCH($W264,'🎓 Alumnas'!$A$2:$A$1000,0))),""))</f>
        <v/>
      </c>
      <c r="I264" s="30" t="str">
        <f aca="false">IF($W264="","",IFERROR(IF(INDEX('🎓 Alumnas'!$G$2:$G$1000,MATCH($W264,'🎓 Alumnas'!$A$2:$A$1000,0))="","",INDEX('🎓 Alumnas'!$G$2:$G$1000,MATCH($W264,'🎓 Alumnas'!$A$2:$A$1000,0))),""))</f>
        <v/>
      </c>
      <c r="J264" s="28" t="str">
        <f aca="true">IF(I264="","",DATEDIF(I264,TODAY(),"Y"))</f>
        <v/>
      </c>
      <c r="K264" s="25"/>
      <c r="L264" s="28" t="str">
        <f aca="false">IF(K264="","",IF(LEFT(K264,6)="1 Pole","Alquiler",IF(LEFT(K264,7)="1 Clase","Clase suelta","Paquete")))</f>
        <v/>
      </c>
      <c r="M264" s="25"/>
      <c r="N264" s="25"/>
      <c r="O264" s="35"/>
      <c r="P264" s="29" t="str">
        <f aca="false">IF(O264="","",N264*O264)</f>
        <v/>
      </c>
      <c r="Q264" s="36"/>
      <c r="R264" s="25"/>
      <c r="S264" s="25"/>
      <c r="T264" s="28" t="str">
        <f aca="false">IF(OR(LEFT(W264,2)&lt;&gt;"A-",ISERROR(MATCH(W264,'🎓 Alumnas'!$A$2:$A$1000,0))),"",IF(COUNTIF($W$2:W264,W264)=1,"Nueva","Recurrente"))</f>
        <v/>
      </c>
      <c r="U264" s="28" t="str">
        <f aca="false">IF(OR(T264="",L264&lt;&gt;"Paquete"),"",COUNTIFS($W$2:W264,W264,$L$2:L264,"Paquete"))</f>
        <v/>
      </c>
      <c r="V264" s="25"/>
      <c r="W264" s="34" t="str">
        <f aca="false">IF(TRIM($C264)="","",IF(COUNTIF('🎓 Alumnas'!$P$2:$P$1000,TRIM($C264))&gt;0,INDEX('🎓 Alumnas'!$A$2:$A$1000,MATCH(TRIM($C264),'🎓 Alumnas'!$P$2:$P$1000,0)),IF(COUNTIF('🎓 Alumnas'!$O$2:$O$1000,TRIM($C264)&amp;"|*")=1,INDEX('🎓 Alumnas'!$A$2:$A$1000,MATCH(TRIM($C264)&amp;"|*",'🎓 Alumnas'!$O$2:$O$1000,0)),IF(COUNTIF('🎓 Alumnas'!$O$2:$O$1000,"*|"&amp;TRIM($C264))=1,INDEX('🎓 Alumnas'!$A$2:$A$1000,MATCH("*|"&amp;TRIM($C264),'🎓 Alumnas'!$O$2:$O$1000,0)),IF(COUNTIF('🎓 Alumnas'!$Q$2:$Q$1000,TRIM($C264))=1,INDEX('🎓 Alumnas'!$A$2:$A$1000,MATCH(TRIM($C264),'🎓 Alumnas'!$Q$2:$Q$1000,0)),IF(COUNTIF('🎓 Alumnas'!$P$2:$P$1000,"*"&amp;TRIM($C264)&amp;"*")=1,INDEX('🎓 Alumnas'!$A$2:$A$1000,MATCH("*"&amp;TRIM($C264)&amp;"*",'🎓 Alumnas'!$P$2:$P$1000,0)),IF(COUNTIF('🎓 Alumnas'!$Q$2:$Q$1000,"*"&amp;TRIM($C264)&amp;"*")=1,INDEX('🎓 Alumnas'!$A$2:$A$1000,MATCH("*"&amp;TRIM($C264)&amp;"*",'🎓 Alumnas'!$Q$2:$Q$1000,0)),IF(COUNTIF('🎓 Alumnas'!$P$2:$P$1000,"*"&amp;TRIM($C264)&amp;"*")+COUNTIF('🎓 Alumnas'!$Q$2:$Q$1000,"*"&amp;TRIM($C264)&amp;"*")&gt;1,"Varias: elige de la lista","No encontrada"))))))))</f>
        <v/>
      </c>
    </row>
    <row r="265" customFormat="false" ht="14.25" hidden="false" customHeight="true" outlineLevel="0" collapsed="false">
      <c r="A265" s="25" t="s">
        <v>809</v>
      </c>
      <c r="B265" s="27"/>
      <c r="C265" s="25"/>
      <c r="D265" s="34" t="str">
        <f aca="false">IF($W265="","",IFERROR(TRIM(INDEX('🎓 Alumnas'!$B$2:$B$1000,MATCH($W265,'🎓 Alumnas'!$A$2:$A$1000,0))),""))</f>
        <v/>
      </c>
      <c r="E265" s="34" t="str">
        <f aca="false">IF($W265="","",IFERROR(TRIM(INDEX('🎓 Alumnas'!$C$2:$C$1000,MATCH($W265,'🎓 Alumnas'!$A$2:$A$1000,0))),""))</f>
        <v/>
      </c>
      <c r="F265" s="34" t="str">
        <f aca="false">IF($W265="","",IFERROR(IF(INDEX('🎓 Alumnas'!$D$2:$D$1000,MATCH($W265,'🎓 Alumnas'!$A$2:$A$1000,0))="","",INDEX('🎓 Alumnas'!$D$2:$D$1000,MATCH($W265,'🎓 Alumnas'!$A$2:$A$1000,0))),""))</f>
        <v/>
      </c>
      <c r="G265" s="28" t="str">
        <f aca="false">IF($W265="","",IFERROR(IF(INDEX('🎓 Alumnas'!$E$2:$E$1000,MATCH($W265,'🎓 Alumnas'!$A$2:$A$1000,0))="","",INDEX('🎓 Alumnas'!$E$2:$E$1000,MATCH($W265,'🎓 Alumnas'!$A$2:$A$1000,0))),""))</f>
        <v/>
      </c>
      <c r="H265" s="28" t="str">
        <f aca="false">IF($W265="","",IFERROR(IF(INDEX('🎓 Alumnas'!$F$2:$F$1000,MATCH($W265,'🎓 Alumnas'!$A$2:$A$1000,0))="","",INDEX('🎓 Alumnas'!$F$2:$F$1000,MATCH($W265,'🎓 Alumnas'!$A$2:$A$1000,0))),""))</f>
        <v/>
      </c>
      <c r="I265" s="30" t="str">
        <f aca="false">IF($W265="","",IFERROR(IF(INDEX('🎓 Alumnas'!$G$2:$G$1000,MATCH($W265,'🎓 Alumnas'!$A$2:$A$1000,0))="","",INDEX('🎓 Alumnas'!$G$2:$G$1000,MATCH($W265,'🎓 Alumnas'!$A$2:$A$1000,0))),""))</f>
        <v/>
      </c>
      <c r="J265" s="28" t="str">
        <f aca="true">IF(I265="","",DATEDIF(I265,TODAY(),"Y"))</f>
        <v/>
      </c>
      <c r="K265" s="25"/>
      <c r="L265" s="28" t="str">
        <f aca="false">IF(K265="","",IF(LEFT(K265,6)="1 Pole","Alquiler",IF(LEFT(K265,7)="1 Clase","Clase suelta","Paquete")))</f>
        <v/>
      </c>
      <c r="M265" s="25"/>
      <c r="N265" s="25"/>
      <c r="O265" s="35"/>
      <c r="P265" s="29" t="str">
        <f aca="false">IF(O265="","",N265*O265)</f>
        <v/>
      </c>
      <c r="Q265" s="36"/>
      <c r="R265" s="25"/>
      <c r="S265" s="25"/>
      <c r="T265" s="28" t="str">
        <f aca="false">IF(OR(LEFT(W265,2)&lt;&gt;"A-",ISERROR(MATCH(W265,'🎓 Alumnas'!$A$2:$A$1000,0))),"",IF(COUNTIF($W$2:W265,W265)=1,"Nueva","Recurrente"))</f>
        <v/>
      </c>
      <c r="U265" s="28" t="str">
        <f aca="false">IF(OR(T265="",L265&lt;&gt;"Paquete"),"",COUNTIFS($W$2:W265,W265,$L$2:L265,"Paquete"))</f>
        <v/>
      </c>
      <c r="V265" s="25"/>
      <c r="W265" s="34" t="str">
        <f aca="false">IF(TRIM($C265)="","",IF(COUNTIF('🎓 Alumnas'!$P$2:$P$1000,TRIM($C265))&gt;0,INDEX('🎓 Alumnas'!$A$2:$A$1000,MATCH(TRIM($C265),'🎓 Alumnas'!$P$2:$P$1000,0)),IF(COUNTIF('🎓 Alumnas'!$O$2:$O$1000,TRIM($C265)&amp;"|*")=1,INDEX('🎓 Alumnas'!$A$2:$A$1000,MATCH(TRIM($C265)&amp;"|*",'🎓 Alumnas'!$O$2:$O$1000,0)),IF(COUNTIF('🎓 Alumnas'!$O$2:$O$1000,"*|"&amp;TRIM($C265))=1,INDEX('🎓 Alumnas'!$A$2:$A$1000,MATCH("*|"&amp;TRIM($C265),'🎓 Alumnas'!$O$2:$O$1000,0)),IF(COUNTIF('🎓 Alumnas'!$Q$2:$Q$1000,TRIM($C265))=1,INDEX('🎓 Alumnas'!$A$2:$A$1000,MATCH(TRIM($C265),'🎓 Alumnas'!$Q$2:$Q$1000,0)),IF(COUNTIF('🎓 Alumnas'!$P$2:$P$1000,"*"&amp;TRIM($C265)&amp;"*")=1,INDEX('🎓 Alumnas'!$A$2:$A$1000,MATCH("*"&amp;TRIM($C265)&amp;"*",'🎓 Alumnas'!$P$2:$P$1000,0)),IF(COUNTIF('🎓 Alumnas'!$Q$2:$Q$1000,"*"&amp;TRIM($C265)&amp;"*")=1,INDEX('🎓 Alumnas'!$A$2:$A$1000,MATCH("*"&amp;TRIM($C265)&amp;"*",'🎓 Alumnas'!$Q$2:$Q$1000,0)),IF(COUNTIF('🎓 Alumnas'!$P$2:$P$1000,"*"&amp;TRIM($C265)&amp;"*")+COUNTIF('🎓 Alumnas'!$Q$2:$Q$1000,"*"&amp;TRIM($C265)&amp;"*")&gt;1,"Varias: elige de la lista","No encontrada"))))))))</f>
        <v/>
      </c>
    </row>
    <row r="266" customFormat="false" ht="14.25" hidden="false" customHeight="true" outlineLevel="0" collapsed="false">
      <c r="A266" s="25" t="s">
        <v>810</v>
      </c>
      <c r="B266" s="27"/>
      <c r="C266" s="25"/>
      <c r="D266" s="34" t="str">
        <f aca="false">IF($W266="","",IFERROR(TRIM(INDEX('🎓 Alumnas'!$B$2:$B$1000,MATCH($W266,'🎓 Alumnas'!$A$2:$A$1000,0))),""))</f>
        <v/>
      </c>
      <c r="E266" s="34" t="str">
        <f aca="false">IF($W266="","",IFERROR(TRIM(INDEX('🎓 Alumnas'!$C$2:$C$1000,MATCH($W266,'🎓 Alumnas'!$A$2:$A$1000,0))),""))</f>
        <v/>
      </c>
      <c r="F266" s="34" t="str">
        <f aca="false">IF($W266="","",IFERROR(IF(INDEX('🎓 Alumnas'!$D$2:$D$1000,MATCH($W266,'🎓 Alumnas'!$A$2:$A$1000,0))="","",INDEX('🎓 Alumnas'!$D$2:$D$1000,MATCH($W266,'🎓 Alumnas'!$A$2:$A$1000,0))),""))</f>
        <v/>
      </c>
      <c r="G266" s="28" t="str">
        <f aca="false">IF($W266="","",IFERROR(IF(INDEX('🎓 Alumnas'!$E$2:$E$1000,MATCH($W266,'🎓 Alumnas'!$A$2:$A$1000,0))="","",INDEX('🎓 Alumnas'!$E$2:$E$1000,MATCH($W266,'🎓 Alumnas'!$A$2:$A$1000,0))),""))</f>
        <v/>
      </c>
      <c r="H266" s="28" t="str">
        <f aca="false">IF($W266="","",IFERROR(IF(INDEX('🎓 Alumnas'!$F$2:$F$1000,MATCH($W266,'🎓 Alumnas'!$A$2:$A$1000,0))="","",INDEX('🎓 Alumnas'!$F$2:$F$1000,MATCH($W266,'🎓 Alumnas'!$A$2:$A$1000,0))),""))</f>
        <v/>
      </c>
      <c r="I266" s="30" t="str">
        <f aca="false">IF($W266="","",IFERROR(IF(INDEX('🎓 Alumnas'!$G$2:$G$1000,MATCH($W266,'🎓 Alumnas'!$A$2:$A$1000,0))="","",INDEX('🎓 Alumnas'!$G$2:$G$1000,MATCH($W266,'🎓 Alumnas'!$A$2:$A$1000,0))),""))</f>
        <v/>
      </c>
      <c r="J266" s="28" t="str">
        <f aca="true">IF(I266="","",DATEDIF(I266,TODAY(),"Y"))</f>
        <v/>
      </c>
      <c r="K266" s="25"/>
      <c r="L266" s="28" t="str">
        <f aca="false">IF(K266="","",IF(LEFT(K266,6)="1 Pole","Alquiler",IF(LEFT(K266,7)="1 Clase","Clase suelta","Paquete")))</f>
        <v/>
      </c>
      <c r="M266" s="25"/>
      <c r="N266" s="25"/>
      <c r="O266" s="35"/>
      <c r="P266" s="29" t="str">
        <f aca="false">IF(O266="","",N266*O266)</f>
        <v/>
      </c>
      <c r="Q266" s="36"/>
      <c r="R266" s="25"/>
      <c r="S266" s="25"/>
      <c r="T266" s="28" t="str">
        <f aca="false">IF(OR(LEFT(W266,2)&lt;&gt;"A-",ISERROR(MATCH(W266,'🎓 Alumnas'!$A$2:$A$1000,0))),"",IF(COUNTIF($W$2:W266,W266)=1,"Nueva","Recurrente"))</f>
        <v/>
      </c>
      <c r="U266" s="28" t="str">
        <f aca="false">IF(OR(T266="",L266&lt;&gt;"Paquete"),"",COUNTIFS($W$2:W266,W266,$L$2:L266,"Paquete"))</f>
        <v/>
      </c>
      <c r="V266" s="25"/>
      <c r="W266" s="34" t="str">
        <f aca="false">IF(TRIM($C266)="","",IF(COUNTIF('🎓 Alumnas'!$P$2:$P$1000,TRIM($C266))&gt;0,INDEX('🎓 Alumnas'!$A$2:$A$1000,MATCH(TRIM($C266),'🎓 Alumnas'!$P$2:$P$1000,0)),IF(COUNTIF('🎓 Alumnas'!$O$2:$O$1000,TRIM($C266)&amp;"|*")=1,INDEX('🎓 Alumnas'!$A$2:$A$1000,MATCH(TRIM($C266)&amp;"|*",'🎓 Alumnas'!$O$2:$O$1000,0)),IF(COUNTIF('🎓 Alumnas'!$O$2:$O$1000,"*|"&amp;TRIM($C266))=1,INDEX('🎓 Alumnas'!$A$2:$A$1000,MATCH("*|"&amp;TRIM($C266),'🎓 Alumnas'!$O$2:$O$1000,0)),IF(COUNTIF('🎓 Alumnas'!$Q$2:$Q$1000,TRIM($C266))=1,INDEX('🎓 Alumnas'!$A$2:$A$1000,MATCH(TRIM($C266),'🎓 Alumnas'!$Q$2:$Q$1000,0)),IF(COUNTIF('🎓 Alumnas'!$P$2:$P$1000,"*"&amp;TRIM($C266)&amp;"*")=1,INDEX('🎓 Alumnas'!$A$2:$A$1000,MATCH("*"&amp;TRIM($C266)&amp;"*",'🎓 Alumnas'!$P$2:$P$1000,0)),IF(COUNTIF('🎓 Alumnas'!$Q$2:$Q$1000,"*"&amp;TRIM($C266)&amp;"*")=1,INDEX('🎓 Alumnas'!$A$2:$A$1000,MATCH("*"&amp;TRIM($C266)&amp;"*",'🎓 Alumnas'!$Q$2:$Q$1000,0)),IF(COUNTIF('🎓 Alumnas'!$P$2:$P$1000,"*"&amp;TRIM($C266)&amp;"*")+COUNTIF('🎓 Alumnas'!$Q$2:$Q$1000,"*"&amp;TRIM($C266)&amp;"*")&gt;1,"Varias: elige de la lista","No encontrada"))))))))</f>
        <v/>
      </c>
    </row>
    <row r="267" customFormat="false" ht="14.25" hidden="false" customHeight="true" outlineLevel="0" collapsed="false">
      <c r="A267" s="25" t="s">
        <v>811</v>
      </c>
      <c r="B267" s="27"/>
      <c r="C267" s="25"/>
      <c r="D267" s="34" t="str">
        <f aca="false">IF($W267="","",IFERROR(TRIM(INDEX('🎓 Alumnas'!$B$2:$B$1000,MATCH($W267,'🎓 Alumnas'!$A$2:$A$1000,0))),""))</f>
        <v/>
      </c>
      <c r="E267" s="34" t="str">
        <f aca="false">IF($W267="","",IFERROR(TRIM(INDEX('🎓 Alumnas'!$C$2:$C$1000,MATCH($W267,'🎓 Alumnas'!$A$2:$A$1000,0))),""))</f>
        <v/>
      </c>
      <c r="F267" s="34" t="str">
        <f aca="false">IF($W267="","",IFERROR(IF(INDEX('🎓 Alumnas'!$D$2:$D$1000,MATCH($W267,'🎓 Alumnas'!$A$2:$A$1000,0))="","",INDEX('🎓 Alumnas'!$D$2:$D$1000,MATCH($W267,'🎓 Alumnas'!$A$2:$A$1000,0))),""))</f>
        <v/>
      </c>
      <c r="G267" s="28" t="str">
        <f aca="false">IF($W267="","",IFERROR(IF(INDEX('🎓 Alumnas'!$E$2:$E$1000,MATCH($W267,'🎓 Alumnas'!$A$2:$A$1000,0))="","",INDEX('🎓 Alumnas'!$E$2:$E$1000,MATCH($W267,'🎓 Alumnas'!$A$2:$A$1000,0))),""))</f>
        <v/>
      </c>
      <c r="H267" s="28" t="str">
        <f aca="false">IF($W267="","",IFERROR(IF(INDEX('🎓 Alumnas'!$F$2:$F$1000,MATCH($W267,'🎓 Alumnas'!$A$2:$A$1000,0))="","",INDEX('🎓 Alumnas'!$F$2:$F$1000,MATCH($W267,'🎓 Alumnas'!$A$2:$A$1000,0))),""))</f>
        <v/>
      </c>
      <c r="I267" s="30" t="str">
        <f aca="false">IF($W267="","",IFERROR(IF(INDEX('🎓 Alumnas'!$G$2:$G$1000,MATCH($W267,'🎓 Alumnas'!$A$2:$A$1000,0))="","",INDEX('🎓 Alumnas'!$G$2:$G$1000,MATCH($W267,'🎓 Alumnas'!$A$2:$A$1000,0))),""))</f>
        <v/>
      </c>
      <c r="J267" s="28" t="str">
        <f aca="true">IF(I267="","",DATEDIF(I267,TODAY(),"Y"))</f>
        <v/>
      </c>
      <c r="K267" s="25"/>
      <c r="L267" s="28" t="str">
        <f aca="false">IF(K267="","",IF(LEFT(K267,6)="1 Pole","Alquiler",IF(LEFT(K267,7)="1 Clase","Clase suelta","Paquete")))</f>
        <v/>
      </c>
      <c r="M267" s="25"/>
      <c r="N267" s="25"/>
      <c r="O267" s="35"/>
      <c r="P267" s="29" t="str">
        <f aca="false">IF(O267="","",N267*O267)</f>
        <v/>
      </c>
      <c r="Q267" s="36"/>
      <c r="R267" s="25"/>
      <c r="S267" s="25"/>
      <c r="T267" s="28" t="str">
        <f aca="false">IF(OR(LEFT(W267,2)&lt;&gt;"A-",ISERROR(MATCH(W267,'🎓 Alumnas'!$A$2:$A$1000,0))),"",IF(COUNTIF($W$2:W267,W267)=1,"Nueva","Recurrente"))</f>
        <v/>
      </c>
      <c r="U267" s="28" t="str">
        <f aca="false">IF(OR(T267="",L267&lt;&gt;"Paquete"),"",COUNTIFS($W$2:W267,W267,$L$2:L267,"Paquete"))</f>
        <v/>
      </c>
      <c r="V267" s="25"/>
      <c r="W267" s="34" t="str">
        <f aca="false">IF(TRIM($C267)="","",IF(COUNTIF('🎓 Alumnas'!$P$2:$P$1000,TRIM($C267))&gt;0,INDEX('🎓 Alumnas'!$A$2:$A$1000,MATCH(TRIM($C267),'🎓 Alumnas'!$P$2:$P$1000,0)),IF(COUNTIF('🎓 Alumnas'!$O$2:$O$1000,TRIM($C267)&amp;"|*")=1,INDEX('🎓 Alumnas'!$A$2:$A$1000,MATCH(TRIM($C267)&amp;"|*",'🎓 Alumnas'!$O$2:$O$1000,0)),IF(COUNTIF('🎓 Alumnas'!$O$2:$O$1000,"*|"&amp;TRIM($C267))=1,INDEX('🎓 Alumnas'!$A$2:$A$1000,MATCH("*|"&amp;TRIM($C267),'🎓 Alumnas'!$O$2:$O$1000,0)),IF(COUNTIF('🎓 Alumnas'!$Q$2:$Q$1000,TRIM($C267))=1,INDEX('🎓 Alumnas'!$A$2:$A$1000,MATCH(TRIM($C267),'🎓 Alumnas'!$Q$2:$Q$1000,0)),IF(COUNTIF('🎓 Alumnas'!$P$2:$P$1000,"*"&amp;TRIM($C267)&amp;"*")=1,INDEX('🎓 Alumnas'!$A$2:$A$1000,MATCH("*"&amp;TRIM($C267)&amp;"*",'🎓 Alumnas'!$P$2:$P$1000,0)),IF(COUNTIF('🎓 Alumnas'!$Q$2:$Q$1000,"*"&amp;TRIM($C267)&amp;"*")=1,INDEX('🎓 Alumnas'!$A$2:$A$1000,MATCH("*"&amp;TRIM($C267)&amp;"*",'🎓 Alumnas'!$Q$2:$Q$1000,0)),IF(COUNTIF('🎓 Alumnas'!$P$2:$P$1000,"*"&amp;TRIM($C267)&amp;"*")+COUNTIF('🎓 Alumnas'!$Q$2:$Q$1000,"*"&amp;TRIM($C267)&amp;"*")&gt;1,"Varias: elige de la lista","No encontrada"))))))))</f>
        <v/>
      </c>
    </row>
    <row r="268" customFormat="false" ht="14.25" hidden="false" customHeight="true" outlineLevel="0" collapsed="false">
      <c r="A268" s="25" t="s">
        <v>812</v>
      </c>
      <c r="B268" s="27"/>
      <c r="C268" s="25"/>
      <c r="D268" s="34" t="str">
        <f aca="false">IF($W268="","",IFERROR(TRIM(INDEX('🎓 Alumnas'!$B$2:$B$1000,MATCH($W268,'🎓 Alumnas'!$A$2:$A$1000,0))),""))</f>
        <v/>
      </c>
      <c r="E268" s="34" t="str">
        <f aca="false">IF($W268="","",IFERROR(TRIM(INDEX('🎓 Alumnas'!$C$2:$C$1000,MATCH($W268,'🎓 Alumnas'!$A$2:$A$1000,0))),""))</f>
        <v/>
      </c>
      <c r="F268" s="34" t="str">
        <f aca="false">IF($W268="","",IFERROR(IF(INDEX('🎓 Alumnas'!$D$2:$D$1000,MATCH($W268,'🎓 Alumnas'!$A$2:$A$1000,0))="","",INDEX('🎓 Alumnas'!$D$2:$D$1000,MATCH($W268,'🎓 Alumnas'!$A$2:$A$1000,0))),""))</f>
        <v/>
      </c>
      <c r="G268" s="28" t="str">
        <f aca="false">IF($W268="","",IFERROR(IF(INDEX('🎓 Alumnas'!$E$2:$E$1000,MATCH($W268,'🎓 Alumnas'!$A$2:$A$1000,0))="","",INDEX('🎓 Alumnas'!$E$2:$E$1000,MATCH($W268,'🎓 Alumnas'!$A$2:$A$1000,0))),""))</f>
        <v/>
      </c>
      <c r="H268" s="28" t="str">
        <f aca="false">IF($W268="","",IFERROR(IF(INDEX('🎓 Alumnas'!$F$2:$F$1000,MATCH($W268,'🎓 Alumnas'!$A$2:$A$1000,0))="","",INDEX('🎓 Alumnas'!$F$2:$F$1000,MATCH($W268,'🎓 Alumnas'!$A$2:$A$1000,0))),""))</f>
        <v/>
      </c>
      <c r="I268" s="30" t="str">
        <f aca="false">IF($W268="","",IFERROR(IF(INDEX('🎓 Alumnas'!$G$2:$G$1000,MATCH($W268,'🎓 Alumnas'!$A$2:$A$1000,0))="","",INDEX('🎓 Alumnas'!$G$2:$G$1000,MATCH($W268,'🎓 Alumnas'!$A$2:$A$1000,0))),""))</f>
        <v/>
      </c>
      <c r="J268" s="28" t="str">
        <f aca="true">IF(I268="","",DATEDIF(I268,TODAY(),"Y"))</f>
        <v/>
      </c>
      <c r="K268" s="25"/>
      <c r="L268" s="28" t="str">
        <f aca="false">IF(K268="","",IF(LEFT(K268,6)="1 Pole","Alquiler",IF(LEFT(K268,7)="1 Clase","Clase suelta","Paquete")))</f>
        <v/>
      </c>
      <c r="M268" s="25"/>
      <c r="N268" s="25"/>
      <c r="O268" s="35"/>
      <c r="P268" s="29" t="str">
        <f aca="false">IF(O268="","",N268*O268)</f>
        <v/>
      </c>
      <c r="Q268" s="36"/>
      <c r="R268" s="25"/>
      <c r="S268" s="25"/>
      <c r="T268" s="28" t="str">
        <f aca="false">IF(OR(LEFT(W268,2)&lt;&gt;"A-",ISERROR(MATCH(W268,'🎓 Alumnas'!$A$2:$A$1000,0))),"",IF(COUNTIF($W$2:W268,W268)=1,"Nueva","Recurrente"))</f>
        <v/>
      </c>
      <c r="U268" s="28" t="str">
        <f aca="false">IF(OR(T268="",L268&lt;&gt;"Paquete"),"",COUNTIFS($W$2:W268,W268,$L$2:L268,"Paquete"))</f>
        <v/>
      </c>
      <c r="V268" s="25"/>
      <c r="W268" s="34" t="str">
        <f aca="false">IF(TRIM($C268)="","",IF(COUNTIF('🎓 Alumnas'!$P$2:$P$1000,TRIM($C268))&gt;0,INDEX('🎓 Alumnas'!$A$2:$A$1000,MATCH(TRIM($C268),'🎓 Alumnas'!$P$2:$P$1000,0)),IF(COUNTIF('🎓 Alumnas'!$O$2:$O$1000,TRIM($C268)&amp;"|*")=1,INDEX('🎓 Alumnas'!$A$2:$A$1000,MATCH(TRIM($C268)&amp;"|*",'🎓 Alumnas'!$O$2:$O$1000,0)),IF(COUNTIF('🎓 Alumnas'!$O$2:$O$1000,"*|"&amp;TRIM($C268))=1,INDEX('🎓 Alumnas'!$A$2:$A$1000,MATCH("*|"&amp;TRIM($C268),'🎓 Alumnas'!$O$2:$O$1000,0)),IF(COUNTIF('🎓 Alumnas'!$Q$2:$Q$1000,TRIM($C268))=1,INDEX('🎓 Alumnas'!$A$2:$A$1000,MATCH(TRIM($C268),'🎓 Alumnas'!$Q$2:$Q$1000,0)),IF(COUNTIF('🎓 Alumnas'!$P$2:$P$1000,"*"&amp;TRIM($C268)&amp;"*")=1,INDEX('🎓 Alumnas'!$A$2:$A$1000,MATCH("*"&amp;TRIM($C268)&amp;"*",'🎓 Alumnas'!$P$2:$P$1000,0)),IF(COUNTIF('🎓 Alumnas'!$Q$2:$Q$1000,"*"&amp;TRIM($C268)&amp;"*")=1,INDEX('🎓 Alumnas'!$A$2:$A$1000,MATCH("*"&amp;TRIM($C268)&amp;"*",'🎓 Alumnas'!$Q$2:$Q$1000,0)),IF(COUNTIF('🎓 Alumnas'!$P$2:$P$1000,"*"&amp;TRIM($C268)&amp;"*")+COUNTIF('🎓 Alumnas'!$Q$2:$Q$1000,"*"&amp;TRIM($C268)&amp;"*")&gt;1,"Varias: elige de la lista","No encontrada"))))))))</f>
        <v/>
      </c>
    </row>
    <row r="269" customFormat="false" ht="14.25" hidden="false" customHeight="true" outlineLevel="0" collapsed="false">
      <c r="A269" s="25" t="s">
        <v>813</v>
      </c>
      <c r="B269" s="27"/>
      <c r="C269" s="25"/>
      <c r="D269" s="34" t="str">
        <f aca="false">IF($W269="","",IFERROR(TRIM(INDEX('🎓 Alumnas'!$B$2:$B$1000,MATCH($W269,'🎓 Alumnas'!$A$2:$A$1000,0))),""))</f>
        <v/>
      </c>
      <c r="E269" s="34" t="str">
        <f aca="false">IF($W269="","",IFERROR(TRIM(INDEX('🎓 Alumnas'!$C$2:$C$1000,MATCH($W269,'🎓 Alumnas'!$A$2:$A$1000,0))),""))</f>
        <v/>
      </c>
      <c r="F269" s="34" t="str">
        <f aca="false">IF($W269="","",IFERROR(IF(INDEX('🎓 Alumnas'!$D$2:$D$1000,MATCH($W269,'🎓 Alumnas'!$A$2:$A$1000,0))="","",INDEX('🎓 Alumnas'!$D$2:$D$1000,MATCH($W269,'🎓 Alumnas'!$A$2:$A$1000,0))),""))</f>
        <v/>
      </c>
      <c r="G269" s="28" t="str">
        <f aca="false">IF($W269="","",IFERROR(IF(INDEX('🎓 Alumnas'!$E$2:$E$1000,MATCH($W269,'🎓 Alumnas'!$A$2:$A$1000,0))="","",INDEX('🎓 Alumnas'!$E$2:$E$1000,MATCH($W269,'🎓 Alumnas'!$A$2:$A$1000,0))),""))</f>
        <v/>
      </c>
      <c r="H269" s="28" t="str">
        <f aca="false">IF($W269="","",IFERROR(IF(INDEX('🎓 Alumnas'!$F$2:$F$1000,MATCH($W269,'🎓 Alumnas'!$A$2:$A$1000,0))="","",INDEX('🎓 Alumnas'!$F$2:$F$1000,MATCH($W269,'🎓 Alumnas'!$A$2:$A$1000,0))),""))</f>
        <v/>
      </c>
      <c r="I269" s="30" t="str">
        <f aca="false">IF($W269="","",IFERROR(IF(INDEX('🎓 Alumnas'!$G$2:$G$1000,MATCH($W269,'🎓 Alumnas'!$A$2:$A$1000,0))="","",INDEX('🎓 Alumnas'!$G$2:$G$1000,MATCH($W269,'🎓 Alumnas'!$A$2:$A$1000,0))),""))</f>
        <v/>
      </c>
      <c r="J269" s="28" t="str">
        <f aca="true">IF(I269="","",DATEDIF(I269,TODAY(),"Y"))</f>
        <v/>
      </c>
      <c r="K269" s="25"/>
      <c r="L269" s="28" t="str">
        <f aca="false">IF(K269="","",IF(LEFT(K269,6)="1 Pole","Alquiler",IF(LEFT(K269,7)="1 Clase","Clase suelta","Paquete")))</f>
        <v/>
      </c>
      <c r="M269" s="25"/>
      <c r="N269" s="25"/>
      <c r="O269" s="35"/>
      <c r="P269" s="29" t="str">
        <f aca="false">IF(O269="","",N269*O269)</f>
        <v/>
      </c>
      <c r="Q269" s="36"/>
      <c r="R269" s="25"/>
      <c r="S269" s="25"/>
      <c r="T269" s="28" t="str">
        <f aca="false">IF(OR(LEFT(W269,2)&lt;&gt;"A-",ISERROR(MATCH(W269,'🎓 Alumnas'!$A$2:$A$1000,0))),"",IF(COUNTIF($W$2:W269,W269)=1,"Nueva","Recurrente"))</f>
        <v/>
      </c>
      <c r="U269" s="28" t="str">
        <f aca="false">IF(OR(T269="",L269&lt;&gt;"Paquete"),"",COUNTIFS($W$2:W269,W269,$L$2:L269,"Paquete"))</f>
        <v/>
      </c>
      <c r="V269" s="25"/>
      <c r="W269" s="34" t="str">
        <f aca="false">IF(TRIM($C269)="","",IF(COUNTIF('🎓 Alumnas'!$P$2:$P$1000,TRIM($C269))&gt;0,INDEX('🎓 Alumnas'!$A$2:$A$1000,MATCH(TRIM($C269),'🎓 Alumnas'!$P$2:$P$1000,0)),IF(COUNTIF('🎓 Alumnas'!$O$2:$O$1000,TRIM($C269)&amp;"|*")=1,INDEX('🎓 Alumnas'!$A$2:$A$1000,MATCH(TRIM($C269)&amp;"|*",'🎓 Alumnas'!$O$2:$O$1000,0)),IF(COUNTIF('🎓 Alumnas'!$O$2:$O$1000,"*|"&amp;TRIM($C269))=1,INDEX('🎓 Alumnas'!$A$2:$A$1000,MATCH("*|"&amp;TRIM($C269),'🎓 Alumnas'!$O$2:$O$1000,0)),IF(COUNTIF('🎓 Alumnas'!$Q$2:$Q$1000,TRIM($C269))=1,INDEX('🎓 Alumnas'!$A$2:$A$1000,MATCH(TRIM($C269),'🎓 Alumnas'!$Q$2:$Q$1000,0)),IF(COUNTIF('🎓 Alumnas'!$P$2:$P$1000,"*"&amp;TRIM($C269)&amp;"*")=1,INDEX('🎓 Alumnas'!$A$2:$A$1000,MATCH("*"&amp;TRIM($C269)&amp;"*",'🎓 Alumnas'!$P$2:$P$1000,0)),IF(COUNTIF('🎓 Alumnas'!$Q$2:$Q$1000,"*"&amp;TRIM($C269)&amp;"*")=1,INDEX('🎓 Alumnas'!$A$2:$A$1000,MATCH("*"&amp;TRIM($C269)&amp;"*",'🎓 Alumnas'!$Q$2:$Q$1000,0)),IF(COUNTIF('🎓 Alumnas'!$P$2:$P$1000,"*"&amp;TRIM($C269)&amp;"*")+COUNTIF('🎓 Alumnas'!$Q$2:$Q$1000,"*"&amp;TRIM($C269)&amp;"*")&gt;1,"Varias: elige de la lista","No encontrada"))))))))</f>
        <v/>
      </c>
    </row>
    <row r="270" customFormat="false" ht="14.25" hidden="false" customHeight="true" outlineLevel="0" collapsed="false">
      <c r="A270" s="25" t="s">
        <v>814</v>
      </c>
      <c r="B270" s="27"/>
      <c r="C270" s="25"/>
      <c r="D270" s="34" t="str">
        <f aca="false">IF($W270="","",IFERROR(TRIM(INDEX('🎓 Alumnas'!$B$2:$B$1000,MATCH($W270,'🎓 Alumnas'!$A$2:$A$1000,0))),""))</f>
        <v/>
      </c>
      <c r="E270" s="34" t="str">
        <f aca="false">IF($W270="","",IFERROR(TRIM(INDEX('🎓 Alumnas'!$C$2:$C$1000,MATCH($W270,'🎓 Alumnas'!$A$2:$A$1000,0))),""))</f>
        <v/>
      </c>
      <c r="F270" s="34" t="str">
        <f aca="false">IF($W270="","",IFERROR(IF(INDEX('🎓 Alumnas'!$D$2:$D$1000,MATCH($W270,'🎓 Alumnas'!$A$2:$A$1000,0))="","",INDEX('🎓 Alumnas'!$D$2:$D$1000,MATCH($W270,'🎓 Alumnas'!$A$2:$A$1000,0))),""))</f>
        <v/>
      </c>
      <c r="G270" s="28" t="str">
        <f aca="false">IF($W270="","",IFERROR(IF(INDEX('🎓 Alumnas'!$E$2:$E$1000,MATCH($W270,'🎓 Alumnas'!$A$2:$A$1000,0))="","",INDEX('🎓 Alumnas'!$E$2:$E$1000,MATCH($W270,'🎓 Alumnas'!$A$2:$A$1000,0))),""))</f>
        <v/>
      </c>
      <c r="H270" s="28" t="str">
        <f aca="false">IF($W270="","",IFERROR(IF(INDEX('🎓 Alumnas'!$F$2:$F$1000,MATCH($W270,'🎓 Alumnas'!$A$2:$A$1000,0))="","",INDEX('🎓 Alumnas'!$F$2:$F$1000,MATCH($W270,'🎓 Alumnas'!$A$2:$A$1000,0))),""))</f>
        <v/>
      </c>
      <c r="I270" s="30" t="str">
        <f aca="false">IF($W270="","",IFERROR(IF(INDEX('🎓 Alumnas'!$G$2:$G$1000,MATCH($W270,'🎓 Alumnas'!$A$2:$A$1000,0))="","",INDEX('🎓 Alumnas'!$G$2:$G$1000,MATCH($W270,'🎓 Alumnas'!$A$2:$A$1000,0))),""))</f>
        <v/>
      </c>
      <c r="J270" s="28" t="str">
        <f aca="true">IF(I270="","",DATEDIF(I270,TODAY(),"Y"))</f>
        <v/>
      </c>
      <c r="K270" s="25"/>
      <c r="L270" s="28" t="str">
        <f aca="false">IF(K270="","",IF(LEFT(K270,6)="1 Pole","Alquiler",IF(LEFT(K270,7)="1 Clase","Clase suelta","Paquete")))</f>
        <v/>
      </c>
      <c r="M270" s="25"/>
      <c r="N270" s="25"/>
      <c r="O270" s="35"/>
      <c r="P270" s="29" t="str">
        <f aca="false">IF(O270="","",N270*O270)</f>
        <v/>
      </c>
      <c r="Q270" s="36"/>
      <c r="R270" s="25"/>
      <c r="S270" s="25"/>
      <c r="T270" s="28" t="str">
        <f aca="false">IF(OR(LEFT(W270,2)&lt;&gt;"A-",ISERROR(MATCH(W270,'🎓 Alumnas'!$A$2:$A$1000,0))),"",IF(COUNTIF($W$2:W270,W270)=1,"Nueva","Recurrente"))</f>
        <v/>
      </c>
      <c r="U270" s="28" t="str">
        <f aca="false">IF(OR(T270="",L270&lt;&gt;"Paquete"),"",COUNTIFS($W$2:W270,W270,$L$2:L270,"Paquete"))</f>
        <v/>
      </c>
      <c r="V270" s="25"/>
      <c r="W270" s="34" t="str">
        <f aca="false">IF(TRIM($C270)="","",IF(COUNTIF('🎓 Alumnas'!$P$2:$P$1000,TRIM($C270))&gt;0,INDEX('🎓 Alumnas'!$A$2:$A$1000,MATCH(TRIM($C270),'🎓 Alumnas'!$P$2:$P$1000,0)),IF(COUNTIF('🎓 Alumnas'!$O$2:$O$1000,TRIM($C270)&amp;"|*")=1,INDEX('🎓 Alumnas'!$A$2:$A$1000,MATCH(TRIM($C270)&amp;"|*",'🎓 Alumnas'!$O$2:$O$1000,0)),IF(COUNTIF('🎓 Alumnas'!$O$2:$O$1000,"*|"&amp;TRIM($C270))=1,INDEX('🎓 Alumnas'!$A$2:$A$1000,MATCH("*|"&amp;TRIM($C270),'🎓 Alumnas'!$O$2:$O$1000,0)),IF(COUNTIF('🎓 Alumnas'!$Q$2:$Q$1000,TRIM($C270))=1,INDEX('🎓 Alumnas'!$A$2:$A$1000,MATCH(TRIM($C270),'🎓 Alumnas'!$Q$2:$Q$1000,0)),IF(COUNTIF('🎓 Alumnas'!$P$2:$P$1000,"*"&amp;TRIM($C270)&amp;"*")=1,INDEX('🎓 Alumnas'!$A$2:$A$1000,MATCH("*"&amp;TRIM($C270)&amp;"*",'🎓 Alumnas'!$P$2:$P$1000,0)),IF(COUNTIF('🎓 Alumnas'!$Q$2:$Q$1000,"*"&amp;TRIM($C270)&amp;"*")=1,INDEX('🎓 Alumnas'!$A$2:$A$1000,MATCH("*"&amp;TRIM($C270)&amp;"*",'🎓 Alumnas'!$Q$2:$Q$1000,0)),IF(COUNTIF('🎓 Alumnas'!$P$2:$P$1000,"*"&amp;TRIM($C270)&amp;"*")+COUNTIF('🎓 Alumnas'!$Q$2:$Q$1000,"*"&amp;TRIM($C270)&amp;"*")&gt;1,"Varias: elige de la lista","No encontrada"))))))))</f>
        <v/>
      </c>
    </row>
    <row r="271" customFormat="false" ht="14.25" hidden="false" customHeight="true" outlineLevel="0" collapsed="false">
      <c r="A271" s="25" t="s">
        <v>815</v>
      </c>
      <c r="B271" s="27"/>
      <c r="C271" s="25"/>
      <c r="D271" s="34" t="str">
        <f aca="false">IF($W271="","",IFERROR(TRIM(INDEX('🎓 Alumnas'!$B$2:$B$1000,MATCH($W271,'🎓 Alumnas'!$A$2:$A$1000,0))),""))</f>
        <v/>
      </c>
      <c r="E271" s="34" t="str">
        <f aca="false">IF($W271="","",IFERROR(TRIM(INDEX('🎓 Alumnas'!$C$2:$C$1000,MATCH($W271,'🎓 Alumnas'!$A$2:$A$1000,0))),""))</f>
        <v/>
      </c>
      <c r="F271" s="34" t="str">
        <f aca="false">IF($W271="","",IFERROR(IF(INDEX('🎓 Alumnas'!$D$2:$D$1000,MATCH($W271,'🎓 Alumnas'!$A$2:$A$1000,0))="","",INDEX('🎓 Alumnas'!$D$2:$D$1000,MATCH($W271,'🎓 Alumnas'!$A$2:$A$1000,0))),""))</f>
        <v/>
      </c>
      <c r="G271" s="28" t="str">
        <f aca="false">IF($W271="","",IFERROR(IF(INDEX('🎓 Alumnas'!$E$2:$E$1000,MATCH($W271,'🎓 Alumnas'!$A$2:$A$1000,0))="","",INDEX('🎓 Alumnas'!$E$2:$E$1000,MATCH($W271,'🎓 Alumnas'!$A$2:$A$1000,0))),""))</f>
        <v/>
      </c>
      <c r="H271" s="28" t="str">
        <f aca="false">IF($W271="","",IFERROR(IF(INDEX('🎓 Alumnas'!$F$2:$F$1000,MATCH($W271,'🎓 Alumnas'!$A$2:$A$1000,0))="","",INDEX('🎓 Alumnas'!$F$2:$F$1000,MATCH($W271,'🎓 Alumnas'!$A$2:$A$1000,0))),""))</f>
        <v/>
      </c>
      <c r="I271" s="30" t="str">
        <f aca="false">IF($W271="","",IFERROR(IF(INDEX('🎓 Alumnas'!$G$2:$G$1000,MATCH($W271,'🎓 Alumnas'!$A$2:$A$1000,0))="","",INDEX('🎓 Alumnas'!$G$2:$G$1000,MATCH($W271,'🎓 Alumnas'!$A$2:$A$1000,0))),""))</f>
        <v/>
      </c>
      <c r="J271" s="28" t="str">
        <f aca="true">IF(I271="","",DATEDIF(I271,TODAY(),"Y"))</f>
        <v/>
      </c>
      <c r="K271" s="25"/>
      <c r="L271" s="28" t="str">
        <f aca="false">IF(K271="","",IF(LEFT(K271,6)="1 Pole","Alquiler",IF(LEFT(K271,7)="1 Clase","Clase suelta","Paquete")))</f>
        <v/>
      </c>
      <c r="M271" s="25"/>
      <c r="N271" s="25"/>
      <c r="O271" s="35"/>
      <c r="P271" s="29" t="str">
        <f aca="false">IF(O271="","",N271*O271)</f>
        <v/>
      </c>
      <c r="Q271" s="36"/>
      <c r="R271" s="25"/>
      <c r="S271" s="25"/>
      <c r="T271" s="28" t="str">
        <f aca="false">IF(OR(LEFT(W271,2)&lt;&gt;"A-",ISERROR(MATCH(W271,'🎓 Alumnas'!$A$2:$A$1000,0))),"",IF(COUNTIF($W$2:W271,W271)=1,"Nueva","Recurrente"))</f>
        <v/>
      </c>
      <c r="U271" s="28" t="str">
        <f aca="false">IF(OR(T271="",L271&lt;&gt;"Paquete"),"",COUNTIFS($W$2:W271,W271,$L$2:L271,"Paquete"))</f>
        <v/>
      </c>
      <c r="V271" s="25"/>
      <c r="W271" s="34" t="str">
        <f aca="false">IF(TRIM($C271)="","",IF(COUNTIF('🎓 Alumnas'!$P$2:$P$1000,TRIM($C271))&gt;0,INDEX('🎓 Alumnas'!$A$2:$A$1000,MATCH(TRIM($C271),'🎓 Alumnas'!$P$2:$P$1000,0)),IF(COUNTIF('🎓 Alumnas'!$O$2:$O$1000,TRIM($C271)&amp;"|*")=1,INDEX('🎓 Alumnas'!$A$2:$A$1000,MATCH(TRIM($C271)&amp;"|*",'🎓 Alumnas'!$O$2:$O$1000,0)),IF(COUNTIF('🎓 Alumnas'!$O$2:$O$1000,"*|"&amp;TRIM($C271))=1,INDEX('🎓 Alumnas'!$A$2:$A$1000,MATCH("*|"&amp;TRIM($C271),'🎓 Alumnas'!$O$2:$O$1000,0)),IF(COUNTIF('🎓 Alumnas'!$Q$2:$Q$1000,TRIM($C271))=1,INDEX('🎓 Alumnas'!$A$2:$A$1000,MATCH(TRIM($C271),'🎓 Alumnas'!$Q$2:$Q$1000,0)),IF(COUNTIF('🎓 Alumnas'!$P$2:$P$1000,"*"&amp;TRIM($C271)&amp;"*")=1,INDEX('🎓 Alumnas'!$A$2:$A$1000,MATCH("*"&amp;TRIM($C271)&amp;"*",'🎓 Alumnas'!$P$2:$P$1000,0)),IF(COUNTIF('🎓 Alumnas'!$Q$2:$Q$1000,"*"&amp;TRIM($C271)&amp;"*")=1,INDEX('🎓 Alumnas'!$A$2:$A$1000,MATCH("*"&amp;TRIM($C271)&amp;"*",'🎓 Alumnas'!$Q$2:$Q$1000,0)),IF(COUNTIF('🎓 Alumnas'!$P$2:$P$1000,"*"&amp;TRIM($C271)&amp;"*")+COUNTIF('🎓 Alumnas'!$Q$2:$Q$1000,"*"&amp;TRIM($C271)&amp;"*")&gt;1,"Varias: elige de la lista","No encontrada"))))))))</f>
        <v/>
      </c>
    </row>
    <row r="272" customFormat="false" ht="14.25" hidden="false" customHeight="true" outlineLevel="0" collapsed="false">
      <c r="A272" s="25" t="s">
        <v>816</v>
      </c>
      <c r="B272" s="27"/>
      <c r="C272" s="25"/>
      <c r="D272" s="34" t="str">
        <f aca="false">IF($W272="","",IFERROR(TRIM(INDEX('🎓 Alumnas'!$B$2:$B$1000,MATCH($W272,'🎓 Alumnas'!$A$2:$A$1000,0))),""))</f>
        <v/>
      </c>
      <c r="E272" s="34" t="str">
        <f aca="false">IF($W272="","",IFERROR(TRIM(INDEX('🎓 Alumnas'!$C$2:$C$1000,MATCH($W272,'🎓 Alumnas'!$A$2:$A$1000,0))),""))</f>
        <v/>
      </c>
      <c r="F272" s="34" t="str">
        <f aca="false">IF($W272="","",IFERROR(IF(INDEX('🎓 Alumnas'!$D$2:$D$1000,MATCH($W272,'🎓 Alumnas'!$A$2:$A$1000,0))="","",INDEX('🎓 Alumnas'!$D$2:$D$1000,MATCH($W272,'🎓 Alumnas'!$A$2:$A$1000,0))),""))</f>
        <v/>
      </c>
      <c r="G272" s="28" t="str">
        <f aca="false">IF($W272="","",IFERROR(IF(INDEX('🎓 Alumnas'!$E$2:$E$1000,MATCH($W272,'🎓 Alumnas'!$A$2:$A$1000,0))="","",INDEX('🎓 Alumnas'!$E$2:$E$1000,MATCH($W272,'🎓 Alumnas'!$A$2:$A$1000,0))),""))</f>
        <v/>
      </c>
      <c r="H272" s="28" t="str">
        <f aca="false">IF($W272="","",IFERROR(IF(INDEX('🎓 Alumnas'!$F$2:$F$1000,MATCH($W272,'🎓 Alumnas'!$A$2:$A$1000,0))="","",INDEX('🎓 Alumnas'!$F$2:$F$1000,MATCH($W272,'🎓 Alumnas'!$A$2:$A$1000,0))),""))</f>
        <v/>
      </c>
      <c r="I272" s="30" t="str">
        <f aca="false">IF($W272="","",IFERROR(IF(INDEX('🎓 Alumnas'!$G$2:$G$1000,MATCH($W272,'🎓 Alumnas'!$A$2:$A$1000,0))="","",INDEX('🎓 Alumnas'!$G$2:$G$1000,MATCH($W272,'🎓 Alumnas'!$A$2:$A$1000,0))),""))</f>
        <v/>
      </c>
      <c r="J272" s="28" t="str">
        <f aca="true">IF(I272="","",DATEDIF(I272,TODAY(),"Y"))</f>
        <v/>
      </c>
      <c r="K272" s="25"/>
      <c r="L272" s="28" t="str">
        <f aca="false">IF(K272="","",IF(LEFT(K272,6)="1 Pole","Alquiler",IF(LEFT(K272,7)="1 Clase","Clase suelta","Paquete")))</f>
        <v/>
      </c>
      <c r="M272" s="25"/>
      <c r="N272" s="25"/>
      <c r="O272" s="35"/>
      <c r="P272" s="29" t="str">
        <f aca="false">IF(O272="","",N272*O272)</f>
        <v/>
      </c>
      <c r="Q272" s="36"/>
      <c r="R272" s="25"/>
      <c r="S272" s="25"/>
      <c r="T272" s="28" t="str">
        <f aca="false">IF(OR(LEFT(W272,2)&lt;&gt;"A-",ISERROR(MATCH(W272,'🎓 Alumnas'!$A$2:$A$1000,0))),"",IF(COUNTIF($W$2:W272,W272)=1,"Nueva","Recurrente"))</f>
        <v/>
      </c>
      <c r="U272" s="28" t="str">
        <f aca="false">IF(OR(T272="",L272&lt;&gt;"Paquete"),"",COUNTIFS($W$2:W272,W272,$L$2:L272,"Paquete"))</f>
        <v/>
      </c>
      <c r="V272" s="25"/>
      <c r="W272" s="34" t="str">
        <f aca="false">IF(TRIM($C272)="","",IF(COUNTIF('🎓 Alumnas'!$P$2:$P$1000,TRIM($C272))&gt;0,INDEX('🎓 Alumnas'!$A$2:$A$1000,MATCH(TRIM($C272),'🎓 Alumnas'!$P$2:$P$1000,0)),IF(COUNTIF('🎓 Alumnas'!$O$2:$O$1000,TRIM($C272)&amp;"|*")=1,INDEX('🎓 Alumnas'!$A$2:$A$1000,MATCH(TRIM($C272)&amp;"|*",'🎓 Alumnas'!$O$2:$O$1000,0)),IF(COUNTIF('🎓 Alumnas'!$O$2:$O$1000,"*|"&amp;TRIM($C272))=1,INDEX('🎓 Alumnas'!$A$2:$A$1000,MATCH("*|"&amp;TRIM($C272),'🎓 Alumnas'!$O$2:$O$1000,0)),IF(COUNTIF('🎓 Alumnas'!$Q$2:$Q$1000,TRIM($C272))=1,INDEX('🎓 Alumnas'!$A$2:$A$1000,MATCH(TRIM($C272),'🎓 Alumnas'!$Q$2:$Q$1000,0)),IF(COUNTIF('🎓 Alumnas'!$P$2:$P$1000,"*"&amp;TRIM($C272)&amp;"*")=1,INDEX('🎓 Alumnas'!$A$2:$A$1000,MATCH("*"&amp;TRIM($C272)&amp;"*",'🎓 Alumnas'!$P$2:$P$1000,0)),IF(COUNTIF('🎓 Alumnas'!$Q$2:$Q$1000,"*"&amp;TRIM($C272)&amp;"*")=1,INDEX('🎓 Alumnas'!$A$2:$A$1000,MATCH("*"&amp;TRIM($C272)&amp;"*",'🎓 Alumnas'!$Q$2:$Q$1000,0)),IF(COUNTIF('🎓 Alumnas'!$P$2:$P$1000,"*"&amp;TRIM($C272)&amp;"*")+COUNTIF('🎓 Alumnas'!$Q$2:$Q$1000,"*"&amp;TRIM($C272)&amp;"*")&gt;1,"Varias: elige de la lista","No encontrada"))))))))</f>
        <v/>
      </c>
    </row>
    <row r="273" customFormat="false" ht="14.25" hidden="false" customHeight="true" outlineLevel="0" collapsed="false">
      <c r="A273" s="25" t="s">
        <v>817</v>
      </c>
      <c r="B273" s="27"/>
      <c r="C273" s="25"/>
      <c r="D273" s="34" t="str">
        <f aca="false">IF($W273="","",IFERROR(TRIM(INDEX('🎓 Alumnas'!$B$2:$B$1000,MATCH($W273,'🎓 Alumnas'!$A$2:$A$1000,0))),""))</f>
        <v/>
      </c>
      <c r="E273" s="34" t="str">
        <f aca="false">IF($W273="","",IFERROR(TRIM(INDEX('🎓 Alumnas'!$C$2:$C$1000,MATCH($W273,'🎓 Alumnas'!$A$2:$A$1000,0))),""))</f>
        <v/>
      </c>
      <c r="F273" s="34" t="str">
        <f aca="false">IF($W273="","",IFERROR(IF(INDEX('🎓 Alumnas'!$D$2:$D$1000,MATCH($W273,'🎓 Alumnas'!$A$2:$A$1000,0))="","",INDEX('🎓 Alumnas'!$D$2:$D$1000,MATCH($W273,'🎓 Alumnas'!$A$2:$A$1000,0))),""))</f>
        <v/>
      </c>
      <c r="G273" s="28" t="str">
        <f aca="false">IF($W273="","",IFERROR(IF(INDEX('🎓 Alumnas'!$E$2:$E$1000,MATCH($W273,'🎓 Alumnas'!$A$2:$A$1000,0))="","",INDEX('🎓 Alumnas'!$E$2:$E$1000,MATCH($W273,'🎓 Alumnas'!$A$2:$A$1000,0))),""))</f>
        <v/>
      </c>
      <c r="H273" s="28" t="str">
        <f aca="false">IF($W273="","",IFERROR(IF(INDEX('🎓 Alumnas'!$F$2:$F$1000,MATCH($W273,'🎓 Alumnas'!$A$2:$A$1000,0))="","",INDEX('🎓 Alumnas'!$F$2:$F$1000,MATCH($W273,'🎓 Alumnas'!$A$2:$A$1000,0))),""))</f>
        <v/>
      </c>
      <c r="I273" s="30" t="str">
        <f aca="false">IF($W273="","",IFERROR(IF(INDEX('🎓 Alumnas'!$G$2:$G$1000,MATCH($W273,'🎓 Alumnas'!$A$2:$A$1000,0))="","",INDEX('🎓 Alumnas'!$G$2:$G$1000,MATCH($W273,'🎓 Alumnas'!$A$2:$A$1000,0))),""))</f>
        <v/>
      </c>
      <c r="J273" s="28" t="str">
        <f aca="true">IF(I273="","",DATEDIF(I273,TODAY(),"Y"))</f>
        <v/>
      </c>
      <c r="K273" s="25"/>
      <c r="L273" s="28" t="str">
        <f aca="false">IF(K273="","",IF(LEFT(K273,6)="1 Pole","Alquiler",IF(LEFT(K273,7)="1 Clase","Clase suelta","Paquete")))</f>
        <v/>
      </c>
      <c r="M273" s="25"/>
      <c r="N273" s="25"/>
      <c r="O273" s="35"/>
      <c r="P273" s="29" t="str">
        <f aca="false">IF(O273="","",N273*O273)</f>
        <v/>
      </c>
      <c r="Q273" s="36"/>
      <c r="R273" s="25"/>
      <c r="S273" s="25"/>
      <c r="T273" s="28" t="str">
        <f aca="false">IF(OR(LEFT(W273,2)&lt;&gt;"A-",ISERROR(MATCH(W273,'🎓 Alumnas'!$A$2:$A$1000,0))),"",IF(COUNTIF($W$2:W273,W273)=1,"Nueva","Recurrente"))</f>
        <v/>
      </c>
      <c r="U273" s="28" t="str">
        <f aca="false">IF(OR(T273="",L273&lt;&gt;"Paquete"),"",COUNTIFS($W$2:W273,W273,$L$2:L273,"Paquete"))</f>
        <v/>
      </c>
      <c r="V273" s="25"/>
      <c r="W273" s="34" t="str">
        <f aca="false">IF(TRIM($C273)="","",IF(COUNTIF('🎓 Alumnas'!$P$2:$P$1000,TRIM($C273))&gt;0,INDEX('🎓 Alumnas'!$A$2:$A$1000,MATCH(TRIM($C273),'🎓 Alumnas'!$P$2:$P$1000,0)),IF(COUNTIF('🎓 Alumnas'!$O$2:$O$1000,TRIM($C273)&amp;"|*")=1,INDEX('🎓 Alumnas'!$A$2:$A$1000,MATCH(TRIM($C273)&amp;"|*",'🎓 Alumnas'!$O$2:$O$1000,0)),IF(COUNTIF('🎓 Alumnas'!$O$2:$O$1000,"*|"&amp;TRIM($C273))=1,INDEX('🎓 Alumnas'!$A$2:$A$1000,MATCH("*|"&amp;TRIM($C273),'🎓 Alumnas'!$O$2:$O$1000,0)),IF(COUNTIF('🎓 Alumnas'!$Q$2:$Q$1000,TRIM($C273))=1,INDEX('🎓 Alumnas'!$A$2:$A$1000,MATCH(TRIM($C273),'🎓 Alumnas'!$Q$2:$Q$1000,0)),IF(COUNTIF('🎓 Alumnas'!$P$2:$P$1000,"*"&amp;TRIM($C273)&amp;"*")=1,INDEX('🎓 Alumnas'!$A$2:$A$1000,MATCH("*"&amp;TRIM($C273)&amp;"*",'🎓 Alumnas'!$P$2:$P$1000,0)),IF(COUNTIF('🎓 Alumnas'!$Q$2:$Q$1000,"*"&amp;TRIM($C273)&amp;"*")=1,INDEX('🎓 Alumnas'!$A$2:$A$1000,MATCH("*"&amp;TRIM($C273)&amp;"*",'🎓 Alumnas'!$Q$2:$Q$1000,0)),IF(COUNTIF('🎓 Alumnas'!$P$2:$P$1000,"*"&amp;TRIM($C273)&amp;"*")+COUNTIF('🎓 Alumnas'!$Q$2:$Q$1000,"*"&amp;TRIM($C273)&amp;"*")&gt;1,"Varias: elige de la lista","No encontrada"))))))))</f>
        <v/>
      </c>
    </row>
    <row r="274" customFormat="false" ht="14.25" hidden="false" customHeight="true" outlineLevel="0" collapsed="false">
      <c r="A274" s="25" t="s">
        <v>818</v>
      </c>
      <c r="B274" s="27"/>
      <c r="C274" s="25"/>
      <c r="D274" s="34" t="str">
        <f aca="false">IF($W274="","",IFERROR(TRIM(INDEX('🎓 Alumnas'!$B$2:$B$1000,MATCH($W274,'🎓 Alumnas'!$A$2:$A$1000,0))),""))</f>
        <v/>
      </c>
      <c r="E274" s="34" t="str">
        <f aca="false">IF($W274="","",IFERROR(TRIM(INDEX('🎓 Alumnas'!$C$2:$C$1000,MATCH($W274,'🎓 Alumnas'!$A$2:$A$1000,0))),""))</f>
        <v/>
      </c>
      <c r="F274" s="34" t="str">
        <f aca="false">IF($W274="","",IFERROR(IF(INDEX('🎓 Alumnas'!$D$2:$D$1000,MATCH($W274,'🎓 Alumnas'!$A$2:$A$1000,0))="","",INDEX('🎓 Alumnas'!$D$2:$D$1000,MATCH($W274,'🎓 Alumnas'!$A$2:$A$1000,0))),""))</f>
        <v/>
      </c>
      <c r="G274" s="28" t="str">
        <f aca="false">IF($W274="","",IFERROR(IF(INDEX('🎓 Alumnas'!$E$2:$E$1000,MATCH($W274,'🎓 Alumnas'!$A$2:$A$1000,0))="","",INDEX('🎓 Alumnas'!$E$2:$E$1000,MATCH($W274,'🎓 Alumnas'!$A$2:$A$1000,0))),""))</f>
        <v/>
      </c>
      <c r="H274" s="28" t="str">
        <f aca="false">IF($W274="","",IFERROR(IF(INDEX('🎓 Alumnas'!$F$2:$F$1000,MATCH($W274,'🎓 Alumnas'!$A$2:$A$1000,0))="","",INDEX('🎓 Alumnas'!$F$2:$F$1000,MATCH($W274,'🎓 Alumnas'!$A$2:$A$1000,0))),""))</f>
        <v/>
      </c>
      <c r="I274" s="30" t="str">
        <f aca="false">IF($W274="","",IFERROR(IF(INDEX('🎓 Alumnas'!$G$2:$G$1000,MATCH($W274,'🎓 Alumnas'!$A$2:$A$1000,0))="","",INDEX('🎓 Alumnas'!$G$2:$G$1000,MATCH($W274,'🎓 Alumnas'!$A$2:$A$1000,0))),""))</f>
        <v/>
      </c>
      <c r="J274" s="28" t="str">
        <f aca="true">IF(I274="","",DATEDIF(I274,TODAY(),"Y"))</f>
        <v/>
      </c>
      <c r="K274" s="25"/>
      <c r="L274" s="28" t="str">
        <f aca="false">IF(K274="","",IF(LEFT(K274,6)="1 Pole","Alquiler",IF(LEFT(K274,7)="1 Clase","Clase suelta","Paquete")))</f>
        <v/>
      </c>
      <c r="M274" s="25"/>
      <c r="N274" s="25"/>
      <c r="O274" s="35"/>
      <c r="P274" s="29" t="str">
        <f aca="false">IF(O274="","",N274*O274)</f>
        <v/>
      </c>
      <c r="Q274" s="36"/>
      <c r="R274" s="25"/>
      <c r="S274" s="25"/>
      <c r="T274" s="28" t="str">
        <f aca="false">IF(OR(LEFT(W274,2)&lt;&gt;"A-",ISERROR(MATCH(W274,'🎓 Alumnas'!$A$2:$A$1000,0))),"",IF(COUNTIF($W$2:W274,W274)=1,"Nueva","Recurrente"))</f>
        <v/>
      </c>
      <c r="U274" s="28" t="str">
        <f aca="false">IF(OR(T274="",L274&lt;&gt;"Paquete"),"",COUNTIFS($W$2:W274,W274,$L$2:L274,"Paquete"))</f>
        <v/>
      </c>
      <c r="V274" s="25"/>
      <c r="W274" s="34" t="str">
        <f aca="false">IF(TRIM($C274)="","",IF(COUNTIF('🎓 Alumnas'!$P$2:$P$1000,TRIM($C274))&gt;0,INDEX('🎓 Alumnas'!$A$2:$A$1000,MATCH(TRIM($C274),'🎓 Alumnas'!$P$2:$P$1000,0)),IF(COUNTIF('🎓 Alumnas'!$O$2:$O$1000,TRIM($C274)&amp;"|*")=1,INDEX('🎓 Alumnas'!$A$2:$A$1000,MATCH(TRIM($C274)&amp;"|*",'🎓 Alumnas'!$O$2:$O$1000,0)),IF(COUNTIF('🎓 Alumnas'!$O$2:$O$1000,"*|"&amp;TRIM($C274))=1,INDEX('🎓 Alumnas'!$A$2:$A$1000,MATCH("*|"&amp;TRIM($C274),'🎓 Alumnas'!$O$2:$O$1000,0)),IF(COUNTIF('🎓 Alumnas'!$Q$2:$Q$1000,TRIM($C274))=1,INDEX('🎓 Alumnas'!$A$2:$A$1000,MATCH(TRIM($C274),'🎓 Alumnas'!$Q$2:$Q$1000,0)),IF(COUNTIF('🎓 Alumnas'!$P$2:$P$1000,"*"&amp;TRIM($C274)&amp;"*")=1,INDEX('🎓 Alumnas'!$A$2:$A$1000,MATCH("*"&amp;TRIM($C274)&amp;"*",'🎓 Alumnas'!$P$2:$P$1000,0)),IF(COUNTIF('🎓 Alumnas'!$Q$2:$Q$1000,"*"&amp;TRIM($C274)&amp;"*")=1,INDEX('🎓 Alumnas'!$A$2:$A$1000,MATCH("*"&amp;TRIM($C274)&amp;"*",'🎓 Alumnas'!$Q$2:$Q$1000,0)),IF(COUNTIF('🎓 Alumnas'!$P$2:$P$1000,"*"&amp;TRIM($C274)&amp;"*")+COUNTIF('🎓 Alumnas'!$Q$2:$Q$1000,"*"&amp;TRIM($C274)&amp;"*")&gt;1,"Varias: elige de la lista","No encontrada"))))))))</f>
        <v/>
      </c>
    </row>
    <row r="275" customFormat="false" ht="14.25" hidden="false" customHeight="true" outlineLevel="0" collapsed="false">
      <c r="A275" s="25" t="s">
        <v>819</v>
      </c>
      <c r="B275" s="27"/>
      <c r="C275" s="25"/>
      <c r="D275" s="34" t="str">
        <f aca="false">IF($W275="","",IFERROR(TRIM(INDEX('🎓 Alumnas'!$B$2:$B$1000,MATCH($W275,'🎓 Alumnas'!$A$2:$A$1000,0))),""))</f>
        <v/>
      </c>
      <c r="E275" s="34" t="str">
        <f aca="false">IF($W275="","",IFERROR(TRIM(INDEX('🎓 Alumnas'!$C$2:$C$1000,MATCH($W275,'🎓 Alumnas'!$A$2:$A$1000,0))),""))</f>
        <v/>
      </c>
      <c r="F275" s="34" t="str">
        <f aca="false">IF($W275="","",IFERROR(IF(INDEX('🎓 Alumnas'!$D$2:$D$1000,MATCH($W275,'🎓 Alumnas'!$A$2:$A$1000,0))="","",INDEX('🎓 Alumnas'!$D$2:$D$1000,MATCH($W275,'🎓 Alumnas'!$A$2:$A$1000,0))),""))</f>
        <v/>
      </c>
      <c r="G275" s="28" t="str">
        <f aca="false">IF($W275="","",IFERROR(IF(INDEX('🎓 Alumnas'!$E$2:$E$1000,MATCH($W275,'🎓 Alumnas'!$A$2:$A$1000,0))="","",INDEX('🎓 Alumnas'!$E$2:$E$1000,MATCH($W275,'🎓 Alumnas'!$A$2:$A$1000,0))),""))</f>
        <v/>
      </c>
      <c r="H275" s="28" t="str">
        <f aca="false">IF($W275="","",IFERROR(IF(INDEX('🎓 Alumnas'!$F$2:$F$1000,MATCH($W275,'🎓 Alumnas'!$A$2:$A$1000,0))="","",INDEX('🎓 Alumnas'!$F$2:$F$1000,MATCH($W275,'🎓 Alumnas'!$A$2:$A$1000,0))),""))</f>
        <v/>
      </c>
      <c r="I275" s="30" t="str">
        <f aca="false">IF($W275="","",IFERROR(IF(INDEX('🎓 Alumnas'!$G$2:$G$1000,MATCH($W275,'🎓 Alumnas'!$A$2:$A$1000,0))="","",INDEX('🎓 Alumnas'!$G$2:$G$1000,MATCH($W275,'🎓 Alumnas'!$A$2:$A$1000,0))),""))</f>
        <v/>
      </c>
      <c r="J275" s="28" t="str">
        <f aca="true">IF(I275="","",DATEDIF(I275,TODAY(),"Y"))</f>
        <v/>
      </c>
      <c r="K275" s="25"/>
      <c r="L275" s="28" t="str">
        <f aca="false">IF(K275="","",IF(LEFT(K275,6)="1 Pole","Alquiler",IF(LEFT(K275,7)="1 Clase","Clase suelta","Paquete")))</f>
        <v/>
      </c>
      <c r="M275" s="25"/>
      <c r="N275" s="25"/>
      <c r="O275" s="35"/>
      <c r="P275" s="29" t="str">
        <f aca="false">IF(O275="","",N275*O275)</f>
        <v/>
      </c>
      <c r="Q275" s="36"/>
      <c r="R275" s="25"/>
      <c r="S275" s="25"/>
      <c r="T275" s="28" t="str">
        <f aca="false">IF(OR(LEFT(W275,2)&lt;&gt;"A-",ISERROR(MATCH(W275,'🎓 Alumnas'!$A$2:$A$1000,0))),"",IF(COUNTIF($W$2:W275,W275)=1,"Nueva","Recurrente"))</f>
        <v/>
      </c>
      <c r="U275" s="28" t="str">
        <f aca="false">IF(OR(T275="",L275&lt;&gt;"Paquete"),"",COUNTIFS($W$2:W275,W275,$L$2:L275,"Paquete"))</f>
        <v/>
      </c>
      <c r="V275" s="25"/>
      <c r="W275" s="34" t="str">
        <f aca="false">IF(TRIM($C275)="","",IF(COUNTIF('🎓 Alumnas'!$P$2:$P$1000,TRIM($C275))&gt;0,INDEX('🎓 Alumnas'!$A$2:$A$1000,MATCH(TRIM($C275),'🎓 Alumnas'!$P$2:$P$1000,0)),IF(COUNTIF('🎓 Alumnas'!$O$2:$O$1000,TRIM($C275)&amp;"|*")=1,INDEX('🎓 Alumnas'!$A$2:$A$1000,MATCH(TRIM($C275)&amp;"|*",'🎓 Alumnas'!$O$2:$O$1000,0)),IF(COUNTIF('🎓 Alumnas'!$O$2:$O$1000,"*|"&amp;TRIM($C275))=1,INDEX('🎓 Alumnas'!$A$2:$A$1000,MATCH("*|"&amp;TRIM($C275),'🎓 Alumnas'!$O$2:$O$1000,0)),IF(COUNTIF('🎓 Alumnas'!$Q$2:$Q$1000,TRIM($C275))=1,INDEX('🎓 Alumnas'!$A$2:$A$1000,MATCH(TRIM($C275),'🎓 Alumnas'!$Q$2:$Q$1000,0)),IF(COUNTIF('🎓 Alumnas'!$P$2:$P$1000,"*"&amp;TRIM($C275)&amp;"*")=1,INDEX('🎓 Alumnas'!$A$2:$A$1000,MATCH("*"&amp;TRIM($C275)&amp;"*",'🎓 Alumnas'!$P$2:$P$1000,0)),IF(COUNTIF('🎓 Alumnas'!$Q$2:$Q$1000,"*"&amp;TRIM($C275)&amp;"*")=1,INDEX('🎓 Alumnas'!$A$2:$A$1000,MATCH("*"&amp;TRIM($C275)&amp;"*",'🎓 Alumnas'!$Q$2:$Q$1000,0)),IF(COUNTIF('🎓 Alumnas'!$P$2:$P$1000,"*"&amp;TRIM($C275)&amp;"*")+COUNTIF('🎓 Alumnas'!$Q$2:$Q$1000,"*"&amp;TRIM($C275)&amp;"*")&gt;1,"Varias: elige de la lista","No encontrada"))))))))</f>
        <v/>
      </c>
    </row>
    <row r="276" customFormat="false" ht="14.25" hidden="false" customHeight="true" outlineLevel="0" collapsed="false">
      <c r="A276" s="25" t="s">
        <v>820</v>
      </c>
      <c r="B276" s="27"/>
      <c r="C276" s="25"/>
      <c r="D276" s="34" t="str">
        <f aca="false">IF($W276="","",IFERROR(TRIM(INDEX('🎓 Alumnas'!$B$2:$B$1000,MATCH($W276,'🎓 Alumnas'!$A$2:$A$1000,0))),""))</f>
        <v/>
      </c>
      <c r="E276" s="34" t="str">
        <f aca="false">IF($W276="","",IFERROR(TRIM(INDEX('🎓 Alumnas'!$C$2:$C$1000,MATCH($W276,'🎓 Alumnas'!$A$2:$A$1000,0))),""))</f>
        <v/>
      </c>
      <c r="F276" s="34" t="str">
        <f aca="false">IF($W276="","",IFERROR(IF(INDEX('🎓 Alumnas'!$D$2:$D$1000,MATCH($W276,'🎓 Alumnas'!$A$2:$A$1000,0))="","",INDEX('🎓 Alumnas'!$D$2:$D$1000,MATCH($W276,'🎓 Alumnas'!$A$2:$A$1000,0))),""))</f>
        <v/>
      </c>
      <c r="G276" s="28" t="str">
        <f aca="false">IF($W276="","",IFERROR(IF(INDEX('🎓 Alumnas'!$E$2:$E$1000,MATCH($W276,'🎓 Alumnas'!$A$2:$A$1000,0))="","",INDEX('🎓 Alumnas'!$E$2:$E$1000,MATCH($W276,'🎓 Alumnas'!$A$2:$A$1000,0))),""))</f>
        <v/>
      </c>
      <c r="H276" s="28" t="str">
        <f aca="false">IF($W276="","",IFERROR(IF(INDEX('🎓 Alumnas'!$F$2:$F$1000,MATCH($W276,'🎓 Alumnas'!$A$2:$A$1000,0))="","",INDEX('🎓 Alumnas'!$F$2:$F$1000,MATCH($W276,'🎓 Alumnas'!$A$2:$A$1000,0))),""))</f>
        <v/>
      </c>
      <c r="I276" s="30" t="str">
        <f aca="false">IF($W276="","",IFERROR(IF(INDEX('🎓 Alumnas'!$G$2:$G$1000,MATCH($W276,'🎓 Alumnas'!$A$2:$A$1000,0))="","",INDEX('🎓 Alumnas'!$G$2:$G$1000,MATCH($W276,'🎓 Alumnas'!$A$2:$A$1000,0))),""))</f>
        <v/>
      </c>
      <c r="J276" s="28" t="str">
        <f aca="true">IF(I276="","",DATEDIF(I276,TODAY(),"Y"))</f>
        <v/>
      </c>
      <c r="K276" s="25"/>
      <c r="L276" s="28" t="str">
        <f aca="false">IF(K276="","",IF(LEFT(K276,6)="1 Pole","Alquiler",IF(LEFT(K276,7)="1 Clase","Clase suelta","Paquete")))</f>
        <v/>
      </c>
      <c r="M276" s="25"/>
      <c r="N276" s="25"/>
      <c r="O276" s="35"/>
      <c r="P276" s="29" t="str">
        <f aca="false">IF(O276="","",N276*O276)</f>
        <v/>
      </c>
      <c r="Q276" s="36"/>
      <c r="R276" s="25"/>
      <c r="S276" s="25"/>
      <c r="T276" s="28" t="str">
        <f aca="false">IF(OR(LEFT(W276,2)&lt;&gt;"A-",ISERROR(MATCH(W276,'🎓 Alumnas'!$A$2:$A$1000,0))),"",IF(COUNTIF($W$2:W276,W276)=1,"Nueva","Recurrente"))</f>
        <v/>
      </c>
      <c r="U276" s="28" t="str">
        <f aca="false">IF(OR(T276="",L276&lt;&gt;"Paquete"),"",COUNTIFS($W$2:W276,W276,$L$2:L276,"Paquete"))</f>
        <v/>
      </c>
      <c r="V276" s="25"/>
      <c r="W276" s="34" t="str">
        <f aca="false">IF(TRIM($C276)="","",IF(COUNTIF('🎓 Alumnas'!$P$2:$P$1000,TRIM($C276))&gt;0,INDEX('🎓 Alumnas'!$A$2:$A$1000,MATCH(TRIM($C276),'🎓 Alumnas'!$P$2:$P$1000,0)),IF(COUNTIF('🎓 Alumnas'!$O$2:$O$1000,TRIM($C276)&amp;"|*")=1,INDEX('🎓 Alumnas'!$A$2:$A$1000,MATCH(TRIM($C276)&amp;"|*",'🎓 Alumnas'!$O$2:$O$1000,0)),IF(COUNTIF('🎓 Alumnas'!$O$2:$O$1000,"*|"&amp;TRIM($C276))=1,INDEX('🎓 Alumnas'!$A$2:$A$1000,MATCH("*|"&amp;TRIM($C276),'🎓 Alumnas'!$O$2:$O$1000,0)),IF(COUNTIF('🎓 Alumnas'!$Q$2:$Q$1000,TRIM($C276))=1,INDEX('🎓 Alumnas'!$A$2:$A$1000,MATCH(TRIM($C276),'🎓 Alumnas'!$Q$2:$Q$1000,0)),IF(COUNTIF('🎓 Alumnas'!$P$2:$P$1000,"*"&amp;TRIM($C276)&amp;"*")=1,INDEX('🎓 Alumnas'!$A$2:$A$1000,MATCH("*"&amp;TRIM($C276)&amp;"*",'🎓 Alumnas'!$P$2:$P$1000,0)),IF(COUNTIF('🎓 Alumnas'!$Q$2:$Q$1000,"*"&amp;TRIM($C276)&amp;"*")=1,INDEX('🎓 Alumnas'!$A$2:$A$1000,MATCH("*"&amp;TRIM($C276)&amp;"*",'🎓 Alumnas'!$Q$2:$Q$1000,0)),IF(COUNTIF('🎓 Alumnas'!$P$2:$P$1000,"*"&amp;TRIM($C276)&amp;"*")+COUNTIF('🎓 Alumnas'!$Q$2:$Q$1000,"*"&amp;TRIM($C276)&amp;"*")&gt;1,"Varias: elige de la lista","No encontrada"))))))))</f>
        <v/>
      </c>
    </row>
    <row r="277" customFormat="false" ht="14.25" hidden="false" customHeight="true" outlineLevel="0" collapsed="false">
      <c r="A277" s="25" t="s">
        <v>821</v>
      </c>
      <c r="B277" s="27"/>
      <c r="C277" s="25"/>
      <c r="D277" s="34" t="str">
        <f aca="false">IF($W277="","",IFERROR(TRIM(INDEX('🎓 Alumnas'!$B$2:$B$1000,MATCH($W277,'🎓 Alumnas'!$A$2:$A$1000,0))),""))</f>
        <v/>
      </c>
      <c r="E277" s="34" t="str">
        <f aca="false">IF($W277="","",IFERROR(TRIM(INDEX('🎓 Alumnas'!$C$2:$C$1000,MATCH($W277,'🎓 Alumnas'!$A$2:$A$1000,0))),""))</f>
        <v/>
      </c>
      <c r="F277" s="34" t="str">
        <f aca="false">IF($W277="","",IFERROR(IF(INDEX('🎓 Alumnas'!$D$2:$D$1000,MATCH($W277,'🎓 Alumnas'!$A$2:$A$1000,0))="","",INDEX('🎓 Alumnas'!$D$2:$D$1000,MATCH($W277,'🎓 Alumnas'!$A$2:$A$1000,0))),""))</f>
        <v/>
      </c>
      <c r="G277" s="28" t="str">
        <f aca="false">IF($W277="","",IFERROR(IF(INDEX('🎓 Alumnas'!$E$2:$E$1000,MATCH($W277,'🎓 Alumnas'!$A$2:$A$1000,0))="","",INDEX('🎓 Alumnas'!$E$2:$E$1000,MATCH($W277,'🎓 Alumnas'!$A$2:$A$1000,0))),""))</f>
        <v/>
      </c>
      <c r="H277" s="28" t="str">
        <f aca="false">IF($W277="","",IFERROR(IF(INDEX('🎓 Alumnas'!$F$2:$F$1000,MATCH($W277,'🎓 Alumnas'!$A$2:$A$1000,0))="","",INDEX('🎓 Alumnas'!$F$2:$F$1000,MATCH($W277,'🎓 Alumnas'!$A$2:$A$1000,0))),""))</f>
        <v/>
      </c>
      <c r="I277" s="30" t="str">
        <f aca="false">IF($W277="","",IFERROR(IF(INDEX('🎓 Alumnas'!$G$2:$G$1000,MATCH($W277,'🎓 Alumnas'!$A$2:$A$1000,0))="","",INDEX('🎓 Alumnas'!$G$2:$G$1000,MATCH($W277,'🎓 Alumnas'!$A$2:$A$1000,0))),""))</f>
        <v/>
      </c>
      <c r="J277" s="28" t="str">
        <f aca="true">IF(I277="","",DATEDIF(I277,TODAY(),"Y"))</f>
        <v/>
      </c>
      <c r="K277" s="25"/>
      <c r="L277" s="28" t="str">
        <f aca="false">IF(K277="","",IF(LEFT(K277,6)="1 Pole","Alquiler",IF(LEFT(K277,7)="1 Clase","Clase suelta","Paquete")))</f>
        <v/>
      </c>
      <c r="M277" s="25"/>
      <c r="N277" s="25"/>
      <c r="O277" s="35"/>
      <c r="P277" s="29" t="str">
        <f aca="false">IF(O277="","",N277*O277)</f>
        <v/>
      </c>
      <c r="Q277" s="36"/>
      <c r="R277" s="25"/>
      <c r="S277" s="25"/>
      <c r="T277" s="28" t="str">
        <f aca="false">IF(OR(LEFT(W277,2)&lt;&gt;"A-",ISERROR(MATCH(W277,'🎓 Alumnas'!$A$2:$A$1000,0))),"",IF(COUNTIF($W$2:W277,W277)=1,"Nueva","Recurrente"))</f>
        <v/>
      </c>
      <c r="U277" s="28" t="str">
        <f aca="false">IF(OR(T277="",L277&lt;&gt;"Paquete"),"",COUNTIFS($W$2:W277,W277,$L$2:L277,"Paquete"))</f>
        <v/>
      </c>
      <c r="V277" s="25"/>
      <c r="W277" s="34" t="str">
        <f aca="false">IF(TRIM($C277)="","",IF(COUNTIF('🎓 Alumnas'!$P$2:$P$1000,TRIM($C277))&gt;0,INDEX('🎓 Alumnas'!$A$2:$A$1000,MATCH(TRIM($C277),'🎓 Alumnas'!$P$2:$P$1000,0)),IF(COUNTIF('🎓 Alumnas'!$O$2:$O$1000,TRIM($C277)&amp;"|*")=1,INDEX('🎓 Alumnas'!$A$2:$A$1000,MATCH(TRIM($C277)&amp;"|*",'🎓 Alumnas'!$O$2:$O$1000,0)),IF(COUNTIF('🎓 Alumnas'!$O$2:$O$1000,"*|"&amp;TRIM($C277))=1,INDEX('🎓 Alumnas'!$A$2:$A$1000,MATCH("*|"&amp;TRIM($C277),'🎓 Alumnas'!$O$2:$O$1000,0)),IF(COUNTIF('🎓 Alumnas'!$Q$2:$Q$1000,TRIM($C277))=1,INDEX('🎓 Alumnas'!$A$2:$A$1000,MATCH(TRIM($C277),'🎓 Alumnas'!$Q$2:$Q$1000,0)),IF(COUNTIF('🎓 Alumnas'!$P$2:$P$1000,"*"&amp;TRIM($C277)&amp;"*")=1,INDEX('🎓 Alumnas'!$A$2:$A$1000,MATCH("*"&amp;TRIM($C277)&amp;"*",'🎓 Alumnas'!$P$2:$P$1000,0)),IF(COUNTIF('🎓 Alumnas'!$Q$2:$Q$1000,"*"&amp;TRIM($C277)&amp;"*")=1,INDEX('🎓 Alumnas'!$A$2:$A$1000,MATCH("*"&amp;TRIM($C277)&amp;"*",'🎓 Alumnas'!$Q$2:$Q$1000,0)),IF(COUNTIF('🎓 Alumnas'!$P$2:$P$1000,"*"&amp;TRIM($C277)&amp;"*")+COUNTIF('🎓 Alumnas'!$Q$2:$Q$1000,"*"&amp;TRIM($C277)&amp;"*")&gt;1,"Varias: elige de la lista","No encontrada"))))))))</f>
        <v/>
      </c>
    </row>
    <row r="278" customFormat="false" ht="14.25" hidden="false" customHeight="true" outlineLevel="0" collapsed="false">
      <c r="A278" s="25" t="s">
        <v>822</v>
      </c>
      <c r="B278" s="27"/>
      <c r="C278" s="25"/>
      <c r="D278" s="34" t="str">
        <f aca="false">IF($W278="","",IFERROR(TRIM(INDEX('🎓 Alumnas'!$B$2:$B$1000,MATCH($W278,'🎓 Alumnas'!$A$2:$A$1000,0))),""))</f>
        <v/>
      </c>
      <c r="E278" s="34" t="str">
        <f aca="false">IF($W278="","",IFERROR(TRIM(INDEX('🎓 Alumnas'!$C$2:$C$1000,MATCH($W278,'🎓 Alumnas'!$A$2:$A$1000,0))),""))</f>
        <v/>
      </c>
      <c r="F278" s="34" t="str">
        <f aca="false">IF($W278="","",IFERROR(IF(INDEX('🎓 Alumnas'!$D$2:$D$1000,MATCH($W278,'🎓 Alumnas'!$A$2:$A$1000,0))="","",INDEX('🎓 Alumnas'!$D$2:$D$1000,MATCH($W278,'🎓 Alumnas'!$A$2:$A$1000,0))),""))</f>
        <v/>
      </c>
      <c r="G278" s="28" t="str">
        <f aca="false">IF($W278="","",IFERROR(IF(INDEX('🎓 Alumnas'!$E$2:$E$1000,MATCH($W278,'🎓 Alumnas'!$A$2:$A$1000,0))="","",INDEX('🎓 Alumnas'!$E$2:$E$1000,MATCH($W278,'🎓 Alumnas'!$A$2:$A$1000,0))),""))</f>
        <v/>
      </c>
      <c r="H278" s="28" t="str">
        <f aca="false">IF($W278="","",IFERROR(IF(INDEX('🎓 Alumnas'!$F$2:$F$1000,MATCH($W278,'🎓 Alumnas'!$A$2:$A$1000,0))="","",INDEX('🎓 Alumnas'!$F$2:$F$1000,MATCH($W278,'🎓 Alumnas'!$A$2:$A$1000,0))),""))</f>
        <v/>
      </c>
      <c r="I278" s="30" t="str">
        <f aca="false">IF($W278="","",IFERROR(IF(INDEX('🎓 Alumnas'!$G$2:$G$1000,MATCH($W278,'🎓 Alumnas'!$A$2:$A$1000,0))="","",INDEX('🎓 Alumnas'!$G$2:$G$1000,MATCH($W278,'🎓 Alumnas'!$A$2:$A$1000,0))),""))</f>
        <v/>
      </c>
      <c r="J278" s="28" t="str">
        <f aca="true">IF(I278="","",DATEDIF(I278,TODAY(),"Y"))</f>
        <v/>
      </c>
      <c r="K278" s="25"/>
      <c r="L278" s="28" t="str">
        <f aca="false">IF(K278="","",IF(LEFT(K278,6)="1 Pole","Alquiler",IF(LEFT(K278,7)="1 Clase","Clase suelta","Paquete")))</f>
        <v/>
      </c>
      <c r="M278" s="25"/>
      <c r="N278" s="25"/>
      <c r="O278" s="35"/>
      <c r="P278" s="29" t="str">
        <f aca="false">IF(O278="","",N278*O278)</f>
        <v/>
      </c>
      <c r="Q278" s="36"/>
      <c r="R278" s="25"/>
      <c r="S278" s="25"/>
      <c r="T278" s="28" t="str">
        <f aca="false">IF(OR(LEFT(W278,2)&lt;&gt;"A-",ISERROR(MATCH(W278,'🎓 Alumnas'!$A$2:$A$1000,0))),"",IF(COUNTIF($W$2:W278,W278)=1,"Nueva","Recurrente"))</f>
        <v/>
      </c>
      <c r="U278" s="28" t="str">
        <f aca="false">IF(OR(T278="",L278&lt;&gt;"Paquete"),"",COUNTIFS($W$2:W278,W278,$L$2:L278,"Paquete"))</f>
        <v/>
      </c>
      <c r="V278" s="25"/>
      <c r="W278" s="34" t="str">
        <f aca="false">IF(TRIM($C278)="","",IF(COUNTIF('🎓 Alumnas'!$P$2:$P$1000,TRIM($C278))&gt;0,INDEX('🎓 Alumnas'!$A$2:$A$1000,MATCH(TRIM($C278),'🎓 Alumnas'!$P$2:$P$1000,0)),IF(COUNTIF('🎓 Alumnas'!$O$2:$O$1000,TRIM($C278)&amp;"|*")=1,INDEX('🎓 Alumnas'!$A$2:$A$1000,MATCH(TRIM($C278)&amp;"|*",'🎓 Alumnas'!$O$2:$O$1000,0)),IF(COUNTIF('🎓 Alumnas'!$O$2:$O$1000,"*|"&amp;TRIM($C278))=1,INDEX('🎓 Alumnas'!$A$2:$A$1000,MATCH("*|"&amp;TRIM($C278),'🎓 Alumnas'!$O$2:$O$1000,0)),IF(COUNTIF('🎓 Alumnas'!$Q$2:$Q$1000,TRIM($C278))=1,INDEX('🎓 Alumnas'!$A$2:$A$1000,MATCH(TRIM($C278),'🎓 Alumnas'!$Q$2:$Q$1000,0)),IF(COUNTIF('🎓 Alumnas'!$P$2:$P$1000,"*"&amp;TRIM($C278)&amp;"*")=1,INDEX('🎓 Alumnas'!$A$2:$A$1000,MATCH("*"&amp;TRIM($C278)&amp;"*",'🎓 Alumnas'!$P$2:$P$1000,0)),IF(COUNTIF('🎓 Alumnas'!$Q$2:$Q$1000,"*"&amp;TRIM($C278)&amp;"*")=1,INDEX('🎓 Alumnas'!$A$2:$A$1000,MATCH("*"&amp;TRIM($C278)&amp;"*",'🎓 Alumnas'!$Q$2:$Q$1000,0)),IF(COUNTIF('🎓 Alumnas'!$P$2:$P$1000,"*"&amp;TRIM($C278)&amp;"*")+COUNTIF('🎓 Alumnas'!$Q$2:$Q$1000,"*"&amp;TRIM($C278)&amp;"*")&gt;1,"Varias: elige de la lista","No encontrada"))))))))</f>
        <v/>
      </c>
    </row>
    <row r="279" customFormat="false" ht="14.25" hidden="false" customHeight="true" outlineLevel="0" collapsed="false">
      <c r="A279" s="25" t="s">
        <v>823</v>
      </c>
      <c r="B279" s="27"/>
      <c r="C279" s="25"/>
      <c r="D279" s="34" t="str">
        <f aca="false">IF($W279="","",IFERROR(TRIM(INDEX('🎓 Alumnas'!$B$2:$B$1000,MATCH($W279,'🎓 Alumnas'!$A$2:$A$1000,0))),""))</f>
        <v/>
      </c>
      <c r="E279" s="34" t="str">
        <f aca="false">IF($W279="","",IFERROR(TRIM(INDEX('🎓 Alumnas'!$C$2:$C$1000,MATCH($W279,'🎓 Alumnas'!$A$2:$A$1000,0))),""))</f>
        <v/>
      </c>
      <c r="F279" s="34" t="str">
        <f aca="false">IF($W279="","",IFERROR(IF(INDEX('🎓 Alumnas'!$D$2:$D$1000,MATCH($W279,'🎓 Alumnas'!$A$2:$A$1000,0))="","",INDEX('🎓 Alumnas'!$D$2:$D$1000,MATCH($W279,'🎓 Alumnas'!$A$2:$A$1000,0))),""))</f>
        <v/>
      </c>
      <c r="G279" s="28" t="str">
        <f aca="false">IF($W279="","",IFERROR(IF(INDEX('🎓 Alumnas'!$E$2:$E$1000,MATCH($W279,'🎓 Alumnas'!$A$2:$A$1000,0))="","",INDEX('🎓 Alumnas'!$E$2:$E$1000,MATCH($W279,'🎓 Alumnas'!$A$2:$A$1000,0))),""))</f>
        <v/>
      </c>
      <c r="H279" s="28" t="str">
        <f aca="false">IF($W279="","",IFERROR(IF(INDEX('🎓 Alumnas'!$F$2:$F$1000,MATCH($W279,'🎓 Alumnas'!$A$2:$A$1000,0))="","",INDEX('🎓 Alumnas'!$F$2:$F$1000,MATCH($W279,'🎓 Alumnas'!$A$2:$A$1000,0))),""))</f>
        <v/>
      </c>
      <c r="I279" s="30" t="str">
        <f aca="false">IF($W279="","",IFERROR(IF(INDEX('🎓 Alumnas'!$G$2:$G$1000,MATCH($W279,'🎓 Alumnas'!$A$2:$A$1000,0))="","",INDEX('🎓 Alumnas'!$G$2:$G$1000,MATCH($W279,'🎓 Alumnas'!$A$2:$A$1000,0))),""))</f>
        <v/>
      </c>
      <c r="J279" s="28" t="str">
        <f aca="true">IF(I279="","",DATEDIF(I279,TODAY(),"Y"))</f>
        <v/>
      </c>
      <c r="K279" s="25"/>
      <c r="L279" s="28" t="str">
        <f aca="false">IF(K279="","",IF(LEFT(K279,6)="1 Pole","Alquiler",IF(LEFT(K279,7)="1 Clase","Clase suelta","Paquete")))</f>
        <v/>
      </c>
      <c r="M279" s="25"/>
      <c r="N279" s="25"/>
      <c r="O279" s="35"/>
      <c r="P279" s="29" t="str">
        <f aca="false">IF(O279="","",N279*O279)</f>
        <v/>
      </c>
      <c r="Q279" s="36"/>
      <c r="R279" s="25"/>
      <c r="S279" s="25"/>
      <c r="T279" s="28" t="str">
        <f aca="false">IF(OR(LEFT(W279,2)&lt;&gt;"A-",ISERROR(MATCH(W279,'🎓 Alumnas'!$A$2:$A$1000,0))),"",IF(COUNTIF($W$2:W279,W279)=1,"Nueva","Recurrente"))</f>
        <v/>
      </c>
      <c r="U279" s="28" t="str">
        <f aca="false">IF(OR(T279="",L279&lt;&gt;"Paquete"),"",COUNTIFS($W$2:W279,W279,$L$2:L279,"Paquete"))</f>
        <v/>
      </c>
      <c r="V279" s="25"/>
      <c r="W279" s="34" t="str">
        <f aca="false">IF(TRIM($C279)="","",IF(COUNTIF('🎓 Alumnas'!$P$2:$P$1000,TRIM($C279))&gt;0,INDEX('🎓 Alumnas'!$A$2:$A$1000,MATCH(TRIM($C279),'🎓 Alumnas'!$P$2:$P$1000,0)),IF(COUNTIF('🎓 Alumnas'!$O$2:$O$1000,TRIM($C279)&amp;"|*")=1,INDEX('🎓 Alumnas'!$A$2:$A$1000,MATCH(TRIM($C279)&amp;"|*",'🎓 Alumnas'!$O$2:$O$1000,0)),IF(COUNTIF('🎓 Alumnas'!$O$2:$O$1000,"*|"&amp;TRIM($C279))=1,INDEX('🎓 Alumnas'!$A$2:$A$1000,MATCH("*|"&amp;TRIM($C279),'🎓 Alumnas'!$O$2:$O$1000,0)),IF(COUNTIF('🎓 Alumnas'!$Q$2:$Q$1000,TRIM($C279))=1,INDEX('🎓 Alumnas'!$A$2:$A$1000,MATCH(TRIM($C279),'🎓 Alumnas'!$Q$2:$Q$1000,0)),IF(COUNTIF('🎓 Alumnas'!$P$2:$P$1000,"*"&amp;TRIM($C279)&amp;"*")=1,INDEX('🎓 Alumnas'!$A$2:$A$1000,MATCH("*"&amp;TRIM($C279)&amp;"*",'🎓 Alumnas'!$P$2:$P$1000,0)),IF(COUNTIF('🎓 Alumnas'!$Q$2:$Q$1000,"*"&amp;TRIM($C279)&amp;"*")=1,INDEX('🎓 Alumnas'!$A$2:$A$1000,MATCH("*"&amp;TRIM($C279)&amp;"*",'🎓 Alumnas'!$Q$2:$Q$1000,0)),IF(COUNTIF('🎓 Alumnas'!$P$2:$P$1000,"*"&amp;TRIM($C279)&amp;"*")+COUNTIF('🎓 Alumnas'!$Q$2:$Q$1000,"*"&amp;TRIM($C279)&amp;"*")&gt;1,"Varias: elige de la lista","No encontrada"))))))))</f>
        <v/>
      </c>
    </row>
    <row r="280" customFormat="false" ht="14.25" hidden="false" customHeight="true" outlineLevel="0" collapsed="false">
      <c r="A280" s="25" t="s">
        <v>824</v>
      </c>
      <c r="B280" s="27"/>
      <c r="C280" s="25"/>
      <c r="D280" s="34" t="str">
        <f aca="false">IF($W280="","",IFERROR(TRIM(INDEX('🎓 Alumnas'!$B$2:$B$1000,MATCH($W280,'🎓 Alumnas'!$A$2:$A$1000,0))),""))</f>
        <v/>
      </c>
      <c r="E280" s="34" t="str">
        <f aca="false">IF($W280="","",IFERROR(TRIM(INDEX('🎓 Alumnas'!$C$2:$C$1000,MATCH($W280,'🎓 Alumnas'!$A$2:$A$1000,0))),""))</f>
        <v/>
      </c>
      <c r="F280" s="34" t="str">
        <f aca="false">IF($W280="","",IFERROR(IF(INDEX('🎓 Alumnas'!$D$2:$D$1000,MATCH($W280,'🎓 Alumnas'!$A$2:$A$1000,0))="","",INDEX('🎓 Alumnas'!$D$2:$D$1000,MATCH($W280,'🎓 Alumnas'!$A$2:$A$1000,0))),""))</f>
        <v/>
      </c>
      <c r="G280" s="28" t="str">
        <f aca="false">IF($W280="","",IFERROR(IF(INDEX('🎓 Alumnas'!$E$2:$E$1000,MATCH($W280,'🎓 Alumnas'!$A$2:$A$1000,0))="","",INDEX('🎓 Alumnas'!$E$2:$E$1000,MATCH($W280,'🎓 Alumnas'!$A$2:$A$1000,0))),""))</f>
        <v/>
      </c>
      <c r="H280" s="28" t="str">
        <f aca="false">IF($W280="","",IFERROR(IF(INDEX('🎓 Alumnas'!$F$2:$F$1000,MATCH($W280,'🎓 Alumnas'!$A$2:$A$1000,0))="","",INDEX('🎓 Alumnas'!$F$2:$F$1000,MATCH($W280,'🎓 Alumnas'!$A$2:$A$1000,0))),""))</f>
        <v/>
      </c>
      <c r="I280" s="30" t="str">
        <f aca="false">IF($W280="","",IFERROR(IF(INDEX('🎓 Alumnas'!$G$2:$G$1000,MATCH($W280,'🎓 Alumnas'!$A$2:$A$1000,0))="","",INDEX('🎓 Alumnas'!$G$2:$G$1000,MATCH($W280,'🎓 Alumnas'!$A$2:$A$1000,0))),""))</f>
        <v/>
      </c>
      <c r="J280" s="28" t="str">
        <f aca="true">IF(I280="","",DATEDIF(I280,TODAY(),"Y"))</f>
        <v/>
      </c>
      <c r="K280" s="25"/>
      <c r="L280" s="28" t="str">
        <f aca="false">IF(K280="","",IF(LEFT(K280,6)="1 Pole","Alquiler",IF(LEFT(K280,7)="1 Clase","Clase suelta","Paquete")))</f>
        <v/>
      </c>
      <c r="M280" s="25"/>
      <c r="N280" s="25"/>
      <c r="O280" s="35"/>
      <c r="P280" s="29" t="str">
        <f aca="false">IF(O280="","",N280*O280)</f>
        <v/>
      </c>
      <c r="Q280" s="36"/>
      <c r="R280" s="25"/>
      <c r="S280" s="25"/>
      <c r="T280" s="28" t="str">
        <f aca="false">IF(OR(LEFT(W280,2)&lt;&gt;"A-",ISERROR(MATCH(W280,'🎓 Alumnas'!$A$2:$A$1000,0))),"",IF(COUNTIF($W$2:W280,W280)=1,"Nueva","Recurrente"))</f>
        <v/>
      </c>
      <c r="U280" s="28" t="str">
        <f aca="false">IF(OR(T280="",L280&lt;&gt;"Paquete"),"",COUNTIFS($W$2:W280,W280,$L$2:L280,"Paquete"))</f>
        <v/>
      </c>
      <c r="V280" s="25"/>
      <c r="W280" s="34" t="str">
        <f aca="false">IF(TRIM($C280)="","",IF(COUNTIF('🎓 Alumnas'!$P$2:$P$1000,TRIM($C280))&gt;0,INDEX('🎓 Alumnas'!$A$2:$A$1000,MATCH(TRIM($C280),'🎓 Alumnas'!$P$2:$P$1000,0)),IF(COUNTIF('🎓 Alumnas'!$O$2:$O$1000,TRIM($C280)&amp;"|*")=1,INDEX('🎓 Alumnas'!$A$2:$A$1000,MATCH(TRIM($C280)&amp;"|*",'🎓 Alumnas'!$O$2:$O$1000,0)),IF(COUNTIF('🎓 Alumnas'!$O$2:$O$1000,"*|"&amp;TRIM($C280))=1,INDEX('🎓 Alumnas'!$A$2:$A$1000,MATCH("*|"&amp;TRIM($C280),'🎓 Alumnas'!$O$2:$O$1000,0)),IF(COUNTIF('🎓 Alumnas'!$Q$2:$Q$1000,TRIM($C280))=1,INDEX('🎓 Alumnas'!$A$2:$A$1000,MATCH(TRIM($C280),'🎓 Alumnas'!$Q$2:$Q$1000,0)),IF(COUNTIF('🎓 Alumnas'!$P$2:$P$1000,"*"&amp;TRIM($C280)&amp;"*")=1,INDEX('🎓 Alumnas'!$A$2:$A$1000,MATCH("*"&amp;TRIM($C280)&amp;"*",'🎓 Alumnas'!$P$2:$P$1000,0)),IF(COUNTIF('🎓 Alumnas'!$Q$2:$Q$1000,"*"&amp;TRIM($C280)&amp;"*")=1,INDEX('🎓 Alumnas'!$A$2:$A$1000,MATCH("*"&amp;TRIM($C280)&amp;"*",'🎓 Alumnas'!$Q$2:$Q$1000,0)),IF(COUNTIF('🎓 Alumnas'!$P$2:$P$1000,"*"&amp;TRIM($C280)&amp;"*")+COUNTIF('🎓 Alumnas'!$Q$2:$Q$1000,"*"&amp;TRIM($C280)&amp;"*")&gt;1,"Varias: elige de la lista","No encontrada"))))))))</f>
        <v/>
      </c>
    </row>
    <row r="281" customFormat="false" ht="14.25" hidden="false" customHeight="true" outlineLevel="0" collapsed="false">
      <c r="A281" s="25" t="s">
        <v>825</v>
      </c>
      <c r="B281" s="27"/>
      <c r="C281" s="25"/>
      <c r="D281" s="34" t="str">
        <f aca="false">IF($W281="","",IFERROR(TRIM(INDEX('🎓 Alumnas'!$B$2:$B$1000,MATCH($W281,'🎓 Alumnas'!$A$2:$A$1000,0))),""))</f>
        <v/>
      </c>
      <c r="E281" s="34" t="str">
        <f aca="false">IF($W281="","",IFERROR(TRIM(INDEX('🎓 Alumnas'!$C$2:$C$1000,MATCH($W281,'🎓 Alumnas'!$A$2:$A$1000,0))),""))</f>
        <v/>
      </c>
      <c r="F281" s="34" t="str">
        <f aca="false">IF($W281="","",IFERROR(IF(INDEX('🎓 Alumnas'!$D$2:$D$1000,MATCH($W281,'🎓 Alumnas'!$A$2:$A$1000,0))="","",INDEX('🎓 Alumnas'!$D$2:$D$1000,MATCH($W281,'🎓 Alumnas'!$A$2:$A$1000,0))),""))</f>
        <v/>
      </c>
      <c r="G281" s="28" t="str">
        <f aca="false">IF($W281="","",IFERROR(IF(INDEX('🎓 Alumnas'!$E$2:$E$1000,MATCH($W281,'🎓 Alumnas'!$A$2:$A$1000,0))="","",INDEX('🎓 Alumnas'!$E$2:$E$1000,MATCH($W281,'🎓 Alumnas'!$A$2:$A$1000,0))),""))</f>
        <v/>
      </c>
      <c r="H281" s="28" t="str">
        <f aca="false">IF($W281="","",IFERROR(IF(INDEX('🎓 Alumnas'!$F$2:$F$1000,MATCH($W281,'🎓 Alumnas'!$A$2:$A$1000,0))="","",INDEX('🎓 Alumnas'!$F$2:$F$1000,MATCH($W281,'🎓 Alumnas'!$A$2:$A$1000,0))),""))</f>
        <v/>
      </c>
      <c r="I281" s="30" t="str">
        <f aca="false">IF($W281="","",IFERROR(IF(INDEX('🎓 Alumnas'!$G$2:$G$1000,MATCH($W281,'🎓 Alumnas'!$A$2:$A$1000,0))="","",INDEX('🎓 Alumnas'!$G$2:$G$1000,MATCH($W281,'🎓 Alumnas'!$A$2:$A$1000,0))),""))</f>
        <v/>
      </c>
      <c r="J281" s="28" t="str">
        <f aca="true">IF(I281="","",DATEDIF(I281,TODAY(),"Y"))</f>
        <v/>
      </c>
      <c r="K281" s="25"/>
      <c r="L281" s="28" t="str">
        <f aca="false">IF(K281="","",IF(LEFT(K281,6)="1 Pole","Alquiler",IF(LEFT(K281,7)="1 Clase","Clase suelta","Paquete")))</f>
        <v/>
      </c>
      <c r="M281" s="25"/>
      <c r="N281" s="25"/>
      <c r="O281" s="35"/>
      <c r="P281" s="29" t="str">
        <f aca="false">IF(O281="","",N281*O281)</f>
        <v/>
      </c>
      <c r="Q281" s="36"/>
      <c r="R281" s="25"/>
      <c r="S281" s="25"/>
      <c r="T281" s="28" t="str">
        <f aca="false">IF(OR(LEFT(W281,2)&lt;&gt;"A-",ISERROR(MATCH(W281,'🎓 Alumnas'!$A$2:$A$1000,0))),"",IF(COUNTIF($W$2:W281,W281)=1,"Nueva","Recurrente"))</f>
        <v/>
      </c>
      <c r="U281" s="28" t="str">
        <f aca="false">IF(OR(T281="",L281&lt;&gt;"Paquete"),"",COUNTIFS($W$2:W281,W281,$L$2:L281,"Paquete"))</f>
        <v/>
      </c>
      <c r="V281" s="25"/>
      <c r="W281" s="34" t="str">
        <f aca="false">IF(TRIM($C281)="","",IF(COUNTIF('🎓 Alumnas'!$P$2:$P$1000,TRIM($C281))&gt;0,INDEX('🎓 Alumnas'!$A$2:$A$1000,MATCH(TRIM($C281),'🎓 Alumnas'!$P$2:$P$1000,0)),IF(COUNTIF('🎓 Alumnas'!$O$2:$O$1000,TRIM($C281)&amp;"|*")=1,INDEX('🎓 Alumnas'!$A$2:$A$1000,MATCH(TRIM($C281)&amp;"|*",'🎓 Alumnas'!$O$2:$O$1000,0)),IF(COUNTIF('🎓 Alumnas'!$O$2:$O$1000,"*|"&amp;TRIM($C281))=1,INDEX('🎓 Alumnas'!$A$2:$A$1000,MATCH("*|"&amp;TRIM($C281),'🎓 Alumnas'!$O$2:$O$1000,0)),IF(COUNTIF('🎓 Alumnas'!$Q$2:$Q$1000,TRIM($C281))=1,INDEX('🎓 Alumnas'!$A$2:$A$1000,MATCH(TRIM($C281),'🎓 Alumnas'!$Q$2:$Q$1000,0)),IF(COUNTIF('🎓 Alumnas'!$P$2:$P$1000,"*"&amp;TRIM($C281)&amp;"*")=1,INDEX('🎓 Alumnas'!$A$2:$A$1000,MATCH("*"&amp;TRIM($C281)&amp;"*",'🎓 Alumnas'!$P$2:$P$1000,0)),IF(COUNTIF('🎓 Alumnas'!$Q$2:$Q$1000,"*"&amp;TRIM($C281)&amp;"*")=1,INDEX('🎓 Alumnas'!$A$2:$A$1000,MATCH("*"&amp;TRIM($C281)&amp;"*",'🎓 Alumnas'!$Q$2:$Q$1000,0)),IF(COUNTIF('🎓 Alumnas'!$P$2:$P$1000,"*"&amp;TRIM($C281)&amp;"*")+COUNTIF('🎓 Alumnas'!$Q$2:$Q$1000,"*"&amp;TRIM($C281)&amp;"*")&gt;1,"Varias: elige de la lista","No encontrada"))))))))</f>
        <v/>
      </c>
    </row>
    <row r="282" customFormat="false" ht="14.25" hidden="false" customHeight="true" outlineLevel="0" collapsed="false">
      <c r="A282" s="25" t="s">
        <v>826</v>
      </c>
      <c r="B282" s="27"/>
      <c r="C282" s="25"/>
      <c r="D282" s="34" t="str">
        <f aca="false">IF($W282="","",IFERROR(TRIM(INDEX('🎓 Alumnas'!$B$2:$B$1000,MATCH($W282,'🎓 Alumnas'!$A$2:$A$1000,0))),""))</f>
        <v/>
      </c>
      <c r="E282" s="34" t="str">
        <f aca="false">IF($W282="","",IFERROR(TRIM(INDEX('🎓 Alumnas'!$C$2:$C$1000,MATCH($W282,'🎓 Alumnas'!$A$2:$A$1000,0))),""))</f>
        <v/>
      </c>
      <c r="F282" s="34" t="str">
        <f aca="false">IF($W282="","",IFERROR(IF(INDEX('🎓 Alumnas'!$D$2:$D$1000,MATCH($W282,'🎓 Alumnas'!$A$2:$A$1000,0))="","",INDEX('🎓 Alumnas'!$D$2:$D$1000,MATCH($W282,'🎓 Alumnas'!$A$2:$A$1000,0))),""))</f>
        <v/>
      </c>
      <c r="G282" s="28" t="str">
        <f aca="false">IF($W282="","",IFERROR(IF(INDEX('🎓 Alumnas'!$E$2:$E$1000,MATCH($W282,'🎓 Alumnas'!$A$2:$A$1000,0))="","",INDEX('🎓 Alumnas'!$E$2:$E$1000,MATCH($W282,'🎓 Alumnas'!$A$2:$A$1000,0))),""))</f>
        <v/>
      </c>
      <c r="H282" s="28" t="str">
        <f aca="false">IF($W282="","",IFERROR(IF(INDEX('🎓 Alumnas'!$F$2:$F$1000,MATCH($W282,'🎓 Alumnas'!$A$2:$A$1000,0))="","",INDEX('🎓 Alumnas'!$F$2:$F$1000,MATCH($W282,'🎓 Alumnas'!$A$2:$A$1000,0))),""))</f>
        <v/>
      </c>
      <c r="I282" s="30" t="str">
        <f aca="false">IF($W282="","",IFERROR(IF(INDEX('🎓 Alumnas'!$G$2:$G$1000,MATCH($W282,'🎓 Alumnas'!$A$2:$A$1000,0))="","",INDEX('🎓 Alumnas'!$G$2:$G$1000,MATCH($W282,'🎓 Alumnas'!$A$2:$A$1000,0))),""))</f>
        <v/>
      </c>
      <c r="J282" s="28" t="str">
        <f aca="true">IF(I282="","",DATEDIF(I282,TODAY(),"Y"))</f>
        <v/>
      </c>
      <c r="K282" s="25"/>
      <c r="L282" s="28" t="str">
        <f aca="false">IF(K282="","",IF(LEFT(K282,6)="1 Pole","Alquiler",IF(LEFT(K282,7)="1 Clase","Clase suelta","Paquete")))</f>
        <v/>
      </c>
      <c r="M282" s="25"/>
      <c r="N282" s="25"/>
      <c r="O282" s="35"/>
      <c r="P282" s="29" t="str">
        <f aca="false">IF(O282="","",N282*O282)</f>
        <v/>
      </c>
      <c r="Q282" s="36"/>
      <c r="R282" s="25"/>
      <c r="S282" s="25"/>
      <c r="T282" s="28" t="str">
        <f aca="false">IF(OR(LEFT(W282,2)&lt;&gt;"A-",ISERROR(MATCH(W282,'🎓 Alumnas'!$A$2:$A$1000,0))),"",IF(COUNTIF($W$2:W282,W282)=1,"Nueva","Recurrente"))</f>
        <v/>
      </c>
      <c r="U282" s="28" t="str">
        <f aca="false">IF(OR(T282="",L282&lt;&gt;"Paquete"),"",COUNTIFS($W$2:W282,W282,$L$2:L282,"Paquete"))</f>
        <v/>
      </c>
      <c r="V282" s="25"/>
      <c r="W282" s="34" t="str">
        <f aca="false">IF(TRIM($C282)="","",IF(COUNTIF('🎓 Alumnas'!$P$2:$P$1000,TRIM($C282))&gt;0,INDEX('🎓 Alumnas'!$A$2:$A$1000,MATCH(TRIM($C282),'🎓 Alumnas'!$P$2:$P$1000,0)),IF(COUNTIF('🎓 Alumnas'!$O$2:$O$1000,TRIM($C282)&amp;"|*")=1,INDEX('🎓 Alumnas'!$A$2:$A$1000,MATCH(TRIM($C282)&amp;"|*",'🎓 Alumnas'!$O$2:$O$1000,0)),IF(COUNTIF('🎓 Alumnas'!$O$2:$O$1000,"*|"&amp;TRIM($C282))=1,INDEX('🎓 Alumnas'!$A$2:$A$1000,MATCH("*|"&amp;TRIM($C282),'🎓 Alumnas'!$O$2:$O$1000,0)),IF(COUNTIF('🎓 Alumnas'!$Q$2:$Q$1000,TRIM($C282))=1,INDEX('🎓 Alumnas'!$A$2:$A$1000,MATCH(TRIM($C282),'🎓 Alumnas'!$Q$2:$Q$1000,0)),IF(COUNTIF('🎓 Alumnas'!$P$2:$P$1000,"*"&amp;TRIM($C282)&amp;"*")=1,INDEX('🎓 Alumnas'!$A$2:$A$1000,MATCH("*"&amp;TRIM($C282)&amp;"*",'🎓 Alumnas'!$P$2:$P$1000,0)),IF(COUNTIF('🎓 Alumnas'!$Q$2:$Q$1000,"*"&amp;TRIM($C282)&amp;"*")=1,INDEX('🎓 Alumnas'!$A$2:$A$1000,MATCH("*"&amp;TRIM($C282)&amp;"*",'🎓 Alumnas'!$Q$2:$Q$1000,0)),IF(COUNTIF('🎓 Alumnas'!$P$2:$P$1000,"*"&amp;TRIM($C282)&amp;"*")+COUNTIF('🎓 Alumnas'!$Q$2:$Q$1000,"*"&amp;TRIM($C282)&amp;"*")&gt;1,"Varias: elige de la lista","No encontrada"))))))))</f>
        <v/>
      </c>
    </row>
    <row r="283" customFormat="false" ht="14.25" hidden="false" customHeight="true" outlineLevel="0" collapsed="false">
      <c r="A283" s="25" t="s">
        <v>827</v>
      </c>
      <c r="B283" s="27"/>
      <c r="C283" s="25"/>
      <c r="D283" s="34" t="str">
        <f aca="false">IF($W283="","",IFERROR(TRIM(INDEX('🎓 Alumnas'!$B$2:$B$1000,MATCH($W283,'🎓 Alumnas'!$A$2:$A$1000,0))),""))</f>
        <v/>
      </c>
      <c r="E283" s="34" t="str">
        <f aca="false">IF($W283="","",IFERROR(TRIM(INDEX('🎓 Alumnas'!$C$2:$C$1000,MATCH($W283,'🎓 Alumnas'!$A$2:$A$1000,0))),""))</f>
        <v/>
      </c>
      <c r="F283" s="34" t="str">
        <f aca="false">IF($W283="","",IFERROR(IF(INDEX('🎓 Alumnas'!$D$2:$D$1000,MATCH($W283,'🎓 Alumnas'!$A$2:$A$1000,0))="","",INDEX('🎓 Alumnas'!$D$2:$D$1000,MATCH($W283,'🎓 Alumnas'!$A$2:$A$1000,0))),""))</f>
        <v/>
      </c>
      <c r="G283" s="28" t="str">
        <f aca="false">IF($W283="","",IFERROR(IF(INDEX('🎓 Alumnas'!$E$2:$E$1000,MATCH($W283,'🎓 Alumnas'!$A$2:$A$1000,0))="","",INDEX('🎓 Alumnas'!$E$2:$E$1000,MATCH($W283,'🎓 Alumnas'!$A$2:$A$1000,0))),""))</f>
        <v/>
      </c>
      <c r="H283" s="28" t="str">
        <f aca="false">IF($W283="","",IFERROR(IF(INDEX('🎓 Alumnas'!$F$2:$F$1000,MATCH($W283,'🎓 Alumnas'!$A$2:$A$1000,0))="","",INDEX('🎓 Alumnas'!$F$2:$F$1000,MATCH($W283,'🎓 Alumnas'!$A$2:$A$1000,0))),""))</f>
        <v/>
      </c>
      <c r="I283" s="30" t="str">
        <f aca="false">IF($W283="","",IFERROR(IF(INDEX('🎓 Alumnas'!$G$2:$G$1000,MATCH($W283,'🎓 Alumnas'!$A$2:$A$1000,0))="","",INDEX('🎓 Alumnas'!$G$2:$G$1000,MATCH($W283,'🎓 Alumnas'!$A$2:$A$1000,0))),""))</f>
        <v/>
      </c>
      <c r="J283" s="28" t="str">
        <f aca="true">IF(I283="","",DATEDIF(I283,TODAY(),"Y"))</f>
        <v/>
      </c>
      <c r="K283" s="25"/>
      <c r="L283" s="28" t="str">
        <f aca="false">IF(K283="","",IF(LEFT(K283,6)="1 Pole","Alquiler",IF(LEFT(K283,7)="1 Clase","Clase suelta","Paquete")))</f>
        <v/>
      </c>
      <c r="M283" s="25"/>
      <c r="N283" s="25"/>
      <c r="O283" s="35"/>
      <c r="P283" s="29" t="str">
        <f aca="false">IF(O283="","",N283*O283)</f>
        <v/>
      </c>
      <c r="Q283" s="36"/>
      <c r="R283" s="25"/>
      <c r="S283" s="25"/>
      <c r="T283" s="28" t="str">
        <f aca="false">IF(OR(LEFT(W283,2)&lt;&gt;"A-",ISERROR(MATCH(W283,'🎓 Alumnas'!$A$2:$A$1000,0))),"",IF(COUNTIF($W$2:W283,W283)=1,"Nueva","Recurrente"))</f>
        <v/>
      </c>
      <c r="U283" s="28" t="str">
        <f aca="false">IF(OR(T283="",L283&lt;&gt;"Paquete"),"",COUNTIFS($W$2:W283,W283,$L$2:L283,"Paquete"))</f>
        <v/>
      </c>
      <c r="V283" s="25"/>
      <c r="W283" s="34" t="str">
        <f aca="false">IF(TRIM($C283)="","",IF(COUNTIF('🎓 Alumnas'!$P$2:$P$1000,TRIM($C283))&gt;0,INDEX('🎓 Alumnas'!$A$2:$A$1000,MATCH(TRIM($C283),'🎓 Alumnas'!$P$2:$P$1000,0)),IF(COUNTIF('🎓 Alumnas'!$O$2:$O$1000,TRIM($C283)&amp;"|*")=1,INDEX('🎓 Alumnas'!$A$2:$A$1000,MATCH(TRIM($C283)&amp;"|*",'🎓 Alumnas'!$O$2:$O$1000,0)),IF(COUNTIF('🎓 Alumnas'!$O$2:$O$1000,"*|"&amp;TRIM($C283))=1,INDEX('🎓 Alumnas'!$A$2:$A$1000,MATCH("*|"&amp;TRIM($C283),'🎓 Alumnas'!$O$2:$O$1000,0)),IF(COUNTIF('🎓 Alumnas'!$Q$2:$Q$1000,TRIM($C283))=1,INDEX('🎓 Alumnas'!$A$2:$A$1000,MATCH(TRIM($C283),'🎓 Alumnas'!$Q$2:$Q$1000,0)),IF(COUNTIF('🎓 Alumnas'!$P$2:$P$1000,"*"&amp;TRIM($C283)&amp;"*")=1,INDEX('🎓 Alumnas'!$A$2:$A$1000,MATCH("*"&amp;TRIM($C283)&amp;"*",'🎓 Alumnas'!$P$2:$P$1000,0)),IF(COUNTIF('🎓 Alumnas'!$Q$2:$Q$1000,"*"&amp;TRIM($C283)&amp;"*")=1,INDEX('🎓 Alumnas'!$A$2:$A$1000,MATCH("*"&amp;TRIM($C283)&amp;"*",'🎓 Alumnas'!$Q$2:$Q$1000,0)),IF(COUNTIF('🎓 Alumnas'!$P$2:$P$1000,"*"&amp;TRIM($C283)&amp;"*")+COUNTIF('🎓 Alumnas'!$Q$2:$Q$1000,"*"&amp;TRIM($C283)&amp;"*")&gt;1,"Varias: elige de la lista","No encontrada"))))))))</f>
        <v/>
      </c>
    </row>
    <row r="284" customFormat="false" ht="14.25" hidden="false" customHeight="true" outlineLevel="0" collapsed="false">
      <c r="A284" s="25" t="s">
        <v>828</v>
      </c>
      <c r="B284" s="27"/>
      <c r="C284" s="25"/>
      <c r="D284" s="34" t="str">
        <f aca="false">IF($W284="","",IFERROR(TRIM(INDEX('🎓 Alumnas'!$B$2:$B$1000,MATCH($W284,'🎓 Alumnas'!$A$2:$A$1000,0))),""))</f>
        <v/>
      </c>
      <c r="E284" s="34" t="str">
        <f aca="false">IF($W284="","",IFERROR(TRIM(INDEX('🎓 Alumnas'!$C$2:$C$1000,MATCH($W284,'🎓 Alumnas'!$A$2:$A$1000,0))),""))</f>
        <v/>
      </c>
      <c r="F284" s="34" t="str">
        <f aca="false">IF($W284="","",IFERROR(IF(INDEX('🎓 Alumnas'!$D$2:$D$1000,MATCH($W284,'🎓 Alumnas'!$A$2:$A$1000,0))="","",INDEX('🎓 Alumnas'!$D$2:$D$1000,MATCH($W284,'🎓 Alumnas'!$A$2:$A$1000,0))),""))</f>
        <v/>
      </c>
      <c r="G284" s="28" t="str">
        <f aca="false">IF($W284="","",IFERROR(IF(INDEX('🎓 Alumnas'!$E$2:$E$1000,MATCH($W284,'🎓 Alumnas'!$A$2:$A$1000,0))="","",INDEX('🎓 Alumnas'!$E$2:$E$1000,MATCH($W284,'🎓 Alumnas'!$A$2:$A$1000,0))),""))</f>
        <v/>
      </c>
      <c r="H284" s="28" t="str">
        <f aca="false">IF($W284="","",IFERROR(IF(INDEX('🎓 Alumnas'!$F$2:$F$1000,MATCH($W284,'🎓 Alumnas'!$A$2:$A$1000,0))="","",INDEX('🎓 Alumnas'!$F$2:$F$1000,MATCH($W284,'🎓 Alumnas'!$A$2:$A$1000,0))),""))</f>
        <v/>
      </c>
      <c r="I284" s="30" t="str">
        <f aca="false">IF($W284="","",IFERROR(IF(INDEX('🎓 Alumnas'!$G$2:$G$1000,MATCH($W284,'🎓 Alumnas'!$A$2:$A$1000,0))="","",INDEX('🎓 Alumnas'!$G$2:$G$1000,MATCH($W284,'🎓 Alumnas'!$A$2:$A$1000,0))),""))</f>
        <v/>
      </c>
      <c r="J284" s="28" t="str">
        <f aca="true">IF(I284="","",DATEDIF(I284,TODAY(),"Y"))</f>
        <v/>
      </c>
      <c r="K284" s="25"/>
      <c r="L284" s="28" t="str">
        <f aca="false">IF(K284="","",IF(LEFT(K284,6)="1 Pole","Alquiler",IF(LEFT(K284,7)="1 Clase","Clase suelta","Paquete")))</f>
        <v/>
      </c>
      <c r="M284" s="25"/>
      <c r="N284" s="25"/>
      <c r="O284" s="35"/>
      <c r="P284" s="29" t="str">
        <f aca="false">IF(O284="","",N284*O284)</f>
        <v/>
      </c>
      <c r="Q284" s="36"/>
      <c r="R284" s="25"/>
      <c r="S284" s="25"/>
      <c r="T284" s="28" t="str">
        <f aca="false">IF(OR(LEFT(W284,2)&lt;&gt;"A-",ISERROR(MATCH(W284,'🎓 Alumnas'!$A$2:$A$1000,0))),"",IF(COUNTIF($W$2:W284,W284)=1,"Nueva","Recurrente"))</f>
        <v/>
      </c>
      <c r="U284" s="28" t="str">
        <f aca="false">IF(OR(T284="",L284&lt;&gt;"Paquete"),"",COUNTIFS($W$2:W284,W284,$L$2:L284,"Paquete"))</f>
        <v/>
      </c>
      <c r="V284" s="25"/>
      <c r="W284" s="34" t="str">
        <f aca="false">IF(TRIM($C284)="","",IF(COUNTIF('🎓 Alumnas'!$P$2:$P$1000,TRIM($C284))&gt;0,INDEX('🎓 Alumnas'!$A$2:$A$1000,MATCH(TRIM($C284),'🎓 Alumnas'!$P$2:$P$1000,0)),IF(COUNTIF('🎓 Alumnas'!$O$2:$O$1000,TRIM($C284)&amp;"|*")=1,INDEX('🎓 Alumnas'!$A$2:$A$1000,MATCH(TRIM($C284)&amp;"|*",'🎓 Alumnas'!$O$2:$O$1000,0)),IF(COUNTIF('🎓 Alumnas'!$O$2:$O$1000,"*|"&amp;TRIM($C284))=1,INDEX('🎓 Alumnas'!$A$2:$A$1000,MATCH("*|"&amp;TRIM($C284),'🎓 Alumnas'!$O$2:$O$1000,0)),IF(COUNTIF('🎓 Alumnas'!$Q$2:$Q$1000,TRIM($C284))=1,INDEX('🎓 Alumnas'!$A$2:$A$1000,MATCH(TRIM($C284),'🎓 Alumnas'!$Q$2:$Q$1000,0)),IF(COUNTIF('🎓 Alumnas'!$P$2:$P$1000,"*"&amp;TRIM($C284)&amp;"*")=1,INDEX('🎓 Alumnas'!$A$2:$A$1000,MATCH("*"&amp;TRIM($C284)&amp;"*",'🎓 Alumnas'!$P$2:$P$1000,0)),IF(COUNTIF('🎓 Alumnas'!$Q$2:$Q$1000,"*"&amp;TRIM($C284)&amp;"*")=1,INDEX('🎓 Alumnas'!$A$2:$A$1000,MATCH("*"&amp;TRIM($C284)&amp;"*",'🎓 Alumnas'!$Q$2:$Q$1000,0)),IF(COUNTIF('🎓 Alumnas'!$P$2:$P$1000,"*"&amp;TRIM($C284)&amp;"*")+COUNTIF('🎓 Alumnas'!$Q$2:$Q$1000,"*"&amp;TRIM($C284)&amp;"*")&gt;1,"Varias: elige de la lista","No encontrada"))))))))</f>
        <v/>
      </c>
    </row>
    <row r="285" customFormat="false" ht="14.25" hidden="false" customHeight="true" outlineLevel="0" collapsed="false">
      <c r="A285" s="25" t="s">
        <v>829</v>
      </c>
      <c r="B285" s="27"/>
      <c r="C285" s="25"/>
      <c r="D285" s="34" t="str">
        <f aca="false">IF($W285="","",IFERROR(TRIM(INDEX('🎓 Alumnas'!$B$2:$B$1000,MATCH($W285,'🎓 Alumnas'!$A$2:$A$1000,0))),""))</f>
        <v/>
      </c>
      <c r="E285" s="34" t="str">
        <f aca="false">IF($W285="","",IFERROR(TRIM(INDEX('🎓 Alumnas'!$C$2:$C$1000,MATCH($W285,'🎓 Alumnas'!$A$2:$A$1000,0))),""))</f>
        <v/>
      </c>
      <c r="F285" s="34" t="str">
        <f aca="false">IF($W285="","",IFERROR(IF(INDEX('🎓 Alumnas'!$D$2:$D$1000,MATCH($W285,'🎓 Alumnas'!$A$2:$A$1000,0))="","",INDEX('🎓 Alumnas'!$D$2:$D$1000,MATCH($W285,'🎓 Alumnas'!$A$2:$A$1000,0))),""))</f>
        <v/>
      </c>
      <c r="G285" s="28" t="str">
        <f aca="false">IF($W285="","",IFERROR(IF(INDEX('🎓 Alumnas'!$E$2:$E$1000,MATCH($W285,'🎓 Alumnas'!$A$2:$A$1000,0))="","",INDEX('🎓 Alumnas'!$E$2:$E$1000,MATCH($W285,'🎓 Alumnas'!$A$2:$A$1000,0))),""))</f>
        <v/>
      </c>
      <c r="H285" s="28" t="str">
        <f aca="false">IF($W285="","",IFERROR(IF(INDEX('🎓 Alumnas'!$F$2:$F$1000,MATCH($W285,'🎓 Alumnas'!$A$2:$A$1000,0))="","",INDEX('🎓 Alumnas'!$F$2:$F$1000,MATCH($W285,'🎓 Alumnas'!$A$2:$A$1000,0))),""))</f>
        <v/>
      </c>
      <c r="I285" s="30" t="str">
        <f aca="false">IF($W285="","",IFERROR(IF(INDEX('🎓 Alumnas'!$G$2:$G$1000,MATCH($W285,'🎓 Alumnas'!$A$2:$A$1000,0))="","",INDEX('🎓 Alumnas'!$G$2:$G$1000,MATCH($W285,'🎓 Alumnas'!$A$2:$A$1000,0))),""))</f>
        <v/>
      </c>
      <c r="J285" s="28" t="str">
        <f aca="true">IF(I285="","",DATEDIF(I285,TODAY(),"Y"))</f>
        <v/>
      </c>
      <c r="K285" s="25"/>
      <c r="L285" s="28" t="str">
        <f aca="false">IF(K285="","",IF(LEFT(K285,6)="1 Pole","Alquiler",IF(LEFT(K285,7)="1 Clase","Clase suelta","Paquete")))</f>
        <v/>
      </c>
      <c r="M285" s="25"/>
      <c r="N285" s="25"/>
      <c r="O285" s="35"/>
      <c r="P285" s="29" t="str">
        <f aca="false">IF(O285="","",N285*O285)</f>
        <v/>
      </c>
      <c r="Q285" s="36"/>
      <c r="R285" s="25"/>
      <c r="S285" s="25"/>
      <c r="T285" s="28" t="str">
        <f aca="false">IF(OR(LEFT(W285,2)&lt;&gt;"A-",ISERROR(MATCH(W285,'🎓 Alumnas'!$A$2:$A$1000,0))),"",IF(COUNTIF($W$2:W285,W285)=1,"Nueva","Recurrente"))</f>
        <v/>
      </c>
      <c r="U285" s="28" t="str">
        <f aca="false">IF(OR(T285="",L285&lt;&gt;"Paquete"),"",COUNTIFS($W$2:W285,W285,$L$2:L285,"Paquete"))</f>
        <v/>
      </c>
      <c r="V285" s="25"/>
      <c r="W285" s="34" t="str">
        <f aca="false">IF(TRIM($C285)="","",IF(COUNTIF('🎓 Alumnas'!$P$2:$P$1000,TRIM($C285))&gt;0,INDEX('🎓 Alumnas'!$A$2:$A$1000,MATCH(TRIM($C285),'🎓 Alumnas'!$P$2:$P$1000,0)),IF(COUNTIF('🎓 Alumnas'!$O$2:$O$1000,TRIM($C285)&amp;"|*")=1,INDEX('🎓 Alumnas'!$A$2:$A$1000,MATCH(TRIM($C285)&amp;"|*",'🎓 Alumnas'!$O$2:$O$1000,0)),IF(COUNTIF('🎓 Alumnas'!$O$2:$O$1000,"*|"&amp;TRIM($C285))=1,INDEX('🎓 Alumnas'!$A$2:$A$1000,MATCH("*|"&amp;TRIM($C285),'🎓 Alumnas'!$O$2:$O$1000,0)),IF(COUNTIF('🎓 Alumnas'!$Q$2:$Q$1000,TRIM($C285))=1,INDEX('🎓 Alumnas'!$A$2:$A$1000,MATCH(TRIM($C285),'🎓 Alumnas'!$Q$2:$Q$1000,0)),IF(COUNTIF('🎓 Alumnas'!$P$2:$P$1000,"*"&amp;TRIM($C285)&amp;"*")=1,INDEX('🎓 Alumnas'!$A$2:$A$1000,MATCH("*"&amp;TRIM($C285)&amp;"*",'🎓 Alumnas'!$P$2:$P$1000,0)),IF(COUNTIF('🎓 Alumnas'!$Q$2:$Q$1000,"*"&amp;TRIM($C285)&amp;"*")=1,INDEX('🎓 Alumnas'!$A$2:$A$1000,MATCH("*"&amp;TRIM($C285)&amp;"*",'🎓 Alumnas'!$Q$2:$Q$1000,0)),IF(COUNTIF('🎓 Alumnas'!$P$2:$P$1000,"*"&amp;TRIM($C285)&amp;"*")+COUNTIF('🎓 Alumnas'!$Q$2:$Q$1000,"*"&amp;TRIM($C285)&amp;"*")&gt;1,"Varias: elige de la lista","No encontrada"))))))))</f>
        <v/>
      </c>
    </row>
    <row r="286" customFormat="false" ht="14.25" hidden="false" customHeight="true" outlineLevel="0" collapsed="false">
      <c r="A286" s="25" t="s">
        <v>830</v>
      </c>
      <c r="B286" s="27"/>
      <c r="C286" s="25"/>
      <c r="D286" s="34" t="str">
        <f aca="false">IF($W286="","",IFERROR(TRIM(INDEX('🎓 Alumnas'!$B$2:$B$1000,MATCH($W286,'🎓 Alumnas'!$A$2:$A$1000,0))),""))</f>
        <v/>
      </c>
      <c r="E286" s="34" t="str">
        <f aca="false">IF($W286="","",IFERROR(TRIM(INDEX('🎓 Alumnas'!$C$2:$C$1000,MATCH($W286,'🎓 Alumnas'!$A$2:$A$1000,0))),""))</f>
        <v/>
      </c>
      <c r="F286" s="34" t="str">
        <f aca="false">IF($W286="","",IFERROR(IF(INDEX('🎓 Alumnas'!$D$2:$D$1000,MATCH($W286,'🎓 Alumnas'!$A$2:$A$1000,0))="","",INDEX('🎓 Alumnas'!$D$2:$D$1000,MATCH($W286,'🎓 Alumnas'!$A$2:$A$1000,0))),""))</f>
        <v/>
      </c>
      <c r="G286" s="28" t="str">
        <f aca="false">IF($W286="","",IFERROR(IF(INDEX('🎓 Alumnas'!$E$2:$E$1000,MATCH($W286,'🎓 Alumnas'!$A$2:$A$1000,0))="","",INDEX('🎓 Alumnas'!$E$2:$E$1000,MATCH($W286,'🎓 Alumnas'!$A$2:$A$1000,0))),""))</f>
        <v/>
      </c>
      <c r="H286" s="28" t="str">
        <f aca="false">IF($W286="","",IFERROR(IF(INDEX('🎓 Alumnas'!$F$2:$F$1000,MATCH($W286,'🎓 Alumnas'!$A$2:$A$1000,0))="","",INDEX('🎓 Alumnas'!$F$2:$F$1000,MATCH($W286,'🎓 Alumnas'!$A$2:$A$1000,0))),""))</f>
        <v/>
      </c>
      <c r="I286" s="30" t="str">
        <f aca="false">IF($W286="","",IFERROR(IF(INDEX('🎓 Alumnas'!$G$2:$G$1000,MATCH($W286,'🎓 Alumnas'!$A$2:$A$1000,0))="","",INDEX('🎓 Alumnas'!$G$2:$G$1000,MATCH($W286,'🎓 Alumnas'!$A$2:$A$1000,0))),""))</f>
        <v/>
      </c>
      <c r="J286" s="28" t="str">
        <f aca="true">IF(I286="","",DATEDIF(I286,TODAY(),"Y"))</f>
        <v/>
      </c>
      <c r="K286" s="25"/>
      <c r="L286" s="28" t="str">
        <f aca="false">IF(K286="","",IF(LEFT(K286,6)="1 Pole","Alquiler",IF(LEFT(K286,7)="1 Clase","Clase suelta","Paquete")))</f>
        <v/>
      </c>
      <c r="M286" s="25"/>
      <c r="N286" s="25"/>
      <c r="O286" s="35"/>
      <c r="P286" s="29" t="str">
        <f aca="false">IF(O286="","",N286*O286)</f>
        <v/>
      </c>
      <c r="Q286" s="36"/>
      <c r="R286" s="25"/>
      <c r="S286" s="25"/>
      <c r="T286" s="28" t="str">
        <f aca="false">IF(OR(LEFT(W286,2)&lt;&gt;"A-",ISERROR(MATCH(W286,'🎓 Alumnas'!$A$2:$A$1000,0))),"",IF(COUNTIF($W$2:W286,W286)=1,"Nueva","Recurrente"))</f>
        <v/>
      </c>
      <c r="U286" s="28" t="str">
        <f aca="false">IF(OR(T286="",L286&lt;&gt;"Paquete"),"",COUNTIFS($W$2:W286,W286,$L$2:L286,"Paquete"))</f>
        <v/>
      </c>
      <c r="V286" s="25"/>
      <c r="W286" s="34" t="str">
        <f aca="false">IF(TRIM($C286)="","",IF(COUNTIF('🎓 Alumnas'!$P$2:$P$1000,TRIM($C286))&gt;0,INDEX('🎓 Alumnas'!$A$2:$A$1000,MATCH(TRIM($C286),'🎓 Alumnas'!$P$2:$P$1000,0)),IF(COUNTIF('🎓 Alumnas'!$O$2:$O$1000,TRIM($C286)&amp;"|*")=1,INDEX('🎓 Alumnas'!$A$2:$A$1000,MATCH(TRIM($C286)&amp;"|*",'🎓 Alumnas'!$O$2:$O$1000,0)),IF(COUNTIF('🎓 Alumnas'!$O$2:$O$1000,"*|"&amp;TRIM($C286))=1,INDEX('🎓 Alumnas'!$A$2:$A$1000,MATCH("*|"&amp;TRIM($C286),'🎓 Alumnas'!$O$2:$O$1000,0)),IF(COUNTIF('🎓 Alumnas'!$Q$2:$Q$1000,TRIM($C286))=1,INDEX('🎓 Alumnas'!$A$2:$A$1000,MATCH(TRIM($C286),'🎓 Alumnas'!$Q$2:$Q$1000,0)),IF(COUNTIF('🎓 Alumnas'!$P$2:$P$1000,"*"&amp;TRIM($C286)&amp;"*")=1,INDEX('🎓 Alumnas'!$A$2:$A$1000,MATCH("*"&amp;TRIM($C286)&amp;"*",'🎓 Alumnas'!$P$2:$P$1000,0)),IF(COUNTIF('🎓 Alumnas'!$Q$2:$Q$1000,"*"&amp;TRIM($C286)&amp;"*")=1,INDEX('🎓 Alumnas'!$A$2:$A$1000,MATCH("*"&amp;TRIM($C286)&amp;"*",'🎓 Alumnas'!$Q$2:$Q$1000,0)),IF(COUNTIF('🎓 Alumnas'!$P$2:$P$1000,"*"&amp;TRIM($C286)&amp;"*")+COUNTIF('🎓 Alumnas'!$Q$2:$Q$1000,"*"&amp;TRIM($C286)&amp;"*")&gt;1,"Varias: elige de la lista","No encontrada"))))))))</f>
        <v/>
      </c>
    </row>
    <row r="287" customFormat="false" ht="14.25" hidden="false" customHeight="true" outlineLevel="0" collapsed="false">
      <c r="A287" s="25" t="s">
        <v>831</v>
      </c>
      <c r="B287" s="27"/>
      <c r="C287" s="25"/>
      <c r="D287" s="34" t="str">
        <f aca="false">IF($W287="","",IFERROR(TRIM(INDEX('🎓 Alumnas'!$B$2:$B$1000,MATCH($W287,'🎓 Alumnas'!$A$2:$A$1000,0))),""))</f>
        <v/>
      </c>
      <c r="E287" s="34" t="str">
        <f aca="false">IF($W287="","",IFERROR(TRIM(INDEX('🎓 Alumnas'!$C$2:$C$1000,MATCH($W287,'🎓 Alumnas'!$A$2:$A$1000,0))),""))</f>
        <v/>
      </c>
      <c r="F287" s="34" t="str">
        <f aca="false">IF($W287="","",IFERROR(IF(INDEX('🎓 Alumnas'!$D$2:$D$1000,MATCH($W287,'🎓 Alumnas'!$A$2:$A$1000,0))="","",INDEX('🎓 Alumnas'!$D$2:$D$1000,MATCH($W287,'🎓 Alumnas'!$A$2:$A$1000,0))),""))</f>
        <v/>
      </c>
      <c r="G287" s="28" t="str">
        <f aca="false">IF($W287="","",IFERROR(IF(INDEX('🎓 Alumnas'!$E$2:$E$1000,MATCH($W287,'🎓 Alumnas'!$A$2:$A$1000,0))="","",INDEX('🎓 Alumnas'!$E$2:$E$1000,MATCH($W287,'🎓 Alumnas'!$A$2:$A$1000,0))),""))</f>
        <v/>
      </c>
      <c r="H287" s="28" t="str">
        <f aca="false">IF($W287="","",IFERROR(IF(INDEX('🎓 Alumnas'!$F$2:$F$1000,MATCH($W287,'🎓 Alumnas'!$A$2:$A$1000,0))="","",INDEX('🎓 Alumnas'!$F$2:$F$1000,MATCH($W287,'🎓 Alumnas'!$A$2:$A$1000,0))),""))</f>
        <v/>
      </c>
      <c r="I287" s="30" t="str">
        <f aca="false">IF($W287="","",IFERROR(IF(INDEX('🎓 Alumnas'!$G$2:$G$1000,MATCH($W287,'🎓 Alumnas'!$A$2:$A$1000,0))="","",INDEX('🎓 Alumnas'!$G$2:$G$1000,MATCH($W287,'🎓 Alumnas'!$A$2:$A$1000,0))),""))</f>
        <v/>
      </c>
      <c r="J287" s="28" t="str">
        <f aca="true">IF(I287="","",DATEDIF(I287,TODAY(),"Y"))</f>
        <v/>
      </c>
      <c r="K287" s="25"/>
      <c r="L287" s="28" t="str">
        <f aca="false">IF(K287="","",IF(LEFT(K287,6)="1 Pole","Alquiler",IF(LEFT(K287,7)="1 Clase","Clase suelta","Paquete")))</f>
        <v/>
      </c>
      <c r="M287" s="25"/>
      <c r="N287" s="25"/>
      <c r="O287" s="35"/>
      <c r="P287" s="29" t="str">
        <f aca="false">IF(O287="","",N287*O287)</f>
        <v/>
      </c>
      <c r="Q287" s="36"/>
      <c r="R287" s="25"/>
      <c r="S287" s="25"/>
      <c r="T287" s="28" t="str">
        <f aca="false">IF(OR(LEFT(W287,2)&lt;&gt;"A-",ISERROR(MATCH(W287,'🎓 Alumnas'!$A$2:$A$1000,0))),"",IF(COUNTIF($W$2:W287,W287)=1,"Nueva","Recurrente"))</f>
        <v/>
      </c>
      <c r="U287" s="28" t="str">
        <f aca="false">IF(OR(T287="",L287&lt;&gt;"Paquete"),"",COUNTIFS($W$2:W287,W287,$L$2:L287,"Paquete"))</f>
        <v/>
      </c>
      <c r="V287" s="25"/>
      <c r="W287" s="34" t="str">
        <f aca="false">IF(TRIM($C287)="","",IF(COUNTIF('🎓 Alumnas'!$P$2:$P$1000,TRIM($C287))&gt;0,INDEX('🎓 Alumnas'!$A$2:$A$1000,MATCH(TRIM($C287),'🎓 Alumnas'!$P$2:$P$1000,0)),IF(COUNTIF('🎓 Alumnas'!$O$2:$O$1000,TRIM($C287)&amp;"|*")=1,INDEX('🎓 Alumnas'!$A$2:$A$1000,MATCH(TRIM($C287)&amp;"|*",'🎓 Alumnas'!$O$2:$O$1000,0)),IF(COUNTIF('🎓 Alumnas'!$O$2:$O$1000,"*|"&amp;TRIM($C287))=1,INDEX('🎓 Alumnas'!$A$2:$A$1000,MATCH("*|"&amp;TRIM($C287),'🎓 Alumnas'!$O$2:$O$1000,0)),IF(COUNTIF('🎓 Alumnas'!$Q$2:$Q$1000,TRIM($C287))=1,INDEX('🎓 Alumnas'!$A$2:$A$1000,MATCH(TRIM($C287),'🎓 Alumnas'!$Q$2:$Q$1000,0)),IF(COUNTIF('🎓 Alumnas'!$P$2:$P$1000,"*"&amp;TRIM($C287)&amp;"*")=1,INDEX('🎓 Alumnas'!$A$2:$A$1000,MATCH("*"&amp;TRIM($C287)&amp;"*",'🎓 Alumnas'!$P$2:$P$1000,0)),IF(COUNTIF('🎓 Alumnas'!$Q$2:$Q$1000,"*"&amp;TRIM($C287)&amp;"*")=1,INDEX('🎓 Alumnas'!$A$2:$A$1000,MATCH("*"&amp;TRIM($C287)&amp;"*",'🎓 Alumnas'!$Q$2:$Q$1000,0)),IF(COUNTIF('🎓 Alumnas'!$P$2:$P$1000,"*"&amp;TRIM($C287)&amp;"*")+COUNTIF('🎓 Alumnas'!$Q$2:$Q$1000,"*"&amp;TRIM($C287)&amp;"*")&gt;1,"Varias: elige de la lista","No encontrada"))))))))</f>
        <v/>
      </c>
    </row>
    <row r="288" customFormat="false" ht="14.25" hidden="false" customHeight="true" outlineLevel="0" collapsed="false">
      <c r="A288" s="25" t="s">
        <v>832</v>
      </c>
      <c r="B288" s="27"/>
      <c r="C288" s="25"/>
      <c r="D288" s="34" t="str">
        <f aca="false">IF($W288="","",IFERROR(TRIM(INDEX('🎓 Alumnas'!$B$2:$B$1000,MATCH($W288,'🎓 Alumnas'!$A$2:$A$1000,0))),""))</f>
        <v/>
      </c>
      <c r="E288" s="34" t="str">
        <f aca="false">IF($W288="","",IFERROR(TRIM(INDEX('🎓 Alumnas'!$C$2:$C$1000,MATCH($W288,'🎓 Alumnas'!$A$2:$A$1000,0))),""))</f>
        <v/>
      </c>
      <c r="F288" s="34" t="str">
        <f aca="false">IF($W288="","",IFERROR(IF(INDEX('🎓 Alumnas'!$D$2:$D$1000,MATCH($W288,'🎓 Alumnas'!$A$2:$A$1000,0))="","",INDEX('🎓 Alumnas'!$D$2:$D$1000,MATCH($W288,'🎓 Alumnas'!$A$2:$A$1000,0))),""))</f>
        <v/>
      </c>
      <c r="G288" s="28" t="str">
        <f aca="false">IF($W288="","",IFERROR(IF(INDEX('🎓 Alumnas'!$E$2:$E$1000,MATCH($W288,'🎓 Alumnas'!$A$2:$A$1000,0))="","",INDEX('🎓 Alumnas'!$E$2:$E$1000,MATCH($W288,'🎓 Alumnas'!$A$2:$A$1000,0))),""))</f>
        <v/>
      </c>
      <c r="H288" s="28" t="str">
        <f aca="false">IF($W288="","",IFERROR(IF(INDEX('🎓 Alumnas'!$F$2:$F$1000,MATCH($W288,'🎓 Alumnas'!$A$2:$A$1000,0))="","",INDEX('🎓 Alumnas'!$F$2:$F$1000,MATCH($W288,'🎓 Alumnas'!$A$2:$A$1000,0))),""))</f>
        <v/>
      </c>
      <c r="I288" s="30" t="str">
        <f aca="false">IF($W288="","",IFERROR(IF(INDEX('🎓 Alumnas'!$G$2:$G$1000,MATCH($W288,'🎓 Alumnas'!$A$2:$A$1000,0))="","",INDEX('🎓 Alumnas'!$G$2:$G$1000,MATCH($W288,'🎓 Alumnas'!$A$2:$A$1000,0))),""))</f>
        <v/>
      </c>
      <c r="J288" s="28" t="str">
        <f aca="true">IF(I288="","",DATEDIF(I288,TODAY(),"Y"))</f>
        <v/>
      </c>
      <c r="K288" s="25"/>
      <c r="L288" s="28" t="str">
        <f aca="false">IF(K288="","",IF(LEFT(K288,6)="1 Pole","Alquiler",IF(LEFT(K288,7)="1 Clase","Clase suelta","Paquete")))</f>
        <v/>
      </c>
      <c r="M288" s="25"/>
      <c r="N288" s="25"/>
      <c r="O288" s="35"/>
      <c r="P288" s="29" t="str">
        <f aca="false">IF(O288="","",N288*O288)</f>
        <v/>
      </c>
      <c r="Q288" s="36"/>
      <c r="R288" s="25"/>
      <c r="S288" s="25"/>
      <c r="T288" s="28" t="str">
        <f aca="false">IF(OR(LEFT(W288,2)&lt;&gt;"A-",ISERROR(MATCH(W288,'🎓 Alumnas'!$A$2:$A$1000,0))),"",IF(COUNTIF($W$2:W288,W288)=1,"Nueva","Recurrente"))</f>
        <v/>
      </c>
      <c r="U288" s="28" t="str">
        <f aca="false">IF(OR(T288="",L288&lt;&gt;"Paquete"),"",COUNTIFS($W$2:W288,W288,$L$2:L288,"Paquete"))</f>
        <v/>
      </c>
      <c r="V288" s="25"/>
      <c r="W288" s="34" t="str">
        <f aca="false">IF(TRIM($C288)="","",IF(COUNTIF('🎓 Alumnas'!$P$2:$P$1000,TRIM($C288))&gt;0,INDEX('🎓 Alumnas'!$A$2:$A$1000,MATCH(TRIM($C288),'🎓 Alumnas'!$P$2:$P$1000,0)),IF(COUNTIF('🎓 Alumnas'!$O$2:$O$1000,TRIM($C288)&amp;"|*")=1,INDEX('🎓 Alumnas'!$A$2:$A$1000,MATCH(TRIM($C288)&amp;"|*",'🎓 Alumnas'!$O$2:$O$1000,0)),IF(COUNTIF('🎓 Alumnas'!$O$2:$O$1000,"*|"&amp;TRIM($C288))=1,INDEX('🎓 Alumnas'!$A$2:$A$1000,MATCH("*|"&amp;TRIM($C288),'🎓 Alumnas'!$O$2:$O$1000,0)),IF(COUNTIF('🎓 Alumnas'!$Q$2:$Q$1000,TRIM($C288))=1,INDEX('🎓 Alumnas'!$A$2:$A$1000,MATCH(TRIM($C288),'🎓 Alumnas'!$Q$2:$Q$1000,0)),IF(COUNTIF('🎓 Alumnas'!$P$2:$P$1000,"*"&amp;TRIM($C288)&amp;"*")=1,INDEX('🎓 Alumnas'!$A$2:$A$1000,MATCH("*"&amp;TRIM($C288)&amp;"*",'🎓 Alumnas'!$P$2:$P$1000,0)),IF(COUNTIF('🎓 Alumnas'!$Q$2:$Q$1000,"*"&amp;TRIM($C288)&amp;"*")=1,INDEX('🎓 Alumnas'!$A$2:$A$1000,MATCH("*"&amp;TRIM($C288)&amp;"*",'🎓 Alumnas'!$Q$2:$Q$1000,0)),IF(COUNTIF('🎓 Alumnas'!$P$2:$P$1000,"*"&amp;TRIM($C288)&amp;"*")+COUNTIF('🎓 Alumnas'!$Q$2:$Q$1000,"*"&amp;TRIM($C288)&amp;"*")&gt;1,"Varias: elige de la lista","No encontrada"))))))))</f>
        <v/>
      </c>
    </row>
    <row r="289" customFormat="false" ht="14.25" hidden="false" customHeight="true" outlineLevel="0" collapsed="false">
      <c r="A289" s="25" t="s">
        <v>833</v>
      </c>
      <c r="B289" s="27"/>
      <c r="C289" s="25"/>
      <c r="D289" s="34" t="str">
        <f aca="false">IF($W289="","",IFERROR(TRIM(INDEX('🎓 Alumnas'!$B$2:$B$1000,MATCH($W289,'🎓 Alumnas'!$A$2:$A$1000,0))),""))</f>
        <v/>
      </c>
      <c r="E289" s="34" t="str">
        <f aca="false">IF($W289="","",IFERROR(TRIM(INDEX('🎓 Alumnas'!$C$2:$C$1000,MATCH($W289,'🎓 Alumnas'!$A$2:$A$1000,0))),""))</f>
        <v/>
      </c>
      <c r="F289" s="34" t="str">
        <f aca="false">IF($W289="","",IFERROR(IF(INDEX('🎓 Alumnas'!$D$2:$D$1000,MATCH($W289,'🎓 Alumnas'!$A$2:$A$1000,0))="","",INDEX('🎓 Alumnas'!$D$2:$D$1000,MATCH($W289,'🎓 Alumnas'!$A$2:$A$1000,0))),""))</f>
        <v/>
      </c>
      <c r="G289" s="28" t="str">
        <f aca="false">IF($W289="","",IFERROR(IF(INDEX('🎓 Alumnas'!$E$2:$E$1000,MATCH($W289,'🎓 Alumnas'!$A$2:$A$1000,0))="","",INDEX('🎓 Alumnas'!$E$2:$E$1000,MATCH($W289,'🎓 Alumnas'!$A$2:$A$1000,0))),""))</f>
        <v/>
      </c>
      <c r="H289" s="28" t="str">
        <f aca="false">IF($W289="","",IFERROR(IF(INDEX('🎓 Alumnas'!$F$2:$F$1000,MATCH($W289,'🎓 Alumnas'!$A$2:$A$1000,0))="","",INDEX('🎓 Alumnas'!$F$2:$F$1000,MATCH($W289,'🎓 Alumnas'!$A$2:$A$1000,0))),""))</f>
        <v/>
      </c>
      <c r="I289" s="30" t="str">
        <f aca="false">IF($W289="","",IFERROR(IF(INDEX('🎓 Alumnas'!$G$2:$G$1000,MATCH($W289,'🎓 Alumnas'!$A$2:$A$1000,0))="","",INDEX('🎓 Alumnas'!$G$2:$G$1000,MATCH($W289,'🎓 Alumnas'!$A$2:$A$1000,0))),""))</f>
        <v/>
      </c>
      <c r="J289" s="28" t="str">
        <f aca="true">IF(I289="","",DATEDIF(I289,TODAY(),"Y"))</f>
        <v/>
      </c>
      <c r="K289" s="25"/>
      <c r="L289" s="28" t="str">
        <f aca="false">IF(K289="","",IF(LEFT(K289,6)="1 Pole","Alquiler",IF(LEFT(K289,7)="1 Clase","Clase suelta","Paquete")))</f>
        <v/>
      </c>
      <c r="M289" s="25"/>
      <c r="N289" s="25"/>
      <c r="O289" s="35"/>
      <c r="P289" s="29" t="str">
        <f aca="false">IF(O289="","",N289*O289)</f>
        <v/>
      </c>
      <c r="Q289" s="36"/>
      <c r="R289" s="25"/>
      <c r="S289" s="25"/>
      <c r="T289" s="28" t="str">
        <f aca="false">IF(OR(LEFT(W289,2)&lt;&gt;"A-",ISERROR(MATCH(W289,'🎓 Alumnas'!$A$2:$A$1000,0))),"",IF(COUNTIF($W$2:W289,W289)=1,"Nueva","Recurrente"))</f>
        <v/>
      </c>
      <c r="U289" s="28" t="str">
        <f aca="false">IF(OR(T289="",L289&lt;&gt;"Paquete"),"",COUNTIFS($W$2:W289,W289,$L$2:L289,"Paquete"))</f>
        <v/>
      </c>
      <c r="V289" s="25"/>
      <c r="W289" s="34" t="str">
        <f aca="false">IF(TRIM($C289)="","",IF(COUNTIF('🎓 Alumnas'!$P$2:$P$1000,TRIM($C289))&gt;0,INDEX('🎓 Alumnas'!$A$2:$A$1000,MATCH(TRIM($C289),'🎓 Alumnas'!$P$2:$P$1000,0)),IF(COUNTIF('🎓 Alumnas'!$O$2:$O$1000,TRIM($C289)&amp;"|*")=1,INDEX('🎓 Alumnas'!$A$2:$A$1000,MATCH(TRIM($C289)&amp;"|*",'🎓 Alumnas'!$O$2:$O$1000,0)),IF(COUNTIF('🎓 Alumnas'!$O$2:$O$1000,"*|"&amp;TRIM($C289))=1,INDEX('🎓 Alumnas'!$A$2:$A$1000,MATCH("*|"&amp;TRIM($C289),'🎓 Alumnas'!$O$2:$O$1000,0)),IF(COUNTIF('🎓 Alumnas'!$Q$2:$Q$1000,TRIM($C289))=1,INDEX('🎓 Alumnas'!$A$2:$A$1000,MATCH(TRIM($C289),'🎓 Alumnas'!$Q$2:$Q$1000,0)),IF(COUNTIF('🎓 Alumnas'!$P$2:$P$1000,"*"&amp;TRIM($C289)&amp;"*")=1,INDEX('🎓 Alumnas'!$A$2:$A$1000,MATCH("*"&amp;TRIM($C289)&amp;"*",'🎓 Alumnas'!$P$2:$P$1000,0)),IF(COUNTIF('🎓 Alumnas'!$Q$2:$Q$1000,"*"&amp;TRIM($C289)&amp;"*")=1,INDEX('🎓 Alumnas'!$A$2:$A$1000,MATCH("*"&amp;TRIM($C289)&amp;"*",'🎓 Alumnas'!$Q$2:$Q$1000,0)),IF(COUNTIF('🎓 Alumnas'!$P$2:$P$1000,"*"&amp;TRIM($C289)&amp;"*")+COUNTIF('🎓 Alumnas'!$Q$2:$Q$1000,"*"&amp;TRIM($C289)&amp;"*")&gt;1,"Varias: elige de la lista","No encontrada"))))))))</f>
        <v/>
      </c>
    </row>
    <row r="290" customFormat="false" ht="14.25" hidden="false" customHeight="true" outlineLevel="0" collapsed="false">
      <c r="A290" s="25" t="s">
        <v>834</v>
      </c>
      <c r="B290" s="27"/>
      <c r="C290" s="25"/>
      <c r="D290" s="34" t="str">
        <f aca="false">IF($W290="","",IFERROR(TRIM(INDEX('🎓 Alumnas'!$B$2:$B$1000,MATCH($W290,'🎓 Alumnas'!$A$2:$A$1000,0))),""))</f>
        <v/>
      </c>
      <c r="E290" s="34" t="str">
        <f aca="false">IF($W290="","",IFERROR(TRIM(INDEX('🎓 Alumnas'!$C$2:$C$1000,MATCH($W290,'🎓 Alumnas'!$A$2:$A$1000,0))),""))</f>
        <v/>
      </c>
      <c r="F290" s="34" t="str">
        <f aca="false">IF($W290="","",IFERROR(IF(INDEX('🎓 Alumnas'!$D$2:$D$1000,MATCH($W290,'🎓 Alumnas'!$A$2:$A$1000,0))="","",INDEX('🎓 Alumnas'!$D$2:$D$1000,MATCH($W290,'🎓 Alumnas'!$A$2:$A$1000,0))),""))</f>
        <v/>
      </c>
      <c r="G290" s="28" t="str">
        <f aca="false">IF($W290="","",IFERROR(IF(INDEX('🎓 Alumnas'!$E$2:$E$1000,MATCH($W290,'🎓 Alumnas'!$A$2:$A$1000,0))="","",INDEX('🎓 Alumnas'!$E$2:$E$1000,MATCH($W290,'🎓 Alumnas'!$A$2:$A$1000,0))),""))</f>
        <v/>
      </c>
      <c r="H290" s="28" t="str">
        <f aca="false">IF($W290="","",IFERROR(IF(INDEX('🎓 Alumnas'!$F$2:$F$1000,MATCH($W290,'🎓 Alumnas'!$A$2:$A$1000,0))="","",INDEX('🎓 Alumnas'!$F$2:$F$1000,MATCH($W290,'🎓 Alumnas'!$A$2:$A$1000,0))),""))</f>
        <v/>
      </c>
      <c r="I290" s="30" t="str">
        <f aca="false">IF($W290="","",IFERROR(IF(INDEX('🎓 Alumnas'!$G$2:$G$1000,MATCH($W290,'🎓 Alumnas'!$A$2:$A$1000,0))="","",INDEX('🎓 Alumnas'!$G$2:$G$1000,MATCH($W290,'🎓 Alumnas'!$A$2:$A$1000,0))),""))</f>
        <v/>
      </c>
      <c r="J290" s="28" t="str">
        <f aca="true">IF(I290="","",DATEDIF(I290,TODAY(),"Y"))</f>
        <v/>
      </c>
      <c r="K290" s="25"/>
      <c r="L290" s="28" t="str">
        <f aca="false">IF(K290="","",IF(LEFT(K290,6)="1 Pole","Alquiler",IF(LEFT(K290,7)="1 Clase","Clase suelta","Paquete")))</f>
        <v/>
      </c>
      <c r="M290" s="25"/>
      <c r="N290" s="25"/>
      <c r="O290" s="35"/>
      <c r="P290" s="29" t="str">
        <f aca="false">IF(O290="","",N290*O290)</f>
        <v/>
      </c>
      <c r="Q290" s="36"/>
      <c r="R290" s="25"/>
      <c r="S290" s="25"/>
      <c r="T290" s="28" t="str">
        <f aca="false">IF(OR(LEFT(W290,2)&lt;&gt;"A-",ISERROR(MATCH(W290,'🎓 Alumnas'!$A$2:$A$1000,0))),"",IF(COUNTIF($W$2:W290,W290)=1,"Nueva","Recurrente"))</f>
        <v/>
      </c>
      <c r="U290" s="28" t="str">
        <f aca="false">IF(OR(T290="",L290&lt;&gt;"Paquete"),"",COUNTIFS($W$2:W290,W290,$L$2:L290,"Paquete"))</f>
        <v/>
      </c>
      <c r="V290" s="25"/>
      <c r="W290" s="34" t="str">
        <f aca="false">IF(TRIM($C290)="","",IF(COUNTIF('🎓 Alumnas'!$P$2:$P$1000,TRIM($C290))&gt;0,INDEX('🎓 Alumnas'!$A$2:$A$1000,MATCH(TRIM($C290),'🎓 Alumnas'!$P$2:$P$1000,0)),IF(COUNTIF('🎓 Alumnas'!$O$2:$O$1000,TRIM($C290)&amp;"|*")=1,INDEX('🎓 Alumnas'!$A$2:$A$1000,MATCH(TRIM($C290)&amp;"|*",'🎓 Alumnas'!$O$2:$O$1000,0)),IF(COUNTIF('🎓 Alumnas'!$O$2:$O$1000,"*|"&amp;TRIM($C290))=1,INDEX('🎓 Alumnas'!$A$2:$A$1000,MATCH("*|"&amp;TRIM($C290),'🎓 Alumnas'!$O$2:$O$1000,0)),IF(COUNTIF('🎓 Alumnas'!$Q$2:$Q$1000,TRIM($C290))=1,INDEX('🎓 Alumnas'!$A$2:$A$1000,MATCH(TRIM($C290),'🎓 Alumnas'!$Q$2:$Q$1000,0)),IF(COUNTIF('🎓 Alumnas'!$P$2:$P$1000,"*"&amp;TRIM($C290)&amp;"*")=1,INDEX('🎓 Alumnas'!$A$2:$A$1000,MATCH("*"&amp;TRIM($C290)&amp;"*",'🎓 Alumnas'!$P$2:$P$1000,0)),IF(COUNTIF('🎓 Alumnas'!$Q$2:$Q$1000,"*"&amp;TRIM($C290)&amp;"*")=1,INDEX('🎓 Alumnas'!$A$2:$A$1000,MATCH("*"&amp;TRIM($C290)&amp;"*",'🎓 Alumnas'!$Q$2:$Q$1000,0)),IF(COUNTIF('🎓 Alumnas'!$P$2:$P$1000,"*"&amp;TRIM($C290)&amp;"*")+COUNTIF('🎓 Alumnas'!$Q$2:$Q$1000,"*"&amp;TRIM($C290)&amp;"*")&gt;1,"Varias: elige de la lista","No encontrada"))))))))</f>
        <v/>
      </c>
    </row>
    <row r="291" customFormat="false" ht="14.25" hidden="false" customHeight="true" outlineLevel="0" collapsed="false">
      <c r="A291" s="25" t="s">
        <v>835</v>
      </c>
      <c r="B291" s="27"/>
      <c r="C291" s="25"/>
      <c r="D291" s="34" t="str">
        <f aca="false">IF($W291="","",IFERROR(TRIM(INDEX('🎓 Alumnas'!$B$2:$B$1000,MATCH($W291,'🎓 Alumnas'!$A$2:$A$1000,0))),""))</f>
        <v/>
      </c>
      <c r="E291" s="34" t="str">
        <f aca="false">IF($W291="","",IFERROR(TRIM(INDEX('🎓 Alumnas'!$C$2:$C$1000,MATCH($W291,'🎓 Alumnas'!$A$2:$A$1000,0))),""))</f>
        <v/>
      </c>
      <c r="F291" s="34" t="str">
        <f aca="false">IF($W291="","",IFERROR(IF(INDEX('🎓 Alumnas'!$D$2:$D$1000,MATCH($W291,'🎓 Alumnas'!$A$2:$A$1000,0))="","",INDEX('🎓 Alumnas'!$D$2:$D$1000,MATCH($W291,'🎓 Alumnas'!$A$2:$A$1000,0))),""))</f>
        <v/>
      </c>
      <c r="G291" s="28" t="str">
        <f aca="false">IF($W291="","",IFERROR(IF(INDEX('🎓 Alumnas'!$E$2:$E$1000,MATCH($W291,'🎓 Alumnas'!$A$2:$A$1000,0))="","",INDEX('🎓 Alumnas'!$E$2:$E$1000,MATCH($W291,'🎓 Alumnas'!$A$2:$A$1000,0))),""))</f>
        <v/>
      </c>
      <c r="H291" s="28" t="str">
        <f aca="false">IF($W291="","",IFERROR(IF(INDEX('🎓 Alumnas'!$F$2:$F$1000,MATCH($W291,'🎓 Alumnas'!$A$2:$A$1000,0))="","",INDEX('🎓 Alumnas'!$F$2:$F$1000,MATCH($W291,'🎓 Alumnas'!$A$2:$A$1000,0))),""))</f>
        <v/>
      </c>
      <c r="I291" s="30" t="str">
        <f aca="false">IF($W291="","",IFERROR(IF(INDEX('🎓 Alumnas'!$G$2:$G$1000,MATCH($W291,'🎓 Alumnas'!$A$2:$A$1000,0))="","",INDEX('🎓 Alumnas'!$G$2:$G$1000,MATCH($W291,'🎓 Alumnas'!$A$2:$A$1000,0))),""))</f>
        <v/>
      </c>
      <c r="J291" s="28" t="str">
        <f aca="true">IF(I291="","",DATEDIF(I291,TODAY(),"Y"))</f>
        <v/>
      </c>
      <c r="K291" s="25"/>
      <c r="L291" s="28" t="str">
        <f aca="false">IF(K291="","",IF(LEFT(K291,6)="1 Pole","Alquiler",IF(LEFT(K291,7)="1 Clase","Clase suelta","Paquete")))</f>
        <v/>
      </c>
      <c r="M291" s="25"/>
      <c r="N291" s="25"/>
      <c r="O291" s="35"/>
      <c r="P291" s="29" t="str">
        <f aca="false">IF(O291="","",N291*O291)</f>
        <v/>
      </c>
      <c r="Q291" s="36"/>
      <c r="R291" s="25"/>
      <c r="S291" s="25"/>
      <c r="T291" s="28" t="str">
        <f aca="false">IF(OR(LEFT(W291,2)&lt;&gt;"A-",ISERROR(MATCH(W291,'🎓 Alumnas'!$A$2:$A$1000,0))),"",IF(COUNTIF($W$2:W291,W291)=1,"Nueva","Recurrente"))</f>
        <v/>
      </c>
      <c r="U291" s="28" t="str">
        <f aca="false">IF(OR(T291="",L291&lt;&gt;"Paquete"),"",COUNTIFS($W$2:W291,W291,$L$2:L291,"Paquete"))</f>
        <v/>
      </c>
      <c r="V291" s="25"/>
      <c r="W291" s="34" t="str">
        <f aca="false">IF(TRIM($C291)="","",IF(COUNTIF('🎓 Alumnas'!$P$2:$P$1000,TRIM($C291))&gt;0,INDEX('🎓 Alumnas'!$A$2:$A$1000,MATCH(TRIM($C291),'🎓 Alumnas'!$P$2:$P$1000,0)),IF(COUNTIF('🎓 Alumnas'!$O$2:$O$1000,TRIM($C291)&amp;"|*")=1,INDEX('🎓 Alumnas'!$A$2:$A$1000,MATCH(TRIM($C291)&amp;"|*",'🎓 Alumnas'!$O$2:$O$1000,0)),IF(COUNTIF('🎓 Alumnas'!$O$2:$O$1000,"*|"&amp;TRIM($C291))=1,INDEX('🎓 Alumnas'!$A$2:$A$1000,MATCH("*|"&amp;TRIM($C291),'🎓 Alumnas'!$O$2:$O$1000,0)),IF(COUNTIF('🎓 Alumnas'!$Q$2:$Q$1000,TRIM($C291))=1,INDEX('🎓 Alumnas'!$A$2:$A$1000,MATCH(TRIM($C291),'🎓 Alumnas'!$Q$2:$Q$1000,0)),IF(COUNTIF('🎓 Alumnas'!$P$2:$P$1000,"*"&amp;TRIM($C291)&amp;"*")=1,INDEX('🎓 Alumnas'!$A$2:$A$1000,MATCH("*"&amp;TRIM($C291)&amp;"*",'🎓 Alumnas'!$P$2:$P$1000,0)),IF(COUNTIF('🎓 Alumnas'!$Q$2:$Q$1000,"*"&amp;TRIM($C291)&amp;"*")=1,INDEX('🎓 Alumnas'!$A$2:$A$1000,MATCH("*"&amp;TRIM($C291)&amp;"*",'🎓 Alumnas'!$Q$2:$Q$1000,0)),IF(COUNTIF('🎓 Alumnas'!$P$2:$P$1000,"*"&amp;TRIM($C291)&amp;"*")+COUNTIF('🎓 Alumnas'!$Q$2:$Q$1000,"*"&amp;TRIM($C291)&amp;"*")&gt;1,"Varias: elige de la lista","No encontrada"))))))))</f>
        <v/>
      </c>
    </row>
    <row r="292" customFormat="false" ht="14.25" hidden="false" customHeight="true" outlineLevel="0" collapsed="false">
      <c r="A292" s="25" t="s">
        <v>836</v>
      </c>
      <c r="B292" s="27"/>
      <c r="C292" s="25"/>
      <c r="D292" s="34" t="str">
        <f aca="false">IF($W292="","",IFERROR(TRIM(INDEX('🎓 Alumnas'!$B$2:$B$1000,MATCH($W292,'🎓 Alumnas'!$A$2:$A$1000,0))),""))</f>
        <v/>
      </c>
      <c r="E292" s="34" t="str">
        <f aca="false">IF($W292="","",IFERROR(TRIM(INDEX('🎓 Alumnas'!$C$2:$C$1000,MATCH($W292,'🎓 Alumnas'!$A$2:$A$1000,0))),""))</f>
        <v/>
      </c>
      <c r="F292" s="34" t="str">
        <f aca="false">IF($W292="","",IFERROR(IF(INDEX('🎓 Alumnas'!$D$2:$D$1000,MATCH($W292,'🎓 Alumnas'!$A$2:$A$1000,0))="","",INDEX('🎓 Alumnas'!$D$2:$D$1000,MATCH($W292,'🎓 Alumnas'!$A$2:$A$1000,0))),""))</f>
        <v/>
      </c>
      <c r="G292" s="28" t="str">
        <f aca="false">IF($W292="","",IFERROR(IF(INDEX('🎓 Alumnas'!$E$2:$E$1000,MATCH($W292,'🎓 Alumnas'!$A$2:$A$1000,0))="","",INDEX('🎓 Alumnas'!$E$2:$E$1000,MATCH($W292,'🎓 Alumnas'!$A$2:$A$1000,0))),""))</f>
        <v/>
      </c>
      <c r="H292" s="28" t="str">
        <f aca="false">IF($W292="","",IFERROR(IF(INDEX('🎓 Alumnas'!$F$2:$F$1000,MATCH($W292,'🎓 Alumnas'!$A$2:$A$1000,0))="","",INDEX('🎓 Alumnas'!$F$2:$F$1000,MATCH($W292,'🎓 Alumnas'!$A$2:$A$1000,0))),""))</f>
        <v/>
      </c>
      <c r="I292" s="30" t="str">
        <f aca="false">IF($W292="","",IFERROR(IF(INDEX('🎓 Alumnas'!$G$2:$G$1000,MATCH($W292,'🎓 Alumnas'!$A$2:$A$1000,0))="","",INDEX('🎓 Alumnas'!$G$2:$G$1000,MATCH($W292,'🎓 Alumnas'!$A$2:$A$1000,0))),""))</f>
        <v/>
      </c>
      <c r="J292" s="28" t="str">
        <f aca="true">IF(I292="","",DATEDIF(I292,TODAY(),"Y"))</f>
        <v/>
      </c>
      <c r="K292" s="25"/>
      <c r="L292" s="28" t="str">
        <f aca="false">IF(K292="","",IF(LEFT(K292,6)="1 Pole","Alquiler",IF(LEFT(K292,7)="1 Clase","Clase suelta","Paquete")))</f>
        <v/>
      </c>
      <c r="M292" s="25"/>
      <c r="N292" s="25"/>
      <c r="O292" s="35"/>
      <c r="P292" s="29" t="str">
        <f aca="false">IF(O292="","",N292*O292)</f>
        <v/>
      </c>
      <c r="Q292" s="36"/>
      <c r="R292" s="25"/>
      <c r="S292" s="25"/>
      <c r="T292" s="28" t="str">
        <f aca="false">IF(OR(LEFT(W292,2)&lt;&gt;"A-",ISERROR(MATCH(W292,'🎓 Alumnas'!$A$2:$A$1000,0))),"",IF(COUNTIF($W$2:W292,W292)=1,"Nueva","Recurrente"))</f>
        <v/>
      </c>
      <c r="U292" s="28" t="str">
        <f aca="false">IF(OR(T292="",L292&lt;&gt;"Paquete"),"",COUNTIFS($W$2:W292,W292,$L$2:L292,"Paquete"))</f>
        <v/>
      </c>
      <c r="V292" s="25"/>
      <c r="W292" s="34" t="str">
        <f aca="false">IF(TRIM($C292)="","",IF(COUNTIF('🎓 Alumnas'!$P$2:$P$1000,TRIM($C292))&gt;0,INDEX('🎓 Alumnas'!$A$2:$A$1000,MATCH(TRIM($C292),'🎓 Alumnas'!$P$2:$P$1000,0)),IF(COUNTIF('🎓 Alumnas'!$O$2:$O$1000,TRIM($C292)&amp;"|*")=1,INDEX('🎓 Alumnas'!$A$2:$A$1000,MATCH(TRIM($C292)&amp;"|*",'🎓 Alumnas'!$O$2:$O$1000,0)),IF(COUNTIF('🎓 Alumnas'!$O$2:$O$1000,"*|"&amp;TRIM($C292))=1,INDEX('🎓 Alumnas'!$A$2:$A$1000,MATCH("*|"&amp;TRIM($C292),'🎓 Alumnas'!$O$2:$O$1000,0)),IF(COUNTIF('🎓 Alumnas'!$Q$2:$Q$1000,TRIM($C292))=1,INDEX('🎓 Alumnas'!$A$2:$A$1000,MATCH(TRIM($C292),'🎓 Alumnas'!$Q$2:$Q$1000,0)),IF(COUNTIF('🎓 Alumnas'!$P$2:$P$1000,"*"&amp;TRIM($C292)&amp;"*")=1,INDEX('🎓 Alumnas'!$A$2:$A$1000,MATCH("*"&amp;TRIM($C292)&amp;"*",'🎓 Alumnas'!$P$2:$P$1000,0)),IF(COUNTIF('🎓 Alumnas'!$Q$2:$Q$1000,"*"&amp;TRIM($C292)&amp;"*")=1,INDEX('🎓 Alumnas'!$A$2:$A$1000,MATCH("*"&amp;TRIM($C292)&amp;"*",'🎓 Alumnas'!$Q$2:$Q$1000,0)),IF(COUNTIF('🎓 Alumnas'!$P$2:$P$1000,"*"&amp;TRIM($C292)&amp;"*")+COUNTIF('🎓 Alumnas'!$Q$2:$Q$1000,"*"&amp;TRIM($C292)&amp;"*")&gt;1,"Varias: elige de la lista","No encontrada"))))))))</f>
        <v/>
      </c>
    </row>
    <row r="293" customFormat="false" ht="14.25" hidden="false" customHeight="true" outlineLevel="0" collapsed="false">
      <c r="A293" s="25" t="s">
        <v>837</v>
      </c>
      <c r="B293" s="27"/>
      <c r="C293" s="25"/>
      <c r="D293" s="34" t="str">
        <f aca="false">IF($W293="","",IFERROR(TRIM(INDEX('🎓 Alumnas'!$B$2:$B$1000,MATCH($W293,'🎓 Alumnas'!$A$2:$A$1000,0))),""))</f>
        <v/>
      </c>
      <c r="E293" s="34" t="str">
        <f aca="false">IF($W293="","",IFERROR(TRIM(INDEX('🎓 Alumnas'!$C$2:$C$1000,MATCH($W293,'🎓 Alumnas'!$A$2:$A$1000,0))),""))</f>
        <v/>
      </c>
      <c r="F293" s="34" t="str">
        <f aca="false">IF($W293="","",IFERROR(IF(INDEX('🎓 Alumnas'!$D$2:$D$1000,MATCH($W293,'🎓 Alumnas'!$A$2:$A$1000,0))="","",INDEX('🎓 Alumnas'!$D$2:$D$1000,MATCH($W293,'🎓 Alumnas'!$A$2:$A$1000,0))),""))</f>
        <v/>
      </c>
      <c r="G293" s="28" t="str">
        <f aca="false">IF($W293="","",IFERROR(IF(INDEX('🎓 Alumnas'!$E$2:$E$1000,MATCH($W293,'🎓 Alumnas'!$A$2:$A$1000,0))="","",INDEX('🎓 Alumnas'!$E$2:$E$1000,MATCH($W293,'🎓 Alumnas'!$A$2:$A$1000,0))),""))</f>
        <v/>
      </c>
      <c r="H293" s="28" t="str">
        <f aca="false">IF($W293="","",IFERROR(IF(INDEX('🎓 Alumnas'!$F$2:$F$1000,MATCH($W293,'🎓 Alumnas'!$A$2:$A$1000,0))="","",INDEX('🎓 Alumnas'!$F$2:$F$1000,MATCH($W293,'🎓 Alumnas'!$A$2:$A$1000,0))),""))</f>
        <v/>
      </c>
      <c r="I293" s="30" t="str">
        <f aca="false">IF($W293="","",IFERROR(IF(INDEX('🎓 Alumnas'!$G$2:$G$1000,MATCH($W293,'🎓 Alumnas'!$A$2:$A$1000,0))="","",INDEX('🎓 Alumnas'!$G$2:$G$1000,MATCH($W293,'🎓 Alumnas'!$A$2:$A$1000,0))),""))</f>
        <v/>
      </c>
      <c r="J293" s="28" t="str">
        <f aca="true">IF(I293="","",DATEDIF(I293,TODAY(),"Y"))</f>
        <v/>
      </c>
      <c r="K293" s="25"/>
      <c r="L293" s="28" t="str">
        <f aca="false">IF(K293="","",IF(LEFT(K293,6)="1 Pole","Alquiler",IF(LEFT(K293,7)="1 Clase","Clase suelta","Paquete")))</f>
        <v/>
      </c>
      <c r="M293" s="25"/>
      <c r="N293" s="25"/>
      <c r="O293" s="35"/>
      <c r="P293" s="29" t="str">
        <f aca="false">IF(O293="","",N293*O293)</f>
        <v/>
      </c>
      <c r="Q293" s="36"/>
      <c r="R293" s="25"/>
      <c r="S293" s="25"/>
      <c r="T293" s="28" t="str">
        <f aca="false">IF(OR(LEFT(W293,2)&lt;&gt;"A-",ISERROR(MATCH(W293,'🎓 Alumnas'!$A$2:$A$1000,0))),"",IF(COUNTIF($W$2:W293,W293)=1,"Nueva","Recurrente"))</f>
        <v/>
      </c>
      <c r="U293" s="28" t="str">
        <f aca="false">IF(OR(T293="",L293&lt;&gt;"Paquete"),"",COUNTIFS($W$2:W293,W293,$L$2:L293,"Paquete"))</f>
        <v/>
      </c>
      <c r="V293" s="25"/>
      <c r="W293" s="34" t="str">
        <f aca="false">IF(TRIM($C293)="","",IF(COUNTIF('🎓 Alumnas'!$P$2:$P$1000,TRIM($C293))&gt;0,INDEX('🎓 Alumnas'!$A$2:$A$1000,MATCH(TRIM($C293),'🎓 Alumnas'!$P$2:$P$1000,0)),IF(COUNTIF('🎓 Alumnas'!$O$2:$O$1000,TRIM($C293)&amp;"|*")=1,INDEX('🎓 Alumnas'!$A$2:$A$1000,MATCH(TRIM($C293)&amp;"|*",'🎓 Alumnas'!$O$2:$O$1000,0)),IF(COUNTIF('🎓 Alumnas'!$O$2:$O$1000,"*|"&amp;TRIM($C293))=1,INDEX('🎓 Alumnas'!$A$2:$A$1000,MATCH("*|"&amp;TRIM($C293),'🎓 Alumnas'!$O$2:$O$1000,0)),IF(COUNTIF('🎓 Alumnas'!$Q$2:$Q$1000,TRIM($C293))=1,INDEX('🎓 Alumnas'!$A$2:$A$1000,MATCH(TRIM($C293),'🎓 Alumnas'!$Q$2:$Q$1000,0)),IF(COUNTIF('🎓 Alumnas'!$P$2:$P$1000,"*"&amp;TRIM($C293)&amp;"*")=1,INDEX('🎓 Alumnas'!$A$2:$A$1000,MATCH("*"&amp;TRIM($C293)&amp;"*",'🎓 Alumnas'!$P$2:$P$1000,0)),IF(COUNTIF('🎓 Alumnas'!$Q$2:$Q$1000,"*"&amp;TRIM($C293)&amp;"*")=1,INDEX('🎓 Alumnas'!$A$2:$A$1000,MATCH("*"&amp;TRIM($C293)&amp;"*",'🎓 Alumnas'!$Q$2:$Q$1000,0)),IF(COUNTIF('🎓 Alumnas'!$P$2:$P$1000,"*"&amp;TRIM($C293)&amp;"*")+COUNTIF('🎓 Alumnas'!$Q$2:$Q$1000,"*"&amp;TRIM($C293)&amp;"*")&gt;1,"Varias: elige de la lista","No encontrada"))))))))</f>
        <v/>
      </c>
    </row>
    <row r="294" customFormat="false" ht="14.25" hidden="false" customHeight="true" outlineLevel="0" collapsed="false">
      <c r="A294" s="25" t="s">
        <v>838</v>
      </c>
      <c r="B294" s="27"/>
      <c r="C294" s="25"/>
      <c r="D294" s="34" t="str">
        <f aca="false">IF($W294="","",IFERROR(TRIM(INDEX('🎓 Alumnas'!$B$2:$B$1000,MATCH($W294,'🎓 Alumnas'!$A$2:$A$1000,0))),""))</f>
        <v/>
      </c>
      <c r="E294" s="34" t="str">
        <f aca="false">IF($W294="","",IFERROR(TRIM(INDEX('🎓 Alumnas'!$C$2:$C$1000,MATCH($W294,'🎓 Alumnas'!$A$2:$A$1000,0))),""))</f>
        <v/>
      </c>
      <c r="F294" s="34" t="str">
        <f aca="false">IF($W294="","",IFERROR(IF(INDEX('🎓 Alumnas'!$D$2:$D$1000,MATCH($W294,'🎓 Alumnas'!$A$2:$A$1000,0))="","",INDEX('🎓 Alumnas'!$D$2:$D$1000,MATCH($W294,'🎓 Alumnas'!$A$2:$A$1000,0))),""))</f>
        <v/>
      </c>
      <c r="G294" s="28" t="str">
        <f aca="false">IF($W294="","",IFERROR(IF(INDEX('🎓 Alumnas'!$E$2:$E$1000,MATCH($W294,'🎓 Alumnas'!$A$2:$A$1000,0))="","",INDEX('🎓 Alumnas'!$E$2:$E$1000,MATCH($W294,'🎓 Alumnas'!$A$2:$A$1000,0))),""))</f>
        <v/>
      </c>
      <c r="H294" s="28" t="str">
        <f aca="false">IF($W294="","",IFERROR(IF(INDEX('🎓 Alumnas'!$F$2:$F$1000,MATCH($W294,'🎓 Alumnas'!$A$2:$A$1000,0))="","",INDEX('🎓 Alumnas'!$F$2:$F$1000,MATCH($W294,'🎓 Alumnas'!$A$2:$A$1000,0))),""))</f>
        <v/>
      </c>
      <c r="I294" s="30" t="str">
        <f aca="false">IF($W294="","",IFERROR(IF(INDEX('🎓 Alumnas'!$G$2:$G$1000,MATCH($W294,'🎓 Alumnas'!$A$2:$A$1000,0))="","",INDEX('🎓 Alumnas'!$G$2:$G$1000,MATCH($W294,'🎓 Alumnas'!$A$2:$A$1000,0))),""))</f>
        <v/>
      </c>
      <c r="J294" s="28" t="str">
        <f aca="true">IF(I294="","",DATEDIF(I294,TODAY(),"Y"))</f>
        <v/>
      </c>
      <c r="K294" s="25"/>
      <c r="L294" s="28" t="str">
        <f aca="false">IF(K294="","",IF(LEFT(K294,6)="1 Pole","Alquiler",IF(LEFT(K294,7)="1 Clase","Clase suelta","Paquete")))</f>
        <v/>
      </c>
      <c r="M294" s="25"/>
      <c r="N294" s="25"/>
      <c r="O294" s="35"/>
      <c r="P294" s="29" t="str">
        <f aca="false">IF(O294="","",N294*O294)</f>
        <v/>
      </c>
      <c r="Q294" s="36"/>
      <c r="R294" s="25"/>
      <c r="S294" s="25"/>
      <c r="T294" s="28" t="str">
        <f aca="false">IF(OR(LEFT(W294,2)&lt;&gt;"A-",ISERROR(MATCH(W294,'🎓 Alumnas'!$A$2:$A$1000,0))),"",IF(COUNTIF($W$2:W294,W294)=1,"Nueva","Recurrente"))</f>
        <v/>
      </c>
      <c r="U294" s="28" t="str">
        <f aca="false">IF(OR(T294="",L294&lt;&gt;"Paquete"),"",COUNTIFS($W$2:W294,W294,$L$2:L294,"Paquete"))</f>
        <v/>
      </c>
      <c r="V294" s="25"/>
      <c r="W294" s="34" t="str">
        <f aca="false">IF(TRIM($C294)="","",IF(COUNTIF('🎓 Alumnas'!$P$2:$P$1000,TRIM($C294))&gt;0,INDEX('🎓 Alumnas'!$A$2:$A$1000,MATCH(TRIM($C294),'🎓 Alumnas'!$P$2:$P$1000,0)),IF(COUNTIF('🎓 Alumnas'!$O$2:$O$1000,TRIM($C294)&amp;"|*")=1,INDEX('🎓 Alumnas'!$A$2:$A$1000,MATCH(TRIM($C294)&amp;"|*",'🎓 Alumnas'!$O$2:$O$1000,0)),IF(COUNTIF('🎓 Alumnas'!$O$2:$O$1000,"*|"&amp;TRIM($C294))=1,INDEX('🎓 Alumnas'!$A$2:$A$1000,MATCH("*|"&amp;TRIM($C294),'🎓 Alumnas'!$O$2:$O$1000,0)),IF(COUNTIF('🎓 Alumnas'!$Q$2:$Q$1000,TRIM($C294))=1,INDEX('🎓 Alumnas'!$A$2:$A$1000,MATCH(TRIM($C294),'🎓 Alumnas'!$Q$2:$Q$1000,0)),IF(COUNTIF('🎓 Alumnas'!$P$2:$P$1000,"*"&amp;TRIM($C294)&amp;"*")=1,INDEX('🎓 Alumnas'!$A$2:$A$1000,MATCH("*"&amp;TRIM($C294)&amp;"*",'🎓 Alumnas'!$P$2:$P$1000,0)),IF(COUNTIF('🎓 Alumnas'!$Q$2:$Q$1000,"*"&amp;TRIM($C294)&amp;"*")=1,INDEX('🎓 Alumnas'!$A$2:$A$1000,MATCH("*"&amp;TRIM($C294)&amp;"*",'🎓 Alumnas'!$Q$2:$Q$1000,0)),IF(COUNTIF('🎓 Alumnas'!$P$2:$P$1000,"*"&amp;TRIM($C294)&amp;"*")+COUNTIF('🎓 Alumnas'!$Q$2:$Q$1000,"*"&amp;TRIM($C294)&amp;"*")&gt;1,"Varias: elige de la lista","No encontrada"))))))))</f>
        <v/>
      </c>
    </row>
    <row r="295" customFormat="false" ht="14.25" hidden="false" customHeight="true" outlineLevel="0" collapsed="false">
      <c r="A295" s="25" t="s">
        <v>839</v>
      </c>
      <c r="B295" s="27"/>
      <c r="C295" s="25"/>
      <c r="D295" s="34" t="str">
        <f aca="false">IF($W295="","",IFERROR(TRIM(INDEX('🎓 Alumnas'!$B$2:$B$1000,MATCH($W295,'🎓 Alumnas'!$A$2:$A$1000,0))),""))</f>
        <v/>
      </c>
      <c r="E295" s="34" t="str">
        <f aca="false">IF($W295="","",IFERROR(TRIM(INDEX('🎓 Alumnas'!$C$2:$C$1000,MATCH($W295,'🎓 Alumnas'!$A$2:$A$1000,0))),""))</f>
        <v/>
      </c>
      <c r="F295" s="34" t="str">
        <f aca="false">IF($W295="","",IFERROR(IF(INDEX('🎓 Alumnas'!$D$2:$D$1000,MATCH($W295,'🎓 Alumnas'!$A$2:$A$1000,0))="","",INDEX('🎓 Alumnas'!$D$2:$D$1000,MATCH($W295,'🎓 Alumnas'!$A$2:$A$1000,0))),""))</f>
        <v/>
      </c>
      <c r="G295" s="28" t="str">
        <f aca="false">IF($W295="","",IFERROR(IF(INDEX('🎓 Alumnas'!$E$2:$E$1000,MATCH($W295,'🎓 Alumnas'!$A$2:$A$1000,0))="","",INDEX('🎓 Alumnas'!$E$2:$E$1000,MATCH($W295,'🎓 Alumnas'!$A$2:$A$1000,0))),""))</f>
        <v/>
      </c>
      <c r="H295" s="28" t="str">
        <f aca="false">IF($W295="","",IFERROR(IF(INDEX('🎓 Alumnas'!$F$2:$F$1000,MATCH($W295,'🎓 Alumnas'!$A$2:$A$1000,0))="","",INDEX('🎓 Alumnas'!$F$2:$F$1000,MATCH($W295,'🎓 Alumnas'!$A$2:$A$1000,0))),""))</f>
        <v/>
      </c>
      <c r="I295" s="30" t="str">
        <f aca="false">IF($W295="","",IFERROR(IF(INDEX('🎓 Alumnas'!$G$2:$G$1000,MATCH($W295,'🎓 Alumnas'!$A$2:$A$1000,0))="","",INDEX('🎓 Alumnas'!$G$2:$G$1000,MATCH($W295,'🎓 Alumnas'!$A$2:$A$1000,0))),""))</f>
        <v/>
      </c>
      <c r="J295" s="28" t="str">
        <f aca="true">IF(I295="","",DATEDIF(I295,TODAY(),"Y"))</f>
        <v/>
      </c>
      <c r="K295" s="25"/>
      <c r="L295" s="28" t="str">
        <f aca="false">IF(K295="","",IF(LEFT(K295,6)="1 Pole","Alquiler",IF(LEFT(K295,7)="1 Clase","Clase suelta","Paquete")))</f>
        <v/>
      </c>
      <c r="M295" s="25"/>
      <c r="N295" s="25"/>
      <c r="O295" s="35"/>
      <c r="P295" s="29" t="str">
        <f aca="false">IF(O295="","",N295*O295)</f>
        <v/>
      </c>
      <c r="Q295" s="36"/>
      <c r="R295" s="25"/>
      <c r="S295" s="25"/>
      <c r="T295" s="28" t="str">
        <f aca="false">IF(OR(LEFT(W295,2)&lt;&gt;"A-",ISERROR(MATCH(W295,'🎓 Alumnas'!$A$2:$A$1000,0))),"",IF(COUNTIF($W$2:W295,W295)=1,"Nueva","Recurrente"))</f>
        <v/>
      </c>
      <c r="U295" s="28" t="str">
        <f aca="false">IF(OR(T295="",L295&lt;&gt;"Paquete"),"",COUNTIFS($W$2:W295,W295,$L$2:L295,"Paquete"))</f>
        <v/>
      </c>
      <c r="V295" s="25"/>
      <c r="W295" s="34" t="str">
        <f aca="false">IF(TRIM($C295)="","",IF(COUNTIF('🎓 Alumnas'!$P$2:$P$1000,TRIM($C295))&gt;0,INDEX('🎓 Alumnas'!$A$2:$A$1000,MATCH(TRIM($C295),'🎓 Alumnas'!$P$2:$P$1000,0)),IF(COUNTIF('🎓 Alumnas'!$O$2:$O$1000,TRIM($C295)&amp;"|*")=1,INDEX('🎓 Alumnas'!$A$2:$A$1000,MATCH(TRIM($C295)&amp;"|*",'🎓 Alumnas'!$O$2:$O$1000,0)),IF(COUNTIF('🎓 Alumnas'!$O$2:$O$1000,"*|"&amp;TRIM($C295))=1,INDEX('🎓 Alumnas'!$A$2:$A$1000,MATCH("*|"&amp;TRIM($C295),'🎓 Alumnas'!$O$2:$O$1000,0)),IF(COUNTIF('🎓 Alumnas'!$Q$2:$Q$1000,TRIM($C295))=1,INDEX('🎓 Alumnas'!$A$2:$A$1000,MATCH(TRIM($C295),'🎓 Alumnas'!$Q$2:$Q$1000,0)),IF(COUNTIF('🎓 Alumnas'!$P$2:$P$1000,"*"&amp;TRIM($C295)&amp;"*")=1,INDEX('🎓 Alumnas'!$A$2:$A$1000,MATCH("*"&amp;TRIM($C295)&amp;"*",'🎓 Alumnas'!$P$2:$P$1000,0)),IF(COUNTIF('🎓 Alumnas'!$Q$2:$Q$1000,"*"&amp;TRIM($C295)&amp;"*")=1,INDEX('🎓 Alumnas'!$A$2:$A$1000,MATCH("*"&amp;TRIM($C295)&amp;"*",'🎓 Alumnas'!$Q$2:$Q$1000,0)),IF(COUNTIF('🎓 Alumnas'!$P$2:$P$1000,"*"&amp;TRIM($C295)&amp;"*")+COUNTIF('🎓 Alumnas'!$Q$2:$Q$1000,"*"&amp;TRIM($C295)&amp;"*")&gt;1,"Varias: elige de la lista","No encontrada"))))))))</f>
        <v/>
      </c>
    </row>
    <row r="296" customFormat="false" ht="14.25" hidden="false" customHeight="true" outlineLevel="0" collapsed="false">
      <c r="A296" s="25" t="s">
        <v>840</v>
      </c>
      <c r="B296" s="27"/>
      <c r="C296" s="25"/>
      <c r="D296" s="34" t="str">
        <f aca="false">IF($W296="","",IFERROR(TRIM(INDEX('🎓 Alumnas'!$B$2:$B$1000,MATCH($W296,'🎓 Alumnas'!$A$2:$A$1000,0))),""))</f>
        <v/>
      </c>
      <c r="E296" s="34" t="str">
        <f aca="false">IF($W296="","",IFERROR(TRIM(INDEX('🎓 Alumnas'!$C$2:$C$1000,MATCH($W296,'🎓 Alumnas'!$A$2:$A$1000,0))),""))</f>
        <v/>
      </c>
      <c r="F296" s="34" t="str">
        <f aca="false">IF($W296="","",IFERROR(IF(INDEX('🎓 Alumnas'!$D$2:$D$1000,MATCH($W296,'🎓 Alumnas'!$A$2:$A$1000,0))="","",INDEX('🎓 Alumnas'!$D$2:$D$1000,MATCH($W296,'🎓 Alumnas'!$A$2:$A$1000,0))),""))</f>
        <v/>
      </c>
      <c r="G296" s="28" t="str">
        <f aca="false">IF($W296="","",IFERROR(IF(INDEX('🎓 Alumnas'!$E$2:$E$1000,MATCH($W296,'🎓 Alumnas'!$A$2:$A$1000,0))="","",INDEX('🎓 Alumnas'!$E$2:$E$1000,MATCH($W296,'🎓 Alumnas'!$A$2:$A$1000,0))),""))</f>
        <v/>
      </c>
      <c r="H296" s="28" t="str">
        <f aca="false">IF($W296="","",IFERROR(IF(INDEX('🎓 Alumnas'!$F$2:$F$1000,MATCH($W296,'🎓 Alumnas'!$A$2:$A$1000,0))="","",INDEX('🎓 Alumnas'!$F$2:$F$1000,MATCH($W296,'🎓 Alumnas'!$A$2:$A$1000,0))),""))</f>
        <v/>
      </c>
      <c r="I296" s="30" t="str">
        <f aca="false">IF($W296="","",IFERROR(IF(INDEX('🎓 Alumnas'!$G$2:$G$1000,MATCH($W296,'🎓 Alumnas'!$A$2:$A$1000,0))="","",INDEX('🎓 Alumnas'!$G$2:$G$1000,MATCH($W296,'🎓 Alumnas'!$A$2:$A$1000,0))),""))</f>
        <v/>
      </c>
      <c r="J296" s="28" t="str">
        <f aca="true">IF(I296="","",DATEDIF(I296,TODAY(),"Y"))</f>
        <v/>
      </c>
      <c r="K296" s="25"/>
      <c r="L296" s="28" t="str">
        <f aca="false">IF(K296="","",IF(LEFT(K296,6)="1 Pole","Alquiler",IF(LEFT(K296,7)="1 Clase","Clase suelta","Paquete")))</f>
        <v/>
      </c>
      <c r="M296" s="25"/>
      <c r="N296" s="25"/>
      <c r="O296" s="35"/>
      <c r="P296" s="29" t="str">
        <f aca="false">IF(O296="","",N296*O296)</f>
        <v/>
      </c>
      <c r="Q296" s="36"/>
      <c r="R296" s="25"/>
      <c r="S296" s="25"/>
      <c r="T296" s="28" t="str">
        <f aca="false">IF(OR(LEFT(W296,2)&lt;&gt;"A-",ISERROR(MATCH(W296,'🎓 Alumnas'!$A$2:$A$1000,0))),"",IF(COUNTIF($W$2:W296,W296)=1,"Nueva","Recurrente"))</f>
        <v/>
      </c>
      <c r="U296" s="28" t="str">
        <f aca="false">IF(OR(T296="",L296&lt;&gt;"Paquete"),"",COUNTIFS($W$2:W296,W296,$L$2:L296,"Paquete"))</f>
        <v/>
      </c>
      <c r="V296" s="25"/>
      <c r="W296" s="34" t="str">
        <f aca="false">IF(TRIM($C296)="","",IF(COUNTIF('🎓 Alumnas'!$P$2:$P$1000,TRIM($C296))&gt;0,INDEX('🎓 Alumnas'!$A$2:$A$1000,MATCH(TRIM($C296),'🎓 Alumnas'!$P$2:$P$1000,0)),IF(COUNTIF('🎓 Alumnas'!$O$2:$O$1000,TRIM($C296)&amp;"|*")=1,INDEX('🎓 Alumnas'!$A$2:$A$1000,MATCH(TRIM($C296)&amp;"|*",'🎓 Alumnas'!$O$2:$O$1000,0)),IF(COUNTIF('🎓 Alumnas'!$O$2:$O$1000,"*|"&amp;TRIM($C296))=1,INDEX('🎓 Alumnas'!$A$2:$A$1000,MATCH("*|"&amp;TRIM($C296),'🎓 Alumnas'!$O$2:$O$1000,0)),IF(COUNTIF('🎓 Alumnas'!$Q$2:$Q$1000,TRIM($C296))=1,INDEX('🎓 Alumnas'!$A$2:$A$1000,MATCH(TRIM($C296),'🎓 Alumnas'!$Q$2:$Q$1000,0)),IF(COUNTIF('🎓 Alumnas'!$P$2:$P$1000,"*"&amp;TRIM($C296)&amp;"*")=1,INDEX('🎓 Alumnas'!$A$2:$A$1000,MATCH("*"&amp;TRIM($C296)&amp;"*",'🎓 Alumnas'!$P$2:$P$1000,0)),IF(COUNTIF('🎓 Alumnas'!$Q$2:$Q$1000,"*"&amp;TRIM($C296)&amp;"*")=1,INDEX('🎓 Alumnas'!$A$2:$A$1000,MATCH("*"&amp;TRIM($C296)&amp;"*",'🎓 Alumnas'!$Q$2:$Q$1000,0)),IF(COUNTIF('🎓 Alumnas'!$P$2:$P$1000,"*"&amp;TRIM($C296)&amp;"*")+COUNTIF('🎓 Alumnas'!$Q$2:$Q$1000,"*"&amp;TRIM($C296)&amp;"*")&gt;1,"Varias: elige de la lista","No encontrada"))))))))</f>
        <v/>
      </c>
    </row>
    <row r="297" customFormat="false" ht="14.25" hidden="false" customHeight="true" outlineLevel="0" collapsed="false">
      <c r="A297" s="25" t="s">
        <v>841</v>
      </c>
      <c r="B297" s="27"/>
      <c r="C297" s="25"/>
      <c r="D297" s="34" t="str">
        <f aca="false">IF($W297="","",IFERROR(TRIM(INDEX('🎓 Alumnas'!$B$2:$B$1000,MATCH($W297,'🎓 Alumnas'!$A$2:$A$1000,0))),""))</f>
        <v/>
      </c>
      <c r="E297" s="34" t="str">
        <f aca="false">IF($W297="","",IFERROR(TRIM(INDEX('🎓 Alumnas'!$C$2:$C$1000,MATCH($W297,'🎓 Alumnas'!$A$2:$A$1000,0))),""))</f>
        <v/>
      </c>
      <c r="F297" s="34" t="str">
        <f aca="false">IF($W297="","",IFERROR(IF(INDEX('🎓 Alumnas'!$D$2:$D$1000,MATCH($W297,'🎓 Alumnas'!$A$2:$A$1000,0))="","",INDEX('🎓 Alumnas'!$D$2:$D$1000,MATCH($W297,'🎓 Alumnas'!$A$2:$A$1000,0))),""))</f>
        <v/>
      </c>
      <c r="G297" s="28" t="str">
        <f aca="false">IF($W297="","",IFERROR(IF(INDEX('🎓 Alumnas'!$E$2:$E$1000,MATCH($W297,'🎓 Alumnas'!$A$2:$A$1000,0))="","",INDEX('🎓 Alumnas'!$E$2:$E$1000,MATCH($W297,'🎓 Alumnas'!$A$2:$A$1000,0))),""))</f>
        <v/>
      </c>
      <c r="H297" s="28" t="str">
        <f aca="false">IF($W297="","",IFERROR(IF(INDEX('🎓 Alumnas'!$F$2:$F$1000,MATCH($W297,'🎓 Alumnas'!$A$2:$A$1000,0))="","",INDEX('🎓 Alumnas'!$F$2:$F$1000,MATCH($W297,'🎓 Alumnas'!$A$2:$A$1000,0))),""))</f>
        <v/>
      </c>
      <c r="I297" s="30" t="str">
        <f aca="false">IF($W297="","",IFERROR(IF(INDEX('🎓 Alumnas'!$G$2:$G$1000,MATCH($W297,'🎓 Alumnas'!$A$2:$A$1000,0))="","",INDEX('🎓 Alumnas'!$G$2:$G$1000,MATCH($W297,'🎓 Alumnas'!$A$2:$A$1000,0))),""))</f>
        <v/>
      </c>
      <c r="J297" s="28" t="str">
        <f aca="true">IF(I297="","",DATEDIF(I297,TODAY(),"Y"))</f>
        <v/>
      </c>
      <c r="K297" s="25"/>
      <c r="L297" s="28" t="str">
        <f aca="false">IF(K297="","",IF(LEFT(K297,6)="1 Pole","Alquiler",IF(LEFT(K297,7)="1 Clase","Clase suelta","Paquete")))</f>
        <v/>
      </c>
      <c r="M297" s="25"/>
      <c r="N297" s="25"/>
      <c r="O297" s="35"/>
      <c r="P297" s="29" t="str">
        <f aca="false">IF(O297="","",N297*O297)</f>
        <v/>
      </c>
      <c r="Q297" s="36"/>
      <c r="R297" s="25"/>
      <c r="S297" s="25"/>
      <c r="T297" s="28" t="str">
        <f aca="false">IF(OR(LEFT(W297,2)&lt;&gt;"A-",ISERROR(MATCH(W297,'🎓 Alumnas'!$A$2:$A$1000,0))),"",IF(COUNTIF($W$2:W297,W297)=1,"Nueva","Recurrente"))</f>
        <v/>
      </c>
      <c r="U297" s="28" t="str">
        <f aca="false">IF(OR(T297="",L297&lt;&gt;"Paquete"),"",COUNTIFS($W$2:W297,W297,$L$2:L297,"Paquete"))</f>
        <v/>
      </c>
      <c r="V297" s="25"/>
      <c r="W297" s="34" t="str">
        <f aca="false">IF(TRIM($C297)="","",IF(COUNTIF('🎓 Alumnas'!$P$2:$P$1000,TRIM($C297))&gt;0,INDEX('🎓 Alumnas'!$A$2:$A$1000,MATCH(TRIM($C297),'🎓 Alumnas'!$P$2:$P$1000,0)),IF(COUNTIF('🎓 Alumnas'!$O$2:$O$1000,TRIM($C297)&amp;"|*")=1,INDEX('🎓 Alumnas'!$A$2:$A$1000,MATCH(TRIM($C297)&amp;"|*",'🎓 Alumnas'!$O$2:$O$1000,0)),IF(COUNTIF('🎓 Alumnas'!$O$2:$O$1000,"*|"&amp;TRIM($C297))=1,INDEX('🎓 Alumnas'!$A$2:$A$1000,MATCH("*|"&amp;TRIM($C297),'🎓 Alumnas'!$O$2:$O$1000,0)),IF(COUNTIF('🎓 Alumnas'!$Q$2:$Q$1000,TRIM($C297))=1,INDEX('🎓 Alumnas'!$A$2:$A$1000,MATCH(TRIM($C297),'🎓 Alumnas'!$Q$2:$Q$1000,0)),IF(COUNTIF('🎓 Alumnas'!$P$2:$P$1000,"*"&amp;TRIM($C297)&amp;"*")=1,INDEX('🎓 Alumnas'!$A$2:$A$1000,MATCH("*"&amp;TRIM($C297)&amp;"*",'🎓 Alumnas'!$P$2:$P$1000,0)),IF(COUNTIF('🎓 Alumnas'!$Q$2:$Q$1000,"*"&amp;TRIM($C297)&amp;"*")=1,INDEX('🎓 Alumnas'!$A$2:$A$1000,MATCH("*"&amp;TRIM($C297)&amp;"*",'🎓 Alumnas'!$Q$2:$Q$1000,0)),IF(COUNTIF('🎓 Alumnas'!$P$2:$P$1000,"*"&amp;TRIM($C297)&amp;"*")+COUNTIF('🎓 Alumnas'!$Q$2:$Q$1000,"*"&amp;TRIM($C297)&amp;"*")&gt;1,"Varias: elige de la lista","No encontrada"))))))))</f>
        <v/>
      </c>
    </row>
    <row r="298" customFormat="false" ht="14.25" hidden="false" customHeight="true" outlineLevel="0" collapsed="false">
      <c r="A298" s="25" t="s">
        <v>842</v>
      </c>
      <c r="B298" s="27"/>
      <c r="C298" s="25"/>
      <c r="D298" s="34" t="str">
        <f aca="false">IF($W298="","",IFERROR(TRIM(INDEX('🎓 Alumnas'!$B$2:$B$1000,MATCH($W298,'🎓 Alumnas'!$A$2:$A$1000,0))),""))</f>
        <v/>
      </c>
      <c r="E298" s="34" t="str">
        <f aca="false">IF($W298="","",IFERROR(TRIM(INDEX('🎓 Alumnas'!$C$2:$C$1000,MATCH($W298,'🎓 Alumnas'!$A$2:$A$1000,0))),""))</f>
        <v/>
      </c>
      <c r="F298" s="34" t="str">
        <f aca="false">IF($W298="","",IFERROR(IF(INDEX('🎓 Alumnas'!$D$2:$D$1000,MATCH($W298,'🎓 Alumnas'!$A$2:$A$1000,0))="","",INDEX('🎓 Alumnas'!$D$2:$D$1000,MATCH($W298,'🎓 Alumnas'!$A$2:$A$1000,0))),""))</f>
        <v/>
      </c>
      <c r="G298" s="28" t="str">
        <f aca="false">IF($W298="","",IFERROR(IF(INDEX('🎓 Alumnas'!$E$2:$E$1000,MATCH($W298,'🎓 Alumnas'!$A$2:$A$1000,0))="","",INDEX('🎓 Alumnas'!$E$2:$E$1000,MATCH($W298,'🎓 Alumnas'!$A$2:$A$1000,0))),""))</f>
        <v/>
      </c>
      <c r="H298" s="28" t="str">
        <f aca="false">IF($W298="","",IFERROR(IF(INDEX('🎓 Alumnas'!$F$2:$F$1000,MATCH($W298,'🎓 Alumnas'!$A$2:$A$1000,0))="","",INDEX('🎓 Alumnas'!$F$2:$F$1000,MATCH($W298,'🎓 Alumnas'!$A$2:$A$1000,0))),""))</f>
        <v/>
      </c>
      <c r="I298" s="30" t="str">
        <f aca="false">IF($W298="","",IFERROR(IF(INDEX('🎓 Alumnas'!$G$2:$G$1000,MATCH($W298,'🎓 Alumnas'!$A$2:$A$1000,0))="","",INDEX('🎓 Alumnas'!$G$2:$G$1000,MATCH($W298,'🎓 Alumnas'!$A$2:$A$1000,0))),""))</f>
        <v/>
      </c>
      <c r="J298" s="28" t="str">
        <f aca="true">IF(I298="","",DATEDIF(I298,TODAY(),"Y"))</f>
        <v/>
      </c>
      <c r="K298" s="25"/>
      <c r="L298" s="28" t="str">
        <f aca="false">IF(K298="","",IF(LEFT(K298,6)="1 Pole","Alquiler",IF(LEFT(K298,7)="1 Clase","Clase suelta","Paquete")))</f>
        <v/>
      </c>
      <c r="M298" s="25"/>
      <c r="N298" s="25"/>
      <c r="O298" s="35"/>
      <c r="P298" s="29" t="str">
        <f aca="false">IF(O298="","",N298*O298)</f>
        <v/>
      </c>
      <c r="Q298" s="36"/>
      <c r="R298" s="25"/>
      <c r="S298" s="25"/>
      <c r="T298" s="28" t="str">
        <f aca="false">IF(OR(LEFT(W298,2)&lt;&gt;"A-",ISERROR(MATCH(W298,'🎓 Alumnas'!$A$2:$A$1000,0))),"",IF(COUNTIF($W$2:W298,W298)=1,"Nueva","Recurrente"))</f>
        <v/>
      </c>
      <c r="U298" s="28" t="str">
        <f aca="false">IF(OR(T298="",L298&lt;&gt;"Paquete"),"",COUNTIFS($W$2:W298,W298,$L$2:L298,"Paquete"))</f>
        <v/>
      </c>
      <c r="V298" s="25"/>
      <c r="W298" s="34" t="str">
        <f aca="false">IF(TRIM($C298)="","",IF(COUNTIF('🎓 Alumnas'!$P$2:$P$1000,TRIM($C298))&gt;0,INDEX('🎓 Alumnas'!$A$2:$A$1000,MATCH(TRIM($C298),'🎓 Alumnas'!$P$2:$P$1000,0)),IF(COUNTIF('🎓 Alumnas'!$O$2:$O$1000,TRIM($C298)&amp;"|*")=1,INDEX('🎓 Alumnas'!$A$2:$A$1000,MATCH(TRIM($C298)&amp;"|*",'🎓 Alumnas'!$O$2:$O$1000,0)),IF(COUNTIF('🎓 Alumnas'!$O$2:$O$1000,"*|"&amp;TRIM($C298))=1,INDEX('🎓 Alumnas'!$A$2:$A$1000,MATCH("*|"&amp;TRIM($C298),'🎓 Alumnas'!$O$2:$O$1000,0)),IF(COUNTIF('🎓 Alumnas'!$Q$2:$Q$1000,TRIM($C298))=1,INDEX('🎓 Alumnas'!$A$2:$A$1000,MATCH(TRIM($C298),'🎓 Alumnas'!$Q$2:$Q$1000,0)),IF(COUNTIF('🎓 Alumnas'!$P$2:$P$1000,"*"&amp;TRIM($C298)&amp;"*")=1,INDEX('🎓 Alumnas'!$A$2:$A$1000,MATCH("*"&amp;TRIM($C298)&amp;"*",'🎓 Alumnas'!$P$2:$P$1000,0)),IF(COUNTIF('🎓 Alumnas'!$Q$2:$Q$1000,"*"&amp;TRIM($C298)&amp;"*")=1,INDEX('🎓 Alumnas'!$A$2:$A$1000,MATCH("*"&amp;TRIM($C298)&amp;"*",'🎓 Alumnas'!$Q$2:$Q$1000,0)),IF(COUNTIF('🎓 Alumnas'!$P$2:$P$1000,"*"&amp;TRIM($C298)&amp;"*")+COUNTIF('🎓 Alumnas'!$Q$2:$Q$1000,"*"&amp;TRIM($C298)&amp;"*")&gt;1,"Varias: elige de la lista","No encontrada"))))))))</f>
        <v/>
      </c>
    </row>
    <row r="299" customFormat="false" ht="14.25" hidden="false" customHeight="true" outlineLevel="0" collapsed="false">
      <c r="A299" s="25" t="s">
        <v>843</v>
      </c>
      <c r="B299" s="27"/>
      <c r="C299" s="25"/>
      <c r="D299" s="34" t="str">
        <f aca="false">IF($W299="","",IFERROR(TRIM(INDEX('🎓 Alumnas'!$B$2:$B$1000,MATCH($W299,'🎓 Alumnas'!$A$2:$A$1000,0))),""))</f>
        <v/>
      </c>
      <c r="E299" s="34" t="str">
        <f aca="false">IF($W299="","",IFERROR(TRIM(INDEX('🎓 Alumnas'!$C$2:$C$1000,MATCH($W299,'🎓 Alumnas'!$A$2:$A$1000,0))),""))</f>
        <v/>
      </c>
      <c r="F299" s="34" t="str">
        <f aca="false">IF($W299="","",IFERROR(IF(INDEX('🎓 Alumnas'!$D$2:$D$1000,MATCH($W299,'🎓 Alumnas'!$A$2:$A$1000,0))="","",INDEX('🎓 Alumnas'!$D$2:$D$1000,MATCH($W299,'🎓 Alumnas'!$A$2:$A$1000,0))),""))</f>
        <v/>
      </c>
      <c r="G299" s="28" t="str">
        <f aca="false">IF($W299="","",IFERROR(IF(INDEX('🎓 Alumnas'!$E$2:$E$1000,MATCH($W299,'🎓 Alumnas'!$A$2:$A$1000,0))="","",INDEX('🎓 Alumnas'!$E$2:$E$1000,MATCH($W299,'🎓 Alumnas'!$A$2:$A$1000,0))),""))</f>
        <v/>
      </c>
      <c r="H299" s="28" t="str">
        <f aca="false">IF($W299="","",IFERROR(IF(INDEX('🎓 Alumnas'!$F$2:$F$1000,MATCH($W299,'🎓 Alumnas'!$A$2:$A$1000,0))="","",INDEX('🎓 Alumnas'!$F$2:$F$1000,MATCH($W299,'🎓 Alumnas'!$A$2:$A$1000,0))),""))</f>
        <v/>
      </c>
      <c r="I299" s="30" t="str">
        <f aca="false">IF($W299="","",IFERROR(IF(INDEX('🎓 Alumnas'!$G$2:$G$1000,MATCH($W299,'🎓 Alumnas'!$A$2:$A$1000,0))="","",INDEX('🎓 Alumnas'!$G$2:$G$1000,MATCH($W299,'🎓 Alumnas'!$A$2:$A$1000,0))),""))</f>
        <v/>
      </c>
      <c r="J299" s="28" t="str">
        <f aca="true">IF(I299="","",DATEDIF(I299,TODAY(),"Y"))</f>
        <v/>
      </c>
      <c r="K299" s="25"/>
      <c r="L299" s="28" t="str">
        <f aca="false">IF(K299="","",IF(LEFT(K299,6)="1 Pole","Alquiler",IF(LEFT(K299,7)="1 Clase","Clase suelta","Paquete")))</f>
        <v/>
      </c>
      <c r="M299" s="25"/>
      <c r="N299" s="25"/>
      <c r="O299" s="35"/>
      <c r="P299" s="29" t="str">
        <f aca="false">IF(O299="","",N299*O299)</f>
        <v/>
      </c>
      <c r="Q299" s="36"/>
      <c r="R299" s="25"/>
      <c r="S299" s="25"/>
      <c r="T299" s="28" t="str">
        <f aca="false">IF(OR(LEFT(W299,2)&lt;&gt;"A-",ISERROR(MATCH(W299,'🎓 Alumnas'!$A$2:$A$1000,0))),"",IF(COUNTIF($W$2:W299,W299)=1,"Nueva","Recurrente"))</f>
        <v/>
      </c>
      <c r="U299" s="28" t="str">
        <f aca="false">IF(OR(T299="",L299&lt;&gt;"Paquete"),"",COUNTIFS($W$2:W299,W299,$L$2:L299,"Paquete"))</f>
        <v/>
      </c>
      <c r="V299" s="25"/>
      <c r="W299" s="34" t="str">
        <f aca="false">IF(TRIM($C299)="","",IF(COUNTIF('🎓 Alumnas'!$P$2:$P$1000,TRIM($C299))&gt;0,INDEX('🎓 Alumnas'!$A$2:$A$1000,MATCH(TRIM($C299),'🎓 Alumnas'!$P$2:$P$1000,0)),IF(COUNTIF('🎓 Alumnas'!$O$2:$O$1000,TRIM($C299)&amp;"|*")=1,INDEX('🎓 Alumnas'!$A$2:$A$1000,MATCH(TRIM($C299)&amp;"|*",'🎓 Alumnas'!$O$2:$O$1000,0)),IF(COUNTIF('🎓 Alumnas'!$O$2:$O$1000,"*|"&amp;TRIM($C299))=1,INDEX('🎓 Alumnas'!$A$2:$A$1000,MATCH("*|"&amp;TRIM($C299),'🎓 Alumnas'!$O$2:$O$1000,0)),IF(COUNTIF('🎓 Alumnas'!$Q$2:$Q$1000,TRIM($C299))=1,INDEX('🎓 Alumnas'!$A$2:$A$1000,MATCH(TRIM($C299),'🎓 Alumnas'!$Q$2:$Q$1000,0)),IF(COUNTIF('🎓 Alumnas'!$P$2:$P$1000,"*"&amp;TRIM($C299)&amp;"*")=1,INDEX('🎓 Alumnas'!$A$2:$A$1000,MATCH("*"&amp;TRIM($C299)&amp;"*",'🎓 Alumnas'!$P$2:$P$1000,0)),IF(COUNTIF('🎓 Alumnas'!$Q$2:$Q$1000,"*"&amp;TRIM($C299)&amp;"*")=1,INDEX('🎓 Alumnas'!$A$2:$A$1000,MATCH("*"&amp;TRIM($C299)&amp;"*",'🎓 Alumnas'!$Q$2:$Q$1000,0)),IF(COUNTIF('🎓 Alumnas'!$P$2:$P$1000,"*"&amp;TRIM($C299)&amp;"*")+COUNTIF('🎓 Alumnas'!$Q$2:$Q$1000,"*"&amp;TRIM($C299)&amp;"*")&gt;1,"Varias: elige de la lista","No encontrada"))))))))</f>
        <v/>
      </c>
    </row>
    <row r="300" customFormat="false" ht="14.25" hidden="false" customHeight="true" outlineLevel="0" collapsed="false">
      <c r="A300" s="25" t="s">
        <v>844</v>
      </c>
      <c r="B300" s="27"/>
      <c r="C300" s="25"/>
      <c r="D300" s="34" t="str">
        <f aca="false">IF($W300="","",IFERROR(TRIM(INDEX('🎓 Alumnas'!$B$2:$B$1000,MATCH($W300,'🎓 Alumnas'!$A$2:$A$1000,0))),""))</f>
        <v/>
      </c>
      <c r="E300" s="34" t="str">
        <f aca="false">IF($W300="","",IFERROR(TRIM(INDEX('🎓 Alumnas'!$C$2:$C$1000,MATCH($W300,'🎓 Alumnas'!$A$2:$A$1000,0))),""))</f>
        <v/>
      </c>
      <c r="F300" s="34" t="str">
        <f aca="false">IF($W300="","",IFERROR(IF(INDEX('🎓 Alumnas'!$D$2:$D$1000,MATCH($W300,'🎓 Alumnas'!$A$2:$A$1000,0))="","",INDEX('🎓 Alumnas'!$D$2:$D$1000,MATCH($W300,'🎓 Alumnas'!$A$2:$A$1000,0))),""))</f>
        <v/>
      </c>
      <c r="G300" s="28" t="str">
        <f aca="false">IF($W300="","",IFERROR(IF(INDEX('🎓 Alumnas'!$E$2:$E$1000,MATCH($W300,'🎓 Alumnas'!$A$2:$A$1000,0))="","",INDEX('🎓 Alumnas'!$E$2:$E$1000,MATCH($W300,'🎓 Alumnas'!$A$2:$A$1000,0))),""))</f>
        <v/>
      </c>
      <c r="H300" s="28" t="str">
        <f aca="false">IF($W300="","",IFERROR(IF(INDEX('🎓 Alumnas'!$F$2:$F$1000,MATCH($W300,'🎓 Alumnas'!$A$2:$A$1000,0))="","",INDEX('🎓 Alumnas'!$F$2:$F$1000,MATCH($W300,'🎓 Alumnas'!$A$2:$A$1000,0))),""))</f>
        <v/>
      </c>
      <c r="I300" s="30" t="str">
        <f aca="false">IF($W300="","",IFERROR(IF(INDEX('🎓 Alumnas'!$G$2:$G$1000,MATCH($W300,'🎓 Alumnas'!$A$2:$A$1000,0))="","",INDEX('🎓 Alumnas'!$G$2:$G$1000,MATCH($W300,'🎓 Alumnas'!$A$2:$A$1000,0))),""))</f>
        <v/>
      </c>
      <c r="J300" s="28" t="str">
        <f aca="true">IF(I300="","",DATEDIF(I300,TODAY(),"Y"))</f>
        <v/>
      </c>
      <c r="K300" s="25"/>
      <c r="L300" s="28" t="str">
        <f aca="false">IF(K300="","",IF(LEFT(K300,6)="1 Pole","Alquiler",IF(LEFT(K300,7)="1 Clase","Clase suelta","Paquete")))</f>
        <v/>
      </c>
      <c r="M300" s="25"/>
      <c r="N300" s="25"/>
      <c r="O300" s="35"/>
      <c r="P300" s="29" t="str">
        <f aca="false">IF(O300="","",N300*O300)</f>
        <v/>
      </c>
      <c r="Q300" s="36"/>
      <c r="R300" s="25"/>
      <c r="S300" s="25"/>
      <c r="T300" s="28" t="str">
        <f aca="false">IF(OR(LEFT(W300,2)&lt;&gt;"A-",ISERROR(MATCH(W300,'🎓 Alumnas'!$A$2:$A$1000,0))),"",IF(COUNTIF($W$2:W300,W300)=1,"Nueva","Recurrente"))</f>
        <v/>
      </c>
      <c r="U300" s="28" t="str">
        <f aca="false">IF(OR(T300="",L300&lt;&gt;"Paquete"),"",COUNTIFS($W$2:W300,W300,$L$2:L300,"Paquete"))</f>
        <v/>
      </c>
      <c r="V300" s="25"/>
      <c r="W300" s="34" t="str">
        <f aca="false">IF(TRIM($C300)="","",IF(COUNTIF('🎓 Alumnas'!$P$2:$P$1000,TRIM($C300))&gt;0,INDEX('🎓 Alumnas'!$A$2:$A$1000,MATCH(TRIM($C300),'🎓 Alumnas'!$P$2:$P$1000,0)),IF(COUNTIF('🎓 Alumnas'!$O$2:$O$1000,TRIM($C300)&amp;"|*")=1,INDEX('🎓 Alumnas'!$A$2:$A$1000,MATCH(TRIM($C300)&amp;"|*",'🎓 Alumnas'!$O$2:$O$1000,0)),IF(COUNTIF('🎓 Alumnas'!$O$2:$O$1000,"*|"&amp;TRIM($C300))=1,INDEX('🎓 Alumnas'!$A$2:$A$1000,MATCH("*|"&amp;TRIM($C300),'🎓 Alumnas'!$O$2:$O$1000,0)),IF(COUNTIF('🎓 Alumnas'!$Q$2:$Q$1000,TRIM($C300))=1,INDEX('🎓 Alumnas'!$A$2:$A$1000,MATCH(TRIM($C300),'🎓 Alumnas'!$Q$2:$Q$1000,0)),IF(COUNTIF('🎓 Alumnas'!$P$2:$P$1000,"*"&amp;TRIM($C300)&amp;"*")=1,INDEX('🎓 Alumnas'!$A$2:$A$1000,MATCH("*"&amp;TRIM($C300)&amp;"*",'🎓 Alumnas'!$P$2:$P$1000,0)),IF(COUNTIF('🎓 Alumnas'!$Q$2:$Q$1000,"*"&amp;TRIM($C300)&amp;"*")=1,INDEX('🎓 Alumnas'!$A$2:$A$1000,MATCH("*"&amp;TRIM($C300)&amp;"*",'🎓 Alumnas'!$Q$2:$Q$1000,0)),IF(COUNTIF('🎓 Alumnas'!$P$2:$P$1000,"*"&amp;TRIM($C300)&amp;"*")+COUNTIF('🎓 Alumnas'!$Q$2:$Q$1000,"*"&amp;TRIM($C300)&amp;"*")&gt;1,"Varias: elige de la lista","No encontrada"))))))))</f>
        <v/>
      </c>
    </row>
    <row r="301" customFormat="false" ht="14.25" hidden="false" customHeight="true" outlineLevel="0" collapsed="false">
      <c r="A301" s="25" t="s">
        <v>845</v>
      </c>
      <c r="B301" s="27"/>
      <c r="C301" s="25"/>
      <c r="D301" s="34" t="str">
        <f aca="false">IF($W301="","",IFERROR(TRIM(INDEX('🎓 Alumnas'!$B$2:$B$1000,MATCH($W301,'🎓 Alumnas'!$A$2:$A$1000,0))),""))</f>
        <v/>
      </c>
      <c r="E301" s="34" t="str">
        <f aca="false">IF($W301="","",IFERROR(TRIM(INDEX('🎓 Alumnas'!$C$2:$C$1000,MATCH($W301,'🎓 Alumnas'!$A$2:$A$1000,0))),""))</f>
        <v/>
      </c>
      <c r="F301" s="34" t="str">
        <f aca="false">IF($W301="","",IFERROR(IF(INDEX('🎓 Alumnas'!$D$2:$D$1000,MATCH($W301,'🎓 Alumnas'!$A$2:$A$1000,0))="","",INDEX('🎓 Alumnas'!$D$2:$D$1000,MATCH($W301,'🎓 Alumnas'!$A$2:$A$1000,0))),""))</f>
        <v/>
      </c>
      <c r="G301" s="28" t="str">
        <f aca="false">IF($W301="","",IFERROR(IF(INDEX('🎓 Alumnas'!$E$2:$E$1000,MATCH($W301,'🎓 Alumnas'!$A$2:$A$1000,0))="","",INDEX('🎓 Alumnas'!$E$2:$E$1000,MATCH($W301,'🎓 Alumnas'!$A$2:$A$1000,0))),""))</f>
        <v/>
      </c>
      <c r="H301" s="28" t="str">
        <f aca="false">IF($W301="","",IFERROR(IF(INDEX('🎓 Alumnas'!$F$2:$F$1000,MATCH($W301,'🎓 Alumnas'!$A$2:$A$1000,0))="","",INDEX('🎓 Alumnas'!$F$2:$F$1000,MATCH($W301,'🎓 Alumnas'!$A$2:$A$1000,0))),""))</f>
        <v/>
      </c>
      <c r="I301" s="30" t="str">
        <f aca="false">IF($W301="","",IFERROR(IF(INDEX('🎓 Alumnas'!$G$2:$G$1000,MATCH($W301,'🎓 Alumnas'!$A$2:$A$1000,0))="","",INDEX('🎓 Alumnas'!$G$2:$G$1000,MATCH($W301,'🎓 Alumnas'!$A$2:$A$1000,0))),""))</f>
        <v/>
      </c>
      <c r="J301" s="28" t="str">
        <f aca="true">IF(I301="","",DATEDIF(I301,TODAY(),"Y"))</f>
        <v/>
      </c>
      <c r="K301" s="25"/>
      <c r="L301" s="28" t="str">
        <f aca="false">IF(K301="","",IF(LEFT(K301,6)="1 Pole","Alquiler",IF(LEFT(K301,7)="1 Clase","Clase suelta","Paquete")))</f>
        <v/>
      </c>
      <c r="M301" s="25"/>
      <c r="N301" s="25"/>
      <c r="O301" s="35"/>
      <c r="P301" s="29" t="str">
        <f aca="false">IF(O301="","",N301*O301)</f>
        <v/>
      </c>
      <c r="Q301" s="36"/>
      <c r="R301" s="25"/>
      <c r="S301" s="25"/>
      <c r="T301" s="28" t="str">
        <f aca="false">IF(OR(LEFT(W301,2)&lt;&gt;"A-",ISERROR(MATCH(W301,'🎓 Alumnas'!$A$2:$A$1000,0))),"",IF(COUNTIF($W$2:W301,W301)=1,"Nueva","Recurrente"))</f>
        <v/>
      </c>
      <c r="U301" s="28" t="str">
        <f aca="false">IF(OR(T301="",L301&lt;&gt;"Paquete"),"",COUNTIFS($W$2:W301,W301,$L$2:L301,"Paquete"))</f>
        <v/>
      </c>
      <c r="V301" s="25"/>
      <c r="W301" s="34" t="str">
        <f aca="false">IF(TRIM($C301)="","",IF(COUNTIF('🎓 Alumnas'!$P$2:$P$1000,TRIM($C301))&gt;0,INDEX('🎓 Alumnas'!$A$2:$A$1000,MATCH(TRIM($C301),'🎓 Alumnas'!$P$2:$P$1000,0)),IF(COUNTIF('🎓 Alumnas'!$O$2:$O$1000,TRIM($C301)&amp;"|*")=1,INDEX('🎓 Alumnas'!$A$2:$A$1000,MATCH(TRIM($C301)&amp;"|*",'🎓 Alumnas'!$O$2:$O$1000,0)),IF(COUNTIF('🎓 Alumnas'!$O$2:$O$1000,"*|"&amp;TRIM($C301))=1,INDEX('🎓 Alumnas'!$A$2:$A$1000,MATCH("*|"&amp;TRIM($C301),'🎓 Alumnas'!$O$2:$O$1000,0)),IF(COUNTIF('🎓 Alumnas'!$Q$2:$Q$1000,TRIM($C301))=1,INDEX('🎓 Alumnas'!$A$2:$A$1000,MATCH(TRIM($C301),'🎓 Alumnas'!$Q$2:$Q$1000,0)),IF(COUNTIF('🎓 Alumnas'!$P$2:$P$1000,"*"&amp;TRIM($C301)&amp;"*")=1,INDEX('🎓 Alumnas'!$A$2:$A$1000,MATCH("*"&amp;TRIM($C301)&amp;"*",'🎓 Alumnas'!$P$2:$P$1000,0)),IF(COUNTIF('🎓 Alumnas'!$Q$2:$Q$1000,"*"&amp;TRIM($C301)&amp;"*")=1,INDEX('🎓 Alumnas'!$A$2:$A$1000,MATCH("*"&amp;TRIM($C301)&amp;"*",'🎓 Alumnas'!$Q$2:$Q$1000,0)),IF(COUNTIF('🎓 Alumnas'!$P$2:$P$1000,"*"&amp;TRIM($C301)&amp;"*")+COUNTIF('🎓 Alumnas'!$Q$2:$Q$1000,"*"&amp;TRIM($C301)&amp;"*")&gt;1,"Varias: elige de la lista","No encontrada"))))))))</f>
        <v/>
      </c>
    </row>
    <row r="302" customFormat="false" ht="14.25" hidden="false" customHeight="true" outlineLevel="0" collapsed="false">
      <c r="A302" s="25" t="s">
        <v>846</v>
      </c>
      <c r="B302" s="27"/>
      <c r="C302" s="25"/>
      <c r="D302" s="34" t="str">
        <f aca="false">IF($W302="","",IFERROR(TRIM(INDEX('🎓 Alumnas'!$B$2:$B$1000,MATCH($W302,'🎓 Alumnas'!$A$2:$A$1000,0))),""))</f>
        <v/>
      </c>
      <c r="E302" s="34" t="str">
        <f aca="false">IF($W302="","",IFERROR(TRIM(INDEX('🎓 Alumnas'!$C$2:$C$1000,MATCH($W302,'🎓 Alumnas'!$A$2:$A$1000,0))),""))</f>
        <v/>
      </c>
      <c r="F302" s="34" t="str">
        <f aca="false">IF($W302="","",IFERROR(IF(INDEX('🎓 Alumnas'!$D$2:$D$1000,MATCH($W302,'🎓 Alumnas'!$A$2:$A$1000,0))="","",INDEX('🎓 Alumnas'!$D$2:$D$1000,MATCH($W302,'🎓 Alumnas'!$A$2:$A$1000,0))),""))</f>
        <v/>
      </c>
      <c r="G302" s="28" t="str">
        <f aca="false">IF($W302="","",IFERROR(IF(INDEX('🎓 Alumnas'!$E$2:$E$1000,MATCH($W302,'🎓 Alumnas'!$A$2:$A$1000,0))="","",INDEX('🎓 Alumnas'!$E$2:$E$1000,MATCH($W302,'🎓 Alumnas'!$A$2:$A$1000,0))),""))</f>
        <v/>
      </c>
      <c r="H302" s="28" t="str">
        <f aca="false">IF($W302="","",IFERROR(IF(INDEX('🎓 Alumnas'!$F$2:$F$1000,MATCH($W302,'🎓 Alumnas'!$A$2:$A$1000,0))="","",INDEX('🎓 Alumnas'!$F$2:$F$1000,MATCH($W302,'🎓 Alumnas'!$A$2:$A$1000,0))),""))</f>
        <v/>
      </c>
      <c r="I302" s="30" t="str">
        <f aca="false">IF($W302="","",IFERROR(IF(INDEX('🎓 Alumnas'!$G$2:$G$1000,MATCH($W302,'🎓 Alumnas'!$A$2:$A$1000,0))="","",INDEX('🎓 Alumnas'!$G$2:$G$1000,MATCH($W302,'🎓 Alumnas'!$A$2:$A$1000,0))),""))</f>
        <v/>
      </c>
      <c r="J302" s="28" t="str">
        <f aca="true">IF(I302="","",DATEDIF(I302,TODAY(),"Y"))</f>
        <v/>
      </c>
      <c r="K302" s="25"/>
      <c r="L302" s="28" t="str">
        <f aca="false">IF(K302="","",IF(LEFT(K302,6)="1 Pole","Alquiler",IF(LEFT(K302,7)="1 Clase","Clase suelta","Paquete")))</f>
        <v/>
      </c>
      <c r="M302" s="25"/>
      <c r="N302" s="25"/>
      <c r="O302" s="35"/>
      <c r="P302" s="29" t="str">
        <f aca="false">IF(O302="","",N302*O302)</f>
        <v/>
      </c>
      <c r="Q302" s="36"/>
      <c r="R302" s="25"/>
      <c r="S302" s="25"/>
      <c r="T302" s="28" t="str">
        <f aca="false">IF(OR(LEFT(W302,2)&lt;&gt;"A-",ISERROR(MATCH(W302,'🎓 Alumnas'!$A$2:$A$1000,0))),"",IF(COUNTIF($W$2:W302,W302)=1,"Nueva","Recurrente"))</f>
        <v/>
      </c>
      <c r="U302" s="28" t="str">
        <f aca="false">IF(OR(T302="",L302&lt;&gt;"Paquete"),"",COUNTIFS($W$2:W302,W302,$L$2:L302,"Paquete"))</f>
        <v/>
      </c>
      <c r="V302" s="25"/>
      <c r="W302" s="34" t="str">
        <f aca="false">IF(TRIM($C302)="","",IF(COUNTIF('🎓 Alumnas'!$P$2:$P$1000,TRIM($C302))&gt;0,INDEX('🎓 Alumnas'!$A$2:$A$1000,MATCH(TRIM($C302),'🎓 Alumnas'!$P$2:$P$1000,0)),IF(COUNTIF('🎓 Alumnas'!$O$2:$O$1000,TRIM($C302)&amp;"|*")=1,INDEX('🎓 Alumnas'!$A$2:$A$1000,MATCH(TRIM($C302)&amp;"|*",'🎓 Alumnas'!$O$2:$O$1000,0)),IF(COUNTIF('🎓 Alumnas'!$O$2:$O$1000,"*|"&amp;TRIM($C302))=1,INDEX('🎓 Alumnas'!$A$2:$A$1000,MATCH("*|"&amp;TRIM($C302),'🎓 Alumnas'!$O$2:$O$1000,0)),IF(COUNTIF('🎓 Alumnas'!$Q$2:$Q$1000,TRIM($C302))=1,INDEX('🎓 Alumnas'!$A$2:$A$1000,MATCH(TRIM($C302),'🎓 Alumnas'!$Q$2:$Q$1000,0)),IF(COUNTIF('🎓 Alumnas'!$P$2:$P$1000,"*"&amp;TRIM($C302)&amp;"*")=1,INDEX('🎓 Alumnas'!$A$2:$A$1000,MATCH("*"&amp;TRIM($C302)&amp;"*",'🎓 Alumnas'!$P$2:$P$1000,0)),IF(COUNTIF('🎓 Alumnas'!$Q$2:$Q$1000,"*"&amp;TRIM($C302)&amp;"*")=1,INDEX('🎓 Alumnas'!$A$2:$A$1000,MATCH("*"&amp;TRIM($C302)&amp;"*",'🎓 Alumnas'!$Q$2:$Q$1000,0)),IF(COUNTIF('🎓 Alumnas'!$P$2:$P$1000,"*"&amp;TRIM($C302)&amp;"*")+COUNTIF('🎓 Alumnas'!$Q$2:$Q$1000,"*"&amp;TRIM($C302)&amp;"*")&gt;1,"Varias: elige de la lista","No encontrada"))))))))</f>
        <v/>
      </c>
    </row>
    <row r="303" customFormat="false" ht="14.25" hidden="false" customHeight="true" outlineLevel="0" collapsed="false">
      <c r="A303" s="25" t="s">
        <v>847</v>
      </c>
      <c r="B303" s="27"/>
      <c r="C303" s="25"/>
      <c r="D303" s="34" t="str">
        <f aca="false">IF($W303="","",IFERROR(TRIM(INDEX('🎓 Alumnas'!$B$2:$B$1000,MATCH($W303,'🎓 Alumnas'!$A$2:$A$1000,0))),""))</f>
        <v/>
      </c>
      <c r="E303" s="34" t="str">
        <f aca="false">IF($W303="","",IFERROR(TRIM(INDEX('🎓 Alumnas'!$C$2:$C$1000,MATCH($W303,'🎓 Alumnas'!$A$2:$A$1000,0))),""))</f>
        <v/>
      </c>
      <c r="F303" s="34" t="str">
        <f aca="false">IF($W303="","",IFERROR(IF(INDEX('🎓 Alumnas'!$D$2:$D$1000,MATCH($W303,'🎓 Alumnas'!$A$2:$A$1000,0))="","",INDEX('🎓 Alumnas'!$D$2:$D$1000,MATCH($W303,'🎓 Alumnas'!$A$2:$A$1000,0))),""))</f>
        <v/>
      </c>
      <c r="G303" s="28" t="str">
        <f aca="false">IF($W303="","",IFERROR(IF(INDEX('🎓 Alumnas'!$E$2:$E$1000,MATCH($W303,'🎓 Alumnas'!$A$2:$A$1000,0))="","",INDEX('🎓 Alumnas'!$E$2:$E$1000,MATCH($W303,'🎓 Alumnas'!$A$2:$A$1000,0))),""))</f>
        <v/>
      </c>
      <c r="H303" s="28" t="str">
        <f aca="false">IF($W303="","",IFERROR(IF(INDEX('🎓 Alumnas'!$F$2:$F$1000,MATCH($W303,'🎓 Alumnas'!$A$2:$A$1000,0))="","",INDEX('🎓 Alumnas'!$F$2:$F$1000,MATCH($W303,'🎓 Alumnas'!$A$2:$A$1000,0))),""))</f>
        <v/>
      </c>
      <c r="I303" s="30" t="str">
        <f aca="false">IF($W303="","",IFERROR(IF(INDEX('🎓 Alumnas'!$G$2:$G$1000,MATCH($W303,'🎓 Alumnas'!$A$2:$A$1000,0))="","",INDEX('🎓 Alumnas'!$G$2:$G$1000,MATCH($W303,'🎓 Alumnas'!$A$2:$A$1000,0))),""))</f>
        <v/>
      </c>
      <c r="J303" s="28" t="str">
        <f aca="true">IF(I303="","",DATEDIF(I303,TODAY(),"Y"))</f>
        <v/>
      </c>
      <c r="K303" s="25"/>
      <c r="L303" s="28" t="str">
        <f aca="false">IF(K303="","",IF(LEFT(K303,6)="1 Pole","Alquiler",IF(LEFT(K303,7)="1 Clase","Clase suelta","Paquete")))</f>
        <v/>
      </c>
      <c r="M303" s="25"/>
      <c r="N303" s="25"/>
      <c r="O303" s="35"/>
      <c r="P303" s="29" t="str">
        <f aca="false">IF(O303="","",N303*O303)</f>
        <v/>
      </c>
      <c r="Q303" s="36"/>
      <c r="R303" s="25"/>
      <c r="S303" s="25"/>
      <c r="T303" s="28" t="str">
        <f aca="false">IF(OR(LEFT(W303,2)&lt;&gt;"A-",ISERROR(MATCH(W303,'🎓 Alumnas'!$A$2:$A$1000,0))),"",IF(COUNTIF($W$2:W303,W303)=1,"Nueva","Recurrente"))</f>
        <v/>
      </c>
      <c r="U303" s="28" t="str">
        <f aca="false">IF(OR(T303="",L303&lt;&gt;"Paquete"),"",COUNTIFS($W$2:W303,W303,$L$2:L303,"Paquete"))</f>
        <v/>
      </c>
      <c r="V303" s="25"/>
      <c r="W303" s="34" t="str">
        <f aca="false">IF(TRIM($C303)="","",IF(COUNTIF('🎓 Alumnas'!$P$2:$P$1000,TRIM($C303))&gt;0,INDEX('🎓 Alumnas'!$A$2:$A$1000,MATCH(TRIM($C303),'🎓 Alumnas'!$P$2:$P$1000,0)),IF(COUNTIF('🎓 Alumnas'!$O$2:$O$1000,TRIM($C303)&amp;"|*")=1,INDEX('🎓 Alumnas'!$A$2:$A$1000,MATCH(TRIM($C303)&amp;"|*",'🎓 Alumnas'!$O$2:$O$1000,0)),IF(COUNTIF('🎓 Alumnas'!$O$2:$O$1000,"*|"&amp;TRIM($C303))=1,INDEX('🎓 Alumnas'!$A$2:$A$1000,MATCH("*|"&amp;TRIM($C303),'🎓 Alumnas'!$O$2:$O$1000,0)),IF(COUNTIF('🎓 Alumnas'!$Q$2:$Q$1000,TRIM($C303))=1,INDEX('🎓 Alumnas'!$A$2:$A$1000,MATCH(TRIM($C303),'🎓 Alumnas'!$Q$2:$Q$1000,0)),IF(COUNTIF('🎓 Alumnas'!$P$2:$P$1000,"*"&amp;TRIM($C303)&amp;"*")=1,INDEX('🎓 Alumnas'!$A$2:$A$1000,MATCH("*"&amp;TRIM($C303)&amp;"*",'🎓 Alumnas'!$P$2:$P$1000,0)),IF(COUNTIF('🎓 Alumnas'!$Q$2:$Q$1000,"*"&amp;TRIM($C303)&amp;"*")=1,INDEX('🎓 Alumnas'!$A$2:$A$1000,MATCH("*"&amp;TRIM($C303)&amp;"*",'🎓 Alumnas'!$Q$2:$Q$1000,0)),IF(COUNTIF('🎓 Alumnas'!$P$2:$P$1000,"*"&amp;TRIM($C303)&amp;"*")+COUNTIF('🎓 Alumnas'!$Q$2:$Q$1000,"*"&amp;TRIM($C303)&amp;"*")&gt;1,"Varias: elige de la lista","No encontrada"))))))))</f>
        <v/>
      </c>
    </row>
    <row r="304" customFormat="false" ht="14.25" hidden="false" customHeight="true" outlineLevel="0" collapsed="false">
      <c r="A304" s="25" t="s">
        <v>848</v>
      </c>
      <c r="B304" s="27"/>
      <c r="C304" s="25"/>
      <c r="D304" s="34" t="str">
        <f aca="false">IF($W304="","",IFERROR(TRIM(INDEX('🎓 Alumnas'!$B$2:$B$1000,MATCH($W304,'🎓 Alumnas'!$A$2:$A$1000,0))),""))</f>
        <v/>
      </c>
      <c r="E304" s="34" t="str">
        <f aca="false">IF($W304="","",IFERROR(TRIM(INDEX('🎓 Alumnas'!$C$2:$C$1000,MATCH($W304,'🎓 Alumnas'!$A$2:$A$1000,0))),""))</f>
        <v/>
      </c>
      <c r="F304" s="34" t="str">
        <f aca="false">IF($W304="","",IFERROR(IF(INDEX('🎓 Alumnas'!$D$2:$D$1000,MATCH($W304,'🎓 Alumnas'!$A$2:$A$1000,0))="","",INDEX('🎓 Alumnas'!$D$2:$D$1000,MATCH($W304,'🎓 Alumnas'!$A$2:$A$1000,0))),""))</f>
        <v/>
      </c>
      <c r="G304" s="28" t="str">
        <f aca="false">IF($W304="","",IFERROR(IF(INDEX('🎓 Alumnas'!$E$2:$E$1000,MATCH($W304,'🎓 Alumnas'!$A$2:$A$1000,0))="","",INDEX('🎓 Alumnas'!$E$2:$E$1000,MATCH($W304,'🎓 Alumnas'!$A$2:$A$1000,0))),""))</f>
        <v/>
      </c>
      <c r="H304" s="28" t="str">
        <f aca="false">IF($W304="","",IFERROR(IF(INDEX('🎓 Alumnas'!$F$2:$F$1000,MATCH($W304,'🎓 Alumnas'!$A$2:$A$1000,0))="","",INDEX('🎓 Alumnas'!$F$2:$F$1000,MATCH($W304,'🎓 Alumnas'!$A$2:$A$1000,0))),""))</f>
        <v/>
      </c>
      <c r="I304" s="30" t="str">
        <f aca="false">IF($W304="","",IFERROR(IF(INDEX('🎓 Alumnas'!$G$2:$G$1000,MATCH($W304,'🎓 Alumnas'!$A$2:$A$1000,0))="","",INDEX('🎓 Alumnas'!$G$2:$G$1000,MATCH($W304,'🎓 Alumnas'!$A$2:$A$1000,0))),""))</f>
        <v/>
      </c>
      <c r="J304" s="28" t="str">
        <f aca="true">IF(I304="","",DATEDIF(I304,TODAY(),"Y"))</f>
        <v/>
      </c>
      <c r="K304" s="25"/>
      <c r="L304" s="28" t="str">
        <f aca="false">IF(K304="","",IF(LEFT(K304,6)="1 Pole","Alquiler",IF(LEFT(K304,7)="1 Clase","Clase suelta","Paquete")))</f>
        <v/>
      </c>
      <c r="M304" s="25"/>
      <c r="N304" s="25"/>
      <c r="O304" s="35"/>
      <c r="P304" s="29" t="str">
        <f aca="false">IF(O304="","",N304*O304)</f>
        <v/>
      </c>
      <c r="Q304" s="36"/>
      <c r="R304" s="25"/>
      <c r="S304" s="25"/>
      <c r="T304" s="28" t="str">
        <f aca="false">IF(OR(LEFT(W304,2)&lt;&gt;"A-",ISERROR(MATCH(W304,'🎓 Alumnas'!$A$2:$A$1000,0))),"",IF(COUNTIF($W$2:W304,W304)=1,"Nueva","Recurrente"))</f>
        <v/>
      </c>
      <c r="U304" s="28" t="str">
        <f aca="false">IF(OR(T304="",L304&lt;&gt;"Paquete"),"",COUNTIFS($W$2:W304,W304,$L$2:L304,"Paquete"))</f>
        <v/>
      </c>
      <c r="V304" s="25"/>
      <c r="W304" s="34" t="str">
        <f aca="false">IF(TRIM($C304)="","",IF(COUNTIF('🎓 Alumnas'!$P$2:$P$1000,TRIM($C304))&gt;0,INDEX('🎓 Alumnas'!$A$2:$A$1000,MATCH(TRIM($C304),'🎓 Alumnas'!$P$2:$P$1000,0)),IF(COUNTIF('🎓 Alumnas'!$O$2:$O$1000,TRIM($C304)&amp;"|*")=1,INDEX('🎓 Alumnas'!$A$2:$A$1000,MATCH(TRIM($C304)&amp;"|*",'🎓 Alumnas'!$O$2:$O$1000,0)),IF(COUNTIF('🎓 Alumnas'!$O$2:$O$1000,"*|"&amp;TRIM($C304))=1,INDEX('🎓 Alumnas'!$A$2:$A$1000,MATCH("*|"&amp;TRIM($C304),'🎓 Alumnas'!$O$2:$O$1000,0)),IF(COUNTIF('🎓 Alumnas'!$Q$2:$Q$1000,TRIM($C304))=1,INDEX('🎓 Alumnas'!$A$2:$A$1000,MATCH(TRIM($C304),'🎓 Alumnas'!$Q$2:$Q$1000,0)),IF(COUNTIF('🎓 Alumnas'!$P$2:$P$1000,"*"&amp;TRIM($C304)&amp;"*")=1,INDEX('🎓 Alumnas'!$A$2:$A$1000,MATCH("*"&amp;TRIM($C304)&amp;"*",'🎓 Alumnas'!$P$2:$P$1000,0)),IF(COUNTIF('🎓 Alumnas'!$Q$2:$Q$1000,"*"&amp;TRIM($C304)&amp;"*")=1,INDEX('🎓 Alumnas'!$A$2:$A$1000,MATCH("*"&amp;TRIM($C304)&amp;"*",'🎓 Alumnas'!$Q$2:$Q$1000,0)),IF(COUNTIF('🎓 Alumnas'!$P$2:$P$1000,"*"&amp;TRIM($C304)&amp;"*")+COUNTIF('🎓 Alumnas'!$Q$2:$Q$1000,"*"&amp;TRIM($C304)&amp;"*")&gt;1,"Varias: elige de la lista","No encontrada"))))))))</f>
        <v/>
      </c>
    </row>
    <row r="305" customFormat="false" ht="14.25" hidden="false" customHeight="true" outlineLevel="0" collapsed="false">
      <c r="A305" s="25" t="s">
        <v>849</v>
      </c>
      <c r="B305" s="27"/>
      <c r="C305" s="25"/>
      <c r="D305" s="34" t="str">
        <f aca="false">IF($W305="","",IFERROR(TRIM(INDEX('🎓 Alumnas'!$B$2:$B$1000,MATCH($W305,'🎓 Alumnas'!$A$2:$A$1000,0))),""))</f>
        <v/>
      </c>
      <c r="E305" s="34" t="str">
        <f aca="false">IF($W305="","",IFERROR(TRIM(INDEX('🎓 Alumnas'!$C$2:$C$1000,MATCH($W305,'🎓 Alumnas'!$A$2:$A$1000,0))),""))</f>
        <v/>
      </c>
      <c r="F305" s="34" t="str">
        <f aca="false">IF($W305="","",IFERROR(IF(INDEX('🎓 Alumnas'!$D$2:$D$1000,MATCH($W305,'🎓 Alumnas'!$A$2:$A$1000,0))="","",INDEX('🎓 Alumnas'!$D$2:$D$1000,MATCH($W305,'🎓 Alumnas'!$A$2:$A$1000,0))),""))</f>
        <v/>
      </c>
      <c r="G305" s="28" t="str">
        <f aca="false">IF($W305="","",IFERROR(IF(INDEX('🎓 Alumnas'!$E$2:$E$1000,MATCH($W305,'🎓 Alumnas'!$A$2:$A$1000,0))="","",INDEX('🎓 Alumnas'!$E$2:$E$1000,MATCH($W305,'🎓 Alumnas'!$A$2:$A$1000,0))),""))</f>
        <v/>
      </c>
      <c r="H305" s="28" t="str">
        <f aca="false">IF($W305="","",IFERROR(IF(INDEX('🎓 Alumnas'!$F$2:$F$1000,MATCH($W305,'🎓 Alumnas'!$A$2:$A$1000,0))="","",INDEX('🎓 Alumnas'!$F$2:$F$1000,MATCH($W305,'🎓 Alumnas'!$A$2:$A$1000,0))),""))</f>
        <v/>
      </c>
      <c r="I305" s="30" t="str">
        <f aca="false">IF($W305="","",IFERROR(IF(INDEX('🎓 Alumnas'!$G$2:$G$1000,MATCH($W305,'🎓 Alumnas'!$A$2:$A$1000,0))="","",INDEX('🎓 Alumnas'!$G$2:$G$1000,MATCH($W305,'🎓 Alumnas'!$A$2:$A$1000,0))),""))</f>
        <v/>
      </c>
      <c r="J305" s="28" t="str">
        <f aca="true">IF(I305="","",DATEDIF(I305,TODAY(),"Y"))</f>
        <v/>
      </c>
      <c r="K305" s="25"/>
      <c r="L305" s="28" t="str">
        <f aca="false">IF(K305="","",IF(LEFT(K305,6)="1 Pole","Alquiler",IF(LEFT(K305,7)="1 Clase","Clase suelta","Paquete")))</f>
        <v/>
      </c>
      <c r="M305" s="25"/>
      <c r="N305" s="25"/>
      <c r="O305" s="35"/>
      <c r="P305" s="29" t="str">
        <f aca="false">IF(O305="","",N305*O305)</f>
        <v/>
      </c>
      <c r="Q305" s="36"/>
      <c r="R305" s="25"/>
      <c r="S305" s="25"/>
      <c r="T305" s="28" t="str">
        <f aca="false">IF(OR(LEFT(W305,2)&lt;&gt;"A-",ISERROR(MATCH(W305,'🎓 Alumnas'!$A$2:$A$1000,0))),"",IF(COUNTIF($W$2:W305,W305)=1,"Nueva","Recurrente"))</f>
        <v/>
      </c>
      <c r="U305" s="28" t="str">
        <f aca="false">IF(OR(T305="",L305&lt;&gt;"Paquete"),"",COUNTIFS($W$2:W305,W305,$L$2:L305,"Paquete"))</f>
        <v/>
      </c>
      <c r="V305" s="25"/>
      <c r="W305" s="34" t="str">
        <f aca="false">IF(TRIM($C305)="","",IF(COUNTIF('🎓 Alumnas'!$P$2:$P$1000,TRIM($C305))&gt;0,INDEX('🎓 Alumnas'!$A$2:$A$1000,MATCH(TRIM($C305),'🎓 Alumnas'!$P$2:$P$1000,0)),IF(COUNTIF('🎓 Alumnas'!$O$2:$O$1000,TRIM($C305)&amp;"|*")=1,INDEX('🎓 Alumnas'!$A$2:$A$1000,MATCH(TRIM($C305)&amp;"|*",'🎓 Alumnas'!$O$2:$O$1000,0)),IF(COUNTIF('🎓 Alumnas'!$O$2:$O$1000,"*|"&amp;TRIM($C305))=1,INDEX('🎓 Alumnas'!$A$2:$A$1000,MATCH("*|"&amp;TRIM($C305),'🎓 Alumnas'!$O$2:$O$1000,0)),IF(COUNTIF('🎓 Alumnas'!$Q$2:$Q$1000,TRIM($C305))=1,INDEX('🎓 Alumnas'!$A$2:$A$1000,MATCH(TRIM($C305),'🎓 Alumnas'!$Q$2:$Q$1000,0)),IF(COUNTIF('🎓 Alumnas'!$P$2:$P$1000,"*"&amp;TRIM($C305)&amp;"*")=1,INDEX('🎓 Alumnas'!$A$2:$A$1000,MATCH("*"&amp;TRIM($C305)&amp;"*",'🎓 Alumnas'!$P$2:$P$1000,0)),IF(COUNTIF('🎓 Alumnas'!$Q$2:$Q$1000,"*"&amp;TRIM($C305)&amp;"*")=1,INDEX('🎓 Alumnas'!$A$2:$A$1000,MATCH("*"&amp;TRIM($C305)&amp;"*",'🎓 Alumnas'!$Q$2:$Q$1000,0)),IF(COUNTIF('🎓 Alumnas'!$P$2:$P$1000,"*"&amp;TRIM($C305)&amp;"*")+COUNTIF('🎓 Alumnas'!$Q$2:$Q$1000,"*"&amp;TRIM($C305)&amp;"*")&gt;1,"Varias: elige de la lista","No encontrada"))))))))</f>
        <v/>
      </c>
    </row>
    <row r="306" customFormat="false" ht="14.25" hidden="false" customHeight="true" outlineLevel="0" collapsed="false">
      <c r="A306" s="25" t="s">
        <v>850</v>
      </c>
      <c r="B306" s="27"/>
      <c r="C306" s="25"/>
      <c r="D306" s="34" t="str">
        <f aca="false">IF($W306="","",IFERROR(TRIM(INDEX('🎓 Alumnas'!$B$2:$B$1000,MATCH($W306,'🎓 Alumnas'!$A$2:$A$1000,0))),""))</f>
        <v/>
      </c>
      <c r="E306" s="34" t="str">
        <f aca="false">IF($W306="","",IFERROR(TRIM(INDEX('🎓 Alumnas'!$C$2:$C$1000,MATCH($W306,'🎓 Alumnas'!$A$2:$A$1000,0))),""))</f>
        <v/>
      </c>
      <c r="F306" s="34" t="str">
        <f aca="false">IF($W306="","",IFERROR(IF(INDEX('🎓 Alumnas'!$D$2:$D$1000,MATCH($W306,'🎓 Alumnas'!$A$2:$A$1000,0))="","",INDEX('🎓 Alumnas'!$D$2:$D$1000,MATCH($W306,'🎓 Alumnas'!$A$2:$A$1000,0))),""))</f>
        <v/>
      </c>
      <c r="G306" s="28" t="str">
        <f aca="false">IF($W306="","",IFERROR(IF(INDEX('🎓 Alumnas'!$E$2:$E$1000,MATCH($W306,'🎓 Alumnas'!$A$2:$A$1000,0))="","",INDEX('🎓 Alumnas'!$E$2:$E$1000,MATCH($W306,'🎓 Alumnas'!$A$2:$A$1000,0))),""))</f>
        <v/>
      </c>
      <c r="H306" s="28" t="str">
        <f aca="false">IF($W306="","",IFERROR(IF(INDEX('🎓 Alumnas'!$F$2:$F$1000,MATCH($W306,'🎓 Alumnas'!$A$2:$A$1000,0))="","",INDEX('🎓 Alumnas'!$F$2:$F$1000,MATCH($W306,'🎓 Alumnas'!$A$2:$A$1000,0))),""))</f>
        <v/>
      </c>
      <c r="I306" s="30" t="str">
        <f aca="false">IF($W306="","",IFERROR(IF(INDEX('🎓 Alumnas'!$G$2:$G$1000,MATCH($W306,'🎓 Alumnas'!$A$2:$A$1000,0))="","",INDEX('🎓 Alumnas'!$G$2:$G$1000,MATCH($W306,'🎓 Alumnas'!$A$2:$A$1000,0))),""))</f>
        <v/>
      </c>
      <c r="J306" s="28" t="str">
        <f aca="true">IF(I306="","",DATEDIF(I306,TODAY(),"Y"))</f>
        <v/>
      </c>
      <c r="K306" s="25"/>
      <c r="L306" s="28" t="str">
        <f aca="false">IF(K306="","",IF(LEFT(K306,6)="1 Pole","Alquiler",IF(LEFT(K306,7)="1 Clase","Clase suelta","Paquete")))</f>
        <v/>
      </c>
      <c r="M306" s="25"/>
      <c r="N306" s="25"/>
      <c r="O306" s="35"/>
      <c r="P306" s="29" t="str">
        <f aca="false">IF(O306="","",N306*O306)</f>
        <v/>
      </c>
      <c r="Q306" s="36"/>
      <c r="R306" s="25"/>
      <c r="S306" s="25"/>
      <c r="T306" s="28" t="str">
        <f aca="false">IF(OR(LEFT(W306,2)&lt;&gt;"A-",ISERROR(MATCH(W306,'🎓 Alumnas'!$A$2:$A$1000,0))),"",IF(COUNTIF($W$2:W306,W306)=1,"Nueva","Recurrente"))</f>
        <v/>
      </c>
      <c r="U306" s="28" t="str">
        <f aca="false">IF(OR(T306="",L306&lt;&gt;"Paquete"),"",COUNTIFS($W$2:W306,W306,$L$2:L306,"Paquete"))</f>
        <v/>
      </c>
      <c r="V306" s="25"/>
      <c r="W306" s="34" t="str">
        <f aca="false">IF(TRIM($C306)="","",IF(COUNTIF('🎓 Alumnas'!$P$2:$P$1000,TRIM($C306))&gt;0,INDEX('🎓 Alumnas'!$A$2:$A$1000,MATCH(TRIM($C306),'🎓 Alumnas'!$P$2:$P$1000,0)),IF(COUNTIF('🎓 Alumnas'!$O$2:$O$1000,TRIM($C306)&amp;"|*")=1,INDEX('🎓 Alumnas'!$A$2:$A$1000,MATCH(TRIM($C306)&amp;"|*",'🎓 Alumnas'!$O$2:$O$1000,0)),IF(COUNTIF('🎓 Alumnas'!$O$2:$O$1000,"*|"&amp;TRIM($C306))=1,INDEX('🎓 Alumnas'!$A$2:$A$1000,MATCH("*|"&amp;TRIM($C306),'🎓 Alumnas'!$O$2:$O$1000,0)),IF(COUNTIF('🎓 Alumnas'!$Q$2:$Q$1000,TRIM($C306))=1,INDEX('🎓 Alumnas'!$A$2:$A$1000,MATCH(TRIM($C306),'🎓 Alumnas'!$Q$2:$Q$1000,0)),IF(COUNTIF('🎓 Alumnas'!$P$2:$P$1000,"*"&amp;TRIM($C306)&amp;"*")=1,INDEX('🎓 Alumnas'!$A$2:$A$1000,MATCH("*"&amp;TRIM($C306)&amp;"*",'🎓 Alumnas'!$P$2:$P$1000,0)),IF(COUNTIF('🎓 Alumnas'!$Q$2:$Q$1000,"*"&amp;TRIM($C306)&amp;"*")=1,INDEX('🎓 Alumnas'!$A$2:$A$1000,MATCH("*"&amp;TRIM($C306)&amp;"*",'🎓 Alumnas'!$Q$2:$Q$1000,0)),IF(COUNTIF('🎓 Alumnas'!$P$2:$P$1000,"*"&amp;TRIM($C306)&amp;"*")+COUNTIF('🎓 Alumnas'!$Q$2:$Q$1000,"*"&amp;TRIM($C306)&amp;"*")&gt;1,"Varias: elige de la lista","No encontrada"))))))))</f>
        <v/>
      </c>
    </row>
    <row r="307" customFormat="false" ht="14.25" hidden="false" customHeight="true" outlineLevel="0" collapsed="false">
      <c r="A307" s="25" t="s">
        <v>851</v>
      </c>
      <c r="B307" s="27"/>
      <c r="C307" s="25"/>
      <c r="D307" s="34" t="str">
        <f aca="false">IF($W307="","",IFERROR(TRIM(INDEX('🎓 Alumnas'!$B$2:$B$1000,MATCH($W307,'🎓 Alumnas'!$A$2:$A$1000,0))),""))</f>
        <v/>
      </c>
      <c r="E307" s="34" t="str">
        <f aca="false">IF($W307="","",IFERROR(TRIM(INDEX('🎓 Alumnas'!$C$2:$C$1000,MATCH($W307,'🎓 Alumnas'!$A$2:$A$1000,0))),""))</f>
        <v/>
      </c>
      <c r="F307" s="34" t="str">
        <f aca="false">IF($W307="","",IFERROR(IF(INDEX('🎓 Alumnas'!$D$2:$D$1000,MATCH($W307,'🎓 Alumnas'!$A$2:$A$1000,0))="","",INDEX('🎓 Alumnas'!$D$2:$D$1000,MATCH($W307,'🎓 Alumnas'!$A$2:$A$1000,0))),""))</f>
        <v/>
      </c>
      <c r="G307" s="28" t="str">
        <f aca="false">IF($W307="","",IFERROR(IF(INDEX('🎓 Alumnas'!$E$2:$E$1000,MATCH($W307,'🎓 Alumnas'!$A$2:$A$1000,0))="","",INDEX('🎓 Alumnas'!$E$2:$E$1000,MATCH($W307,'🎓 Alumnas'!$A$2:$A$1000,0))),""))</f>
        <v/>
      </c>
      <c r="H307" s="28" t="str">
        <f aca="false">IF($W307="","",IFERROR(IF(INDEX('🎓 Alumnas'!$F$2:$F$1000,MATCH($W307,'🎓 Alumnas'!$A$2:$A$1000,0))="","",INDEX('🎓 Alumnas'!$F$2:$F$1000,MATCH($W307,'🎓 Alumnas'!$A$2:$A$1000,0))),""))</f>
        <v/>
      </c>
      <c r="I307" s="30" t="str">
        <f aca="false">IF($W307="","",IFERROR(IF(INDEX('🎓 Alumnas'!$G$2:$G$1000,MATCH($W307,'🎓 Alumnas'!$A$2:$A$1000,0))="","",INDEX('🎓 Alumnas'!$G$2:$G$1000,MATCH($W307,'🎓 Alumnas'!$A$2:$A$1000,0))),""))</f>
        <v/>
      </c>
      <c r="J307" s="28" t="str">
        <f aca="true">IF(I307="","",DATEDIF(I307,TODAY(),"Y"))</f>
        <v/>
      </c>
      <c r="K307" s="25"/>
      <c r="L307" s="28" t="str">
        <f aca="false">IF(K307="","",IF(LEFT(K307,6)="1 Pole","Alquiler",IF(LEFT(K307,7)="1 Clase","Clase suelta","Paquete")))</f>
        <v/>
      </c>
      <c r="M307" s="25"/>
      <c r="N307" s="25"/>
      <c r="O307" s="35"/>
      <c r="P307" s="29" t="str">
        <f aca="false">IF(O307="","",N307*O307)</f>
        <v/>
      </c>
      <c r="Q307" s="36"/>
      <c r="R307" s="25"/>
      <c r="S307" s="25"/>
      <c r="T307" s="28" t="str">
        <f aca="false">IF(OR(LEFT(W307,2)&lt;&gt;"A-",ISERROR(MATCH(W307,'🎓 Alumnas'!$A$2:$A$1000,0))),"",IF(COUNTIF($W$2:W307,W307)=1,"Nueva","Recurrente"))</f>
        <v/>
      </c>
      <c r="U307" s="28" t="str">
        <f aca="false">IF(OR(T307="",L307&lt;&gt;"Paquete"),"",COUNTIFS($W$2:W307,W307,$L$2:L307,"Paquete"))</f>
        <v/>
      </c>
      <c r="V307" s="25"/>
      <c r="W307" s="34" t="str">
        <f aca="false">IF(TRIM($C307)="","",IF(COUNTIF('🎓 Alumnas'!$P$2:$P$1000,TRIM($C307))&gt;0,INDEX('🎓 Alumnas'!$A$2:$A$1000,MATCH(TRIM($C307),'🎓 Alumnas'!$P$2:$P$1000,0)),IF(COUNTIF('🎓 Alumnas'!$O$2:$O$1000,TRIM($C307)&amp;"|*")=1,INDEX('🎓 Alumnas'!$A$2:$A$1000,MATCH(TRIM($C307)&amp;"|*",'🎓 Alumnas'!$O$2:$O$1000,0)),IF(COUNTIF('🎓 Alumnas'!$O$2:$O$1000,"*|"&amp;TRIM($C307))=1,INDEX('🎓 Alumnas'!$A$2:$A$1000,MATCH("*|"&amp;TRIM($C307),'🎓 Alumnas'!$O$2:$O$1000,0)),IF(COUNTIF('🎓 Alumnas'!$Q$2:$Q$1000,TRIM($C307))=1,INDEX('🎓 Alumnas'!$A$2:$A$1000,MATCH(TRIM($C307),'🎓 Alumnas'!$Q$2:$Q$1000,0)),IF(COUNTIF('🎓 Alumnas'!$P$2:$P$1000,"*"&amp;TRIM($C307)&amp;"*")=1,INDEX('🎓 Alumnas'!$A$2:$A$1000,MATCH("*"&amp;TRIM($C307)&amp;"*",'🎓 Alumnas'!$P$2:$P$1000,0)),IF(COUNTIF('🎓 Alumnas'!$Q$2:$Q$1000,"*"&amp;TRIM($C307)&amp;"*")=1,INDEX('🎓 Alumnas'!$A$2:$A$1000,MATCH("*"&amp;TRIM($C307)&amp;"*",'🎓 Alumnas'!$Q$2:$Q$1000,0)),IF(COUNTIF('🎓 Alumnas'!$P$2:$P$1000,"*"&amp;TRIM($C307)&amp;"*")+COUNTIF('🎓 Alumnas'!$Q$2:$Q$1000,"*"&amp;TRIM($C307)&amp;"*")&gt;1,"Varias: elige de la lista","No encontrada"))))))))</f>
        <v/>
      </c>
    </row>
    <row r="308" customFormat="false" ht="14.25" hidden="false" customHeight="true" outlineLevel="0" collapsed="false">
      <c r="A308" s="25" t="s">
        <v>852</v>
      </c>
      <c r="B308" s="27"/>
      <c r="C308" s="25"/>
      <c r="D308" s="34" t="str">
        <f aca="false">IF($W308="","",IFERROR(TRIM(INDEX('🎓 Alumnas'!$B$2:$B$1000,MATCH($W308,'🎓 Alumnas'!$A$2:$A$1000,0))),""))</f>
        <v/>
      </c>
      <c r="E308" s="34" t="str">
        <f aca="false">IF($W308="","",IFERROR(TRIM(INDEX('🎓 Alumnas'!$C$2:$C$1000,MATCH($W308,'🎓 Alumnas'!$A$2:$A$1000,0))),""))</f>
        <v/>
      </c>
      <c r="F308" s="34" t="str">
        <f aca="false">IF($W308="","",IFERROR(IF(INDEX('🎓 Alumnas'!$D$2:$D$1000,MATCH($W308,'🎓 Alumnas'!$A$2:$A$1000,0))="","",INDEX('🎓 Alumnas'!$D$2:$D$1000,MATCH($W308,'🎓 Alumnas'!$A$2:$A$1000,0))),""))</f>
        <v/>
      </c>
      <c r="G308" s="28" t="str">
        <f aca="false">IF($W308="","",IFERROR(IF(INDEX('🎓 Alumnas'!$E$2:$E$1000,MATCH($W308,'🎓 Alumnas'!$A$2:$A$1000,0))="","",INDEX('🎓 Alumnas'!$E$2:$E$1000,MATCH($W308,'🎓 Alumnas'!$A$2:$A$1000,0))),""))</f>
        <v/>
      </c>
      <c r="H308" s="28" t="str">
        <f aca="false">IF($W308="","",IFERROR(IF(INDEX('🎓 Alumnas'!$F$2:$F$1000,MATCH($W308,'🎓 Alumnas'!$A$2:$A$1000,0))="","",INDEX('🎓 Alumnas'!$F$2:$F$1000,MATCH($W308,'🎓 Alumnas'!$A$2:$A$1000,0))),""))</f>
        <v/>
      </c>
      <c r="I308" s="30" t="str">
        <f aca="false">IF($W308="","",IFERROR(IF(INDEX('🎓 Alumnas'!$G$2:$G$1000,MATCH($W308,'🎓 Alumnas'!$A$2:$A$1000,0))="","",INDEX('🎓 Alumnas'!$G$2:$G$1000,MATCH($W308,'🎓 Alumnas'!$A$2:$A$1000,0))),""))</f>
        <v/>
      </c>
      <c r="J308" s="28" t="str">
        <f aca="true">IF(I308="","",DATEDIF(I308,TODAY(),"Y"))</f>
        <v/>
      </c>
      <c r="K308" s="25"/>
      <c r="L308" s="28" t="str">
        <f aca="false">IF(K308="","",IF(LEFT(K308,6)="1 Pole","Alquiler",IF(LEFT(K308,7)="1 Clase","Clase suelta","Paquete")))</f>
        <v/>
      </c>
      <c r="M308" s="25"/>
      <c r="N308" s="25"/>
      <c r="O308" s="35"/>
      <c r="P308" s="29" t="str">
        <f aca="false">IF(O308="","",N308*O308)</f>
        <v/>
      </c>
      <c r="Q308" s="36"/>
      <c r="R308" s="25"/>
      <c r="S308" s="25"/>
      <c r="T308" s="28" t="str">
        <f aca="false">IF(OR(LEFT(W308,2)&lt;&gt;"A-",ISERROR(MATCH(W308,'🎓 Alumnas'!$A$2:$A$1000,0))),"",IF(COUNTIF($W$2:W308,W308)=1,"Nueva","Recurrente"))</f>
        <v/>
      </c>
      <c r="U308" s="28" t="str">
        <f aca="false">IF(OR(T308="",L308&lt;&gt;"Paquete"),"",COUNTIFS($W$2:W308,W308,$L$2:L308,"Paquete"))</f>
        <v/>
      </c>
      <c r="V308" s="25"/>
      <c r="W308" s="34" t="str">
        <f aca="false">IF(TRIM($C308)="","",IF(COUNTIF('🎓 Alumnas'!$P$2:$P$1000,TRIM($C308))&gt;0,INDEX('🎓 Alumnas'!$A$2:$A$1000,MATCH(TRIM($C308),'🎓 Alumnas'!$P$2:$P$1000,0)),IF(COUNTIF('🎓 Alumnas'!$O$2:$O$1000,TRIM($C308)&amp;"|*")=1,INDEX('🎓 Alumnas'!$A$2:$A$1000,MATCH(TRIM($C308)&amp;"|*",'🎓 Alumnas'!$O$2:$O$1000,0)),IF(COUNTIF('🎓 Alumnas'!$O$2:$O$1000,"*|"&amp;TRIM($C308))=1,INDEX('🎓 Alumnas'!$A$2:$A$1000,MATCH("*|"&amp;TRIM($C308),'🎓 Alumnas'!$O$2:$O$1000,0)),IF(COUNTIF('🎓 Alumnas'!$Q$2:$Q$1000,TRIM($C308))=1,INDEX('🎓 Alumnas'!$A$2:$A$1000,MATCH(TRIM($C308),'🎓 Alumnas'!$Q$2:$Q$1000,0)),IF(COUNTIF('🎓 Alumnas'!$P$2:$P$1000,"*"&amp;TRIM($C308)&amp;"*")=1,INDEX('🎓 Alumnas'!$A$2:$A$1000,MATCH("*"&amp;TRIM($C308)&amp;"*",'🎓 Alumnas'!$P$2:$P$1000,0)),IF(COUNTIF('🎓 Alumnas'!$Q$2:$Q$1000,"*"&amp;TRIM($C308)&amp;"*")=1,INDEX('🎓 Alumnas'!$A$2:$A$1000,MATCH("*"&amp;TRIM($C308)&amp;"*",'🎓 Alumnas'!$Q$2:$Q$1000,0)),IF(COUNTIF('🎓 Alumnas'!$P$2:$P$1000,"*"&amp;TRIM($C308)&amp;"*")+COUNTIF('🎓 Alumnas'!$Q$2:$Q$1000,"*"&amp;TRIM($C308)&amp;"*")&gt;1,"Varias: elige de la lista","No encontrada"))))))))</f>
        <v/>
      </c>
    </row>
    <row r="309" customFormat="false" ht="14.25" hidden="false" customHeight="true" outlineLevel="0" collapsed="false">
      <c r="A309" s="25" t="s">
        <v>853</v>
      </c>
      <c r="B309" s="27"/>
      <c r="C309" s="25"/>
      <c r="D309" s="34" t="str">
        <f aca="false">IF($W309="","",IFERROR(TRIM(INDEX('🎓 Alumnas'!$B$2:$B$1000,MATCH($W309,'🎓 Alumnas'!$A$2:$A$1000,0))),""))</f>
        <v/>
      </c>
      <c r="E309" s="34" t="str">
        <f aca="false">IF($W309="","",IFERROR(TRIM(INDEX('🎓 Alumnas'!$C$2:$C$1000,MATCH($W309,'🎓 Alumnas'!$A$2:$A$1000,0))),""))</f>
        <v/>
      </c>
      <c r="F309" s="34" t="str">
        <f aca="false">IF($W309="","",IFERROR(IF(INDEX('🎓 Alumnas'!$D$2:$D$1000,MATCH($W309,'🎓 Alumnas'!$A$2:$A$1000,0))="","",INDEX('🎓 Alumnas'!$D$2:$D$1000,MATCH($W309,'🎓 Alumnas'!$A$2:$A$1000,0))),""))</f>
        <v/>
      </c>
      <c r="G309" s="28" t="str">
        <f aca="false">IF($W309="","",IFERROR(IF(INDEX('🎓 Alumnas'!$E$2:$E$1000,MATCH($W309,'🎓 Alumnas'!$A$2:$A$1000,0))="","",INDEX('🎓 Alumnas'!$E$2:$E$1000,MATCH($W309,'🎓 Alumnas'!$A$2:$A$1000,0))),""))</f>
        <v/>
      </c>
      <c r="H309" s="28" t="str">
        <f aca="false">IF($W309="","",IFERROR(IF(INDEX('🎓 Alumnas'!$F$2:$F$1000,MATCH($W309,'🎓 Alumnas'!$A$2:$A$1000,0))="","",INDEX('🎓 Alumnas'!$F$2:$F$1000,MATCH($W309,'🎓 Alumnas'!$A$2:$A$1000,0))),""))</f>
        <v/>
      </c>
      <c r="I309" s="30" t="str">
        <f aca="false">IF($W309="","",IFERROR(IF(INDEX('🎓 Alumnas'!$G$2:$G$1000,MATCH($W309,'🎓 Alumnas'!$A$2:$A$1000,0))="","",INDEX('🎓 Alumnas'!$G$2:$G$1000,MATCH($W309,'🎓 Alumnas'!$A$2:$A$1000,0))),""))</f>
        <v/>
      </c>
      <c r="J309" s="28" t="str">
        <f aca="true">IF(I309="","",DATEDIF(I309,TODAY(),"Y"))</f>
        <v/>
      </c>
      <c r="K309" s="25"/>
      <c r="L309" s="28" t="str">
        <f aca="false">IF(K309="","",IF(LEFT(K309,6)="1 Pole","Alquiler",IF(LEFT(K309,7)="1 Clase","Clase suelta","Paquete")))</f>
        <v/>
      </c>
      <c r="M309" s="25"/>
      <c r="N309" s="25"/>
      <c r="O309" s="35"/>
      <c r="P309" s="29" t="str">
        <f aca="false">IF(O309="","",N309*O309)</f>
        <v/>
      </c>
      <c r="Q309" s="36"/>
      <c r="R309" s="25"/>
      <c r="S309" s="25"/>
      <c r="T309" s="28" t="str">
        <f aca="false">IF(OR(LEFT(W309,2)&lt;&gt;"A-",ISERROR(MATCH(W309,'🎓 Alumnas'!$A$2:$A$1000,0))),"",IF(COUNTIF($W$2:W309,W309)=1,"Nueva","Recurrente"))</f>
        <v/>
      </c>
      <c r="U309" s="28" t="str">
        <f aca="false">IF(OR(T309="",L309&lt;&gt;"Paquete"),"",COUNTIFS($W$2:W309,W309,$L$2:L309,"Paquete"))</f>
        <v/>
      </c>
      <c r="V309" s="25"/>
      <c r="W309" s="34" t="str">
        <f aca="false">IF(TRIM($C309)="","",IF(COUNTIF('🎓 Alumnas'!$P$2:$P$1000,TRIM($C309))&gt;0,INDEX('🎓 Alumnas'!$A$2:$A$1000,MATCH(TRIM($C309),'🎓 Alumnas'!$P$2:$P$1000,0)),IF(COUNTIF('🎓 Alumnas'!$O$2:$O$1000,TRIM($C309)&amp;"|*")=1,INDEX('🎓 Alumnas'!$A$2:$A$1000,MATCH(TRIM($C309)&amp;"|*",'🎓 Alumnas'!$O$2:$O$1000,0)),IF(COUNTIF('🎓 Alumnas'!$O$2:$O$1000,"*|"&amp;TRIM($C309))=1,INDEX('🎓 Alumnas'!$A$2:$A$1000,MATCH("*|"&amp;TRIM($C309),'🎓 Alumnas'!$O$2:$O$1000,0)),IF(COUNTIF('🎓 Alumnas'!$Q$2:$Q$1000,TRIM($C309))=1,INDEX('🎓 Alumnas'!$A$2:$A$1000,MATCH(TRIM($C309),'🎓 Alumnas'!$Q$2:$Q$1000,0)),IF(COUNTIF('🎓 Alumnas'!$P$2:$P$1000,"*"&amp;TRIM($C309)&amp;"*")=1,INDEX('🎓 Alumnas'!$A$2:$A$1000,MATCH("*"&amp;TRIM($C309)&amp;"*",'🎓 Alumnas'!$P$2:$P$1000,0)),IF(COUNTIF('🎓 Alumnas'!$Q$2:$Q$1000,"*"&amp;TRIM($C309)&amp;"*")=1,INDEX('🎓 Alumnas'!$A$2:$A$1000,MATCH("*"&amp;TRIM($C309)&amp;"*",'🎓 Alumnas'!$Q$2:$Q$1000,0)),IF(COUNTIF('🎓 Alumnas'!$P$2:$P$1000,"*"&amp;TRIM($C309)&amp;"*")+COUNTIF('🎓 Alumnas'!$Q$2:$Q$1000,"*"&amp;TRIM($C309)&amp;"*")&gt;1,"Varias: elige de la lista","No encontrada"))))))))</f>
        <v/>
      </c>
    </row>
    <row r="310" customFormat="false" ht="14.25" hidden="false" customHeight="true" outlineLevel="0" collapsed="false">
      <c r="A310" s="25" t="s">
        <v>854</v>
      </c>
      <c r="B310" s="27"/>
      <c r="C310" s="25"/>
      <c r="D310" s="34" t="str">
        <f aca="false">IF($W310="","",IFERROR(TRIM(INDEX('🎓 Alumnas'!$B$2:$B$1000,MATCH($W310,'🎓 Alumnas'!$A$2:$A$1000,0))),""))</f>
        <v/>
      </c>
      <c r="E310" s="34" t="str">
        <f aca="false">IF($W310="","",IFERROR(TRIM(INDEX('🎓 Alumnas'!$C$2:$C$1000,MATCH($W310,'🎓 Alumnas'!$A$2:$A$1000,0))),""))</f>
        <v/>
      </c>
      <c r="F310" s="34" t="str">
        <f aca="false">IF($W310="","",IFERROR(IF(INDEX('🎓 Alumnas'!$D$2:$D$1000,MATCH($W310,'🎓 Alumnas'!$A$2:$A$1000,0))="","",INDEX('🎓 Alumnas'!$D$2:$D$1000,MATCH($W310,'🎓 Alumnas'!$A$2:$A$1000,0))),""))</f>
        <v/>
      </c>
      <c r="G310" s="28" t="str">
        <f aca="false">IF($W310="","",IFERROR(IF(INDEX('🎓 Alumnas'!$E$2:$E$1000,MATCH($W310,'🎓 Alumnas'!$A$2:$A$1000,0))="","",INDEX('🎓 Alumnas'!$E$2:$E$1000,MATCH($W310,'🎓 Alumnas'!$A$2:$A$1000,0))),""))</f>
        <v/>
      </c>
      <c r="H310" s="28" t="str">
        <f aca="false">IF($W310="","",IFERROR(IF(INDEX('🎓 Alumnas'!$F$2:$F$1000,MATCH($W310,'🎓 Alumnas'!$A$2:$A$1000,0))="","",INDEX('🎓 Alumnas'!$F$2:$F$1000,MATCH($W310,'🎓 Alumnas'!$A$2:$A$1000,0))),""))</f>
        <v/>
      </c>
      <c r="I310" s="30" t="str">
        <f aca="false">IF($W310="","",IFERROR(IF(INDEX('🎓 Alumnas'!$G$2:$G$1000,MATCH($W310,'🎓 Alumnas'!$A$2:$A$1000,0))="","",INDEX('🎓 Alumnas'!$G$2:$G$1000,MATCH($W310,'🎓 Alumnas'!$A$2:$A$1000,0))),""))</f>
        <v/>
      </c>
      <c r="J310" s="28" t="str">
        <f aca="true">IF(I310="","",DATEDIF(I310,TODAY(),"Y"))</f>
        <v/>
      </c>
      <c r="K310" s="25"/>
      <c r="L310" s="28" t="str">
        <f aca="false">IF(K310="","",IF(LEFT(K310,6)="1 Pole","Alquiler",IF(LEFT(K310,7)="1 Clase","Clase suelta","Paquete")))</f>
        <v/>
      </c>
      <c r="M310" s="25"/>
      <c r="N310" s="25"/>
      <c r="O310" s="35"/>
      <c r="P310" s="29" t="str">
        <f aca="false">IF(O310="","",N310*O310)</f>
        <v/>
      </c>
      <c r="Q310" s="36"/>
      <c r="R310" s="25"/>
      <c r="S310" s="25"/>
      <c r="T310" s="28" t="str">
        <f aca="false">IF(OR(LEFT(W310,2)&lt;&gt;"A-",ISERROR(MATCH(W310,'🎓 Alumnas'!$A$2:$A$1000,0))),"",IF(COUNTIF($W$2:W310,W310)=1,"Nueva","Recurrente"))</f>
        <v/>
      </c>
      <c r="U310" s="28" t="str">
        <f aca="false">IF(OR(T310="",L310&lt;&gt;"Paquete"),"",COUNTIFS($W$2:W310,W310,$L$2:L310,"Paquete"))</f>
        <v/>
      </c>
      <c r="V310" s="25"/>
      <c r="W310" s="34" t="str">
        <f aca="false">IF(TRIM($C310)="","",IF(COUNTIF('🎓 Alumnas'!$P$2:$P$1000,TRIM($C310))&gt;0,INDEX('🎓 Alumnas'!$A$2:$A$1000,MATCH(TRIM($C310),'🎓 Alumnas'!$P$2:$P$1000,0)),IF(COUNTIF('🎓 Alumnas'!$O$2:$O$1000,TRIM($C310)&amp;"|*")=1,INDEX('🎓 Alumnas'!$A$2:$A$1000,MATCH(TRIM($C310)&amp;"|*",'🎓 Alumnas'!$O$2:$O$1000,0)),IF(COUNTIF('🎓 Alumnas'!$O$2:$O$1000,"*|"&amp;TRIM($C310))=1,INDEX('🎓 Alumnas'!$A$2:$A$1000,MATCH("*|"&amp;TRIM($C310),'🎓 Alumnas'!$O$2:$O$1000,0)),IF(COUNTIF('🎓 Alumnas'!$Q$2:$Q$1000,TRIM($C310))=1,INDEX('🎓 Alumnas'!$A$2:$A$1000,MATCH(TRIM($C310),'🎓 Alumnas'!$Q$2:$Q$1000,0)),IF(COUNTIF('🎓 Alumnas'!$P$2:$P$1000,"*"&amp;TRIM($C310)&amp;"*")=1,INDEX('🎓 Alumnas'!$A$2:$A$1000,MATCH("*"&amp;TRIM($C310)&amp;"*",'🎓 Alumnas'!$P$2:$P$1000,0)),IF(COUNTIF('🎓 Alumnas'!$Q$2:$Q$1000,"*"&amp;TRIM($C310)&amp;"*")=1,INDEX('🎓 Alumnas'!$A$2:$A$1000,MATCH("*"&amp;TRIM($C310)&amp;"*",'🎓 Alumnas'!$Q$2:$Q$1000,0)),IF(COUNTIF('🎓 Alumnas'!$P$2:$P$1000,"*"&amp;TRIM($C310)&amp;"*")+COUNTIF('🎓 Alumnas'!$Q$2:$Q$1000,"*"&amp;TRIM($C310)&amp;"*")&gt;1,"Varias: elige de la lista","No encontrada"))))))))</f>
        <v/>
      </c>
    </row>
    <row r="311" customFormat="false" ht="14.25" hidden="false" customHeight="true" outlineLevel="0" collapsed="false">
      <c r="A311" s="25" t="s">
        <v>855</v>
      </c>
      <c r="B311" s="27"/>
      <c r="C311" s="25"/>
      <c r="D311" s="34" t="str">
        <f aca="false">IF($W311="","",IFERROR(TRIM(INDEX('🎓 Alumnas'!$B$2:$B$1000,MATCH($W311,'🎓 Alumnas'!$A$2:$A$1000,0))),""))</f>
        <v/>
      </c>
      <c r="E311" s="34" t="str">
        <f aca="false">IF($W311="","",IFERROR(TRIM(INDEX('🎓 Alumnas'!$C$2:$C$1000,MATCH($W311,'🎓 Alumnas'!$A$2:$A$1000,0))),""))</f>
        <v/>
      </c>
      <c r="F311" s="34" t="str">
        <f aca="false">IF($W311="","",IFERROR(IF(INDEX('🎓 Alumnas'!$D$2:$D$1000,MATCH($W311,'🎓 Alumnas'!$A$2:$A$1000,0))="","",INDEX('🎓 Alumnas'!$D$2:$D$1000,MATCH($W311,'🎓 Alumnas'!$A$2:$A$1000,0))),""))</f>
        <v/>
      </c>
      <c r="G311" s="28" t="str">
        <f aca="false">IF($W311="","",IFERROR(IF(INDEX('🎓 Alumnas'!$E$2:$E$1000,MATCH($W311,'🎓 Alumnas'!$A$2:$A$1000,0))="","",INDEX('🎓 Alumnas'!$E$2:$E$1000,MATCH($W311,'🎓 Alumnas'!$A$2:$A$1000,0))),""))</f>
        <v/>
      </c>
      <c r="H311" s="28" t="str">
        <f aca="false">IF($W311="","",IFERROR(IF(INDEX('🎓 Alumnas'!$F$2:$F$1000,MATCH($W311,'🎓 Alumnas'!$A$2:$A$1000,0))="","",INDEX('🎓 Alumnas'!$F$2:$F$1000,MATCH($W311,'🎓 Alumnas'!$A$2:$A$1000,0))),""))</f>
        <v/>
      </c>
      <c r="I311" s="30" t="str">
        <f aca="false">IF($W311="","",IFERROR(IF(INDEX('🎓 Alumnas'!$G$2:$G$1000,MATCH($W311,'🎓 Alumnas'!$A$2:$A$1000,0))="","",INDEX('🎓 Alumnas'!$G$2:$G$1000,MATCH($W311,'🎓 Alumnas'!$A$2:$A$1000,0))),""))</f>
        <v/>
      </c>
      <c r="J311" s="28" t="str">
        <f aca="true">IF(I311="","",DATEDIF(I311,TODAY(),"Y"))</f>
        <v/>
      </c>
      <c r="K311" s="25"/>
      <c r="L311" s="28" t="str">
        <f aca="false">IF(K311="","",IF(LEFT(K311,6)="1 Pole","Alquiler",IF(LEFT(K311,7)="1 Clase","Clase suelta","Paquete")))</f>
        <v/>
      </c>
      <c r="M311" s="25"/>
      <c r="N311" s="25"/>
      <c r="O311" s="35"/>
      <c r="P311" s="29" t="str">
        <f aca="false">IF(O311="","",N311*O311)</f>
        <v/>
      </c>
      <c r="Q311" s="36"/>
      <c r="R311" s="25"/>
      <c r="S311" s="25"/>
      <c r="T311" s="28" t="str">
        <f aca="false">IF(OR(LEFT(W311,2)&lt;&gt;"A-",ISERROR(MATCH(W311,'🎓 Alumnas'!$A$2:$A$1000,0))),"",IF(COUNTIF($W$2:W311,W311)=1,"Nueva","Recurrente"))</f>
        <v/>
      </c>
      <c r="U311" s="28" t="str">
        <f aca="false">IF(OR(T311="",L311&lt;&gt;"Paquete"),"",COUNTIFS($W$2:W311,W311,$L$2:L311,"Paquete"))</f>
        <v/>
      </c>
      <c r="V311" s="25"/>
      <c r="W311" s="34" t="str">
        <f aca="false">IF(TRIM($C311)="","",IF(COUNTIF('🎓 Alumnas'!$P$2:$P$1000,TRIM($C311))&gt;0,INDEX('🎓 Alumnas'!$A$2:$A$1000,MATCH(TRIM($C311),'🎓 Alumnas'!$P$2:$P$1000,0)),IF(COUNTIF('🎓 Alumnas'!$O$2:$O$1000,TRIM($C311)&amp;"|*")=1,INDEX('🎓 Alumnas'!$A$2:$A$1000,MATCH(TRIM($C311)&amp;"|*",'🎓 Alumnas'!$O$2:$O$1000,0)),IF(COUNTIF('🎓 Alumnas'!$O$2:$O$1000,"*|"&amp;TRIM($C311))=1,INDEX('🎓 Alumnas'!$A$2:$A$1000,MATCH("*|"&amp;TRIM($C311),'🎓 Alumnas'!$O$2:$O$1000,0)),IF(COUNTIF('🎓 Alumnas'!$Q$2:$Q$1000,TRIM($C311))=1,INDEX('🎓 Alumnas'!$A$2:$A$1000,MATCH(TRIM($C311),'🎓 Alumnas'!$Q$2:$Q$1000,0)),IF(COUNTIF('🎓 Alumnas'!$P$2:$P$1000,"*"&amp;TRIM($C311)&amp;"*")=1,INDEX('🎓 Alumnas'!$A$2:$A$1000,MATCH("*"&amp;TRIM($C311)&amp;"*",'🎓 Alumnas'!$P$2:$P$1000,0)),IF(COUNTIF('🎓 Alumnas'!$Q$2:$Q$1000,"*"&amp;TRIM($C311)&amp;"*")=1,INDEX('🎓 Alumnas'!$A$2:$A$1000,MATCH("*"&amp;TRIM($C311)&amp;"*",'🎓 Alumnas'!$Q$2:$Q$1000,0)),IF(COUNTIF('🎓 Alumnas'!$P$2:$P$1000,"*"&amp;TRIM($C311)&amp;"*")+COUNTIF('🎓 Alumnas'!$Q$2:$Q$1000,"*"&amp;TRIM($C311)&amp;"*")&gt;1,"Varias: elige de la lista","No encontrada"))))))))</f>
        <v/>
      </c>
    </row>
    <row r="312" customFormat="false" ht="14.25" hidden="false" customHeight="true" outlineLevel="0" collapsed="false">
      <c r="A312" s="25" t="s">
        <v>856</v>
      </c>
      <c r="B312" s="27"/>
      <c r="C312" s="25"/>
      <c r="D312" s="34" t="str">
        <f aca="false">IF($W312="","",IFERROR(TRIM(INDEX('🎓 Alumnas'!$B$2:$B$1000,MATCH($W312,'🎓 Alumnas'!$A$2:$A$1000,0))),""))</f>
        <v/>
      </c>
      <c r="E312" s="34" t="str">
        <f aca="false">IF($W312="","",IFERROR(TRIM(INDEX('🎓 Alumnas'!$C$2:$C$1000,MATCH($W312,'🎓 Alumnas'!$A$2:$A$1000,0))),""))</f>
        <v/>
      </c>
      <c r="F312" s="34" t="str">
        <f aca="false">IF($W312="","",IFERROR(IF(INDEX('🎓 Alumnas'!$D$2:$D$1000,MATCH($W312,'🎓 Alumnas'!$A$2:$A$1000,0))="","",INDEX('🎓 Alumnas'!$D$2:$D$1000,MATCH($W312,'🎓 Alumnas'!$A$2:$A$1000,0))),""))</f>
        <v/>
      </c>
      <c r="G312" s="28" t="str">
        <f aca="false">IF($W312="","",IFERROR(IF(INDEX('🎓 Alumnas'!$E$2:$E$1000,MATCH($W312,'🎓 Alumnas'!$A$2:$A$1000,0))="","",INDEX('🎓 Alumnas'!$E$2:$E$1000,MATCH($W312,'🎓 Alumnas'!$A$2:$A$1000,0))),""))</f>
        <v/>
      </c>
      <c r="H312" s="28" t="str">
        <f aca="false">IF($W312="","",IFERROR(IF(INDEX('🎓 Alumnas'!$F$2:$F$1000,MATCH($W312,'🎓 Alumnas'!$A$2:$A$1000,0))="","",INDEX('🎓 Alumnas'!$F$2:$F$1000,MATCH($W312,'🎓 Alumnas'!$A$2:$A$1000,0))),""))</f>
        <v/>
      </c>
      <c r="I312" s="30" t="str">
        <f aca="false">IF($W312="","",IFERROR(IF(INDEX('🎓 Alumnas'!$G$2:$G$1000,MATCH($W312,'🎓 Alumnas'!$A$2:$A$1000,0))="","",INDEX('🎓 Alumnas'!$G$2:$G$1000,MATCH($W312,'🎓 Alumnas'!$A$2:$A$1000,0))),""))</f>
        <v/>
      </c>
      <c r="J312" s="28" t="str">
        <f aca="true">IF(I312="","",DATEDIF(I312,TODAY(),"Y"))</f>
        <v/>
      </c>
      <c r="K312" s="25"/>
      <c r="L312" s="28" t="str">
        <f aca="false">IF(K312="","",IF(LEFT(K312,6)="1 Pole","Alquiler",IF(LEFT(K312,7)="1 Clase","Clase suelta","Paquete")))</f>
        <v/>
      </c>
      <c r="M312" s="25"/>
      <c r="N312" s="25"/>
      <c r="O312" s="35"/>
      <c r="P312" s="29" t="str">
        <f aca="false">IF(O312="","",N312*O312)</f>
        <v/>
      </c>
      <c r="Q312" s="36"/>
      <c r="R312" s="25"/>
      <c r="S312" s="25"/>
      <c r="T312" s="28" t="str">
        <f aca="false">IF(OR(LEFT(W312,2)&lt;&gt;"A-",ISERROR(MATCH(W312,'🎓 Alumnas'!$A$2:$A$1000,0))),"",IF(COUNTIF($W$2:W312,W312)=1,"Nueva","Recurrente"))</f>
        <v/>
      </c>
      <c r="U312" s="28" t="str">
        <f aca="false">IF(OR(T312="",L312&lt;&gt;"Paquete"),"",COUNTIFS($W$2:W312,W312,$L$2:L312,"Paquete"))</f>
        <v/>
      </c>
      <c r="V312" s="25"/>
      <c r="W312" s="34" t="str">
        <f aca="false">IF(TRIM($C312)="","",IF(COUNTIF('🎓 Alumnas'!$P$2:$P$1000,TRIM($C312))&gt;0,INDEX('🎓 Alumnas'!$A$2:$A$1000,MATCH(TRIM($C312),'🎓 Alumnas'!$P$2:$P$1000,0)),IF(COUNTIF('🎓 Alumnas'!$O$2:$O$1000,TRIM($C312)&amp;"|*")=1,INDEX('🎓 Alumnas'!$A$2:$A$1000,MATCH(TRIM($C312)&amp;"|*",'🎓 Alumnas'!$O$2:$O$1000,0)),IF(COUNTIF('🎓 Alumnas'!$O$2:$O$1000,"*|"&amp;TRIM($C312))=1,INDEX('🎓 Alumnas'!$A$2:$A$1000,MATCH("*|"&amp;TRIM($C312),'🎓 Alumnas'!$O$2:$O$1000,0)),IF(COUNTIF('🎓 Alumnas'!$Q$2:$Q$1000,TRIM($C312))=1,INDEX('🎓 Alumnas'!$A$2:$A$1000,MATCH(TRIM($C312),'🎓 Alumnas'!$Q$2:$Q$1000,0)),IF(COUNTIF('🎓 Alumnas'!$P$2:$P$1000,"*"&amp;TRIM($C312)&amp;"*")=1,INDEX('🎓 Alumnas'!$A$2:$A$1000,MATCH("*"&amp;TRIM($C312)&amp;"*",'🎓 Alumnas'!$P$2:$P$1000,0)),IF(COUNTIF('🎓 Alumnas'!$Q$2:$Q$1000,"*"&amp;TRIM($C312)&amp;"*")=1,INDEX('🎓 Alumnas'!$A$2:$A$1000,MATCH("*"&amp;TRIM($C312)&amp;"*",'🎓 Alumnas'!$Q$2:$Q$1000,0)),IF(COUNTIF('🎓 Alumnas'!$P$2:$P$1000,"*"&amp;TRIM($C312)&amp;"*")+COUNTIF('🎓 Alumnas'!$Q$2:$Q$1000,"*"&amp;TRIM($C312)&amp;"*")&gt;1,"Varias: elige de la lista","No encontrada"))))))))</f>
        <v/>
      </c>
    </row>
    <row r="313" customFormat="false" ht="14.25" hidden="false" customHeight="true" outlineLevel="0" collapsed="false">
      <c r="A313" s="25" t="s">
        <v>857</v>
      </c>
      <c r="B313" s="27"/>
      <c r="C313" s="25"/>
      <c r="D313" s="34" t="str">
        <f aca="false">IF($W313="","",IFERROR(TRIM(INDEX('🎓 Alumnas'!$B$2:$B$1000,MATCH($W313,'🎓 Alumnas'!$A$2:$A$1000,0))),""))</f>
        <v/>
      </c>
      <c r="E313" s="34" t="str">
        <f aca="false">IF($W313="","",IFERROR(TRIM(INDEX('🎓 Alumnas'!$C$2:$C$1000,MATCH($W313,'🎓 Alumnas'!$A$2:$A$1000,0))),""))</f>
        <v/>
      </c>
      <c r="F313" s="34" t="str">
        <f aca="false">IF($W313="","",IFERROR(IF(INDEX('🎓 Alumnas'!$D$2:$D$1000,MATCH($W313,'🎓 Alumnas'!$A$2:$A$1000,0))="","",INDEX('🎓 Alumnas'!$D$2:$D$1000,MATCH($W313,'🎓 Alumnas'!$A$2:$A$1000,0))),""))</f>
        <v/>
      </c>
      <c r="G313" s="28" t="str">
        <f aca="false">IF($W313="","",IFERROR(IF(INDEX('🎓 Alumnas'!$E$2:$E$1000,MATCH($W313,'🎓 Alumnas'!$A$2:$A$1000,0))="","",INDEX('🎓 Alumnas'!$E$2:$E$1000,MATCH($W313,'🎓 Alumnas'!$A$2:$A$1000,0))),""))</f>
        <v/>
      </c>
      <c r="H313" s="28" t="str">
        <f aca="false">IF($W313="","",IFERROR(IF(INDEX('🎓 Alumnas'!$F$2:$F$1000,MATCH($W313,'🎓 Alumnas'!$A$2:$A$1000,0))="","",INDEX('🎓 Alumnas'!$F$2:$F$1000,MATCH($W313,'🎓 Alumnas'!$A$2:$A$1000,0))),""))</f>
        <v/>
      </c>
      <c r="I313" s="30" t="str">
        <f aca="false">IF($W313="","",IFERROR(IF(INDEX('🎓 Alumnas'!$G$2:$G$1000,MATCH($W313,'🎓 Alumnas'!$A$2:$A$1000,0))="","",INDEX('🎓 Alumnas'!$G$2:$G$1000,MATCH($W313,'🎓 Alumnas'!$A$2:$A$1000,0))),""))</f>
        <v/>
      </c>
      <c r="J313" s="28" t="str">
        <f aca="true">IF(I313="","",DATEDIF(I313,TODAY(),"Y"))</f>
        <v/>
      </c>
      <c r="K313" s="25"/>
      <c r="L313" s="28" t="str">
        <f aca="false">IF(K313="","",IF(LEFT(K313,6)="1 Pole","Alquiler",IF(LEFT(K313,7)="1 Clase","Clase suelta","Paquete")))</f>
        <v/>
      </c>
      <c r="M313" s="25"/>
      <c r="N313" s="25"/>
      <c r="O313" s="35"/>
      <c r="P313" s="29" t="str">
        <f aca="false">IF(O313="","",N313*O313)</f>
        <v/>
      </c>
      <c r="Q313" s="36"/>
      <c r="R313" s="25"/>
      <c r="S313" s="25"/>
      <c r="T313" s="28" t="str">
        <f aca="false">IF(OR(LEFT(W313,2)&lt;&gt;"A-",ISERROR(MATCH(W313,'🎓 Alumnas'!$A$2:$A$1000,0))),"",IF(COUNTIF($W$2:W313,W313)=1,"Nueva","Recurrente"))</f>
        <v/>
      </c>
      <c r="U313" s="28" t="str">
        <f aca="false">IF(OR(T313="",L313&lt;&gt;"Paquete"),"",COUNTIFS($W$2:W313,W313,$L$2:L313,"Paquete"))</f>
        <v/>
      </c>
      <c r="V313" s="25"/>
      <c r="W313" s="34" t="str">
        <f aca="false">IF(TRIM($C313)="","",IF(COUNTIF('🎓 Alumnas'!$P$2:$P$1000,TRIM($C313))&gt;0,INDEX('🎓 Alumnas'!$A$2:$A$1000,MATCH(TRIM($C313),'🎓 Alumnas'!$P$2:$P$1000,0)),IF(COUNTIF('🎓 Alumnas'!$O$2:$O$1000,TRIM($C313)&amp;"|*")=1,INDEX('🎓 Alumnas'!$A$2:$A$1000,MATCH(TRIM($C313)&amp;"|*",'🎓 Alumnas'!$O$2:$O$1000,0)),IF(COUNTIF('🎓 Alumnas'!$O$2:$O$1000,"*|"&amp;TRIM($C313))=1,INDEX('🎓 Alumnas'!$A$2:$A$1000,MATCH("*|"&amp;TRIM($C313),'🎓 Alumnas'!$O$2:$O$1000,0)),IF(COUNTIF('🎓 Alumnas'!$Q$2:$Q$1000,TRIM($C313))=1,INDEX('🎓 Alumnas'!$A$2:$A$1000,MATCH(TRIM($C313),'🎓 Alumnas'!$Q$2:$Q$1000,0)),IF(COUNTIF('🎓 Alumnas'!$P$2:$P$1000,"*"&amp;TRIM($C313)&amp;"*")=1,INDEX('🎓 Alumnas'!$A$2:$A$1000,MATCH("*"&amp;TRIM($C313)&amp;"*",'🎓 Alumnas'!$P$2:$P$1000,0)),IF(COUNTIF('🎓 Alumnas'!$Q$2:$Q$1000,"*"&amp;TRIM($C313)&amp;"*")=1,INDEX('🎓 Alumnas'!$A$2:$A$1000,MATCH("*"&amp;TRIM($C313)&amp;"*",'🎓 Alumnas'!$Q$2:$Q$1000,0)),IF(COUNTIF('🎓 Alumnas'!$P$2:$P$1000,"*"&amp;TRIM($C313)&amp;"*")+COUNTIF('🎓 Alumnas'!$Q$2:$Q$1000,"*"&amp;TRIM($C313)&amp;"*")&gt;1,"Varias: elige de la lista","No encontrada"))))))))</f>
        <v/>
      </c>
    </row>
    <row r="314" customFormat="false" ht="14.25" hidden="false" customHeight="true" outlineLevel="0" collapsed="false">
      <c r="A314" s="25" t="s">
        <v>858</v>
      </c>
      <c r="B314" s="27"/>
      <c r="C314" s="25"/>
      <c r="D314" s="34" t="str">
        <f aca="false">IF($W314="","",IFERROR(TRIM(INDEX('🎓 Alumnas'!$B$2:$B$1000,MATCH($W314,'🎓 Alumnas'!$A$2:$A$1000,0))),""))</f>
        <v/>
      </c>
      <c r="E314" s="34" t="str">
        <f aca="false">IF($W314="","",IFERROR(TRIM(INDEX('🎓 Alumnas'!$C$2:$C$1000,MATCH($W314,'🎓 Alumnas'!$A$2:$A$1000,0))),""))</f>
        <v/>
      </c>
      <c r="F314" s="34" t="str">
        <f aca="false">IF($W314="","",IFERROR(IF(INDEX('🎓 Alumnas'!$D$2:$D$1000,MATCH($W314,'🎓 Alumnas'!$A$2:$A$1000,0))="","",INDEX('🎓 Alumnas'!$D$2:$D$1000,MATCH($W314,'🎓 Alumnas'!$A$2:$A$1000,0))),""))</f>
        <v/>
      </c>
      <c r="G314" s="28" t="str">
        <f aca="false">IF($W314="","",IFERROR(IF(INDEX('🎓 Alumnas'!$E$2:$E$1000,MATCH($W314,'🎓 Alumnas'!$A$2:$A$1000,0))="","",INDEX('🎓 Alumnas'!$E$2:$E$1000,MATCH($W314,'🎓 Alumnas'!$A$2:$A$1000,0))),""))</f>
        <v/>
      </c>
      <c r="H314" s="28" t="str">
        <f aca="false">IF($W314="","",IFERROR(IF(INDEX('🎓 Alumnas'!$F$2:$F$1000,MATCH($W314,'🎓 Alumnas'!$A$2:$A$1000,0))="","",INDEX('🎓 Alumnas'!$F$2:$F$1000,MATCH($W314,'🎓 Alumnas'!$A$2:$A$1000,0))),""))</f>
        <v/>
      </c>
      <c r="I314" s="30" t="str">
        <f aca="false">IF($W314="","",IFERROR(IF(INDEX('🎓 Alumnas'!$G$2:$G$1000,MATCH($W314,'🎓 Alumnas'!$A$2:$A$1000,0))="","",INDEX('🎓 Alumnas'!$G$2:$G$1000,MATCH($W314,'🎓 Alumnas'!$A$2:$A$1000,0))),""))</f>
        <v/>
      </c>
      <c r="J314" s="28" t="str">
        <f aca="true">IF(I314="","",DATEDIF(I314,TODAY(),"Y"))</f>
        <v/>
      </c>
      <c r="K314" s="25"/>
      <c r="L314" s="28" t="str">
        <f aca="false">IF(K314="","",IF(LEFT(K314,6)="1 Pole","Alquiler",IF(LEFT(K314,7)="1 Clase","Clase suelta","Paquete")))</f>
        <v/>
      </c>
      <c r="M314" s="25"/>
      <c r="N314" s="25"/>
      <c r="O314" s="35"/>
      <c r="P314" s="29" t="str">
        <f aca="false">IF(O314="","",N314*O314)</f>
        <v/>
      </c>
      <c r="Q314" s="36"/>
      <c r="R314" s="25"/>
      <c r="S314" s="25"/>
      <c r="T314" s="28" t="str">
        <f aca="false">IF(OR(LEFT(W314,2)&lt;&gt;"A-",ISERROR(MATCH(W314,'🎓 Alumnas'!$A$2:$A$1000,0))),"",IF(COUNTIF($W$2:W314,W314)=1,"Nueva","Recurrente"))</f>
        <v/>
      </c>
      <c r="U314" s="28" t="str">
        <f aca="false">IF(OR(T314="",L314&lt;&gt;"Paquete"),"",COUNTIFS($W$2:W314,W314,$L$2:L314,"Paquete"))</f>
        <v/>
      </c>
      <c r="V314" s="25"/>
      <c r="W314" s="34" t="str">
        <f aca="false">IF(TRIM($C314)="","",IF(COUNTIF('🎓 Alumnas'!$P$2:$P$1000,TRIM($C314))&gt;0,INDEX('🎓 Alumnas'!$A$2:$A$1000,MATCH(TRIM($C314),'🎓 Alumnas'!$P$2:$P$1000,0)),IF(COUNTIF('🎓 Alumnas'!$O$2:$O$1000,TRIM($C314)&amp;"|*")=1,INDEX('🎓 Alumnas'!$A$2:$A$1000,MATCH(TRIM($C314)&amp;"|*",'🎓 Alumnas'!$O$2:$O$1000,0)),IF(COUNTIF('🎓 Alumnas'!$O$2:$O$1000,"*|"&amp;TRIM($C314))=1,INDEX('🎓 Alumnas'!$A$2:$A$1000,MATCH("*|"&amp;TRIM($C314),'🎓 Alumnas'!$O$2:$O$1000,0)),IF(COUNTIF('🎓 Alumnas'!$Q$2:$Q$1000,TRIM($C314))=1,INDEX('🎓 Alumnas'!$A$2:$A$1000,MATCH(TRIM($C314),'🎓 Alumnas'!$Q$2:$Q$1000,0)),IF(COUNTIF('🎓 Alumnas'!$P$2:$P$1000,"*"&amp;TRIM($C314)&amp;"*")=1,INDEX('🎓 Alumnas'!$A$2:$A$1000,MATCH("*"&amp;TRIM($C314)&amp;"*",'🎓 Alumnas'!$P$2:$P$1000,0)),IF(COUNTIF('🎓 Alumnas'!$Q$2:$Q$1000,"*"&amp;TRIM($C314)&amp;"*")=1,INDEX('🎓 Alumnas'!$A$2:$A$1000,MATCH("*"&amp;TRIM($C314)&amp;"*",'🎓 Alumnas'!$Q$2:$Q$1000,0)),IF(COUNTIF('🎓 Alumnas'!$P$2:$P$1000,"*"&amp;TRIM($C314)&amp;"*")+COUNTIF('🎓 Alumnas'!$Q$2:$Q$1000,"*"&amp;TRIM($C314)&amp;"*")&gt;1,"Varias: elige de la lista","No encontrada"))))))))</f>
        <v/>
      </c>
    </row>
    <row r="315" customFormat="false" ht="14.25" hidden="false" customHeight="true" outlineLevel="0" collapsed="false">
      <c r="A315" s="25" t="s">
        <v>859</v>
      </c>
      <c r="B315" s="27"/>
      <c r="C315" s="25"/>
      <c r="D315" s="34" t="str">
        <f aca="false">IF($W315="","",IFERROR(TRIM(INDEX('🎓 Alumnas'!$B$2:$B$1000,MATCH($W315,'🎓 Alumnas'!$A$2:$A$1000,0))),""))</f>
        <v/>
      </c>
      <c r="E315" s="34" t="str">
        <f aca="false">IF($W315="","",IFERROR(TRIM(INDEX('🎓 Alumnas'!$C$2:$C$1000,MATCH($W315,'🎓 Alumnas'!$A$2:$A$1000,0))),""))</f>
        <v/>
      </c>
      <c r="F315" s="34" t="str">
        <f aca="false">IF($W315="","",IFERROR(IF(INDEX('🎓 Alumnas'!$D$2:$D$1000,MATCH($W315,'🎓 Alumnas'!$A$2:$A$1000,0))="","",INDEX('🎓 Alumnas'!$D$2:$D$1000,MATCH($W315,'🎓 Alumnas'!$A$2:$A$1000,0))),""))</f>
        <v/>
      </c>
      <c r="G315" s="28" t="str">
        <f aca="false">IF($W315="","",IFERROR(IF(INDEX('🎓 Alumnas'!$E$2:$E$1000,MATCH($W315,'🎓 Alumnas'!$A$2:$A$1000,0))="","",INDEX('🎓 Alumnas'!$E$2:$E$1000,MATCH($W315,'🎓 Alumnas'!$A$2:$A$1000,0))),""))</f>
        <v/>
      </c>
      <c r="H315" s="28" t="str">
        <f aca="false">IF($W315="","",IFERROR(IF(INDEX('🎓 Alumnas'!$F$2:$F$1000,MATCH($W315,'🎓 Alumnas'!$A$2:$A$1000,0))="","",INDEX('🎓 Alumnas'!$F$2:$F$1000,MATCH($W315,'🎓 Alumnas'!$A$2:$A$1000,0))),""))</f>
        <v/>
      </c>
      <c r="I315" s="30" t="str">
        <f aca="false">IF($W315="","",IFERROR(IF(INDEX('🎓 Alumnas'!$G$2:$G$1000,MATCH($W315,'🎓 Alumnas'!$A$2:$A$1000,0))="","",INDEX('🎓 Alumnas'!$G$2:$G$1000,MATCH($W315,'🎓 Alumnas'!$A$2:$A$1000,0))),""))</f>
        <v/>
      </c>
      <c r="J315" s="28" t="str">
        <f aca="true">IF(I315="","",DATEDIF(I315,TODAY(),"Y"))</f>
        <v/>
      </c>
      <c r="K315" s="25"/>
      <c r="L315" s="28" t="str">
        <f aca="false">IF(K315="","",IF(LEFT(K315,6)="1 Pole","Alquiler",IF(LEFT(K315,7)="1 Clase","Clase suelta","Paquete")))</f>
        <v/>
      </c>
      <c r="M315" s="25"/>
      <c r="N315" s="25"/>
      <c r="O315" s="35"/>
      <c r="P315" s="29" t="str">
        <f aca="false">IF(O315="","",N315*O315)</f>
        <v/>
      </c>
      <c r="Q315" s="36"/>
      <c r="R315" s="25"/>
      <c r="S315" s="25"/>
      <c r="T315" s="28" t="str">
        <f aca="false">IF(OR(LEFT(W315,2)&lt;&gt;"A-",ISERROR(MATCH(W315,'🎓 Alumnas'!$A$2:$A$1000,0))),"",IF(COUNTIF($W$2:W315,W315)=1,"Nueva","Recurrente"))</f>
        <v/>
      </c>
      <c r="U315" s="28" t="str">
        <f aca="false">IF(OR(T315="",L315&lt;&gt;"Paquete"),"",COUNTIFS($W$2:W315,W315,$L$2:L315,"Paquete"))</f>
        <v/>
      </c>
      <c r="V315" s="25"/>
      <c r="W315" s="34" t="str">
        <f aca="false">IF(TRIM($C315)="","",IF(COUNTIF('🎓 Alumnas'!$P$2:$P$1000,TRIM($C315))&gt;0,INDEX('🎓 Alumnas'!$A$2:$A$1000,MATCH(TRIM($C315),'🎓 Alumnas'!$P$2:$P$1000,0)),IF(COUNTIF('🎓 Alumnas'!$O$2:$O$1000,TRIM($C315)&amp;"|*")=1,INDEX('🎓 Alumnas'!$A$2:$A$1000,MATCH(TRIM($C315)&amp;"|*",'🎓 Alumnas'!$O$2:$O$1000,0)),IF(COUNTIF('🎓 Alumnas'!$O$2:$O$1000,"*|"&amp;TRIM($C315))=1,INDEX('🎓 Alumnas'!$A$2:$A$1000,MATCH("*|"&amp;TRIM($C315),'🎓 Alumnas'!$O$2:$O$1000,0)),IF(COUNTIF('🎓 Alumnas'!$Q$2:$Q$1000,TRIM($C315))=1,INDEX('🎓 Alumnas'!$A$2:$A$1000,MATCH(TRIM($C315),'🎓 Alumnas'!$Q$2:$Q$1000,0)),IF(COUNTIF('🎓 Alumnas'!$P$2:$P$1000,"*"&amp;TRIM($C315)&amp;"*")=1,INDEX('🎓 Alumnas'!$A$2:$A$1000,MATCH("*"&amp;TRIM($C315)&amp;"*",'🎓 Alumnas'!$P$2:$P$1000,0)),IF(COUNTIF('🎓 Alumnas'!$Q$2:$Q$1000,"*"&amp;TRIM($C315)&amp;"*")=1,INDEX('🎓 Alumnas'!$A$2:$A$1000,MATCH("*"&amp;TRIM($C315)&amp;"*",'🎓 Alumnas'!$Q$2:$Q$1000,0)),IF(COUNTIF('🎓 Alumnas'!$P$2:$P$1000,"*"&amp;TRIM($C315)&amp;"*")+COUNTIF('🎓 Alumnas'!$Q$2:$Q$1000,"*"&amp;TRIM($C315)&amp;"*")&gt;1,"Varias: elige de la lista","No encontrada"))))))))</f>
        <v/>
      </c>
    </row>
    <row r="316" customFormat="false" ht="14.25" hidden="false" customHeight="true" outlineLevel="0" collapsed="false">
      <c r="A316" s="25" t="s">
        <v>860</v>
      </c>
      <c r="B316" s="27"/>
      <c r="C316" s="25"/>
      <c r="D316" s="34" t="str">
        <f aca="false">IF($W316="","",IFERROR(TRIM(INDEX('🎓 Alumnas'!$B$2:$B$1000,MATCH($W316,'🎓 Alumnas'!$A$2:$A$1000,0))),""))</f>
        <v/>
      </c>
      <c r="E316" s="34" t="str">
        <f aca="false">IF($W316="","",IFERROR(TRIM(INDEX('🎓 Alumnas'!$C$2:$C$1000,MATCH($W316,'🎓 Alumnas'!$A$2:$A$1000,0))),""))</f>
        <v/>
      </c>
      <c r="F316" s="34" t="str">
        <f aca="false">IF($W316="","",IFERROR(IF(INDEX('🎓 Alumnas'!$D$2:$D$1000,MATCH($W316,'🎓 Alumnas'!$A$2:$A$1000,0))="","",INDEX('🎓 Alumnas'!$D$2:$D$1000,MATCH($W316,'🎓 Alumnas'!$A$2:$A$1000,0))),""))</f>
        <v/>
      </c>
      <c r="G316" s="28" t="str">
        <f aca="false">IF($W316="","",IFERROR(IF(INDEX('🎓 Alumnas'!$E$2:$E$1000,MATCH($W316,'🎓 Alumnas'!$A$2:$A$1000,0))="","",INDEX('🎓 Alumnas'!$E$2:$E$1000,MATCH($W316,'🎓 Alumnas'!$A$2:$A$1000,0))),""))</f>
        <v/>
      </c>
      <c r="H316" s="28" t="str">
        <f aca="false">IF($W316="","",IFERROR(IF(INDEX('🎓 Alumnas'!$F$2:$F$1000,MATCH($W316,'🎓 Alumnas'!$A$2:$A$1000,0))="","",INDEX('🎓 Alumnas'!$F$2:$F$1000,MATCH($W316,'🎓 Alumnas'!$A$2:$A$1000,0))),""))</f>
        <v/>
      </c>
      <c r="I316" s="30" t="str">
        <f aca="false">IF($W316="","",IFERROR(IF(INDEX('🎓 Alumnas'!$G$2:$G$1000,MATCH($W316,'🎓 Alumnas'!$A$2:$A$1000,0))="","",INDEX('🎓 Alumnas'!$G$2:$G$1000,MATCH($W316,'🎓 Alumnas'!$A$2:$A$1000,0))),""))</f>
        <v/>
      </c>
      <c r="J316" s="28" t="str">
        <f aca="true">IF(I316="","",DATEDIF(I316,TODAY(),"Y"))</f>
        <v/>
      </c>
      <c r="K316" s="25"/>
      <c r="L316" s="28" t="str">
        <f aca="false">IF(K316="","",IF(LEFT(K316,6)="1 Pole","Alquiler",IF(LEFT(K316,7)="1 Clase","Clase suelta","Paquete")))</f>
        <v/>
      </c>
      <c r="M316" s="25"/>
      <c r="N316" s="25"/>
      <c r="O316" s="35"/>
      <c r="P316" s="29" t="str">
        <f aca="false">IF(O316="","",N316*O316)</f>
        <v/>
      </c>
      <c r="Q316" s="36"/>
      <c r="R316" s="25"/>
      <c r="S316" s="25"/>
      <c r="T316" s="28" t="str">
        <f aca="false">IF(OR(LEFT(W316,2)&lt;&gt;"A-",ISERROR(MATCH(W316,'🎓 Alumnas'!$A$2:$A$1000,0))),"",IF(COUNTIF($W$2:W316,W316)=1,"Nueva","Recurrente"))</f>
        <v/>
      </c>
      <c r="U316" s="28" t="str">
        <f aca="false">IF(OR(T316="",L316&lt;&gt;"Paquete"),"",COUNTIFS($W$2:W316,W316,$L$2:L316,"Paquete"))</f>
        <v/>
      </c>
      <c r="V316" s="25"/>
      <c r="W316" s="34" t="str">
        <f aca="false">IF(TRIM($C316)="","",IF(COUNTIF('🎓 Alumnas'!$P$2:$P$1000,TRIM($C316))&gt;0,INDEX('🎓 Alumnas'!$A$2:$A$1000,MATCH(TRIM($C316),'🎓 Alumnas'!$P$2:$P$1000,0)),IF(COUNTIF('🎓 Alumnas'!$O$2:$O$1000,TRIM($C316)&amp;"|*")=1,INDEX('🎓 Alumnas'!$A$2:$A$1000,MATCH(TRIM($C316)&amp;"|*",'🎓 Alumnas'!$O$2:$O$1000,0)),IF(COUNTIF('🎓 Alumnas'!$O$2:$O$1000,"*|"&amp;TRIM($C316))=1,INDEX('🎓 Alumnas'!$A$2:$A$1000,MATCH("*|"&amp;TRIM($C316),'🎓 Alumnas'!$O$2:$O$1000,0)),IF(COUNTIF('🎓 Alumnas'!$Q$2:$Q$1000,TRIM($C316))=1,INDEX('🎓 Alumnas'!$A$2:$A$1000,MATCH(TRIM($C316),'🎓 Alumnas'!$Q$2:$Q$1000,0)),IF(COUNTIF('🎓 Alumnas'!$P$2:$P$1000,"*"&amp;TRIM($C316)&amp;"*")=1,INDEX('🎓 Alumnas'!$A$2:$A$1000,MATCH("*"&amp;TRIM($C316)&amp;"*",'🎓 Alumnas'!$P$2:$P$1000,0)),IF(COUNTIF('🎓 Alumnas'!$Q$2:$Q$1000,"*"&amp;TRIM($C316)&amp;"*")=1,INDEX('🎓 Alumnas'!$A$2:$A$1000,MATCH("*"&amp;TRIM($C316)&amp;"*",'🎓 Alumnas'!$Q$2:$Q$1000,0)),IF(COUNTIF('🎓 Alumnas'!$P$2:$P$1000,"*"&amp;TRIM($C316)&amp;"*")+COUNTIF('🎓 Alumnas'!$Q$2:$Q$1000,"*"&amp;TRIM($C316)&amp;"*")&gt;1,"Varias: elige de la lista","No encontrada"))))))))</f>
        <v/>
      </c>
    </row>
    <row r="317" customFormat="false" ht="14.25" hidden="false" customHeight="true" outlineLevel="0" collapsed="false">
      <c r="A317" s="25" t="s">
        <v>861</v>
      </c>
      <c r="B317" s="27"/>
      <c r="C317" s="25"/>
      <c r="D317" s="34" t="str">
        <f aca="false">IF($W317="","",IFERROR(TRIM(INDEX('🎓 Alumnas'!$B$2:$B$1000,MATCH($W317,'🎓 Alumnas'!$A$2:$A$1000,0))),""))</f>
        <v/>
      </c>
      <c r="E317" s="34" t="str">
        <f aca="false">IF($W317="","",IFERROR(TRIM(INDEX('🎓 Alumnas'!$C$2:$C$1000,MATCH($W317,'🎓 Alumnas'!$A$2:$A$1000,0))),""))</f>
        <v/>
      </c>
      <c r="F317" s="34" t="str">
        <f aca="false">IF($W317="","",IFERROR(IF(INDEX('🎓 Alumnas'!$D$2:$D$1000,MATCH($W317,'🎓 Alumnas'!$A$2:$A$1000,0))="","",INDEX('🎓 Alumnas'!$D$2:$D$1000,MATCH($W317,'🎓 Alumnas'!$A$2:$A$1000,0))),""))</f>
        <v/>
      </c>
      <c r="G317" s="28" t="str">
        <f aca="false">IF($W317="","",IFERROR(IF(INDEX('🎓 Alumnas'!$E$2:$E$1000,MATCH($W317,'🎓 Alumnas'!$A$2:$A$1000,0))="","",INDEX('🎓 Alumnas'!$E$2:$E$1000,MATCH($W317,'🎓 Alumnas'!$A$2:$A$1000,0))),""))</f>
        <v/>
      </c>
      <c r="H317" s="28" t="str">
        <f aca="false">IF($W317="","",IFERROR(IF(INDEX('🎓 Alumnas'!$F$2:$F$1000,MATCH($W317,'🎓 Alumnas'!$A$2:$A$1000,0))="","",INDEX('🎓 Alumnas'!$F$2:$F$1000,MATCH($W317,'🎓 Alumnas'!$A$2:$A$1000,0))),""))</f>
        <v/>
      </c>
      <c r="I317" s="30" t="str">
        <f aca="false">IF($W317="","",IFERROR(IF(INDEX('🎓 Alumnas'!$G$2:$G$1000,MATCH($W317,'🎓 Alumnas'!$A$2:$A$1000,0))="","",INDEX('🎓 Alumnas'!$G$2:$G$1000,MATCH($W317,'🎓 Alumnas'!$A$2:$A$1000,0))),""))</f>
        <v/>
      </c>
      <c r="J317" s="28" t="str">
        <f aca="true">IF(I317="","",DATEDIF(I317,TODAY(),"Y"))</f>
        <v/>
      </c>
      <c r="K317" s="25"/>
      <c r="L317" s="28" t="str">
        <f aca="false">IF(K317="","",IF(LEFT(K317,6)="1 Pole","Alquiler",IF(LEFT(K317,7)="1 Clase","Clase suelta","Paquete")))</f>
        <v/>
      </c>
      <c r="M317" s="25"/>
      <c r="N317" s="25"/>
      <c r="O317" s="35"/>
      <c r="P317" s="29" t="str">
        <f aca="false">IF(O317="","",N317*O317)</f>
        <v/>
      </c>
      <c r="Q317" s="36"/>
      <c r="R317" s="25"/>
      <c r="S317" s="25"/>
      <c r="T317" s="28" t="str">
        <f aca="false">IF(OR(LEFT(W317,2)&lt;&gt;"A-",ISERROR(MATCH(W317,'🎓 Alumnas'!$A$2:$A$1000,0))),"",IF(COUNTIF($W$2:W317,W317)=1,"Nueva","Recurrente"))</f>
        <v/>
      </c>
      <c r="U317" s="28" t="str">
        <f aca="false">IF(OR(T317="",L317&lt;&gt;"Paquete"),"",COUNTIFS($W$2:W317,W317,$L$2:L317,"Paquete"))</f>
        <v/>
      </c>
      <c r="V317" s="25"/>
      <c r="W317" s="34" t="str">
        <f aca="false">IF(TRIM($C317)="","",IF(COUNTIF('🎓 Alumnas'!$P$2:$P$1000,TRIM($C317))&gt;0,INDEX('🎓 Alumnas'!$A$2:$A$1000,MATCH(TRIM($C317),'🎓 Alumnas'!$P$2:$P$1000,0)),IF(COUNTIF('🎓 Alumnas'!$O$2:$O$1000,TRIM($C317)&amp;"|*")=1,INDEX('🎓 Alumnas'!$A$2:$A$1000,MATCH(TRIM($C317)&amp;"|*",'🎓 Alumnas'!$O$2:$O$1000,0)),IF(COUNTIF('🎓 Alumnas'!$O$2:$O$1000,"*|"&amp;TRIM($C317))=1,INDEX('🎓 Alumnas'!$A$2:$A$1000,MATCH("*|"&amp;TRIM($C317),'🎓 Alumnas'!$O$2:$O$1000,0)),IF(COUNTIF('🎓 Alumnas'!$Q$2:$Q$1000,TRIM($C317))=1,INDEX('🎓 Alumnas'!$A$2:$A$1000,MATCH(TRIM($C317),'🎓 Alumnas'!$Q$2:$Q$1000,0)),IF(COUNTIF('🎓 Alumnas'!$P$2:$P$1000,"*"&amp;TRIM($C317)&amp;"*")=1,INDEX('🎓 Alumnas'!$A$2:$A$1000,MATCH("*"&amp;TRIM($C317)&amp;"*",'🎓 Alumnas'!$P$2:$P$1000,0)),IF(COUNTIF('🎓 Alumnas'!$Q$2:$Q$1000,"*"&amp;TRIM($C317)&amp;"*")=1,INDEX('🎓 Alumnas'!$A$2:$A$1000,MATCH("*"&amp;TRIM($C317)&amp;"*",'🎓 Alumnas'!$Q$2:$Q$1000,0)),IF(COUNTIF('🎓 Alumnas'!$P$2:$P$1000,"*"&amp;TRIM($C317)&amp;"*")+COUNTIF('🎓 Alumnas'!$Q$2:$Q$1000,"*"&amp;TRIM($C317)&amp;"*")&gt;1,"Varias: elige de la lista","No encontrada"))))))))</f>
        <v/>
      </c>
    </row>
    <row r="318" customFormat="false" ht="14.25" hidden="false" customHeight="true" outlineLevel="0" collapsed="false">
      <c r="A318" s="25" t="s">
        <v>862</v>
      </c>
      <c r="B318" s="27"/>
      <c r="C318" s="25"/>
      <c r="D318" s="34" t="str">
        <f aca="false">IF($W318="","",IFERROR(TRIM(INDEX('🎓 Alumnas'!$B$2:$B$1000,MATCH($W318,'🎓 Alumnas'!$A$2:$A$1000,0))),""))</f>
        <v/>
      </c>
      <c r="E318" s="34" t="str">
        <f aca="false">IF($W318="","",IFERROR(TRIM(INDEX('🎓 Alumnas'!$C$2:$C$1000,MATCH($W318,'🎓 Alumnas'!$A$2:$A$1000,0))),""))</f>
        <v/>
      </c>
      <c r="F318" s="34" t="str">
        <f aca="false">IF($W318="","",IFERROR(IF(INDEX('🎓 Alumnas'!$D$2:$D$1000,MATCH($W318,'🎓 Alumnas'!$A$2:$A$1000,0))="","",INDEX('🎓 Alumnas'!$D$2:$D$1000,MATCH($W318,'🎓 Alumnas'!$A$2:$A$1000,0))),""))</f>
        <v/>
      </c>
      <c r="G318" s="28" t="str">
        <f aca="false">IF($W318="","",IFERROR(IF(INDEX('🎓 Alumnas'!$E$2:$E$1000,MATCH($W318,'🎓 Alumnas'!$A$2:$A$1000,0))="","",INDEX('🎓 Alumnas'!$E$2:$E$1000,MATCH($W318,'🎓 Alumnas'!$A$2:$A$1000,0))),""))</f>
        <v/>
      </c>
      <c r="H318" s="28" t="str">
        <f aca="false">IF($W318="","",IFERROR(IF(INDEX('🎓 Alumnas'!$F$2:$F$1000,MATCH($W318,'🎓 Alumnas'!$A$2:$A$1000,0))="","",INDEX('🎓 Alumnas'!$F$2:$F$1000,MATCH($W318,'🎓 Alumnas'!$A$2:$A$1000,0))),""))</f>
        <v/>
      </c>
      <c r="I318" s="30" t="str">
        <f aca="false">IF($W318="","",IFERROR(IF(INDEX('🎓 Alumnas'!$G$2:$G$1000,MATCH($W318,'🎓 Alumnas'!$A$2:$A$1000,0))="","",INDEX('🎓 Alumnas'!$G$2:$G$1000,MATCH($W318,'🎓 Alumnas'!$A$2:$A$1000,0))),""))</f>
        <v/>
      </c>
      <c r="J318" s="28" t="str">
        <f aca="true">IF(I318="","",DATEDIF(I318,TODAY(),"Y"))</f>
        <v/>
      </c>
      <c r="K318" s="25"/>
      <c r="L318" s="28" t="str">
        <f aca="false">IF(K318="","",IF(LEFT(K318,6)="1 Pole","Alquiler",IF(LEFT(K318,7)="1 Clase","Clase suelta","Paquete")))</f>
        <v/>
      </c>
      <c r="M318" s="25"/>
      <c r="N318" s="25"/>
      <c r="O318" s="35"/>
      <c r="P318" s="29" t="str">
        <f aca="false">IF(O318="","",N318*O318)</f>
        <v/>
      </c>
      <c r="Q318" s="36"/>
      <c r="R318" s="25"/>
      <c r="S318" s="25"/>
      <c r="T318" s="28" t="str">
        <f aca="false">IF(OR(LEFT(W318,2)&lt;&gt;"A-",ISERROR(MATCH(W318,'🎓 Alumnas'!$A$2:$A$1000,0))),"",IF(COUNTIF($W$2:W318,W318)=1,"Nueva","Recurrente"))</f>
        <v/>
      </c>
      <c r="U318" s="28" t="str">
        <f aca="false">IF(OR(T318="",L318&lt;&gt;"Paquete"),"",COUNTIFS($W$2:W318,W318,$L$2:L318,"Paquete"))</f>
        <v/>
      </c>
      <c r="V318" s="25"/>
      <c r="W318" s="34" t="str">
        <f aca="false">IF(TRIM($C318)="","",IF(COUNTIF('🎓 Alumnas'!$P$2:$P$1000,TRIM($C318))&gt;0,INDEX('🎓 Alumnas'!$A$2:$A$1000,MATCH(TRIM($C318),'🎓 Alumnas'!$P$2:$P$1000,0)),IF(COUNTIF('🎓 Alumnas'!$O$2:$O$1000,TRIM($C318)&amp;"|*")=1,INDEX('🎓 Alumnas'!$A$2:$A$1000,MATCH(TRIM($C318)&amp;"|*",'🎓 Alumnas'!$O$2:$O$1000,0)),IF(COUNTIF('🎓 Alumnas'!$O$2:$O$1000,"*|"&amp;TRIM($C318))=1,INDEX('🎓 Alumnas'!$A$2:$A$1000,MATCH("*|"&amp;TRIM($C318),'🎓 Alumnas'!$O$2:$O$1000,0)),IF(COUNTIF('🎓 Alumnas'!$Q$2:$Q$1000,TRIM($C318))=1,INDEX('🎓 Alumnas'!$A$2:$A$1000,MATCH(TRIM($C318),'🎓 Alumnas'!$Q$2:$Q$1000,0)),IF(COUNTIF('🎓 Alumnas'!$P$2:$P$1000,"*"&amp;TRIM($C318)&amp;"*")=1,INDEX('🎓 Alumnas'!$A$2:$A$1000,MATCH("*"&amp;TRIM($C318)&amp;"*",'🎓 Alumnas'!$P$2:$P$1000,0)),IF(COUNTIF('🎓 Alumnas'!$Q$2:$Q$1000,"*"&amp;TRIM($C318)&amp;"*")=1,INDEX('🎓 Alumnas'!$A$2:$A$1000,MATCH("*"&amp;TRIM($C318)&amp;"*",'🎓 Alumnas'!$Q$2:$Q$1000,0)),IF(COUNTIF('🎓 Alumnas'!$P$2:$P$1000,"*"&amp;TRIM($C318)&amp;"*")+COUNTIF('🎓 Alumnas'!$Q$2:$Q$1000,"*"&amp;TRIM($C318)&amp;"*")&gt;1,"Varias: elige de la lista","No encontrada"))))))))</f>
        <v/>
      </c>
    </row>
    <row r="319" customFormat="false" ht="14.25" hidden="false" customHeight="true" outlineLevel="0" collapsed="false">
      <c r="A319" s="25" t="s">
        <v>863</v>
      </c>
      <c r="B319" s="27"/>
      <c r="C319" s="25"/>
      <c r="D319" s="34" t="str">
        <f aca="false">IF($W319="","",IFERROR(TRIM(INDEX('🎓 Alumnas'!$B$2:$B$1000,MATCH($W319,'🎓 Alumnas'!$A$2:$A$1000,0))),""))</f>
        <v/>
      </c>
      <c r="E319" s="34" t="str">
        <f aca="false">IF($W319="","",IFERROR(TRIM(INDEX('🎓 Alumnas'!$C$2:$C$1000,MATCH($W319,'🎓 Alumnas'!$A$2:$A$1000,0))),""))</f>
        <v/>
      </c>
      <c r="F319" s="34" t="str">
        <f aca="false">IF($W319="","",IFERROR(IF(INDEX('🎓 Alumnas'!$D$2:$D$1000,MATCH($W319,'🎓 Alumnas'!$A$2:$A$1000,0))="","",INDEX('🎓 Alumnas'!$D$2:$D$1000,MATCH($W319,'🎓 Alumnas'!$A$2:$A$1000,0))),""))</f>
        <v/>
      </c>
      <c r="G319" s="28" t="str">
        <f aca="false">IF($W319="","",IFERROR(IF(INDEX('🎓 Alumnas'!$E$2:$E$1000,MATCH($W319,'🎓 Alumnas'!$A$2:$A$1000,0))="","",INDEX('🎓 Alumnas'!$E$2:$E$1000,MATCH($W319,'🎓 Alumnas'!$A$2:$A$1000,0))),""))</f>
        <v/>
      </c>
      <c r="H319" s="28" t="str">
        <f aca="false">IF($W319="","",IFERROR(IF(INDEX('🎓 Alumnas'!$F$2:$F$1000,MATCH($W319,'🎓 Alumnas'!$A$2:$A$1000,0))="","",INDEX('🎓 Alumnas'!$F$2:$F$1000,MATCH($W319,'🎓 Alumnas'!$A$2:$A$1000,0))),""))</f>
        <v/>
      </c>
      <c r="I319" s="30" t="str">
        <f aca="false">IF($W319="","",IFERROR(IF(INDEX('🎓 Alumnas'!$G$2:$G$1000,MATCH($W319,'🎓 Alumnas'!$A$2:$A$1000,0))="","",INDEX('🎓 Alumnas'!$G$2:$G$1000,MATCH($W319,'🎓 Alumnas'!$A$2:$A$1000,0))),""))</f>
        <v/>
      </c>
      <c r="J319" s="28" t="str">
        <f aca="true">IF(I319="","",DATEDIF(I319,TODAY(),"Y"))</f>
        <v/>
      </c>
      <c r="K319" s="25"/>
      <c r="L319" s="28" t="str">
        <f aca="false">IF(K319="","",IF(LEFT(K319,6)="1 Pole","Alquiler",IF(LEFT(K319,7)="1 Clase","Clase suelta","Paquete")))</f>
        <v/>
      </c>
      <c r="M319" s="25"/>
      <c r="N319" s="25"/>
      <c r="O319" s="35"/>
      <c r="P319" s="29" t="str">
        <f aca="false">IF(O319="","",N319*O319)</f>
        <v/>
      </c>
      <c r="Q319" s="36"/>
      <c r="R319" s="25"/>
      <c r="S319" s="25"/>
      <c r="T319" s="28" t="str">
        <f aca="false">IF(OR(LEFT(W319,2)&lt;&gt;"A-",ISERROR(MATCH(W319,'🎓 Alumnas'!$A$2:$A$1000,0))),"",IF(COUNTIF($W$2:W319,W319)=1,"Nueva","Recurrente"))</f>
        <v/>
      </c>
      <c r="U319" s="28" t="str">
        <f aca="false">IF(OR(T319="",L319&lt;&gt;"Paquete"),"",COUNTIFS($W$2:W319,W319,$L$2:L319,"Paquete"))</f>
        <v/>
      </c>
      <c r="V319" s="25"/>
      <c r="W319" s="34" t="str">
        <f aca="false">IF(TRIM($C319)="","",IF(COUNTIF('🎓 Alumnas'!$P$2:$P$1000,TRIM($C319))&gt;0,INDEX('🎓 Alumnas'!$A$2:$A$1000,MATCH(TRIM($C319),'🎓 Alumnas'!$P$2:$P$1000,0)),IF(COUNTIF('🎓 Alumnas'!$O$2:$O$1000,TRIM($C319)&amp;"|*")=1,INDEX('🎓 Alumnas'!$A$2:$A$1000,MATCH(TRIM($C319)&amp;"|*",'🎓 Alumnas'!$O$2:$O$1000,0)),IF(COUNTIF('🎓 Alumnas'!$O$2:$O$1000,"*|"&amp;TRIM($C319))=1,INDEX('🎓 Alumnas'!$A$2:$A$1000,MATCH("*|"&amp;TRIM($C319),'🎓 Alumnas'!$O$2:$O$1000,0)),IF(COUNTIF('🎓 Alumnas'!$Q$2:$Q$1000,TRIM($C319))=1,INDEX('🎓 Alumnas'!$A$2:$A$1000,MATCH(TRIM($C319),'🎓 Alumnas'!$Q$2:$Q$1000,0)),IF(COUNTIF('🎓 Alumnas'!$P$2:$P$1000,"*"&amp;TRIM($C319)&amp;"*")=1,INDEX('🎓 Alumnas'!$A$2:$A$1000,MATCH("*"&amp;TRIM($C319)&amp;"*",'🎓 Alumnas'!$P$2:$P$1000,0)),IF(COUNTIF('🎓 Alumnas'!$Q$2:$Q$1000,"*"&amp;TRIM($C319)&amp;"*")=1,INDEX('🎓 Alumnas'!$A$2:$A$1000,MATCH("*"&amp;TRIM($C319)&amp;"*",'🎓 Alumnas'!$Q$2:$Q$1000,0)),IF(COUNTIF('🎓 Alumnas'!$P$2:$P$1000,"*"&amp;TRIM($C319)&amp;"*")+COUNTIF('🎓 Alumnas'!$Q$2:$Q$1000,"*"&amp;TRIM($C319)&amp;"*")&gt;1,"Varias: elige de la lista","No encontrada"))))))))</f>
        <v/>
      </c>
    </row>
    <row r="320" customFormat="false" ht="14.25" hidden="false" customHeight="true" outlineLevel="0" collapsed="false">
      <c r="A320" s="25" t="s">
        <v>864</v>
      </c>
      <c r="B320" s="27"/>
      <c r="C320" s="25"/>
      <c r="D320" s="34" t="str">
        <f aca="false">IF($W320="","",IFERROR(TRIM(INDEX('🎓 Alumnas'!$B$2:$B$1000,MATCH($W320,'🎓 Alumnas'!$A$2:$A$1000,0))),""))</f>
        <v/>
      </c>
      <c r="E320" s="34" t="str">
        <f aca="false">IF($W320="","",IFERROR(TRIM(INDEX('🎓 Alumnas'!$C$2:$C$1000,MATCH($W320,'🎓 Alumnas'!$A$2:$A$1000,0))),""))</f>
        <v/>
      </c>
      <c r="F320" s="34" t="str">
        <f aca="false">IF($W320="","",IFERROR(IF(INDEX('🎓 Alumnas'!$D$2:$D$1000,MATCH($W320,'🎓 Alumnas'!$A$2:$A$1000,0))="","",INDEX('🎓 Alumnas'!$D$2:$D$1000,MATCH($W320,'🎓 Alumnas'!$A$2:$A$1000,0))),""))</f>
        <v/>
      </c>
      <c r="G320" s="28" t="str">
        <f aca="false">IF($W320="","",IFERROR(IF(INDEX('🎓 Alumnas'!$E$2:$E$1000,MATCH($W320,'🎓 Alumnas'!$A$2:$A$1000,0))="","",INDEX('🎓 Alumnas'!$E$2:$E$1000,MATCH($W320,'🎓 Alumnas'!$A$2:$A$1000,0))),""))</f>
        <v/>
      </c>
      <c r="H320" s="28" t="str">
        <f aca="false">IF($W320="","",IFERROR(IF(INDEX('🎓 Alumnas'!$F$2:$F$1000,MATCH($W320,'🎓 Alumnas'!$A$2:$A$1000,0))="","",INDEX('🎓 Alumnas'!$F$2:$F$1000,MATCH($W320,'🎓 Alumnas'!$A$2:$A$1000,0))),""))</f>
        <v/>
      </c>
      <c r="I320" s="30" t="str">
        <f aca="false">IF($W320="","",IFERROR(IF(INDEX('🎓 Alumnas'!$G$2:$G$1000,MATCH($W320,'🎓 Alumnas'!$A$2:$A$1000,0))="","",INDEX('🎓 Alumnas'!$G$2:$G$1000,MATCH($W320,'🎓 Alumnas'!$A$2:$A$1000,0))),""))</f>
        <v/>
      </c>
      <c r="J320" s="28" t="str">
        <f aca="true">IF(I320="","",DATEDIF(I320,TODAY(),"Y"))</f>
        <v/>
      </c>
      <c r="K320" s="25"/>
      <c r="L320" s="28" t="str">
        <f aca="false">IF(K320="","",IF(LEFT(K320,6)="1 Pole","Alquiler",IF(LEFT(K320,7)="1 Clase","Clase suelta","Paquete")))</f>
        <v/>
      </c>
      <c r="M320" s="25"/>
      <c r="N320" s="25"/>
      <c r="O320" s="35"/>
      <c r="P320" s="29" t="str">
        <f aca="false">IF(O320="","",N320*O320)</f>
        <v/>
      </c>
      <c r="Q320" s="36"/>
      <c r="R320" s="25"/>
      <c r="S320" s="25"/>
      <c r="T320" s="28" t="str">
        <f aca="false">IF(OR(LEFT(W320,2)&lt;&gt;"A-",ISERROR(MATCH(W320,'🎓 Alumnas'!$A$2:$A$1000,0))),"",IF(COUNTIF($W$2:W320,W320)=1,"Nueva","Recurrente"))</f>
        <v/>
      </c>
      <c r="U320" s="28" t="str">
        <f aca="false">IF(OR(T320="",L320&lt;&gt;"Paquete"),"",COUNTIFS($W$2:W320,W320,$L$2:L320,"Paquete"))</f>
        <v/>
      </c>
      <c r="V320" s="25"/>
      <c r="W320" s="34" t="str">
        <f aca="false">IF(TRIM($C320)="","",IF(COUNTIF('🎓 Alumnas'!$P$2:$P$1000,TRIM($C320))&gt;0,INDEX('🎓 Alumnas'!$A$2:$A$1000,MATCH(TRIM($C320),'🎓 Alumnas'!$P$2:$P$1000,0)),IF(COUNTIF('🎓 Alumnas'!$O$2:$O$1000,TRIM($C320)&amp;"|*")=1,INDEX('🎓 Alumnas'!$A$2:$A$1000,MATCH(TRIM($C320)&amp;"|*",'🎓 Alumnas'!$O$2:$O$1000,0)),IF(COUNTIF('🎓 Alumnas'!$O$2:$O$1000,"*|"&amp;TRIM($C320))=1,INDEX('🎓 Alumnas'!$A$2:$A$1000,MATCH("*|"&amp;TRIM($C320),'🎓 Alumnas'!$O$2:$O$1000,0)),IF(COUNTIF('🎓 Alumnas'!$Q$2:$Q$1000,TRIM($C320))=1,INDEX('🎓 Alumnas'!$A$2:$A$1000,MATCH(TRIM($C320),'🎓 Alumnas'!$Q$2:$Q$1000,0)),IF(COUNTIF('🎓 Alumnas'!$P$2:$P$1000,"*"&amp;TRIM($C320)&amp;"*")=1,INDEX('🎓 Alumnas'!$A$2:$A$1000,MATCH("*"&amp;TRIM($C320)&amp;"*",'🎓 Alumnas'!$P$2:$P$1000,0)),IF(COUNTIF('🎓 Alumnas'!$Q$2:$Q$1000,"*"&amp;TRIM($C320)&amp;"*")=1,INDEX('🎓 Alumnas'!$A$2:$A$1000,MATCH("*"&amp;TRIM($C320)&amp;"*",'🎓 Alumnas'!$Q$2:$Q$1000,0)),IF(COUNTIF('🎓 Alumnas'!$P$2:$P$1000,"*"&amp;TRIM($C320)&amp;"*")+COUNTIF('🎓 Alumnas'!$Q$2:$Q$1000,"*"&amp;TRIM($C320)&amp;"*")&gt;1,"Varias: elige de la lista","No encontrada"))))))))</f>
        <v/>
      </c>
    </row>
    <row r="321" customFormat="false" ht="14.25" hidden="false" customHeight="true" outlineLevel="0" collapsed="false">
      <c r="A321" s="25" t="s">
        <v>865</v>
      </c>
      <c r="B321" s="27"/>
      <c r="C321" s="25"/>
      <c r="D321" s="34" t="str">
        <f aca="false">IF($W321="","",IFERROR(TRIM(INDEX('🎓 Alumnas'!$B$2:$B$1000,MATCH($W321,'🎓 Alumnas'!$A$2:$A$1000,0))),""))</f>
        <v/>
      </c>
      <c r="E321" s="34" t="str">
        <f aca="false">IF($W321="","",IFERROR(TRIM(INDEX('🎓 Alumnas'!$C$2:$C$1000,MATCH($W321,'🎓 Alumnas'!$A$2:$A$1000,0))),""))</f>
        <v/>
      </c>
      <c r="F321" s="34" t="str">
        <f aca="false">IF($W321="","",IFERROR(IF(INDEX('🎓 Alumnas'!$D$2:$D$1000,MATCH($W321,'🎓 Alumnas'!$A$2:$A$1000,0))="","",INDEX('🎓 Alumnas'!$D$2:$D$1000,MATCH($W321,'🎓 Alumnas'!$A$2:$A$1000,0))),""))</f>
        <v/>
      </c>
      <c r="G321" s="28" t="str">
        <f aca="false">IF($W321="","",IFERROR(IF(INDEX('🎓 Alumnas'!$E$2:$E$1000,MATCH($W321,'🎓 Alumnas'!$A$2:$A$1000,0))="","",INDEX('🎓 Alumnas'!$E$2:$E$1000,MATCH($W321,'🎓 Alumnas'!$A$2:$A$1000,0))),""))</f>
        <v/>
      </c>
      <c r="H321" s="28" t="str">
        <f aca="false">IF($W321="","",IFERROR(IF(INDEX('🎓 Alumnas'!$F$2:$F$1000,MATCH($W321,'🎓 Alumnas'!$A$2:$A$1000,0))="","",INDEX('🎓 Alumnas'!$F$2:$F$1000,MATCH($W321,'🎓 Alumnas'!$A$2:$A$1000,0))),""))</f>
        <v/>
      </c>
      <c r="I321" s="30" t="str">
        <f aca="false">IF($W321="","",IFERROR(IF(INDEX('🎓 Alumnas'!$G$2:$G$1000,MATCH($W321,'🎓 Alumnas'!$A$2:$A$1000,0))="","",INDEX('🎓 Alumnas'!$G$2:$G$1000,MATCH($W321,'🎓 Alumnas'!$A$2:$A$1000,0))),""))</f>
        <v/>
      </c>
      <c r="J321" s="28" t="str">
        <f aca="true">IF(I321="","",DATEDIF(I321,TODAY(),"Y"))</f>
        <v/>
      </c>
      <c r="K321" s="25"/>
      <c r="L321" s="28" t="str">
        <f aca="false">IF(K321="","",IF(LEFT(K321,6)="1 Pole","Alquiler",IF(LEFT(K321,7)="1 Clase","Clase suelta","Paquete")))</f>
        <v/>
      </c>
      <c r="M321" s="25"/>
      <c r="N321" s="25"/>
      <c r="O321" s="35"/>
      <c r="P321" s="29" t="str">
        <f aca="false">IF(O321="","",N321*O321)</f>
        <v/>
      </c>
      <c r="Q321" s="36"/>
      <c r="R321" s="25"/>
      <c r="S321" s="25"/>
      <c r="T321" s="28" t="str">
        <f aca="false">IF(OR(LEFT(W321,2)&lt;&gt;"A-",ISERROR(MATCH(W321,'🎓 Alumnas'!$A$2:$A$1000,0))),"",IF(COUNTIF($W$2:W321,W321)=1,"Nueva","Recurrente"))</f>
        <v/>
      </c>
      <c r="U321" s="28" t="str">
        <f aca="false">IF(OR(T321="",L321&lt;&gt;"Paquete"),"",COUNTIFS($W$2:W321,W321,$L$2:L321,"Paquete"))</f>
        <v/>
      </c>
      <c r="V321" s="25"/>
      <c r="W321" s="34" t="str">
        <f aca="false">IF(TRIM($C321)="","",IF(COUNTIF('🎓 Alumnas'!$P$2:$P$1000,TRIM($C321))&gt;0,INDEX('🎓 Alumnas'!$A$2:$A$1000,MATCH(TRIM($C321),'🎓 Alumnas'!$P$2:$P$1000,0)),IF(COUNTIF('🎓 Alumnas'!$O$2:$O$1000,TRIM($C321)&amp;"|*")=1,INDEX('🎓 Alumnas'!$A$2:$A$1000,MATCH(TRIM($C321)&amp;"|*",'🎓 Alumnas'!$O$2:$O$1000,0)),IF(COUNTIF('🎓 Alumnas'!$O$2:$O$1000,"*|"&amp;TRIM($C321))=1,INDEX('🎓 Alumnas'!$A$2:$A$1000,MATCH("*|"&amp;TRIM($C321),'🎓 Alumnas'!$O$2:$O$1000,0)),IF(COUNTIF('🎓 Alumnas'!$Q$2:$Q$1000,TRIM($C321))=1,INDEX('🎓 Alumnas'!$A$2:$A$1000,MATCH(TRIM($C321),'🎓 Alumnas'!$Q$2:$Q$1000,0)),IF(COUNTIF('🎓 Alumnas'!$P$2:$P$1000,"*"&amp;TRIM($C321)&amp;"*")=1,INDEX('🎓 Alumnas'!$A$2:$A$1000,MATCH("*"&amp;TRIM($C321)&amp;"*",'🎓 Alumnas'!$P$2:$P$1000,0)),IF(COUNTIF('🎓 Alumnas'!$Q$2:$Q$1000,"*"&amp;TRIM($C321)&amp;"*")=1,INDEX('🎓 Alumnas'!$A$2:$A$1000,MATCH("*"&amp;TRIM($C321)&amp;"*",'🎓 Alumnas'!$Q$2:$Q$1000,0)),IF(COUNTIF('🎓 Alumnas'!$P$2:$P$1000,"*"&amp;TRIM($C321)&amp;"*")+COUNTIF('🎓 Alumnas'!$Q$2:$Q$1000,"*"&amp;TRIM($C321)&amp;"*")&gt;1,"Varias: elige de la lista","No encontrada"))))))))</f>
        <v/>
      </c>
    </row>
    <row r="322" customFormat="false" ht="14.25" hidden="false" customHeight="true" outlineLevel="0" collapsed="false">
      <c r="A322" s="25" t="s">
        <v>866</v>
      </c>
      <c r="B322" s="27"/>
      <c r="C322" s="25"/>
      <c r="D322" s="34" t="str">
        <f aca="false">IF($W322="","",IFERROR(TRIM(INDEX('🎓 Alumnas'!$B$2:$B$1000,MATCH($W322,'🎓 Alumnas'!$A$2:$A$1000,0))),""))</f>
        <v/>
      </c>
      <c r="E322" s="34" t="str">
        <f aca="false">IF($W322="","",IFERROR(TRIM(INDEX('🎓 Alumnas'!$C$2:$C$1000,MATCH($W322,'🎓 Alumnas'!$A$2:$A$1000,0))),""))</f>
        <v/>
      </c>
      <c r="F322" s="34" t="str">
        <f aca="false">IF($W322="","",IFERROR(IF(INDEX('🎓 Alumnas'!$D$2:$D$1000,MATCH($W322,'🎓 Alumnas'!$A$2:$A$1000,0))="","",INDEX('🎓 Alumnas'!$D$2:$D$1000,MATCH($W322,'🎓 Alumnas'!$A$2:$A$1000,0))),""))</f>
        <v/>
      </c>
      <c r="G322" s="28" t="str">
        <f aca="false">IF($W322="","",IFERROR(IF(INDEX('🎓 Alumnas'!$E$2:$E$1000,MATCH($W322,'🎓 Alumnas'!$A$2:$A$1000,0))="","",INDEX('🎓 Alumnas'!$E$2:$E$1000,MATCH($W322,'🎓 Alumnas'!$A$2:$A$1000,0))),""))</f>
        <v/>
      </c>
      <c r="H322" s="28" t="str">
        <f aca="false">IF($W322="","",IFERROR(IF(INDEX('🎓 Alumnas'!$F$2:$F$1000,MATCH($W322,'🎓 Alumnas'!$A$2:$A$1000,0))="","",INDEX('🎓 Alumnas'!$F$2:$F$1000,MATCH($W322,'🎓 Alumnas'!$A$2:$A$1000,0))),""))</f>
        <v/>
      </c>
      <c r="I322" s="30" t="str">
        <f aca="false">IF($W322="","",IFERROR(IF(INDEX('🎓 Alumnas'!$G$2:$G$1000,MATCH($W322,'🎓 Alumnas'!$A$2:$A$1000,0))="","",INDEX('🎓 Alumnas'!$G$2:$G$1000,MATCH($W322,'🎓 Alumnas'!$A$2:$A$1000,0))),""))</f>
        <v/>
      </c>
      <c r="J322" s="28" t="str">
        <f aca="true">IF(I322="","",DATEDIF(I322,TODAY(),"Y"))</f>
        <v/>
      </c>
      <c r="K322" s="25"/>
      <c r="L322" s="28" t="str">
        <f aca="false">IF(K322="","",IF(LEFT(K322,6)="1 Pole","Alquiler",IF(LEFT(K322,7)="1 Clase","Clase suelta","Paquete")))</f>
        <v/>
      </c>
      <c r="M322" s="25"/>
      <c r="N322" s="25"/>
      <c r="O322" s="35"/>
      <c r="P322" s="29" t="str">
        <f aca="false">IF(O322="","",N322*O322)</f>
        <v/>
      </c>
      <c r="Q322" s="36"/>
      <c r="R322" s="25"/>
      <c r="S322" s="25"/>
      <c r="T322" s="28" t="str">
        <f aca="false">IF(OR(LEFT(W322,2)&lt;&gt;"A-",ISERROR(MATCH(W322,'🎓 Alumnas'!$A$2:$A$1000,0))),"",IF(COUNTIF($W$2:W322,W322)=1,"Nueva","Recurrente"))</f>
        <v/>
      </c>
      <c r="U322" s="28" t="str">
        <f aca="false">IF(OR(T322="",L322&lt;&gt;"Paquete"),"",COUNTIFS($W$2:W322,W322,$L$2:L322,"Paquete"))</f>
        <v/>
      </c>
      <c r="V322" s="25"/>
      <c r="W322" s="34" t="str">
        <f aca="false">IF(TRIM($C322)="","",IF(COUNTIF('🎓 Alumnas'!$P$2:$P$1000,TRIM($C322))&gt;0,INDEX('🎓 Alumnas'!$A$2:$A$1000,MATCH(TRIM($C322),'🎓 Alumnas'!$P$2:$P$1000,0)),IF(COUNTIF('🎓 Alumnas'!$O$2:$O$1000,TRIM($C322)&amp;"|*")=1,INDEX('🎓 Alumnas'!$A$2:$A$1000,MATCH(TRIM($C322)&amp;"|*",'🎓 Alumnas'!$O$2:$O$1000,0)),IF(COUNTIF('🎓 Alumnas'!$O$2:$O$1000,"*|"&amp;TRIM($C322))=1,INDEX('🎓 Alumnas'!$A$2:$A$1000,MATCH("*|"&amp;TRIM($C322),'🎓 Alumnas'!$O$2:$O$1000,0)),IF(COUNTIF('🎓 Alumnas'!$Q$2:$Q$1000,TRIM($C322))=1,INDEX('🎓 Alumnas'!$A$2:$A$1000,MATCH(TRIM($C322),'🎓 Alumnas'!$Q$2:$Q$1000,0)),IF(COUNTIF('🎓 Alumnas'!$P$2:$P$1000,"*"&amp;TRIM($C322)&amp;"*")=1,INDEX('🎓 Alumnas'!$A$2:$A$1000,MATCH("*"&amp;TRIM($C322)&amp;"*",'🎓 Alumnas'!$P$2:$P$1000,0)),IF(COUNTIF('🎓 Alumnas'!$Q$2:$Q$1000,"*"&amp;TRIM($C322)&amp;"*")=1,INDEX('🎓 Alumnas'!$A$2:$A$1000,MATCH("*"&amp;TRIM($C322)&amp;"*",'🎓 Alumnas'!$Q$2:$Q$1000,0)),IF(COUNTIF('🎓 Alumnas'!$P$2:$P$1000,"*"&amp;TRIM($C322)&amp;"*")+COUNTIF('🎓 Alumnas'!$Q$2:$Q$1000,"*"&amp;TRIM($C322)&amp;"*")&gt;1,"Varias: elige de la lista","No encontrada"))))))))</f>
        <v/>
      </c>
    </row>
    <row r="323" customFormat="false" ht="14.25" hidden="false" customHeight="true" outlineLevel="0" collapsed="false">
      <c r="A323" s="25" t="s">
        <v>867</v>
      </c>
      <c r="B323" s="27"/>
      <c r="C323" s="25"/>
      <c r="D323" s="34" t="str">
        <f aca="false">IF($W323="","",IFERROR(TRIM(INDEX('🎓 Alumnas'!$B$2:$B$1000,MATCH($W323,'🎓 Alumnas'!$A$2:$A$1000,0))),""))</f>
        <v/>
      </c>
      <c r="E323" s="34" t="str">
        <f aca="false">IF($W323="","",IFERROR(TRIM(INDEX('🎓 Alumnas'!$C$2:$C$1000,MATCH($W323,'🎓 Alumnas'!$A$2:$A$1000,0))),""))</f>
        <v/>
      </c>
      <c r="F323" s="34" t="str">
        <f aca="false">IF($W323="","",IFERROR(IF(INDEX('🎓 Alumnas'!$D$2:$D$1000,MATCH($W323,'🎓 Alumnas'!$A$2:$A$1000,0))="","",INDEX('🎓 Alumnas'!$D$2:$D$1000,MATCH($W323,'🎓 Alumnas'!$A$2:$A$1000,0))),""))</f>
        <v/>
      </c>
      <c r="G323" s="28" t="str">
        <f aca="false">IF($W323="","",IFERROR(IF(INDEX('🎓 Alumnas'!$E$2:$E$1000,MATCH($W323,'🎓 Alumnas'!$A$2:$A$1000,0))="","",INDEX('🎓 Alumnas'!$E$2:$E$1000,MATCH($W323,'🎓 Alumnas'!$A$2:$A$1000,0))),""))</f>
        <v/>
      </c>
      <c r="H323" s="28" t="str">
        <f aca="false">IF($W323="","",IFERROR(IF(INDEX('🎓 Alumnas'!$F$2:$F$1000,MATCH($W323,'🎓 Alumnas'!$A$2:$A$1000,0))="","",INDEX('🎓 Alumnas'!$F$2:$F$1000,MATCH($W323,'🎓 Alumnas'!$A$2:$A$1000,0))),""))</f>
        <v/>
      </c>
      <c r="I323" s="30" t="str">
        <f aca="false">IF($W323="","",IFERROR(IF(INDEX('🎓 Alumnas'!$G$2:$G$1000,MATCH($W323,'🎓 Alumnas'!$A$2:$A$1000,0))="","",INDEX('🎓 Alumnas'!$G$2:$G$1000,MATCH($W323,'🎓 Alumnas'!$A$2:$A$1000,0))),""))</f>
        <v/>
      </c>
      <c r="J323" s="28" t="str">
        <f aca="true">IF(I323="","",DATEDIF(I323,TODAY(),"Y"))</f>
        <v/>
      </c>
      <c r="K323" s="25"/>
      <c r="L323" s="28" t="str">
        <f aca="false">IF(K323="","",IF(LEFT(K323,6)="1 Pole","Alquiler",IF(LEFT(K323,7)="1 Clase","Clase suelta","Paquete")))</f>
        <v/>
      </c>
      <c r="M323" s="25"/>
      <c r="N323" s="25"/>
      <c r="O323" s="35"/>
      <c r="P323" s="29" t="str">
        <f aca="false">IF(O323="","",N323*O323)</f>
        <v/>
      </c>
      <c r="Q323" s="36"/>
      <c r="R323" s="25"/>
      <c r="S323" s="25"/>
      <c r="T323" s="28" t="str">
        <f aca="false">IF(OR(LEFT(W323,2)&lt;&gt;"A-",ISERROR(MATCH(W323,'🎓 Alumnas'!$A$2:$A$1000,0))),"",IF(COUNTIF($W$2:W323,W323)=1,"Nueva","Recurrente"))</f>
        <v/>
      </c>
      <c r="U323" s="28" t="str">
        <f aca="false">IF(OR(T323="",L323&lt;&gt;"Paquete"),"",COUNTIFS($W$2:W323,W323,$L$2:L323,"Paquete"))</f>
        <v/>
      </c>
      <c r="V323" s="25"/>
      <c r="W323" s="34" t="str">
        <f aca="false">IF(TRIM($C323)="","",IF(COUNTIF('🎓 Alumnas'!$P$2:$P$1000,TRIM($C323))&gt;0,INDEX('🎓 Alumnas'!$A$2:$A$1000,MATCH(TRIM($C323),'🎓 Alumnas'!$P$2:$P$1000,0)),IF(COUNTIF('🎓 Alumnas'!$O$2:$O$1000,TRIM($C323)&amp;"|*")=1,INDEX('🎓 Alumnas'!$A$2:$A$1000,MATCH(TRIM($C323)&amp;"|*",'🎓 Alumnas'!$O$2:$O$1000,0)),IF(COUNTIF('🎓 Alumnas'!$O$2:$O$1000,"*|"&amp;TRIM($C323))=1,INDEX('🎓 Alumnas'!$A$2:$A$1000,MATCH("*|"&amp;TRIM($C323),'🎓 Alumnas'!$O$2:$O$1000,0)),IF(COUNTIF('🎓 Alumnas'!$Q$2:$Q$1000,TRIM($C323))=1,INDEX('🎓 Alumnas'!$A$2:$A$1000,MATCH(TRIM($C323),'🎓 Alumnas'!$Q$2:$Q$1000,0)),IF(COUNTIF('🎓 Alumnas'!$P$2:$P$1000,"*"&amp;TRIM($C323)&amp;"*")=1,INDEX('🎓 Alumnas'!$A$2:$A$1000,MATCH("*"&amp;TRIM($C323)&amp;"*",'🎓 Alumnas'!$P$2:$P$1000,0)),IF(COUNTIF('🎓 Alumnas'!$Q$2:$Q$1000,"*"&amp;TRIM($C323)&amp;"*")=1,INDEX('🎓 Alumnas'!$A$2:$A$1000,MATCH("*"&amp;TRIM($C323)&amp;"*",'🎓 Alumnas'!$Q$2:$Q$1000,0)),IF(COUNTIF('🎓 Alumnas'!$P$2:$P$1000,"*"&amp;TRIM($C323)&amp;"*")+COUNTIF('🎓 Alumnas'!$Q$2:$Q$1000,"*"&amp;TRIM($C323)&amp;"*")&gt;1,"Varias: elige de la lista","No encontrada"))))))))</f>
        <v/>
      </c>
    </row>
    <row r="324" customFormat="false" ht="14.25" hidden="false" customHeight="true" outlineLevel="0" collapsed="false">
      <c r="A324" s="25" t="s">
        <v>868</v>
      </c>
      <c r="B324" s="27"/>
      <c r="C324" s="25"/>
      <c r="D324" s="34" t="str">
        <f aca="false">IF($W324="","",IFERROR(TRIM(INDEX('🎓 Alumnas'!$B$2:$B$1000,MATCH($W324,'🎓 Alumnas'!$A$2:$A$1000,0))),""))</f>
        <v/>
      </c>
      <c r="E324" s="34" t="str">
        <f aca="false">IF($W324="","",IFERROR(TRIM(INDEX('🎓 Alumnas'!$C$2:$C$1000,MATCH($W324,'🎓 Alumnas'!$A$2:$A$1000,0))),""))</f>
        <v/>
      </c>
      <c r="F324" s="34" t="str">
        <f aca="false">IF($W324="","",IFERROR(IF(INDEX('🎓 Alumnas'!$D$2:$D$1000,MATCH($W324,'🎓 Alumnas'!$A$2:$A$1000,0))="","",INDEX('🎓 Alumnas'!$D$2:$D$1000,MATCH($W324,'🎓 Alumnas'!$A$2:$A$1000,0))),""))</f>
        <v/>
      </c>
      <c r="G324" s="28" t="str">
        <f aca="false">IF($W324="","",IFERROR(IF(INDEX('🎓 Alumnas'!$E$2:$E$1000,MATCH($W324,'🎓 Alumnas'!$A$2:$A$1000,0))="","",INDEX('🎓 Alumnas'!$E$2:$E$1000,MATCH($W324,'🎓 Alumnas'!$A$2:$A$1000,0))),""))</f>
        <v/>
      </c>
      <c r="H324" s="28" t="str">
        <f aca="false">IF($W324="","",IFERROR(IF(INDEX('🎓 Alumnas'!$F$2:$F$1000,MATCH($W324,'🎓 Alumnas'!$A$2:$A$1000,0))="","",INDEX('🎓 Alumnas'!$F$2:$F$1000,MATCH($W324,'🎓 Alumnas'!$A$2:$A$1000,0))),""))</f>
        <v/>
      </c>
      <c r="I324" s="30" t="str">
        <f aca="false">IF($W324="","",IFERROR(IF(INDEX('🎓 Alumnas'!$G$2:$G$1000,MATCH($W324,'🎓 Alumnas'!$A$2:$A$1000,0))="","",INDEX('🎓 Alumnas'!$G$2:$G$1000,MATCH($W324,'🎓 Alumnas'!$A$2:$A$1000,0))),""))</f>
        <v/>
      </c>
      <c r="J324" s="28" t="str">
        <f aca="true">IF(I324="","",DATEDIF(I324,TODAY(),"Y"))</f>
        <v/>
      </c>
      <c r="K324" s="25"/>
      <c r="L324" s="28" t="str">
        <f aca="false">IF(K324="","",IF(LEFT(K324,6)="1 Pole","Alquiler",IF(LEFT(K324,7)="1 Clase","Clase suelta","Paquete")))</f>
        <v/>
      </c>
      <c r="M324" s="25"/>
      <c r="N324" s="25"/>
      <c r="O324" s="35"/>
      <c r="P324" s="29" t="str">
        <f aca="false">IF(O324="","",N324*O324)</f>
        <v/>
      </c>
      <c r="Q324" s="36"/>
      <c r="R324" s="25"/>
      <c r="S324" s="25"/>
      <c r="T324" s="28" t="str">
        <f aca="false">IF(OR(LEFT(W324,2)&lt;&gt;"A-",ISERROR(MATCH(W324,'🎓 Alumnas'!$A$2:$A$1000,0))),"",IF(COUNTIF($W$2:W324,W324)=1,"Nueva","Recurrente"))</f>
        <v/>
      </c>
      <c r="U324" s="28" t="str">
        <f aca="false">IF(OR(T324="",L324&lt;&gt;"Paquete"),"",COUNTIFS($W$2:W324,W324,$L$2:L324,"Paquete"))</f>
        <v/>
      </c>
      <c r="V324" s="25"/>
      <c r="W324" s="34" t="str">
        <f aca="false">IF(TRIM($C324)="","",IF(COUNTIF('🎓 Alumnas'!$P$2:$P$1000,TRIM($C324))&gt;0,INDEX('🎓 Alumnas'!$A$2:$A$1000,MATCH(TRIM($C324),'🎓 Alumnas'!$P$2:$P$1000,0)),IF(COUNTIF('🎓 Alumnas'!$O$2:$O$1000,TRIM($C324)&amp;"|*")=1,INDEX('🎓 Alumnas'!$A$2:$A$1000,MATCH(TRIM($C324)&amp;"|*",'🎓 Alumnas'!$O$2:$O$1000,0)),IF(COUNTIF('🎓 Alumnas'!$O$2:$O$1000,"*|"&amp;TRIM($C324))=1,INDEX('🎓 Alumnas'!$A$2:$A$1000,MATCH("*|"&amp;TRIM($C324),'🎓 Alumnas'!$O$2:$O$1000,0)),IF(COUNTIF('🎓 Alumnas'!$Q$2:$Q$1000,TRIM($C324))=1,INDEX('🎓 Alumnas'!$A$2:$A$1000,MATCH(TRIM($C324),'🎓 Alumnas'!$Q$2:$Q$1000,0)),IF(COUNTIF('🎓 Alumnas'!$P$2:$P$1000,"*"&amp;TRIM($C324)&amp;"*")=1,INDEX('🎓 Alumnas'!$A$2:$A$1000,MATCH("*"&amp;TRIM($C324)&amp;"*",'🎓 Alumnas'!$P$2:$P$1000,0)),IF(COUNTIF('🎓 Alumnas'!$Q$2:$Q$1000,"*"&amp;TRIM($C324)&amp;"*")=1,INDEX('🎓 Alumnas'!$A$2:$A$1000,MATCH("*"&amp;TRIM($C324)&amp;"*",'🎓 Alumnas'!$Q$2:$Q$1000,0)),IF(COUNTIF('🎓 Alumnas'!$P$2:$P$1000,"*"&amp;TRIM($C324)&amp;"*")+COUNTIF('🎓 Alumnas'!$Q$2:$Q$1000,"*"&amp;TRIM($C324)&amp;"*")&gt;1,"Varias: elige de la lista","No encontrada"))))))))</f>
        <v/>
      </c>
    </row>
    <row r="325" customFormat="false" ht="14.25" hidden="false" customHeight="true" outlineLevel="0" collapsed="false">
      <c r="A325" s="25" t="s">
        <v>869</v>
      </c>
      <c r="B325" s="27"/>
      <c r="C325" s="25"/>
      <c r="D325" s="34" t="str">
        <f aca="false">IF($W325="","",IFERROR(TRIM(INDEX('🎓 Alumnas'!$B$2:$B$1000,MATCH($W325,'🎓 Alumnas'!$A$2:$A$1000,0))),""))</f>
        <v/>
      </c>
      <c r="E325" s="34" t="str">
        <f aca="false">IF($W325="","",IFERROR(TRIM(INDEX('🎓 Alumnas'!$C$2:$C$1000,MATCH($W325,'🎓 Alumnas'!$A$2:$A$1000,0))),""))</f>
        <v/>
      </c>
      <c r="F325" s="34" t="str">
        <f aca="false">IF($W325="","",IFERROR(IF(INDEX('🎓 Alumnas'!$D$2:$D$1000,MATCH($W325,'🎓 Alumnas'!$A$2:$A$1000,0))="","",INDEX('🎓 Alumnas'!$D$2:$D$1000,MATCH($W325,'🎓 Alumnas'!$A$2:$A$1000,0))),""))</f>
        <v/>
      </c>
      <c r="G325" s="28" t="str">
        <f aca="false">IF($W325="","",IFERROR(IF(INDEX('🎓 Alumnas'!$E$2:$E$1000,MATCH($W325,'🎓 Alumnas'!$A$2:$A$1000,0))="","",INDEX('🎓 Alumnas'!$E$2:$E$1000,MATCH($W325,'🎓 Alumnas'!$A$2:$A$1000,0))),""))</f>
        <v/>
      </c>
      <c r="H325" s="28" t="str">
        <f aca="false">IF($W325="","",IFERROR(IF(INDEX('🎓 Alumnas'!$F$2:$F$1000,MATCH($W325,'🎓 Alumnas'!$A$2:$A$1000,0))="","",INDEX('🎓 Alumnas'!$F$2:$F$1000,MATCH($W325,'🎓 Alumnas'!$A$2:$A$1000,0))),""))</f>
        <v/>
      </c>
      <c r="I325" s="30" t="str">
        <f aca="false">IF($W325="","",IFERROR(IF(INDEX('🎓 Alumnas'!$G$2:$G$1000,MATCH($W325,'🎓 Alumnas'!$A$2:$A$1000,0))="","",INDEX('🎓 Alumnas'!$G$2:$G$1000,MATCH($W325,'🎓 Alumnas'!$A$2:$A$1000,0))),""))</f>
        <v/>
      </c>
      <c r="J325" s="28" t="str">
        <f aca="true">IF(I325="","",DATEDIF(I325,TODAY(),"Y"))</f>
        <v/>
      </c>
      <c r="K325" s="25"/>
      <c r="L325" s="28" t="str">
        <f aca="false">IF(K325="","",IF(LEFT(K325,6)="1 Pole","Alquiler",IF(LEFT(K325,7)="1 Clase","Clase suelta","Paquete")))</f>
        <v/>
      </c>
      <c r="M325" s="25"/>
      <c r="N325" s="25"/>
      <c r="O325" s="35"/>
      <c r="P325" s="29" t="str">
        <f aca="false">IF(O325="","",N325*O325)</f>
        <v/>
      </c>
      <c r="Q325" s="36"/>
      <c r="R325" s="25"/>
      <c r="S325" s="25"/>
      <c r="T325" s="28" t="str">
        <f aca="false">IF(OR(LEFT(W325,2)&lt;&gt;"A-",ISERROR(MATCH(W325,'🎓 Alumnas'!$A$2:$A$1000,0))),"",IF(COUNTIF($W$2:W325,W325)=1,"Nueva","Recurrente"))</f>
        <v/>
      </c>
      <c r="U325" s="28" t="str">
        <f aca="false">IF(OR(T325="",L325&lt;&gt;"Paquete"),"",COUNTIFS($W$2:W325,W325,$L$2:L325,"Paquete"))</f>
        <v/>
      </c>
      <c r="V325" s="25"/>
      <c r="W325" s="34" t="str">
        <f aca="false">IF(TRIM($C325)="","",IF(COUNTIF('🎓 Alumnas'!$P$2:$P$1000,TRIM($C325))&gt;0,INDEX('🎓 Alumnas'!$A$2:$A$1000,MATCH(TRIM($C325),'🎓 Alumnas'!$P$2:$P$1000,0)),IF(COUNTIF('🎓 Alumnas'!$O$2:$O$1000,TRIM($C325)&amp;"|*")=1,INDEX('🎓 Alumnas'!$A$2:$A$1000,MATCH(TRIM($C325)&amp;"|*",'🎓 Alumnas'!$O$2:$O$1000,0)),IF(COUNTIF('🎓 Alumnas'!$O$2:$O$1000,"*|"&amp;TRIM($C325))=1,INDEX('🎓 Alumnas'!$A$2:$A$1000,MATCH("*|"&amp;TRIM($C325),'🎓 Alumnas'!$O$2:$O$1000,0)),IF(COUNTIF('🎓 Alumnas'!$Q$2:$Q$1000,TRIM($C325))=1,INDEX('🎓 Alumnas'!$A$2:$A$1000,MATCH(TRIM($C325),'🎓 Alumnas'!$Q$2:$Q$1000,0)),IF(COUNTIF('🎓 Alumnas'!$P$2:$P$1000,"*"&amp;TRIM($C325)&amp;"*")=1,INDEX('🎓 Alumnas'!$A$2:$A$1000,MATCH("*"&amp;TRIM($C325)&amp;"*",'🎓 Alumnas'!$P$2:$P$1000,0)),IF(COUNTIF('🎓 Alumnas'!$Q$2:$Q$1000,"*"&amp;TRIM($C325)&amp;"*")=1,INDEX('🎓 Alumnas'!$A$2:$A$1000,MATCH("*"&amp;TRIM($C325)&amp;"*",'🎓 Alumnas'!$Q$2:$Q$1000,0)),IF(COUNTIF('🎓 Alumnas'!$P$2:$P$1000,"*"&amp;TRIM($C325)&amp;"*")+COUNTIF('🎓 Alumnas'!$Q$2:$Q$1000,"*"&amp;TRIM($C325)&amp;"*")&gt;1,"Varias: elige de la lista","No encontrada"))))))))</f>
        <v/>
      </c>
    </row>
    <row r="326" customFormat="false" ht="14.25" hidden="false" customHeight="true" outlineLevel="0" collapsed="false">
      <c r="A326" s="25" t="s">
        <v>870</v>
      </c>
      <c r="B326" s="27"/>
      <c r="C326" s="25"/>
      <c r="D326" s="34" t="str">
        <f aca="false">IF($W326="","",IFERROR(TRIM(INDEX('🎓 Alumnas'!$B$2:$B$1000,MATCH($W326,'🎓 Alumnas'!$A$2:$A$1000,0))),""))</f>
        <v/>
      </c>
      <c r="E326" s="34" t="str">
        <f aca="false">IF($W326="","",IFERROR(TRIM(INDEX('🎓 Alumnas'!$C$2:$C$1000,MATCH($W326,'🎓 Alumnas'!$A$2:$A$1000,0))),""))</f>
        <v/>
      </c>
      <c r="F326" s="34" t="str">
        <f aca="false">IF($W326="","",IFERROR(IF(INDEX('🎓 Alumnas'!$D$2:$D$1000,MATCH($W326,'🎓 Alumnas'!$A$2:$A$1000,0))="","",INDEX('🎓 Alumnas'!$D$2:$D$1000,MATCH($W326,'🎓 Alumnas'!$A$2:$A$1000,0))),""))</f>
        <v/>
      </c>
      <c r="G326" s="28" t="str">
        <f aca="false">IF($W326="","",IFERROR(IF(INDEX('🎓 Alumnas'!$E$2:$E$1000,MATCH($W326,'🎓 Alumnas'!$A$2:$A$1000,0))="","",INDEX('🎓 Alumnas'!$E$2:$E$1000,MATCH($W326,'🎓 Alumnas'!$A$2:$A$1000,0))),""))</f>
        <v/>
      </c>
      <c r="H326" s="28" t="str">
        <f aca="false">IF($W326="","",IFERROR(IF(INDEX('🎓 Alumnas'!$F$2:$F$1000,MATCH($W326,'🎓 Alumnas'!$A$2:$A$1000,0))="","",INDEX('🎓 Alumnas'!$F$2:$F$1000,MATCH($W326,'🎓 Alumnas'!$A$2:$A$1000,0))),""))</f>
        <v/>
      </c>
      <c r="I326" s="30" t="str">
        <f aca="false">IF($W326="","",IFERROR(IF(INDEX('🎓 Alumnas'!$G$2:$G$1000,MATCH($W326,'🎓 Alumnas'!$A$2:$A$1000,0))="","",INDEX('🎓 Alumnas'!$G$2:$G$1000,MATCH($W326,'🎓 Alumnas'!$A$2:$A$1000,0))),""))</f>
        <v/>
      </c>
      <c r="J326" s="28" t="str">
        <f aca="true">IF(I326="","",DATEDIF(I326,TODAY(),"Y"))</f>
        <v/>
      </c>
      <c r="K326" s="25"/>
      <c r="L326" s="28" t="str">
        <f aca="false">IF(K326="","",IF(LEFT(K326,6)="1 Pole","Alquiler",IF(LEFT(K326,7)="1 Clase","Clase suelta","Paquete")))</f>
        <v/>
      </c>
      <c r="M326" s="25"/>
      <c r="N326" s="25"/>
      <c r="O326" s="35"/>
      <c r="P326" s="29" t="str">
        <f aca="false">IF(O326="","",N326*O326)</f>
        <v/>
      </c>
      <c r="Q326" s="36"/>
      <c r="R326" s="25"/>
      <c r="S326" s="25"/>
      <c r="T326" s="28" t="str">
        <f aca="false">IF(OR(LEFT(W326,2)&lt;&gt;"A-",ISERROR(MATCH(W326,'🎓 Alumnas'!$A$2:$A$1000,0))),"",IF(COUNTIF($W$2:W326,W326)=1,"Nueva","Recurrente"))</f>
        <v/>
      </c>
      <c r="U326" s="28" t="str">
        <f aca="false">IF(OR(T326="",L326&lt;&gt;"Paquete"),"",COUNTIFS($W$2:W326,W326,$L$2:L326,"Paquete"))</f>
        <v/>
      </c>
      <c r="V326" s="25"/>
      <c r="W326" s="34" t="str">
        <f aca="false">IF(TRIM($C326)="","",IF(COUNTIF('🎓 Alumnas'!$P$2:$P$1000,TRIM($C326))&gt;0,INDEX('🎓 Alumnas'!$A$2:$A$1000,MATCH(TRIM($C326),'🎓 Alumnas'!$P$2:$P$1000,0)),IF(COUNTIF('🎓 Alumnas'!$O$2:$O$1000,TRIM($C326)&amp;"|*")=1,INDEX('🎓 Alumnas'!$A$2:$A$1000,MATCH(TRIM($C326)&amp;"|*",'🎓 Alumnas'!$O$2:$O$1000,0)),IF(COUNTIF('🎓 Alumnas'!$O$2:$O$1000,"*|"&amp;TRIM($C326))=1,INDEX('🎓 Alumnas'!$A$2:$A$1000,MATCH("*|"&amp;TRIM($C326),'🎓 Alumnas'!$O$2:$O$1000,0)),IF(COUNTIF('🎓 Alumnas'!$Q$2:$Q$1000,TRIM($C326))=1,INDEX('🎓 Alumnas'!$A$2:$A$1000,MATCH(TRIM($C326),'🎓 Alumnas'!$Q$2:$Q$1000,0)),IF(COUNTIF('🎓 Alumnas'!$P$2:$P$1000,"*"&amp;TRIM($C326)&amp;"*")=1,INDEX('🎓 Alumnas'!$A$2:$A$1000,MATCH("*"&amp;TRIM($C326)&amp;"*",'🎓 Alumnas'!$P$2:$P$1000,0)),IF(COUNTIF('🎓 Alumnas'!$Q$2:$Q$1000,"*"&amp;TRIM($C326)&amp;"*")=1,INDEX('🎓 Alumnas'!$A$2:$A$1000,MATCH("*"&amp;TRIM($C326)&amp;"*",'🎓 Alumnas'!$Q$2:$Q$1000,0)),IF(COUNTIF('🎓 Alumnas'!$P$2:$P$1000,"*"&amp;TRIM($C326)&amp;"*")+COUNTIF('🎓 Alumnas'!$Q$2:$Q$1000,"*"&amp;TRIM($C326)&amp;"*")&gt;1,"Varias: elige de la lista","No encontrada"))))))))</f>
        <v/>
      </c>
    </row>
    <row r="327" customFormat="false" ht="14.25" hidden="false" customHeight="true" outlineLevel="0" collapsed="false">
      <c r="A327" s="25" t="s">
        <v>871</v>
      </c>
      <c r="B327" s="27"/>
      <c r="C327" s="25"/>
      <c r="D327" s="34" t="str">
        <f aca="false">IF($W327="","",IFERROR(TRIM(INDEX('🎓 Alumnas'!$B$2:$B$1000,MATCH($W327,'🎓 Alumnas'!$A$2:$A$1000,0))),""))</f>
        <v/>
      </c>
      <c r="E327" s="34" t="str">
        <f aca="false">IF($W327="","",IFERROR(TRIM(INDEX('🎓 Alumnas'!$C$2:$C$1000,MATCH($W327,'🎓 Alumnas'!$A$2:$A$1000,0))),""))</f>
        <v/>
      </c>
      <c r="F327" s="34" t="str">
        <f aca="false">IF($W327="","",IFERROR(IF(INDEX('🎓 Alumnas'!$D$2:$D$1000,MATCH($W327,'🎓 Alumnas'!$A$2:$A$1000,0))="","",INDEX('🎓 Alumnas'!$D$2:$D$1000,MATCH($W327,'🎓 Alumnas'!$A$2:$A$1000,0))),""))</f>
        <v/>
      </c>
      <c r="G327" s="28" t="str">
        <f aca="false">IF($W327="","",IFERROR(IF(INDEX('🎓 Alumnas'!$E$2:$E$1000,MATCH($W327,'🎓 Alumnas'!$A$2:$A$1000,0))="","",INDEX('🎓 Alumnas'!$E$2:$E$1000,MATCH($W327,'🎓 Alumnas'!$A$2:$A$1000,0))),""))</f>
        <v/>
      </c>
      <c r="H327" s="28" t="str">
        <f aca="false">IF($W327="","",IFERROR(IF(INDEX('🎓 Alumnas'!$F$2:$F$1000,MATCH($W327,'🎓 Alumnas'!$A$2:$A$1000,0))="","",INDEX('🎓 Alumnas'!$F$2:$F$1000,MATCH($W327,'🎓 Alumnas'!$A$2:$A$1000,0))),""))</f>
        <v/>
      </c>
      <c r="I327" s="30" t="str">
        <f aca="false">IF($W327="","",IFERROR(IF(INDEX('🎓 Alumnas'!$G$2:$G$1000,MATCH($W327,'🎓 Alumnas'!$A$2:$A$1000,0))="","",INDEX('🎓 Alumnas'!$G$2:$G$1000,MATCH($W327,'🎓 Alumnas'!$A$2:$A$1000,0))),""))</f>
        <v/>
      </c>
      <c r="J327" s="28" t="str">
        <f aca="true">IF(I327="","",DATEDIF(I327,TODAY(),"Y"))</f>
        <v/>
      </c>
      <c r="K327" s="25"/>
      <c r="L327" s="28" t="str">
        <f aca="false">IF(K327="","",IF(LEFT(K327,6)="1 Pole","Alquiler",IF(LEFT(K327,7)="1 Clase","Clase suelta","Paquete")))</f>
        <v/>
      </c>
      <c r="M327" s="25"/>
      <c r="N327" s="25"/>
      <c r="O327" s="35"/>
      <c r="P327" s="29" t="str">
        <f aca="false">IF(O327="","",N327*O327)</f>
        <v/>
      </c>
      <c r="Q327" s="36"/>
      <c r="R327" s="25"/>
      <c r="S327" s="25"/>
      <c r="T327" s="28" t="str">
        <f aca="false">IF(OR(LEFT(W327,2)&lt;&gt;"A-",ISERROR(MATCH(W327,'🎓 Alumnas'!$A$2:$A$1000,0))),"",IF(COUNTIF($W$2:W327,W327)=1,"Nueva","Recurrente"))</f>
        <v/>
      </c>
      <c r="U327" s="28" t="str">
        <f aca="false">IF(OR(T327="",L327&lt;&gt;"Paquete"),"",COUNTIFS($W$2:W327,W327,$L$2:L327,"Paquete"))</f>
        <v/>
      </c>
      <c r="V327" s="25"/>
      <c r="W327" s="34" t="str">
        <f aca="false">IF(TRIM($C327)="","",IF(COUNTIF('🎓 Alumnas'!$P$2:$P$1000,TRIM($C327))&gt;0,INDEX('🎓 Alumnas'!$A$2:$A$1000,MATCH(TRIM($C327),'🎓 Alumnas'!$P$2:$P$1000,0)),IF(COUNTIF('🎓 Alumnas'!$O$2:$O$1000,TRIM($C327)&amp;"|*")=1,INDEX('🎓 Alumnas'!$A$2:$A$1000,MATCH(TRIM($C327)&amp;"|*",'🎓 Alumnas'!$O$2:$O$1000,0)),IF(COUNTIF('🎓 Alumnas'!$O$2:$O$1000,"*|"&amp;TRIM($C327))=1,INDEX('🎓 Alumnas'!$A$2:$A$1000,MATCH("*|"&amp;TRIM($C327),'🎓 Alumnas'!$O$2:$O$1000,0)),IF(COUNTIF('🎓 Alumnas'!$Q$2:$Q$1000,TRIM($C327))=1,INDEX('🎓 Alumnas'!$A$2:$A$1000,MATCH(TRIM($C327),'🎓 Alumnas'!$Q$2:$Q$1000,0)),IF(COUNTIF('🎓 Alumnas'!$P$2:$P$1000,"*"&amp;TRIM($C327)&amp;"*")=1,INDEX('🎓 Alumnas'!$A$2:$A$1000,MATCH("*"&amp;TRIM($C327)&amp;"*",'🎓 Alumnas'!$P$2:$P$1000,0)),IF(COUNTIF('🎓 Alumnas'!$Q$2:$Q$1000,"*"&amp;TRIM($C327)&amp;"*")=1,INDEX('🎓 Alumnas'!$A$2:$A$1000,MATCH("*"&amp;TRIM($C327)&amp;"*",'🎓 Alumnas'!$Q$2:$Q$1000,0)),IF(COUNTIF('🎓 Alumnas'!$P$2:$P$1000,"*"&amp;TRIM($C327)&amp;"*")+COUNTIF('🎓 Alumnas'!$Q$2:$Q$1000,"*"&amp;TRIM($C327)&amp;"*")&gt;1,"Varias: elige de la lista","No encontrada"))))))))</f>
        <v/>
      </c>
    </row>
    <row r="328" customFormat="false" ht="14.25" hidden="false" customHeight="true" outlineLevel="0" collapsed="false">
      <c r="A328" s="25" t="s">
        <v>872</v>
      </c>
      <c r="B328" s="27"/>
      <c r="C328" s="25"/>
      <c r="D328" s="34" t="str">
        <f aca="false">IF($W328="","",IFERROR(TRIM(INDEX('🎓 Alumnas'!$B$2:$B$1000,MATCH($W328,'🎓 Alumnas'!$A$2:$A$1000,0))),""))</f>
        <v/>
      </c>
      <c r="E328" s="34" t="str">
        <f aca="false">IF($W328="","",IFERROR(TRIM(INDEX('🎓 Alumnas'!$C$2:$C$1000,MATCH($W328,'🎓 Alumnas'!$A$2:$A$1000,0))),""))</f>
        <v/>
      </c>
      <c r="F328" s="34" t="str">
        <f aca="false">IF($W328="","",IFERROR(IF(INDEX('🎓 Alumnas'!$D$2:$D$1000,MATCH($W328,'🎓 Alumnas'!$A$2:$A$1000,0))="","",INDEX('🎓 Alumnas'!$D$2:$D$1000,MATCH($W328,'🎓 Alumnas'!$A$2:$A$1000,0))),""))</f>
        <v/>
      </c>
      <c r="G328" s="28" t="str">
        <f aca="false">IF($W328="","",IFERROR(IF(INDEX('🎓 Alumnas'!$E$2:$E$1000,MATCH($W328,'🎓 Alumnas'!$A$2:$A$1000,0))="","",INDEX('🎓 Alumnas'!$E$2:$E$1000,MATCH($W328,'🎓 Alumnas'!$A$2:$A$1000,0))),""))</f>
        <v/>
      </c>
      <c r="H328" s="28" t="str">
        <f aca="false">IF($W328="","",IFERROR(IF(INDEX('🎓 Alumnas'!$F$2:$F$1000,MATCH($W328,'🎓 Alumnas'!$A$2:$A$1000,0))="","",INDEX('🎓 Alumnas'!$F$2:$F$1000,MATCH($W328,'🎓 Alumnas'!$A$2:$A$1000,0))),""))</f>
        <v/>
      </c>
      <c r="I328" s="30" t="str">
        <f aca="false">IF($W328="","",IFERROR(IF(INDEX('🎓 Alumnas'!$G$2:$G$1000,MATCH($W328,'🎓 Alumnas'!$A$2:$A$1000,0))="","",INDEX('🎓 Alumnas'!$G$2:$G$1000,MATCH($W328,'🎓 Alumnas'!$A$2:$A$1000,0))),""))</f>
        <v/>
      </c>
      <c r="J328" s="28" t="str">
        <f aca="true">IF(I328="","",DATEDIF(I328,TODAY(),"Y"))</f>
        <v/>
      </c>
      <c r="K328" s="25"/>
      <c r="L328" s="28" t="str">
        <f aca="false">IF(K328="","",IF(LEFT(K328,6)="1 Pole","Alquiler",IF(LEFT(K328,7)="1 Clase","Clase suelta","Paquete")))</f>
        <v/>
      </c>
      <c r="M328" s="25"/>
      <c r="N328" s="25"/>
      <c r="O328" s="35"/>
      <c r="P328" s="29" t="str">
        <f aca="false">IF(O328="","",N328*O328)</f>
        <v/>
      </c>
      <c r="Q328" s="36"/>
      <c r="R328" s="25"/>
      <c r="S328" s="25"/>
      <c r="T328" s="28" t="str">
        <f aca="false">IF(OR(LEFT(W328,2)&lt;&gt;"A-",ISERROR(MATCH(W328,'🎓 Alumnas'!$A$2:$A$1000,0))),"",IF(COUNTIF($W$2:W328,W328)=1,"Nueva","Recurrente"))</f>
        <v/>
      </c>
      <c r="U328" s="28" t="str">
        <f aca="false">IF(OR(T328="",L328&lt;&gt;"Paquete"),"",COUNTIFS($W$2:W328,W328,$L$2:L328,"Paquete"))</f>
        <v/>
      </c>
      <c r="V328" s="25"/>
      <c r="W328" s="34" t="str">
        <f aca="false">IF(TRIM($C328)="","",IF(COUNTIF('🎓 Alumnas'!$P$2:$P$1000,TRIM($C328))&gt;0,INDEX('🎓 Alumnas'!$A$2:$A$1000,MATCH(TRIM($C328),'🎓 Alumnas'!$P$2:$P$1000,0)),IF(COUNTIF('🎓 Alumnas'!$O$2:$O$1000,TRIM($C328)&amp;"|*")=1,INDEX('🎓 Alumnas'!$A$2:$A$1000,MATCH(TRIM($C328)&amp;"|*",'🎓 Alumnas'!$O$2:$O$1000,0)),IF(COUNTIF('🎓 Alumnas'!$O$2:$O$1000,"*|"&amp;TRIM($C328))=1,INDEX('🎓 Alumnas'!$A$2:$A$1000,MATCH("*|"&amp;TRIM($C328),'🎓 Alumnas'!$O$2:$O$1000,0)),IF(COUNTIF('🎓 Alumnas'!$Q$2:$Q$1000,TRIM($C328))=1,INDEX('🎓 Alumnas'!$A$2:$A$1000,MATCH(TRIM($C328),'🎓 Alumnas'!$Q$2:$Q$1000,0)),IF(COUNTIF('🎓 Alumnas'!$P$2:$P$1000,"*"&amp;TRIM($C328)&amp;"*")=1,INDEX('🎓 Alumnas'!$A$2:$A$1000,MATCH("*"&amp;TRIM($C328)&amp;"*",'🎓 Alumnas'!$P$2:$P$1000,0)),IF(COUNTIF('🎓 Alumnas'!$Q$2:$Q$1000,"*"&amp;TRIM($C328)&amp;"*")=1,INDEX('🎓 Alumnas'!$A$2:$A$1000,MATCH("*"&amp;TRIM($C328)&amp;"*",'🎓 Alumnas'!$Q$2:$Q$1000,0)),IF(COUNTIF('🎓 Alumnas'!$P$2:$P$1000,"*"&amp;TRIM($C328)&amp;"*")+COUNTIF('🎓 Alumnas'!$Q$2:$Q$1000,"*"&amp;TRIM($C328)&amp;"*")&gt;1,"Varias: elige de la lista","No encontrada"))))))))</f>
        <v/>
      </c>
    </row>
    <row r="329" customFormat="false" ht="14.25" hidden="false" customHeight="true" outlineLevel="0" collapsed="false">
      <c r="A329" s="25" t="s">
        <v>873</v>
      </c>
      <c r="B329" s="27"/>
      <c r="C329" s="25"/>
      <c r="D329" s="34" t="str">
        <f aca="false">IF($W329="","",IFERROR(TRIM(INDEX('🎓 Alumnas'!$B$2:$B$1000,MATCH($W329,'🎓 Alumnas'!$A$2:$A$1000,0))),""))</f>
        <v/>
      </c>
      <c r="E329" s="34" t="str">
        <f aca="false">IF($W329="","",IFERROR(TRIM(INDEX('🎓 Alumnas'!$C$2:$C$1000,MATCH($W329,'🎓 Alumnas'!$A$2:$A$1000,0))),""))</f>
        <v/>
      </c>
      <c r="F329" s="34" t="str">
        <f aca="false">IF($W329="","",IFERROR(IF(INDEX('🎓 Alumnas'!$D$2:$D$1000,MATCH($W329,'🎓 Alumnas'!$A$2:$A$1000,0))="","",INDEX('🎓 Alumnas'!$D$2:$D$1000,MATCH($W329,'🎓 Alumnas'!$A$2:$A$1000,0))),""))</f>
        <v/>
      </c>
      <c r="G329" s="28" t="str">
        <f aca="false">IF($W329="","",IFERROR(IF(INDEX('🎓 Alumnas'!$E$2:$E$1000,MATCH($W329,'🎓 Alumnas'!$A$2:$A$1000,0))="","",INDEX('🎓 Alumnas'!$E$2:$E$1000,MATCH($W329,'🎓 Alumnas'!$A$2:$A$1000,0))),""))</f>
        <v/>
      </c>
      <c r="H329" s="28" t="str">
        <f aca="false">IF($W329="","",IFERROR(IF(INDEX('🎓 Alumnas'!$F$2:$F$1000,MATCH($W329,'🎓 Alumnas'!$A$2:$A$1000,0))="","",INDEX('🎓 Alumnas'!$F$2:$F$1000,MATCH($W329,'🎓 Alumnas'!$A$2:$A$1000,0))),""))</f>
        <v/>
      </c>
      <c r="I329" s="30" t="str">
        <f aca="false">IF($W329="","",IFERROR(IF(INDEX('🎓 Alumnas'!$G$2:$G$1000,MATCH($W329,'🎓 Alumnas'!$A$2:$A$1000,0))="","",INDEX('🎓 Alumnas'!$G$2:$G$1000,MATCH($W329,'🎓 Alumnas'!$A$2:$A$1000,0))),""))</f>
        <v/>
      </c>
      <c r="J329" s="28" t="str">
        <f aca="true">IF(I329="","",DATEDIF(I329,TODAY(),"Y"))</f>
        <v/>
      </c>
      <c r="K329" s="25"/>
      <c r="L329" s="28" t="str">
        <f aca="false">IF(K329="","",IF(LEFT(K329,6)="1 Pole","Alquiler",IF(LEFT(K329,7)="1 Clase","Clase suelta","Paquete")))</f>
        <v/>
      </c>
      <c r="M329" s="25"/>
      <c r="N329" s="25"/>
      <c r="O329" s="35"/>
      <c r="P329" s="29" t="str">
        <f aca="false">IF(O329="","",N329*O329)</f>
        <v/>
      </c>
      <c r="Q329" s="36"/>
      <c r="R329" s="25"/>
      <c r="S329" s="25"/>
      <c r="T329" s="28" t="str">
        <f aca="false">IF(OR(LEFT(W329,2)&lt;&gt;"A-",ISERROR(MATCH(W329,'🎓 Alumnas'!$A$2:$A$1000,0))),"",IF(COUNTIF($W$2:W329,W329)=1,"Nueva","Recurrente"))</f>
        <v/>
      </c>
      <c r="U329" s="28" t="str">
        <f aca="false">IF(OR(T329="",L329&lt;&gt;"Paquete"),"",COUNTIFS($W$2:W329,W329,$L$2:L329,"Paquete"))</f>
        <v/>
      </c>
      <c r="V329" s="25"/>
      <c r="W329" s="34" t="str">
        <f aca="false">IF(TRIM($C329)="","",IF(COUNTIF('🎓 Alumnas'!$P$2:$P$1000,TRIM($C329))&gt;0,INDEX('🎓 Alumnas'!$A$2:$A$1000,MATCH(TRIM($C329),'🎓 Alumnas'!$P$2:$P$1000,0)),IF(COUNTIF('🎓 Alumnas'!$O$2:$O$1000,TRIM($C329)&amp;"|*")=1,INDEX('🎓 Alumnas'!$A$2:$A$1000,MATCH(TRIM($C329)&amp;"|*",'🎓 Alumnas'!$O$2:$O$1000,0)),IF(COUNTIF('🎓 Alumnas'!$O$2:$O$1000,"*|"&amp;TRIM($C329))=1,INDEX('🎓 Alumnas'!$A$2:$A$1000,MATCH("*|"&amp;TRIM($C329),'🎓 Alumnas'!$O$2:$O$1000,0)),IF(COUNTIF('🎓 Alumnas'!$Q$2:$Q$1000,TRIM($C329))=1,INDEX('🎓 Alumnas'!$A$2:$A$1000,MATCH(TRIM($C329),'🎓 Alumnas'!$Q$2:$Q$1000,0)),IF(COUNTIF('🎓 Alumnas'!$P$2:$P$1000,"*"&amp;TRIM($C329)&amp;"*")=1,INDEX('🎓 Alumnas'!$A$2:$A$1000,MATCH("*"&amp;TRIM($C329)&amp;"*",'🎓 Alumnas'!$P$2:$P$1000,0)),IF(COUNTIF('🎓 Alumnas'!$Q$2:$Q$1000,"*"&amp;TRIM($C329)&amp;"*")=1,INDEX('🎓 Alumnas'!$A$2:$A$1000,MATCH("*"&amp;TRIM($C329)&amp;"*",'🎓 Alumnas'!$Q$2:$Q$1000,0)),IF(COUNTIF('🎓 Alumnas'!$P$2:$P$1000,"*"&amp;TRIM($C329)&amp;"*")+COUNTIF('🎓 Alumnas'!$Q$2:$Q$1000,"*"&amp;TRIM($C329)&amp;"*")&gt;1,"Varias: elige de la lista","No encontrada"))))))))</f>
        <v/>
      </c>
    </row>
    <row r="330" customFormat="false" ht="14.25" hidden="false" customHeight="true" outlineLevel="0" collapsed="false">
      <c r="A330" s="25" t="s">
        <v>874</v>
      </c>
      <c r="B330" s="27"/>
      <c r="C330" s="25"/>
      <c r="D330" s="34" t="str">
        <f aca="false">IF($W330="","",IFERROR(TRIM(INDEX('🎓 Alumnas'!$B$2:$B$1000,MATCH($W330,'🎓 Alumnas'!$A$2:$A$1000,0))),""))</f>
        <v/>
      </c>
      <c r="E330" s="34" t="str">
        <f aca="false">IF($W330="","",IFERROR(TRIM(INDEX('🎓 Alumnas'!$C$2:$C$1000,MATCH($W330,'🎓 Alumnas'!$A$2:$A$1000,0))),""))</f>
        <v/>
      </c>
      <c r="F330" s="34" t="str">
        <f aca="false">IF($W330="","",IFERROR(IF(INDEX('🎓 Alumnas'!$D$2:$D$1000,MATCH($W330,'🎓 Alumnas'!$A$2:$A$1000,0))="","",INDEX('🎓 Alumnas'!$D$2:$D$1000,MATCH($W330,'🎓 Alumnas'!$A$2:$A$1000,0))),""))</f>
        <v/>
      </c>
      <c r="G330" s="28" t="str">
        <f aca="false">IF($W330="","",IFERROR(IF(INDEX('🎓 Alumnas'!$E$2:$E$1000,MATCH($W330,'🎓 Alumnas'!$A$2:$A$1000,0))="","",INDEX('🎓 Alumnas'!$E$2:$E$1000,MATCH($W330,'🎓 Alumnas'!$A$2:$A$1000,0))),""))</f>
        <v/>
      </c>
      <c r="H330" s="28" t="str">
        <f aca="false">IF($W330="","",IFERROR(IF(INDEX('🎓 Alumnas'!$F$2:$F$1000,MATCH($W330,'🎓 Alumnas'!$A$2:$A$1000,0))="","",INDEX('🎓 Alumnas'!$F$2:$F$1000,MATCH($W330,'🎓 Alumnas'!$A$2:$A$1000,0))),""))</f>
        <v/>
      </c>
      <c r="I330" s="30" t="str">
        <f aca="false">IF($W330="","",IFERROR(IF(INDEX('🎓 Alumnas'!$G$2:$G$1000,MATCH($W330,'🎓 Alumnas'!$A$2:$A$1000,0))="","",INDEX('🎓 Alumnas'!$G$2:$G$1000,MATCH($W330,'🎓 Alumnas'!$A$2:$A$1000,0))),""))</f>
        <v/>
      </c>
      <c r="J330" s="28" t="str">
        <f aca="true">IF(I330="","",DATEDIF(I330,TODAY(),"Y"))</f>
        <v/>
      </c>
      <c r="K330" s="25"/>
      <c r="L330" s="28" t="str">
        <f aca="false">IF(K330="","",IF(LEFT(K330,6)="1 Pole","Alquiler",IF(LEFT(K330,7)="1 Clase","Clase suelta","Paquete")))</f>
        <v/>
      </c>
      <c r="M330" s="25"/>
      <c r="N330" s="25"/>
      <c r="O330" s="35"/>
      <c r="P330" s="29" t="str">
        <f aca="false">IF(O330="","",N330*O330)</f>
        <v/>
      </c>
      <c r="Q330" s="36"/>
      <c r="R330" s="25"/>
      <c r="S330" s="25"/>
      <c r="T330" s="28" t="str">
        <f aca="false">IF(OR(LEFT(W330,2)&lt;&gt;"A-",ISERROR(MATCH(W330,'🎓 Alumnas'!$A$2:$A$1000,0))),"",IF(COUNTIF($W$2:W330,W330)=1,"Nueva","Recurrente"))</f>
        <v/>
      </c>
      <c r="U330" s="28" t="str">
        <f aca="false">IF(OR(T330="",L330&lt;&gt;"Paquete"),"",COUNTIFS($W$2:W330,W330,$L$2:L330,"Paquete"))</f>
        <v/>
      </c>
      <c r="V330" s="25"/>
      <c r="W330" s="34" t="str">
        <f aca="false">IF(TRIM($C330)="","",IF(COUNTIF('🎓 Alumnas'!$P$2:$P$1000,TRIM($C330))&gt;0,INDEX('🎓 Alumnas'!$A$2:$A$1000,MATCH(TRIM($C330),'🎓 Alumnas'!$P$2:$P$1000,0)),IF(COUNTIF('🎓 Alumnas'!$O$2:$O$1000,TRIM($C330)&amp;"|*")=1,INDEX('🎓 Alumnas'!$A$2:$A$1000,MATCH(TRIM($C330)&amp;"|*",'🎓 Alumnas'!$O$2:$O$1000,0)),IF(COUNTIF('🎓 Alumnas'!$O$2:$O$1000,"*|"&amp;TRIM($C330))=1,INDEX('🎓 Alumnas'!$A$2:$A$1000,MATCH("*|"&amp;TRIM($C330),'🎓 Alumnas'!$O$2:$O$1000,0)),IF(COUNTIF('🎓 Alumnas'!$Q$2:$Q$1000,TRIM($C330))=1,INDEX('🎓 Alumnas'!$A$2:$A$1000,MATCH(TRIM($C330),'🎓 Alumnas'!$Q$2:$Q$1000,0)),IF(COUNTIF('🎓 Alumnas'!$P$2:$P$1000,"*"&amp;TRIM($C330)&amp;"*")=1,INDEX('🎓 Alumnas'!$A$2:$A$1000,MATCH("*"&amp;TRIM($C330)&amp;"*",'🎓 Alumnas'!$P$2:$P$1000,0)),IF(COUNTIF('🎓 Alumnas'!$Q$2:$Q$1000,"*"&amp;TRIM($C330)&amp;"*")=1,INDEX('🎓 Alumnas'!$A$2:$A$1000,MATCH("*"&amp;TRIM($C330)&amp;"*",'🎓 Alumnas'!$Q$2:$Q$1000,0)),IF(COUNTIF('🎓 Alumnas'!$P$2:$P$1000,"*"&amp;TRIM($C330)&amp;"*")+COUNTIF('🎓 Alumnas'!$Q$2:$Q$1000,"*"&amp;TRIM($C330)&amp;"*")&gt;1,"Varias: elige de la lista","No encontrada"))))))))</f>
        <v/>
      </c>
    </row>
    <row r="331" customFormat="false" ht="14.25" hidden="false" customHeight="true" outlineLevel="0" collapsed="false">
      <c r="A331" s="25" t="s">
        <v>875</v>
      </c>
      <c r="B331" s="27"/>
      <c r="C331" s="25"/>
      <c r="D331" s="34" t="str">
        <f aca="false">IF($W331="","",IFERROR(TRIM(INDEX('🎓 Alumnas'!$B$2:$B$1000,MATCH($W331,'🎓 Alumnas'!$A$2:$A$1000,0))),""))</f>
        <v/>
      </c>
      <c r="E331" s="34" t="str">
        <f aca="false">IF($W331="","",IFERROR(TRIM(INDEX('🎓 Alumnas'!$C$2:$C$1000,MATCH($W331,'🎓 Alumnas'!$A$2:$A$1000,0))),""))</f>
        <v/>
      </c>
      <c r="F331" s="34" t="str">
        <f aca="false">IF($W331="","",IFERROR(IF(INDEX('🎓 Alumnas'!$D$2:$D$1000,MATCH($W331,'🎓 Alumnas'!$A$2:$A$1000,0))="","",INDEX('🎓 Alumnas'!$D$2:$D$1000,MATCH($W331,'🎓 Alumnas'!$A$2:$A$1000,0))),""))</f>
        <v/>
      </c>
      <c r="G331" s="28" t="str">
        <f aca="false">IF($W331="","",IFERROR(IF(INDEX('🎓 Alumnas'!$E$2:$E$1000,MATCH($W331,'🎓 Alumnas'!$A$2:$A$1000,0))="","",INDEX('🎓 Alumnas'!$E$2:$E$1000,MATCH($W331,'🎓 Alumnas'!$A$2:$A$1000,0))),""))</f>
        <v/>
      </c>
      <c r="H331" s="28" t="str">
        <f aca="false">IF($W331="","",IFERROR(IF(INDEX('🎓 Alumnas'!$F$2:$F$1000,MATCH($W331,'🎓 Alumnas'!$A$2:$A$1000,0))="","",INDEX('🎓 Alumnas'!$F$2:$F$1000,MATCH($W331,'🎓 Alumnas'!$A$2:$A$1000,0))),""))</f>
        <v/>
      </c>
      <c r="I331" s="30" t="str">
        <f aca="false">IF($W331="","",IFERROR(IF(INDEX('🎓 Alumnas'!$G$2:$G$1000,MATCH($W331,'🎓 Alumnas'!$A$2:$A$1000,0))="","",INDEX('🎓 Alumnas'!$G$2:$G$1000,MATCH($W331,'🎓 Alumnas'!$A$2:$A$1000,0))),""))</f>
        <v/>
      </c>
      <c r="J331" s="28" t="str">
        <f aca="true">IF(I331="","",DATEDIF(I331,TODAY(),"Y"))</f>
        <v/>
      </c>
      <c r="K331" s="25"/>
      <c r="L331" s="28" t="str">
        <f aca="false">IF(K331="","",IF(LEFT(K331,6)="1 Pole","Alquiler",IF(LEFT(K331,7)="1 Clase","Clase suelta","Paquete")))</f>
        <v/>
      </c>
      <c r="M331" s="25"/>
      <c r="N331" s="25"/>
      <c r="O331" s="35"/>
      <c r="P331" s="29" t="str">
        <f aca="false">IF(O331="","",N331*O331)</f>
        <v/>
      </c>
      <c r="Q331" s="36"/>
      <c r="R331" s="25"/>
      <c r="S331" s="25"/>
      <c r="T331" s="28" t="str">
        <f aca="false">IF(OR(LEFT(W331,2)&lt;&gt;"A-",ISERROR(MATCH(W331,'🎓 Alumnas'!$A$2:$A$1000,0))),"",IF(COUNTIF($W$2:W331,W331)=1,"Nueva","Recurrente"))</f>
        <v/>
      </c>
      <c r="U331" s="28" t="str">
        <f aca="false">IF(OR(T331="",L331&lt;&gt;"Paquete"),"",COUNTIFS($W$2:W331,W331,$L$2:L331,"Paquete"))</f>
        <v/>
      </c>
      <c r="V331" s="25"/>
      <c r="W331" s="34" t="str">
        <f aca="false">IF(TRIM($C331)="","",IF(COUNTIF('🎓 Alumnas'!$P$2:$P$1000,TRIM($C331))&gt;0,INDEX('🎓 Alumnas'!$A$2:$A$1000,MATCH(TRIM($C331),'🎓 Alumnas'!$P$2:$P$1000,0)),IF(COUNTIF('🎓 Alumnas'!$O$2:$O$1000,TRIM($C331)&amp;"|*")=1,INDEX('🎓 Alumnas'!$A$2:$A$1000,MATCH(TRIM($C331)&amp;"|*",'🎓 Alumnas'!$O$2:$O$1000,0)),IF(COUNTIF('🎓 Alumnas'!$O$2:$O$1000,"*|"&amp;TRIM($C331))=1,INDEX('🎓 Alumnas'!$A$2:$A$1000,MATCH("*|"&amp;TRIM($C331),'🎓 Alumnas'!$O$2:$O$1000,0)),IF(COUNTIF('🎓 Alumnas'!$Q$2:$Q$1000,TRIM($C331))=1,INDEX('🎓 Alumnas'!$A$2:$A$1000,MATCH(TRIM($C331),'🎓 Alumnas'!$Q$2:$Q$1000,0)),IF(COUNTIF('🎓 Alumnas'!$P$2:$P$1000,"*"&amp;TRIM($C331)&amp;"*")=1,INDEX('🎓 Alumnas'!$A$2:$A$1000,MATCH("*"&amp;TRIM($C331)&amp;"*",'🎓 Alumnas'!$P$2:$P$1000,0)),IF(COUNTIF('🎓 Alumnas'!$Q$2:$Q$1000,"*"&amp;TRIM($C331)&amp;"*")=1,INDEX('🎓 Alumnas'!$A$2:$A$1000,MATCH("*"&amp;TRIM($C331)&amp;"*",'🎓 Alumnas'!$Q$2:$Q$1000,0)),IF(COUNTIF('🎓 Alumnas'!$P$2:$P$1000,"*"&amp;TRIM($C331)&amp;"*")+COUNTIF('🎓 Alumnas'!$Q$2:$Q$1000,"*"&amp;TRIM($C331)&amp;"*")&gt;1,"Varias: elige de la lista","No encontrada"))))))))</f>
        <v/>
      </c>
    </row>
    <row r="332" customFormat="false" ht="14.25" hidden="false" customHeight="true" outlineLevel="0" collapsed="false">
      <c r="A332" s="25" t="s">
        <v>876</v>
      </c>
      <c r="B332" s="27"/>
      <c r="C332" s="25"/>
      <c r="D332" s="34" t="str">
        <f aca="false">IF($W332="","",IFERROR(TRIM(INDEX('🎓 Alumnas'!$B$2:$B$1000,MATCH($W332,'🎓 Alumnas'!$A$2:$A$1000,0))),""))</f>
        <v/>
      </c>
      <c r="E332" s="34" t="str">
        <f aca="false">IF($W332="","",IFERROR(TRIM(INDEX('🎓 Alumnas'!$C$2:$C$1000,MATCH($W332,'🎓 Alumnas'!$A$2:$A$1000,0))),""))</f>
        <v/>
      </c>
      <c r="F332" s="34" t="str">
        <f aca="false">IF($W332="","",IFERROR(IF(INDEX('🎓 Alumnas'!$D$2:$D$1000,MATCH($W332,'🎓 Alumnas'!$A$2:$A$1000,0))="","",INDEX('🎓 Alumnas'!$D$2:$D$1000,MATCH($W332,'🎓 Alumnas'!$A$2:$A$1000,0))),""))</f>
        <v/>
      </c>
      <c r="G332" s="28" t="str">
        <f aca="false">IF($W332="","",IFERROR(IF(INDEX('🎓 Alumnas'!$E$2:$E$1000,MATCH($W332,'🎓 Alumnas'!$A$2:$A$1000,0))="","",INDEX('🎓 Alumnas'!$E$2:$E$1000,MATCH($W332,'🎓 Alumnas'!$A$2:$A$1000,0))),""))</f>
        <v/>
      </c>
      <c r="H332" s="28" t="str">
        <f aca="false">IF($W332="","",IFERROR(IF(INDEX('🎓 Alumnas'!$F$2:$F$1000,MATCH($W332,'🎓 Alumnas'!$A$2:$A$1000,0))="","",INDEX('🎓 Alumnas'!$F$2:$F$1000,MATCH($W332,'🎓 Alumnas'!$A$2:$A$1000,0))),""))</f>
        <v/>
      </c>
      <c r="I332" s="30" t="str">
        <f aca="false">IF($W332="","",IFERROR(IF(INDEX('🎓 Alumnas'!$G$2:$G$1000,MATCH($W332,'🎓 Alumnas'!$A$2:$A$1000,0))="","",INDEX('🎓 Alumnas'!$G$2:$G$1000,MATCH($W332,'🎓 Alumnas'!$A$2:$A$1000,0))),""))</f>
        <v/>
      </c>
      <c r="J332" s="28" t="str">
        <f aca="true">IF(I332="","",DATEDIF(I332,TODAY(),"Y"))</f>
        <v/>
      </c>
      <c r="K332" s="25"/>
      <c r="L332" s="28" t="str">
        <f aca="false">IF(K332="","",IF(LEFT(K332,6)="1 Pole","Alquiler",IF(LEFT(K332,7)="1 Clase","Clase suelta","Paquete")))</f>
        <v/>
      </c>
      <c r="M332" s="25"/>
      <c r="N332" s="25"/>
      <c r="O332" s="35"/>
      <c r="P332" s="29" t="str">
        <f aca="false">IF(O332="","",N332*O332)</f>
        <v/>
      </c>
      <c r="Q332" s="36"/>
      <c r="R332" s="25"/>
      <c r="S332" s="25"/>
      <c r="T332" s="28" t="str">
        <f aca="false">IF(OR(LEFT(W332,2)&lt;&gt;"A-",ISERROR(MATCH(W332,'🎓 Alumnas'!$A$2:$A$1000,0))),"",IF(COUNTIF($W$2:W332,W332)=1,"Nueva","Recurrente"))</f>
        <v/>
      </c>
      <c r="U332" s="28" t="str">
        <f aca="false">IF(OR(T332="",L332&lt;&gt;"Paquete"),"",COUNTIFS($W$2:W332,W332,$L$2:L332,"Paquete"))</f>
        <v/>
      </c>
      <c r="V332" s="25"/>
      <c r="W332" s="34" t="str">
        <f aca="false">IF(TRIM($C332)="","",IF(COUNTIF('🎓 Alumnas'!$P$2:$P$1000,TRIM($C332))&gt;0,INDEX('🎓 Alumnas'!$A$2:$A$1000,MATCH(TRIM($C332),'🎓 Alumnas'!$P$2:$P$1000,0)),IF(COUNTIF('🎓 Alumnas'!$O$2:$O$1000,TRIM($C332)&amp;"|*")=1,INDEX('🎓 Alumnas'!$A$2:$A$1000,MATCH(TRIM($C332)&amp;"|*",'🎓 Alumnas'!$O$2:$O$1000,0)),IF(COUNTIF('🎓 Alumnas'!$O$2:$O$1000,"*|"&amp;TRIM($C332))=1,INDEX('🎓 Alumnas'!$A$2:$A$1000,MATCH("*|"&amp;TRIM($C332),'🎓 Alumnas'!$O$2:$O$1000,0)),IF(COUNTIF('🎓 Alumnas'!$Q$2:$Q$1000,TRIM($C332))=1,INDEX('🎓 Alumnas'!$A$2:$A$1000,MATCH(TRIM($C332),'🎓 Alumnas'!$Q$2:$Q$1000,0)),IF(COUNTIF('🎓 Alumnas'!$P$2:$P$1000,"*"&amp;TRIM($C332)&amp;"*")=1,INDEX('🎓 Alumnas'!$A$2:$A$1000,MATCH("*"&amp;TRIM($C332)&amp;"*",'🎓 Alumnas'!$P$2:$P$1000,0)),IF(COUNTIF('🎓 Alumnas'!$Q$2:$Q$1000,"*"&amp;TRIM($C332)&amp;"*")=1,INDEX('🎓 Alumnas'!$A$2:$A$1000,MATCH("*"&amp;TRIM($C332)&amp;"*",'🎓 Alumnas'!$Q$2:$Q$1000,0)),IF(COUNTIF('🎓 Alumnas'!$P$2:$P$1000,"*"&amp;TRIM($C332)&amp;"*")+COUNTIF('🎓 Alumnas'!$Q$2:$Q$1000,"*"&amp;TRIM($C332)&amp;"*")&gt;1,"Varias: elige de la lista","No encontrada"))))))))</f>
        <v/>
      </c>
    </row>
    <row r="333" customFormat="false" ht="14.25" hidden="false" customHeight="true" outlineLevel="0" collapsed="false">
      <c r="A333" s="25" t="s">
        <v>877</v>
      </c>
      <c r="B333" s="27"/>
      <c r="C333" s="25"/>
      <c r="D333" s="34" t="str">
        <f aca="false">IF($W333="","",IFERROR(TRIM(INDEX('🎓 Alumnas'!$B$2:$B$1000,MATCH($W333,'🎓 Alumnas'!$A$2:$A$1000,0))),""))</f>
        <v/>
      </c>
      <c r="E333" s="34" t="str">
        <f aca="false">IF($W333="","",IFERROR(TRIM(INDEX('🎓 Alumnas'!$C$2:$C$1000,MATCH($W333,'🎓 Alumnas'!$A$2:$A$1000,0))),""))</f>
        <v/>
      </c>
      <c r="F333" s="34" t="str">
        <f aca="false">IF($W333="","",IFERROR(IF(INDEX('🎓 Alumnas'!$D$2:$D$1000,MATCH($W333,'🎓 Alumnas'!$A$2:$A$1000,0))="","",INDEX('🎓 Alumnas'!$D$2:$D$1000,MATCH($W333,'🎓 Alumnas'!$A$2:$A$1000,0))),""))</f>
        <v/>
      </c>
      <c r="G333" s="28" t="str">
        <f aca="false">IF($W333="","",IFERROR(IF(INDEX('🎓 Alumnas'!$E$2:$E$1000,MATCH($W333,'🎓 Alumnas'!$A$2:$A$1000,0))="","",INDEX('🎓 Alumnas'!$E$2:$E$1000,MATCH($W333,'🎓 Alumnas'!$A$2:$A$1000,0))),""))</f>
        <v/>
      </c>
      <c r="H333" s="28" t="str">
        <f aca="false">IF($W333="","",IFERROR(IF(INDEX('🎓 Alumnas'!$F$2:$F$1000,MATCH($W333,'🎓 Alumnas'!$A$2:$A$1000,0))="","",INDEX('🎓 Alumnas'!$F$2:$F$1000,MATCH($W333,'🎓 Alumnas'!$A$2:$A$1000,0))),""))</f>
        <v/>
      </c>
      <c r="I333" s="30" t="str">
        <f aca="false">IF($W333="","",IFERROR(IF(INDEX('🎓 Alumnas'!$G$2:$G$1000,MATCH($W333,'🎓 Alumnas'!$A$2:$A$1000,0))="","",INDEX('🎓 Alumnas'!$G$2:$G$1000,MATCH($W333,'🎓 Alumnas'!$A$2:$A$1000,0))),""))</f>
        <v/>
      </c>
      <c r="J333" s="28" t="str">
        <f aca="true">IF(I333="","",DATEDIF(I333,TODAY(),"Y"))</f>
        <v/>
      </c>
      <c r="K333" s="25"/>
      <c r="L333" s="28" t="str">
        <f aca="false">IF(K333="","",IF(LEFT(K333,6)="1 Pole","Alquiler",IF(LEFT(K333,7)="1 Clase","Clase suelta","Paquete")))</f>
        <v/>
      </c>
      <c r="M333" s="25"/>
      <c r="N333" s="25"/>
      <c r="O333" s="35"/>
      <c r="P333" s="29" t="str">
        <f aca="false">IF(O333="","",N333*O333)</f>
        <v/>
      </c>
      <c r="Q333" s="36"/>
      <c r="R333" s="25"/>
      <c r="S333" s="25"/>
      <c r="T333" s="28" t="str">
        <f aca="false">IF(OR(LEFT(W333,2)&lt;&gt;"A-",ISERROR(MATCH(W333,'🎓 Alumnas'!$A$2:$A$1000,0))),"",IF(COUNTIF($W$2:W333,W333)=1,"Nueva","Recurrente"))</f>
        <v/>
      </c>
      <c r="U333" s="28" t="str">
        <f aca="false">IF(OR(T333="",L333&lt;&gt;"Paquete"),"",COUNTIFS($W$2:W333,W333,$L$2:L333,"Paquete"))</f>
        <v/>
      </c>
      <c r="V333" s="25"/>
      <c r="W333" s="34" t="str">
        <f aca="false">IF(TRIM($C333)="","",IF(COUNTIF('🎓 Alumnas'!$P$2:$P$1000,TRIM($C333))&gt;0,INDEX('🎓 Alumnas'!$A$2:$A$1000,MATCH(TRIM($C333),'🎓 Alumnas'!$P$2:$P$1000,0)),IF(COUNTIF('🎓 Alumnas'!$O$2:$O$1000,TRIM($C333)&amp;"|*")=1,INDEX('🎓 Alumnas'!$A$2:$A$1000,MATCH(TRIM($C333)&amp;"|*",'🎓 Alumnas'!$O$2:$O$1000,0)),IF(COUNTIF('🎓 Alumnas'!$O$2:$O$1000,"*|"&amp;TRIM($C333))=1,INDEX('🎓 Alumnas'!$A$2:$A$1000,MATCH("*|"&amp;TRIM($C333),'🎓 Alumnas'!$O$2:$O$1000,0)),IF(COUNTIF('🎓 Alumnas'!$Q$2:$Q$1000,TRIM($C333))=1,INDEX('🎓 Alumnas'!$A$2:$A$1000,MATCH(TRIM($C333),'🎓 Alumnas'!$Q$2:$Q$1000,0)),IF(COUNTIF('🎓 Alumnas'!$P$2:$P$1000,"*"&amp;TRIM($C333)&amp;"*")=1,INDEX('🎓 Alumnas'!$A$2:$A$1000,MATCH("*"&amp;TRIM($C333)&amp;"*",'🎓 Alumnas'!$P$2:$P$1000,0)),IF(COUNTIF('🎓 Alumnas'!$Q$2:$Q$1000,"*"&amp;TRIM($C333)&amp;"*")=1,INDEX('🎓 Alumnas'!$A$2:$A$1000,MATCH("*"&amp;TRIM($C333)&amp;"*",'🎓 Alumnas'!$Q$2:$Q$1000,0)),IF(COUNTIF('🎓 Alumnas'!$P$2:$P$1000,"*"&amp;TRIM($C333)&amp;"*")+COUNTIF('🎓 Alumnas'!$Q$2:$Q$1000,"*"&amp;TRIM($C333)&amp;"*")&gt;1,"Varias: elige de la lista","No encontrada"))))))))</f>
        <v/>
      </c>
    </row>
    <row r="334" customFormat="false" ht="14.25" hidden="false" customHeight="true" outlineLevel="0" collapsed="false">
      <c r="A334" s="25" t="s">
        <v>878</v>
      </c>
      <c r="B334" s="27"/>
      <c r="C334" s="25"/>
      <c r="D334" s="34" t="str">
        <f aca="false">IF($W334="","",IFERROR(TRIM(INDEX('🎓 Alumnas'!$B$2:$B$1000,MATCH($W334,'🎓 Alumnas'!$A$2:$A$1000,0))),""))</f>
        <v/>
      </c>
      <c r="E334" s="34" t="str">
        <f aca="false">IF($W334="","",IFERROR(TRIM(INDEX('🎓 Alumnas'!$C$2:$C$1000,MATCH($W334,'🎓 Alumnas'!$A$2:$A$1000,0))),""))</f>
        <v/>
      </c>
      <c r="F334" s="34" t="str">
        <f aca="false">IF($W334="","",IFERROR(IF(INDEX('🎓 Alumnas'!$D$2:$D$1000,MATCH($W334,'🎓 Alumnas'!$A$2:$A$1000,0))="","",INDEX('🎓 Alumnas'!$D$2:$D$1000,MATCH($W334,'🎓 Alumnas'!$A$2:$A$1000,0))),""))</f>
        <v/>
      </c>
      <c r="G334" s="28" t="str">
        <f aca="false">IF($W334="","",IFERROR(IF(INDEX('🎓 Alumnas'!$E$2:$E$1000,MATCH($W334,'🎓 Alumnas'!$A$2:$A$1000,0))="","",INDEX('🎓 Alumnas'!$E$2:$E$1000,MATCH($W334,'🎓 Alumnas'!$A$2:$A$1000,0))),""))</f>
        <v/>
      </c>
      <c r="H334" s="28" t="str">
        <f aca="false">IF($W334="","",IFERROR(IF(INDEX('🎓 Alumnas'!$F$2:$F$1000,MATCH($W334,'🎓 Alumnas'!$A$2:$A$1000,0))="","",INDEX('🎓 Alumnas'!$F$2:$F$1000,MATCH($W334,'🎓 Alumnas'!$A$2:$A$1000,0))),""))</f>
        <v/>
      </c>
      <c r="I334" s="30" t="str">
        <f aca="false">IF($W334="","",IFERROR(IF(INDEX('🎓 Alumnas'!$G$2:$G$1000,MATCH($W334,'🎓 Alumnas'!$A$2:$A$1000,0))="","",INDEX('🎓 Alumnas'!$G$2:$G$1000,MATCH($W334,'🎓 Alumnas'!$A$2:$A$1000,0))),""))</f>
        <v/>
      </c>
      <c r="J334" s="28" t="str">
        <f aca="true">IF(I334="","",DATEDIF(I334,TODAY(),"Y"))</f>
        <v/>
      </c>
      <c r="K334" s="25"/>
      <c r="L334" s="28" t="str">
        <f aca="false">IF(K334="","",IF(LEFT(K334,6)="1 Pole","Alquiler",IF(LEFT(K334,7)="1 Clase","Clase suelta","Paquete")))</f>
        <v/>
      </c>
      <c r="M334" s="25"/>
      <c r="N334" s="25"/>
      <c r="O334" s="35"/>
      <c r="P334" s="29" t="str">
        <f aca="false">IF(O334="","",N334*O334)</f>
        <v/>
      </c>
      <c r="Q334" s="36"/>
      <c r="R334" s="25"/>
      <c r="S334" s="25"/>
      <c r="T334" s="28" t="str">
        <f aca="false">IF(OR(LEFT(W334,2)&lt;&gt;"A-",ISERROR(MATCH(W334,'🎓 Alumnas'!$A$2:$A$1000,0))),"",IF(COUNTIF($W$2:W334,W334)=1,"Nueva","Recurrente"))</f>
        <v/>
      </c>
      <c r="U334" s="28" t="str">
        <f aca="false">IF(OR(T334="",L334&lt;&gt;"Paquete"),"",COUNTIFS($W$2:W334,W334,$L$2:L334,"Paquete"))</f>
        <v/>
      </c>
      <c r="V334" s="25"/>
      <c r="W334" s="34" t="str">
        <f aca="false">IF(TRIM($C334)="","",IF(COUNTIF('🎓 Alumnas'!$P$2:$P$1000,TRIM($C334))&gt;0,INDEX('🎓 Alumnas'!$A$2:$A$1000,MATCH(TRIM($C334),'🎓 Alumnas'!$P$2:$P$1000,0)),IF(COUNTIF('🎓 Alumnas'!$O$2:$O$1000,TRIM($C334)&amp;"|*")=1,INDEX('🎓 Alumnas'!$A$2:$A$1000,MATCH(TRIM($C334)&amp;"|*",'🎓 Alumnas'!$O$2:$O$1000,0)),IF(COUNTIF('🎓 Alumnas'!$O$2:$O$1000,"*|"&amp;TRIM($C334))=1,INDEX('🎓 Alumnas'!$A$2:$A$1000,MATCH("*|"&amp;TRIM($C334),'🎓 Alumnas'!$O$2:$O$1000,0)),IF(COUNTIF('🎓 Alumnas'!$Q$2:$Q$1000,TRIM($C334))=1,INDEX('🎓 Alumnas'!$A$2:$A$1000,MATCH(TRIM($C334),'🎓 Alumnas'!$Q$2:$Q$1000,0)),IF(COUNTIF('🎓 Alumnas'!$P$2:$P$1000,"*"&amp;TRIM($C334)&amp;"*")=1,INDEX('🎓 Alumnas'!$A$2:$A$1000,MATCH("*"&amp;TRIM($C334)&amp;"*",'🎓 Alumnas'!$P$2:$P$1000,0)),IF(COUNTIF('🎓 Alumnas'!$Q$2:$Q$1000,"*"&amp;TRIM($C334)&amp;"*")=1,INDEX('🎓 Alumnas'!$A$2:$A$1000,MATCH("*"&amp;TRIM($C334)&amp;"*",'🎓 Alumnas'!$Q$2:$Q$1000,0)),IF(COUNTIF('🎓 Alumnas'!$P$2:$P$1000,"*"&amp;TRIM($C334)&amp;"*")+COUNTIF('🎓 Alumnas'!$Q$2:$Q$1000,"*"&amp;TRIM($C334)&amp;"*")&gt;1,"Varias: elige de la lista","No encontrada"))))))))</f>
        <v/>
      </c>
    </row>
    <row r="335" customFormat="false" ht="14.25" hidden="false" customHeight="true" outlineLevel="0" collapsed="false">
      <c r="A335" s="25" t="s">
        <v>879</v>
      </c>
      <c r="B335" s="27"/>
      <c r="C335" s="25"/>
      <c r="D335" s="34" t="str">
        <f aca="false">IF($W335="","",IFERROR(TRIM(INDEX('🎓 Alumnas'!$B$2:$B$1000,MATCH($W335,'🎓 Alumnas'!$A$2:$A$1000,0))),""))</f>
        <v/>
      </c>
      <c r="E335" s="34" t="str">
        <f aca="false">IF($W335="","",IFERROR(TRIM(INDEX('🎓 Alumnas'!$C$2:$C$1000,MATCH($W335,'🎓 Alumnas'!$A$2:$A$1000,0))),""))</f>
        <v/>
      </c>
      <c r="F335" s="34" t="str">
        <f aca="false">IF($W335="","",IFERROR(IF(INDEX('🎓 Alumnas'!$D$2:$D$1000,MATCH($W335,'🎓 Alumnas'!$A$2:$A$1000,0))="","",INDEX('🎓 Alumnas'!$D$2:$D$1000,MATCH($W335,'🎓 Alumnas'!$A$2:$A$1000,0))),""))</f>
        <v/>
      </c>
      <c r="G335" s="28" t="str">
        <f aca="false">IF($W335="","",IFERROR(IF(INDEX('🎓 Alumnas'!$E$2:$E$1000,MATCH($W335,'🎓 Alumnas'!$A$2:$A$1000,0))="","",INDEX('🎓 Alumnas'!$E$2:$E$1000,MATCH($W335,'🎓 Alumnas'!$A$2:$A$1000,0))),""))</f>
        <v/>
      </c>
      <c r="H335" s="28" t="str">
        <f aca="false">IF($W335="","",IFERROR(IF(INDEX('🎓 Alumnas'!$F$2:$F$1000,MATCH($W335,'🎓 Alumnas'!$A$2:$A$1000,0))="","",INDEX('🎓 Alumnas'!$F$2:$F$1000,MATCH($W335,'🎓 Alumnas'!$A$2:$A$1000,0))),""))</f>
        <v/>
      </c>
      <c r="I335" s="30" t="str">
        <f aca="false">IF($W335="","",IFERROR(IF(INDEX('🎓 Alumnas'!$G$2:$G$1000,MATCH($W335,'🎓 Alumnas'!$A$2:$A$1000,0))="","",INDEX('🎓 Alumnas'!$G$2:$G$1000,MATCH($W335,'🎓 Alumnas'!$A$2:$A$1000,0))),""))</f>
        <v/>
      </c>
      <c r="J335" s="28" t="str">
        <f aca="true">IF(I335="","",DATEDIF(I335,TODAY(),"Y"))</f>
        <v/>
      </c>
      <c r="K335" s="25"/>
      <c r="L335" s="28" t="str">
        <f aca="false">IF(K335="","",IF(LEFT(K335,6)="1 Pole","Alquiler",IF(LEFT(K335,7)="1 Clase","Clase suelta","Paquete")))</f>
        <v/>
      </c>
      <c r="M335" s="25"/>
      <c r="N335" s="25"/>
      <c r="O335" s="35"/>
      <c r="P335" s="29" t="str">
        <f aca="false">IF(O335="","",N335*O335)</f>
        <v/>
      </c>
      <c r="Q335" s="36"/>
      <c r="R335" s="25"/>
      <c r="S335" s="25"/>
      <c r="T335" s="28" t="str">
        <f aca="false">IF(OR(LEFT(W335,2)&lt;&gt;"A-",ISERROR(MATCH(W335,'🎓 Alumnas'!$A$2:$A$1000,0))),"",IF(COUNTIF($W$2:W335,W335)=1,"Nueva","Recurrente"))</f>
        <v/>
      </c>
      <c r="U335" s="28" t="str">
        <f aca="false">IF(OR(T335="",L335&lt;&gt;"Paquete"),"",COUNTIFS($W$2:W335,W335,$L$2:L335,"Paquete"))</f>
        <v/>
      </c>
      <c r="V335" s="25"/>
      <c r="W335" s="34" t="str">
        <f aca="false">IF(TRIM($C335)="","",IF(COUNTIF('🎓 Alumnas'!$P$2:$P$1000,TRIM($C335))&gt;0,INDEX('🎓 Alumnas'!$A$2:$A$1000,MATCH(TRIM($C335),'🎓 Alumnas'!$P$2:$P$1000,0)),IF(COUNTIF('🎓 Alumnas'!$O$2:$O$1000,TRIM($C335)&amp;"|*")=1,INDEX('🎓 Alumnas'!$A$2:$A$1000,MATCH(TRIM($C335)&amp;"|*",'🎓 Alumnas'!$O$2:$O$1000,0)),IF(COUNTIF('🎓 Alumnas'!$O$2:$O$1000,"*|"&amp;TRIM($C335))=1,INDEX('🎓 Alumnas'!$A$2:$A$1000,MATCH("*|"&amp;TRIM($C335),'🎓 Alumnas'!$O$2:$O$1000,0)),IF(COUNTIF('🎓 Alumnas'!$Q$2:$Q$1000,TRIM($C335))=1,INDEX('🎓 Alumnas'!$A$2:$A$1000,MATCH(TRIM($C335),'🎓 Alumnas'!$Q$2:$Q$1000,0)),IF(COUNTIF('🎓 Alumnas'!$P$2:$P$1000,"*"&amp;TRIM($C335)&amp;"*")=1,INDEX('🎓 Alumnas'!$A$2:$A$1000,MATCH("*"&amp;TRIM($C335)&amp;"*",'🎓 Alumnas'!$P$2:$P$1000,0)),IF(COUNTIF('🎓 Alumnas'!$Q$2:$Q$1000,"*"&amp;TRIM($C335)&amp;"*")=1,INDEX('🎓 Alumnas'!$A$2:$A$1000,MATCH("*"&amp;TRIM($C335)&amp;"*",'🎓 Alumnas'!$Q$2:$Q$1000,0)),IF(COUNTIF('🎓 Alumnas'!$P$2:$P$1000,"*"&amp;TRIM($C335)&amp;"*")+COUNTIF('🎓 Alumnas'!$Q$2:$Q$1000,"*"&amp;TRIM($C335)&amp;"*")&gt;1,"Varias: elige de la lista","No encontrada"))))))))</f>
        <v/>
      </c>
    </row>
    <row r="336" customFormat="false" ht="14.25" hidden="false" customHeight="true" outlineLevel="0" collapsed="false">
      <c r="A336" s="25" t="s">
        <v>880</v>
      </c>
      <c r="B336" s="27"/>
      <c r="C336" s="25"/>
      <c r="D336" s="34" t="str">
        <f aca="false">IF($W336="","",IFERROR(TRIM(INDEX('🎓 Alumnas'!$B$2:$B$1000,MATCH($W336,'🎓 Alumnas'!$A$2:$A$1000,0))),""))</f>
        <v/>
      </c>
      <c r="E336" s="34" t="str">
        <f aca="false">IF($W336="","",IFERROR(TRIM(INDEX('🎓 Alumnas'!$C$2:$C$1000,MATCH($W336,'🎓 Alumnas'!$A$2:$A$1000,0))),""))</f>
        <v/>
      </c>
      <c r="F336" s="34" t="str">
        <f aca="false">IF($W336="","",IFERROR(IF(INDEX('🎓 Alumnas'!$D$2:$D$1000,MATCH($W336,'🎓 Alumnas'!$A$2:$A$1000,0))="","",INDEX('🎓 Alumnas'!$D$2:$D$1000,MATCH($W336,'🎓 Alumnas'!$A$2:$A$1000,0))),""))</f>
        <v/>
      </c>
      <c r="G336" s="28" t="str">
        <f aca="false">IF($W336="","",IFERROR(IF(INDEX('🎓 Alumnas'!$E$2:$E$1000,MATCH($W336,'🎓 Alumnas'!$A$2:$A$1000,0))="","",INDEX('🎓 Alumnas'!$E$2:$E$1000,MATCH($W336,'🎓 Alumnas'!$A$2:$A$1000,0))),""))</f>
        <v/>
      </c>
      <c r="H336" s="28" t="str">
        <f aca="false">IF($W336="","",IFERROR(IF(INDEX('🎓 Alumnas'!$F$2:$F$1000,MATCH($W336,'🎓 Alumnas'!$A$2:$A$1000,0))="","",INDEX('🎓 Alumnas'!$F$2:$F$1000,MATCH($W336,'🎓 Alumnas'!$A$2:$A$1000,0))),""))</f>
        <v/>
      </c>
      <c r="I336" s="30" t="str">
        <f aca="false">IF($W336="","",IFERROR(IF(INDEX('🎓 Alumnas'!$G$2:$G$1000,MATCH($W336,'🎓 Alumnas'!$A$2:$A$1000,0))="","",INDEX('🎓 Alumnas'!$G$2:$G$1000,MATCH($W336,'🎓 Alumnas'!$A$2:$A$1000,0))),""))</f>
        <v/>
      </c>
      <c r="J336" s="28" t="str">
        <f aca="true">IF(I336="","",DATEDIF(I336,TODAY(),"Y"))</f>
        <v/>
      </c>
      <c r="K336" s="25"/>
      <c r="L336" s="28" t="str">
        <f aca="false">IF(K336="","",IF(LEFT(K336,6)="1 Pole","Alquiler",IF(LEFT(K336,7)="1 Clase","Clase suelta","Paquete")))</f>
        <v/>
      </c>
      <c r="M336" s="25"/>
      <c r="N336" s="25"/>
      <c r="O336" s="35"/>
      <c r="P336" s="29" t="str">
        <f aca="false">IF(O336="","",N336*O336)</f>
        <v/>
      </c>
      <c r="Q336" s="36"/>
      <c r="R336" s="25"/>
      <c r="S336" s="25"/>
      <c r="T336" s="28" t="str">
        <f aca="false">IF(OR(LEFT(W336,2)&lt;&gt;"A-",ISERROR(MATCH(W336,'🎓 Alumnas'!$A$2:$A$1000,0))),"",IF(COUNTIF($W$2:W336,W336)=1,"Nueva","Recurrente"))</f>
        <v/>
      </c>
      <c r="U336" s="28" t="str">
        <f aca="false">IF(OR(T336="",L336&lt;&gt;"Paquete"),"",COUNTIFS($W$2:W336,W336,$L$2:L336,"Paquete"))</f>
        <v/>
      </c>
      <c r="V336" s="25"/>
      <c r="W336" s="34" t="str">
        <f aca="false">IF(TRIM($C336)="","",IF(COUNTIF('🎓 Alumnas'!$P$2:$P$1000,TRIM($C336))&gt;0,INDEX('🎓 Alumnas'!$A$2:$A$1000,MATCH(TRIM($C336),'🎓 Alumnas'!$P$2:$P$1000,0)),IF(COUNTIF('🎓 Alumnas'!$O$2:$O$1000,TRIM($C336)&amp;"|*")=1,INDEX('🎓 Alumnas'!$A$2:$A$1000,MATCH(TRIM($C336)&amp;"|*",'🎓 Alumnas'!$O$2:$O$1000,0)),IF(COUNTIF('🎓 Alumnas'!$O$2:$O$1000,"*|"&amp;TRIM($C336))=1,INDEX('🎓 Alumnas'!$A$2:$A$1000,MATCH("*|"&amp;TRIM($C336),'🎓 Alumnas'!$O$2:$O$1000,0)),IF(COUNTIF('🎓 Alumnas'!$Q$2:$Q$1000,TRIM($C336))=1,INDEX('🎓 Alumnas'!$A$2:$A$1000,MATCH(TRIM($C336),'🎓 Alumnas'!$Q$2:$Q$1000,0)),IF(COUNTIF('🎓 Alumnas'!$P$2:$P$1000,"*"&amp;TRIM($C336)&amp;"*")=1,INDEX('🎓 Alumnas'!$A$2:$A$1000,MATCH("*"&amp;TRIM($C336)&amp;"*",'🎓 Alumnas'!$P$2:$P$1000,0)),IF(COUNTIF('🎓 Alumnas'!$Q$2:$Q$1000,"*"&amp;TRIM($C336)&amp;"*")=1,INDEX('🎓 Alumnas'!$A$2:$A$1000,MATCH("*"&amp;TRIM($C336)&amp;"*",'🎓 Alumnas'!$Q$2:$Q$1000,0)),IF(COUNTIF('🎓 Alumnas'!$P$2:$P$1000,"*"&amp;TRIM($C336)&amp;"*")+COUNTIF('🎓 Alumnas'!$Q$2:$Q$1000,"*"&amp;TRIM($C336)&amp;"*")&gt;1,"Varias: elige de la lista","No encontrada"))))))))</f>
        <v/>
      </c>
    </row>
    <row r="337" customFormat="false" ht="14.25" hidden="false" customHeight="true" outlineLevel="0" collapsed="false">
      <c r="A337" s="25" t="s">
        <v>881</v>
      </c>
      <c r="B337" s="27"/>
      <c r="C337" s="25"/>
      <c r="D337" s="34" t="str">
        <f aca="false">IF($W337="","",IFERROR(TRIM(INDEX('🎓 Alumnas'!$B$2:$B$1000,MATCH($W337,'🎓 Alumnas'!$A$2:$A$1000,0))),""))</f>
        <v/>
      </c>
      <c r="E337" s="34" t="str">
        <f aca="false">IF($W337="","",IFERROR(TRIM(INDEX('🎓 Alumnas'!$C$2:$C$1000,MATCH($W337,'🎓 Alumnas'!$A$2:$A$1000,0))),""))</f>
        <v/>
      </c>
      <c r="F337" s="34" t="str">
        <f aca="false">IF($W337="","",IFERROR(IF(INDEX('🎓 Alumnas'!$D$2:$D$1000,MATCH($W337,'🎓 Alumnas'!$A$2:$A$1000,0))="","",INDEX('🎓 Alumnas'!$D$2:$D$1000,MATCH($W337,'🎓 Alumnas'!$A$2:$A$1000,0))),""))</f>
        <v/>
      </c>
      <c r="G337" s="28" t="str">
        <f aca="false">IF($W337="","",IFERROR(IF(INDEX('🎓 Alumnas'!$E$2:$E$1000,MATCH($W337,'🎓 Alumnas'!$A$2:$A$1000,0))="","",INDEX('🎓 Alumnas'!$E$2:$E$1000,MATCH($W337,'🎓 Alumnas'!$A$2:$A$1000,0))),""))</f>
        <v/>
      </c>
      <c r="H337" s="28" t="str">
        <f aca="false">IF($W337="","",IFERROR(IF(INDEX('🎓 Alumnas'!$F$2:$F$1000,MATCH($W337,'🎓 Alumnas'!$A$2:$A$1000,0))="","",INDEX('🎓 Alumnas'!$F$2:$F$1000,MATCH($W337,'🎓 Alumnas'!$A$2:$A$1000,0))),""))</f>
        <v/>
      </c>
      <c r="I337" s="30" t="str">
        <f aca="false">IF($W337="","",IFERROR(IF(INDEX('🎓 Alumnas'!$G$2:$G$1000,MATCH($W337,'🎓 Alumnas'!$A$2:$A$1000,0))="","",INDEX('🎓 Alumnas'!$G$2:$G$1000,MATCH($W337,'🎓 Alumnas'!$A$2:$A$1000,0))),""))</f>
        <v/>
      </c>
      <c r="J337" s="28" t="str">
        <f aca="true">IF(I337="","",DATEDIF(I337,TODAY(),"Y"))</f>
        <v/>
      </c>
      <c r="K337" s="25"/>
      <c r="L337" s="28" t="str">
        <f aca="false">IF(K337="","",IF(LEFT(K337,6)="1 Pole","Alquiler",IF(LEFT(K337,7)="1 Clase","Clase suelta","Paquete")))</f>
        <v/>
      </c>
      <c r="M337" s="25"/>
      <c r="N337" s="25"/>
      <c r="O337" s="35"/>
      <c r="P337" s="29" t="str">
        <f aca="false">IF(O337="","",N337*O337)</f>
        <v/>
      </c>
      <c r="Q337" s="36"/>
      <c r="R337" s="25"/>
      <c r="S337" s="25"/>
      <c r="T337" s="28" t="str">
        <f aca="false">IF(OR(LEFT(W337,2)&lt;&gt;"A-",ISERROR(MATCH(W337,'🎓 Alumnas'!$A$2:$A$1000,0))),"",IF(COUNTIF($W$2:W337,W337)=1,"Nueva","Recurrente"))</f>
        <v/>
      </c>
      <c r="U337" s="28" t="str">
        <f aca="false">IF(OR(T337="",L337&lt;&gt;"Paquete"),"",COUNTIFS($W$2:W337,W337,$L$2:L337,"Paquete"))</f>
        <v/>
      </c>
      <c r="V337" s="25"/>
      <c r="W337" s="34" t="str">
        <f aca="false">IF(TRIM($C337)="","",IF(COUNTIF('🎓 Alumnas'!$P$2:$P$1000,TRIM($C337))&gt;0,INDEX('🎓 Alumnas'!$A$2:$A$1000,MATCH(TRIM($C337),'🎓 Alumnas'!$P$2:$P$1000,0)),IF(COUNTIF('🎓 Alumnas'!$O$2:$O$1000,TRIM($C337)&amp;"|*")=1,INDEX('🎓 Alumnas'!$A$2:$A$1000,MATCH(TRIM($C337)&amp;"|*",'🎓 Alumnas'!$O$2:$O$1000,0)),IF(COUNTIF('🎓 Alumnas'!$O$2:$O$1000,"*|"&amp;TRIM($C337))=1,INDEX('🎓 Alumnas'!$A$2:$A$1000,MATCH("*|"&amp;TRIM($C337),'🎓 Alumnas'!$O$2:$O$1000,0)),IF(COUNTIF('🎓 Alumnas'!$Q$2:$Q$1000,TRIM($C337))=1,INDEX('🎓 Alumnas'!$A$2:$A$1000,MATCH(TRIM($C337),'🎓 Alumnas'!$Q$2:$Q$1000,0)),IF(COUNTIF('🎓 Alumnas'!$P$2:$P$1000,"*"&amp;TRIM($C337)&amp;"*")=1,INDEX('🎓 Alumnas'!$A$2:$A$1000,MATCH("*"&amp;TRIM($C337)&amp;"*",'🎓 Alumnas'!$P$2:$P$1000,0)),IF(COUNTIF('🎓 Alumnas'!$Q$2:$Q$1000,"*"&amp;TRIM($C337)&amp;"*")=1,INDEX('🎓 Alumnas'!$A$2:$A$1000,MATCH("*"&amp;TRIM($C337)&amp;"*",'🎓 Alumnas'!$Q$2:$Q$1000,0)),IF(COUNTIF('🎓 Alumnas'!$P$2:$P$1000,"*"&amp;TRIM($C337)&amp;"*")+COUNTIF('🎓 Alumnas'!$Q$2:$Q$1000,"*"&amp;TRIM($C337)&amp;"*")&gt;1,"Varias: elige de la lista","No encontrada"))))))))</f>
        <v/>
      </c>
    </row>
    <row r="338" customFormat="false" ht="14.25" hidden="false" customHeight="true" outlineLevel="0" collapsed="false">
      <c r="A338" s="25" t="s">
        <v>882</v>
      </c>
      <c r="B338" s="27"/>
      <c r="C338" s="25"/>
      <c r="D338" s="34" t="str">
        <f aca="false">IF($W338="","",IFERROR(TRIM(INDEX('🎓 Alumnas'!$B$2:$B$1000,MATCH($W338,'🎓 Alumnas'!$A$2:$A$1000,0))),""))</f>
        <v/>
      </c>
      <c r="E338" s="34" t="str">
        <f aca="false">IF($W338="","",IFERROR(TRIM(INDEX('🎓 Alumnas'!$C$2:$C$1000,MATCH($W338,'🎓 Alumnas'!$A$2:$A$1000,0))),""))</f>
        <v/>
      </c>
      <c r="F338" s="34" t="str">
        <f aca="false">IF($W338="","",IFERROR(IF(INDEX('🎓 Alumnas'!$D$2:$D$1000,MATCH($W338,'🎓 Alumnas'!$A$2:$A$1000,0))="","",INDEX('🎓 Alumnas'!$D$2:$D$1000,MATCH($W338,'🎓 Alumnas'!$A$2:$A$1000,0))),""))</f>
        <v/>
      </c>
      <c r="G338" s="28" t="str">
        <f aca="false">IF($W338="","",IFERROR(IF(INDEX('🎓 Alumnas'!$E$2:$E$1000,MATCH($W338,'🎓 Alumnas'!$A$2:$A$1000,0))="","",INDEX('🎓 Alumnas'!$E$2:$E$1000,MATCH($W338,'🎓 Alumnas'!$A$2:$A$1000,0))),""))</f>
        <v/>
      </c>
      <c r="H338" s="28" t="str">
        <f aca="false">IF($W338="","",IFERROR(IF(INDEX('🎓 Alumnas'!$F$2:$F$1000,MATCH($W338,'🎓 Alumnas'!$A$2:$A$1000,0))="","",INDEX('🎓 Alumnas'!$F$2:$F$1000,MATCH($W338,'🎓 Alumnas'!$A$2:$A$1000,0))),""))</f>
        <v/>
      </c>
      <c r="I338" s="30" t="str">
        <f aca="false">IF($W338="","",IFERROR(IF(INDEX('🎓 Alumnas'!$G$2:$G$1000,MATCH($W338,'🎓 Alumnas'!$A$2:$A$1000,0))="","",INDEX('🎓 Alumnas'!$G$2:$G$1000,MATCH($W338,'🎓 Alumnas'!$A$2:$A$1000,0))),""))</f>
        <v/>
      </c>
      <c r="J338" s="28" t="str">
        <f aca="true">IF(I338="","",DATEDIF(I338,TODAY(),"Y"))</f>
        <v/>
      </c>
      <c r="K338" s="25"/>
      <c r="L338" s="28" t="str">
        <f aca="false">IF(K338="","",IF(LEFT(K338,6)="1 Pole","Alquiler",IF(LEFT(K338,7)="1 Clase","Clase suelta","Paquete")))</f>
        <v/>
      </c>
      <c r="M338" s="25"/>
      <c r="N338" s="25"/>
      <c r="O338" s="35"/>
      <c r="P338" s="29" t="str">
        <f aca="false">IF(O338="","",N338*O338)</f>
        <v/>
      </c>
      <c r="Q338" s="36"/>
      <c r="R338" s="25"/>
      <c r="S338" s="25"/>
      <c r="T338" s="28" t="str">
        <f aca="false">IF(OR(LEFT(W338,2)&lt;&gt;"A-",ISERROR(MATCH(W338,'🎓 Alumnas'!$A$2:$A$1000,0))),"",IF(COUNTIF($W$2:W338,W338)=1,"Nueva","Recurrente"))</f>
        <v/>
      </c>
      <c r="U338" s="28" t="str">
        <f aca="false">IF(OR(T338="",L338&lt;&gt;"Paquete"),"",COUNTIFS($W$2:W338,W338,$L$2:L338,"Paquete"))</f>
        <v/>
      </c>
      <c r="V338" s="25"/>
      <c r="W338" s="34" t="str">
        <f aca="false">IF(TRIM($C338)="","",IF(COUNTIF('🎓 Alumnas'!$P$2:$P$1000,TRIM($C338))&gt;0,INDEX('🎓 Alumnas'!$A$2:$A$1000,MATCH(TRIM($C338),'🎓 Alumnas'!$P$2:$P$1000,0)),IF(COUNTIF('🎓 Alumnas'!$O$2:$O$1000,TRIM($C338)&amp;"|*")=1,INDEX('🎓 Alumnas'!$A$2:$A$1000,MATCH(TRIM($C338)&amp;"|*",'🎓 Alumnas'!$O$2:$O$1000,0)),IF(COUNTIF('🎓 Alumnas'!$O$2:$O$1000,"*|"&amp;TRIM($C338))=1,INDEX('🎓 Alumnas'!$A$2:$A$1000,MATCH("*|"&amp;TRIM($C338),'🎓 Alumnas'!$O$2:$O$1000,0)),IF(COUNTIF('🎓 Alumnas'!$Q$2:$Q$1000,TRIM($C338))=1,INDEX('🎓 Alumnas'!$A$2:$A$1000,MATCH(TRIM($C338),'🎓 Alumnas'!$Q$2:$Q$1000,0)),IF(COUNTIF('🎓 Alumnas'!$P$2:$P$1000,"*"&amp;TRIM($C338)&amp;"*")=1,INDEX('🎓 Alumnas'!$A$2:$A$1000,MATCH("*"&amp;TRIM($C338)&amp;"*",'🎓 Alumnas'!$P$2:$P$1000,0)),IF(COUNTIF('🎓 Alumnas'!$Q$2:$Q$1000,"*"&amp;TRIM($C338)&amp;"*")=1,INDEX('🎓 Alumnas'!$A$2:$A$1000,MATCH("*"&amp;TRIM($C338)&amp;"*",'🎓 Alumnas'!$Q$2:$Q$1000,0)),IF(COUNTIF('🎓 Alumnas'!$P$2:$P$1000,"*"&amp;TRIM($C338)&amp;"*")+COUNTIF('🎓 Alumnas'!$Q$2:$Q$1000,"*"&amp;TRIM($C338)&amp;"*")&gt;1,"Varias: elige de la lista","No encontrada"))))))))</f>
        <v/>
      </c>
    </row>
    <row r="339" customFormat="false" ht="14.25" hidden="false" customHeight="true" outlineLevel="0" collapsed="false">
      <c r="A339" s="25" t="s">
        <v>883</v>
      </c>
      <c r="B339" s="27"/>
      <c r="C339" s="25"/>
      <c r="D339" s="34" t="str">
        <f aca="false">IF($W339="","",IFERROR(TRIM(INDEX('🎓 Alumnas'!$B$2:$B$1000,MATCH($W339,'🎓 Alumnas'!$A$2:$A$1000,0))),""))</f>
        <v/>
      </c>
      <c r="E339" s="34" t="str">
        <f aca="false">IF($W339="","",IFERROR(TRIM(INDEX('🎓 Alumnas'!$C$2:$C$1000,MATCH($W339,'🎓 Alumnas'!$A$2:$A$1000,0))),""))</f>
        <v/>
      </c>
      <c r="F339" s="34" t="str">
        <f aca="false">IF($W339="","",IFERROR(IF(INDEX('🎓 Alumnas'!$D$2:$D$1000,MATCH($W339,'🎓 Alumnas'!$A$2:$A$1000,0))="","",INDEX('🎓 Alumnas'!$D$2:$D$1000,MATCH($W339,'🎓 Alumnas'!$A$2:$A$1000,0))),""))</f>
        <v/>
      </c>
      <c r="G339" s="28" t="str">
        <f aca="false">IF($W339="","",IFERROR(IF(INDEX('🎓 Alumnas'!$E$2:$E$1000,MATCH($W339,'🎓 Alumnas'!$A$2:$A$1000,0))="","",INDEX('🎓 Alumnas'!$E$2:$E$1000,MATCH($W339,'🎓 Alumnas'!$A$2:$A$1000,0))),""))</f>
        <v/>
      </c>
      <c r="H339" s="28" t="str">
        <f aca="false">IF($W339="","",IFERROR(IF(INDEX('🎓 Alumnas'!$F$2:$F$1000,MATCH($W339,'🎓 Alumnas'!$A$2:$A$1000,0))="","",INDEX('🎓 Alumnas'!$F$2:$F$1000,MATCH($W339,'🎓 Alumnas'!$A$2:$A$1000,0))),""))</f>
        <v/>
      </c>
      <c r="I339" s="30" t="str">
        <f aca="false">IF($W339="","",IFERROR(IF(INDEX('🎓 Alumnas'!$G$2:$G$1000,MATCH($W339,'🎓 Alumnas'!$A$2:$A$1000,0))="","",INDEX('🎓 Alumnas'!$G$2:$G$1000,MATCH($W339,'🎓 Alumnas'!$A$2:$A$1000,0))),""))</f>
        <v/>
      </c>
      <c r="J339" s="28" t="str">
        <f aca="true">IF(I339="","",DATEDIF(I339,TODAY(),"Y"))</f>
        <v/>
      </c>
      <c r="K339" s="25"/>
      <c r="L339" s="28" t="str">
        <f aca="false">IF(K339="","",IF(LEFT(K339,6)="1 Pole","Alquiler",IF(LEFT(K339,7)="1 Clase","Clase suelta","Paquete")))</f>
        <v/>
      </c>
      <c r="M339" s="25"/>
      <c r="N339" s="25"/>
      <c r="O339" s="35"/>
      <c r="P339" s="29" t="str">
        <f aca="false">IF(O339="","",N339*O339)</f>
        <v/>
      </c>
      <c r="Q339" s="36"/>
      <c r="R339" s="25"/>
      <c r="S339" s="25"/>
      <c r="T339" s="28" t="str">
        <f aca="false">IF(OR(LEFT(W339,2)&lt;&gt;"A-",ISERROR(MATCH(W339,'🎓 Alumnas'!$A$2:$A$1000,0))),"",IF(COUNTIF($W$2:W339,W339)=1,"Nueva","Recurrente"))</f>
        <v/>
      </c>
      <c r="U339" s="28" t="str">
        <f aca="false">IF(OR(T339="",L339&lt;&gt;"Paquete"),"",COUNTIFS($W$2:W339,W339,$L$2:L339,"Paquete"))</f>
        <v/>
      </c>
      <c r="V339" s="25"/>
      <c r="W339" s="34" t="str">
        <f aca="false">IF(TRIM($C339)="","",IF(COUNTIF('🎓 Alumnas'!$P$2:$P$1000,TRIM($C339))&gt;0,INDEX('🎓 Alumnas'!$A$2:$A$1000,MATCH(TRIM($C339),'🎓 Alumnas'!$P$2:$P$1000,0)),IF(COUNTIF('🎓 Alumnas'!$O$2:$O$1000,TRIM($C339)&amp;"|*")=1,INDEX('🎓 Alumnas'!$A$2:$A$1000,MATCH(TRIM($C339)&amp;"|*",'🎓 Alumnas'!$O$2:$O$1000,0)),IF(COUNTIF('🎓 Alumnas'!$O$2:$O$1000,"*|"&amp;TRIM($C339))=1,INDEX('🎓 Alumnas'!$A$2:$A$1000,MATCH("*|"&amp;TRIM($C339),'🎓 Alumnas'!$O$2:$O$1000,0)),IF(COUNTIF('🎓 Alumnas'!$Q$2:$Q$1000,TRIM($C339))=1,INDEX('🎓 Alumnas'!$A$2:$A$1000,MATCH(TRIM($C339),'🎓 Alumnas'!$Q$2:$Q$1000,0)),IF(COUNTIF('🎓 Alumnas'!$P$2:$P$1000,"*"&amp;TRIM($C339)&amp;"*")=1,INDEX('🎓 Alumnas'!$A$2:$A$1000,MATCH("*"&amp;TRIM($C339)&amp;"*",'🎓 Alumnas'!$P$2:$P$1000,0)),IF(COUNTIF('🎓 Alumnas'!$Q$2:$Q$1000,"*"&amp;TRIM($C339)&amp;"*")=1,INDEX('🎓 Alumnas'!$A$2:$A$1000,MATCH("*"&amp;TRIM($C339)&amp;"*",'🎓 Alumnas'!$Q$2:$Q$1000,0)),IF(COUNTIF('🎓 Alumnas'!$P$2:$P$1000,"*"&amp;TRIM($C339)&amp;"*")+COUNTIF('🎓 Alumnas'!$Q$2:$Q$1000,"*"&amp;TRIM($C339)&amp;"*")&gt;1,"Varias: elige de la lista","No encontrada"))))))))</f>
        <v/>
      </c>
    </row>
    <row r="340" customFormat="false" ht="14.25" hidden="false" customHeight="true" outlineLevel="0" collapsed="false">
      <c r="A340" s="25" t="s">
        <v>884</v>
      </c>
      <c r="B340" s="27"/>
      <c r="C340" s="25"/>
      <c r="D340" s="34" t="str">
        <f aca="false">IF($W340="","",IFERROR(TRIM(INDEX('🎓 Alumnas'!$B$2:$B$1000,MATCH($W340,'🎓 Alumnas'!$A$2:$A$1000,0))),""))</f>
        <v/>
      </c>
      <c r="E340" s="34" t="str">
        <f aca="false">IF($W340="","",IFERROR(TRIM(INDEX('🎓 Alumnas'!$C$2:$C$1000,MATCH($W340,'🎓 Alumnas'!$A$2:$A$1000,0))),""))</f>
        <v/>
      </c>
      <c r="F340" s="34" t="str">
        <f aca="false">IF($W340="","",IFERROR(IF(INDEX('🎓 Alumnas'!$D$2:$D$1000,MATCH($W340,'🎓 Alumnas'!$A$2:$A$1000,0))="","",INDEX('🎓 Alumnas'!$D$2:$D$1000,MATCH($W340,'🎓 Alumnas'!$A$2:$A$1000,0))),""))</f>
        <v/>
      </c>
      <c r="G340" s="28" t="str">
        <f aca="false">IF($W340="","",IFERROR(IF(INDEX('🎓 Alumnas'!$E$2:$E$1000,MATCH($W340,'🎓 Alumnas'!$A$2:$A$1000,0))="","",INDEX('🎓 Alumnas'!$E$2:$E$1000,MATCH($W340,'🎓 Alumnas'!$A$2:$A$1000,0))),""))</f>
        <v/>
      </c>
      <c r="H340" s="28" t="str">
        <f aca="false">IF($W340="","",IFERROR(IF(INDEX('🎓 Alumnas'!$F$2:$F$1000,MATCH($W340,'🎓 Alumnas'!$A$2:$A$1000,0))="","",INDEX('🎓 Alumnas'!$F$2:$F$1000,MATCH($W340,'🎓 Alumnas'!$A$2:$A$1000,0))),""))</f>
        <v/>
      </c>
      <c r="I340" s="30" t="str">
        <f aca="false">IF($W340="","",IFERROR(IF(INDEX('🎓 Alumnas'!$G$2:$G$1000,MATCH($W340,'🎓 Alumnas'!$A$2:$A$1000,0))="","",INDEX('🎓 Alumnas'!$G$2:$G$1000,MATCH($W340,'🎓 Alumnas'!$A$2:$A$1000,0))),""))</f>
        <v/>
      </c>
      <c r="J340" s="28" t="str">
        <f aca="true">IF(I340="","",DATEDIF(I340,TODAY(),"Y"))</f>
        <v/>
      </c>
      <c r="K340" s="25"/>
      <c r="L340" s="28" t="str">
        <f aca="false">IF(K340="","",IF(LEFT(K340,6)="1 Pole","Alquiler",IF(LEFT(K340,7)="1 Clase","Clase suelta","Paquete")))</f>
        <v/>
      </c>
      <c r="M340" s="25"/>
      <c r="N340" s="25"/>
      <c r="O340" s="35"/>
      <c r="P340" s="29" t="str">
        <f aca="false">IF(O340="","",N340*O340)</f>
        <v/>
      </c>
      <c r="Q340" s="36"/>
      <c r="R340" s="25"/>
      <c r="S340" s="25"/>
      <c r="T340" s="28" t="str">
        <f aca="false">IF(OR(LEFT(W340,2)&lt;&gt;"A-",ISERROR(MATCH(W340,'🎓 Alumnas'!$A$2:$A$1000,0))),"",IF(COUNTIF($W$2:W340,W340)=1,"Nueva","Recurrente"))</f>
        <v/>
      </c>
      <c r="U340" s="28" t="str">
        <f aca="false">IF(OR(T340="",L340&lt;&gt;"Paquete"),"",COUNTIFS($W$2:W340,W340,$L$2:L340,"Paquete"))</f>
        <v/>
      </c>
      <c r="V340" s="25"/>
      <c r="W340" s="34" t="str">
        <f aca="false">IF(TRIM($C340)="","",IF(COUNTIF('🎓 Alumnas'!$P$2:$P$1000,TRIM($C340))&gt;0,INDEX('🎓 Alumnas'!$A$2:$A$1000,MATCH(TRIM($C340),'🎓 Alumnas'!$P$2:$P$1000,0)),IF(COUNTIF('🎓 Alumnas'!$O$2:$O$1000,TRIM($C340)&amp;"|*")=1,INDEX('🎓 Alumnas'!$A$2:$A$1000,MATCH(TRIM($C340)&amp;"|*",'🎓 Alumnas'!$O$2:$O$1000,0)),IF(COUNTIF('🎓 Alumnas'!$O$2:$O$1000,"*|"&amp;TRIM($C340))=1,INDEX('🎓 Alumnas'!$A$2:$A$1000,MATCH("*|"&amp;TRIM($C340),'🎓 Alumnas'!$O$2:$O$1000,0)),IF(COUNTIF('🎓 Alumnas'!$Q$2:$Q$1000,TRIM($C340))=1,INDEX('🎓 Alumnas'!$A$2:$A$1000,MATCH(TRIM($C340),'🎓 Alumnas'!$Q$2:$Q$1000,0)),IF(COUNTIF('🎓 Alumnas'!$P$2:$P$1000,"*"&amp;TRIM($C340)&amp;"*")=1,INDEX('🎓 Alumnas'!$A$2:$A$1000,MATCH("*"&amp;TRIM($C340)&amp;"*",'🎓 Alumnas'!$P$2:$P$1000,0)),IF(COUNTIF('🎓 Alumnas'!$Q$2:$Q$1000,"*"&amp;TRIM($C340)&amp;"*")=1,INDEX('🎓 Alumnas'!$A$2:$A$1000,MATCH("*"&amp;TRIM($C340)&amp;"*",'🎓 Alumnas'!$Q$2:$Q$1000,0)),IF(COUNTIF('🎓 Alumnas'!$P$2:$P$1000,"*"&amp;TRIM($C340)&amp;"*")+COUNTIF('🎓 Alumnas'!$Q$2:$Q$1000,"*"&amp;TRIM($C340)&amp;"*")&gt;1,"Varias: elige de la lista","No encontrada"))))))))</f>
        <v/>
      </c>
    </row>
    <row r="341" customFormat="false" ht="14.25" hidden="false" customHeight="true" outlineLevel="0" collapsed="false">
      <c r="A341" s="25" t="s">
        <v>885</v>
      </c>
      <c r="B341" s="27"/>
      <c r="C341" s="25"/>
      <c r="D341" s="34" t="str">
        <f aca="false">IF($W341="","",IFERROR(TRIM(INDEX('🎓 Alumnas'!$B$2:$B$1000,MATCH($W341,'🎓 Alumnas'!$A$2:$A$1000,0))),""))</f>
        <v/>
      </c>
      <c r="E341" s="34" t="str">
        <f aca="false">IF($W341="","",IFERROR(TRIM(INDEX('🎓 Alumnas'!$C$2:$C$1000,MATCH($W341,'🎓 Alumnas'!$A$2:$A$1000,0))),""))</f>
        <v/>
      </c>
      <c r="F341" s="34" t="str">
        <f aca="false">IF($W341="","",IFERROR(IF(INDEX('🎓 Alumnas'!$D$2:$D$1000,MATCH($W341,'🎓 Alumnas'!$A$2:$A$1000,0))="","",INDEX('🎓 Alumnas'!$D$2:$D$1000,MATCH($W341,'🎓 Alumnas'!$A$2:$A$1000,0))),""))</f>
        <v/>
      </c>
      <c r="G341" s="28" t="str">
        <f aca="false">IF($W341="","",IFERROR(IF(INDEX('🎓 Alumnas'!$E$2:$E$1000,MATCH($W341,'🎓 Alumnas'!$A$2:$A$1000,0))="","",INDEX('🎓 Alumnas'!$E$2:$E$1000,MATCH($W341,'🎓 Alumnas'!$A$2:$A$1000,0))),""))</f>
        <v/>
      </c>
      <c r="H341" s="28" t="str">
        <f aca="false">IF($W341="","",IFERROR(IF(INDEX('🎓 Alumnas'!$F$2:$F$1000,MATCH($W341,'🎓 Alumnas'!$A$2:$A$1000,0))="","",INDEX('🎓 Alumnas'!$F$2:$F$1000,MATCH($W341,'🎓 Alumnas'!$A$2:$A$1000,0))),""))</f>
        <v/>
      </c>
      <c r="I341" s="30" t="str">
        <f aca="false">IF($W341="","",IFERROR(IF(INDEX('🎓 Alumnas'!$G$2:$G$1000,MATCH($W341,'🎓 Alumnas'!$A$2:$A$1000,0))="","",INDEX('🎓 Alumnas'!$G$2:$G$1000,MATCH($W341,'🎓 Alumnas'!$A$2:$A$1000,0))),""))</f>
        <v/>
      </c>
      <c r="J341" s="28" t="str">
        <f aca="true">IF(I341="","",DATEDIF(I341,TODAY(),"Y"))</f>
        <v/>
      </c>
      <c r="K341" s="25"/>
      <c r="L341" s="28" t="str">
        <f aca="false">IF(K341="","",IF(LEFT(K341,6)="1 Pole","Alquiler",IF(LEFT(K341,7)="1 Clase","Clase suelta","Paquete")))</f>
        <v/>
      </c>
      <c r="M341" s="25"/>
      <c r="N341" s="25"/>
      <c r="O341" s="35"/>
      <c r="P341" s="29" t="str">
        <f aca="false">IF(O341="","",N341*O341)</f>
        <v/>
      </c>
      <c r="Q341" s="36"/>
      <c r="R341" s="25"/>
      <c r="S341" s="25"/>
      <c r="T341" s="28" t="str">
        <f aca="false">IF(OR(LEFT(W341,2)&lt;&gt;"A-",ISERROR(MATCH(W341,'🎓 Alumnas'!$A$2:$A$1000,0))),"",IF(COUNTIF($W$2:W341,W341)=1,"Nueva","Recurrente"))</f>
        <v/>
      </c>
      <c r="U341" s="28" t="str">
        <f aca="false">IF(OR(T341="",L341&lt;&gt;"Paquete"),"",COUNTIFS($W$2:W341,W341,$L$2:L341,"Paquete"))</f>
        <v/>
      </c>
      <c r="V341" s="25"/>
      <c r="W341" s="34" t="str">
        <f aca="false">IF(TRIM($C341)="","",IF(COUNTIF('🎓 Alumnas'!$P$2:$P$1000,TRIM($C341))&gt;0,INDEX('🎓 Alumnas'!$A$2:$A$1000,MATCH(TRIM($C341),'🎓 Alumnas'!$P$2:$P$1000,0)),IF(COUNTIF('🎓 Alumnas'!$O$2:$O$1000,TRIM($C341)&amp;"|*")=1,INDEX('🎓 Alumnas'!$A$2:$A$1000,MATCH(TRIM($C341)&amp;"|*",'🎓 Alumnas'!$O$2:$O$1000,0)),IF(COUNTIF('🎓 Alumnas'!$O$2:$O$1000,"*|"&amp;TRIM($C341))=1,INDEX('🎓 Alumnas'!$A$2:$A$1000,MATCH("*|"&amp;TRIM($C341),'🎓 Alumnas'!$O$2:$O$1000,0)),IF(COUNTIF('🎓 Alumnas'!$Q$2:$Q$1000,TRIM($C341))=1,INDEX('🎓 Alumnas'!$A$2:$A$1000,MATCH(TRIM($C341),'🎓 Alumnas'!$Q$2:$Q$1000,0)),IF(COUNTIF('🎓 Alumnas'!$P$2:$P$1000,"*"&amp;TRIM($C341)&amp;"*")=1,INDEX('🎓 Alumnas'!$A$2:$A$1000,MATCH("*"&amp;TRIM($C341)&amp;"*",'🎓 Alumnas'!$P$2:$P$1000,0)),IF(COUNTIF('🎓 Alumnas'!$Q$2:$Q$1000,"*"&amp;TRIM($C341)&amp;"*")=1,INDEX('🎓 Alumnas'!$A$2:$A$1000,MATCH("*"&amp;TRIM($C341)&amp;"*",'🎓 Alumnas'!$Q$2:$Q$1000,0)),IF(COUNTIF('🎓 Alumnas'!$P$2:$P$1000,"*"&amp;TRIM($C341)&amp;"*")+COUNTIF('🎓 Alumnas'!$Q$2:$Q$1000,"*"&amp;TRIM($C341)&amp;"*")&gt;1,"Varias: elige de la lista","No encontrada"))))))))</f>
        <v/>
      </c>
    </row>
    <row r="342" customFormat="false" ht="14.25" hidden="false" customHeight="true" outlineLevel="0" collapsed="false">
      <c r="A342" s="25" t="s">
        <v>886</v>
      </c>
      <c r="B342" s="27"/>
      <c r="C342" s="25"/>
      <c r="D342" s="34" t="str">
        <f aca="false">IF($W342="","",IFERROR(TRIM(INDEX('🎓 Alumnas'!$B$2:$B$1000,MATCH($W342,'🎓 Alumnas'!$A$2:$A$1000,0))),""))</f>
        <v/>
      </c>
      <c r="E342" s="34" t="str">
        <f aca="false">IF($W342="","",IFERROR(TRIM(INDEX('🎓 Alumnas'!$C$2:$C$1000,MATCH($W342,'🎓 Alumnas'!$A$2:$A$1000,0))),""))</f>
        <v/>
      </c>
      <c r="F342" s="34" t="str">
        <f aca="false">IF($W342="","",IFERROR(IF(INDEX('🎓 Alumnas'!$D$2:$D$1000,MATCH($W342,'🎓 Alumnas'!$A$2:$A$1000,0))="","",INDEX('🎓 Alumnas'!$D$2:$D$1000,MATCH($W342,'🎓 Alumnas'!$A$2:$A$1000,0))),""))</f>
        <v/>
      </c>
      <c r="G342" s="28" t="str">
        <f aca="false">IF($W342="","",IFERROR(IF(INDEX('🎓 Alumnas'!$E$2:$E$1000,MATCH($W342,'🎓 Alumnas'!$A$2:$A$1000,0))="","",INDEX('🎓 Alumnas'!$E$2:$E$1000,MATCH($W342,'🎓 Alumnas'!$A$2:$A$1000,0))),""))</f>
        <v/>
      </c>
      <c r="H342" s="28" t="str">
        <f aca="false">IF($W342="","",IFERROR(IF(INDEX('🎓 Alumnas'!$F$2:$F$1000,MATCH($W342,'🎓 Alumnas'!$A$2:$A$1000,0))="","",INDEX('🎓 Alumnas'!$F$2:$F$1000,MATCH($W342,'🎓 Alumnas'!$A$2:$A$1000,0))),""))</f>
        <v/>
      </c>
      <c r="I342" s="30" t="str">
        <f aca="false">IF($W342="","",IFERROR(IF(INDEX('🎓 Alumnas'!$G$2:$G$1000,MATCH($W342,'🎓 Alumnas'!$A$2:$A$1000,0))="","",INDEX('🎓 Alumnas'!$G$2:$G$1000,MATCH($W342,'🎓 Alumnas'!$A$2:$A$1000,0))),""))</f>
        <v/>
      </c>
      <c r="J342" s="28" t="str">
        <f aca="true">IF(I342="","",DATEDIF(I342,TODAY(),"Y"))</f>
        <v/>
      </c>
      <c r="K342" s="25"/>
      <c r="L342" s="28" t="str">
        <f aca="false">IF(K342="","",IF(LEFT(K342,6)="1 Pole","Alquiler",IF(LEFT(K342,7)="1 Clase","Clase suelta","Paquete")))</f>
        <v/>
      </c>
      <c r="M342" s="25"/>
      <c r="N342" s="25"/>
      <c r="O342" s="35"/>
      <c r="P342" s="29" t="str">
        <f aca="false">IF(O342="","",N342*O342)</f>
        <v/>
      </c>
      <c r="Q342" s="36"/>
      <c r="R342" s="25"/>
      <c r="S342" s="25"/>
      <c r="T342" s="28" t="str">
        <f aca="false">IF(OR(LEFT(W342,2)&lt;&gt;"A-",ISERROR(MATCH(W342,'🎓 Alumnas'!$A$2:$A$1000,0))),"",IF(COUNTIF($W$2:W342,W342)=1,"Nueva","Recurrente"))</f>
        <v/>
      </c>
      <c r="U342" s="28" t="str">
        <f aca="false">IF(OR(T342="",L342&lt;&gt;"Paquete"),"",COUNTIFS($W$2:W342,W342,$L$2:L342,"Paquete"))</f>
        <v/>
      </c>
      <c r="V342" s="25"/>
      <c r="W342" s="34" t="str">
        <f aca="false">IF(TRIM($C342)="","",IF(COUNTIF('🎓 Alumnas'!$P$2:$P$1000,TRIM($C342))&gt;0,INDEX('🎓 Alumnas'!$A$2:$A$1000,MATCH(TRIM($C342),'🎓 Alumnas'!$P$2:$P$1000,0)),IF(COUNTIF('🎓 Alumnas'!$O$2:$O$1000,TRIM($C342)&amp;"|*")=1,INDEX('🎓 Alumnas'!$A$2:$A$1000,MATCH(TRIM($C342)&amp;"|*",'🎓 Alumnas'!$O$2:$O$1000,0)),IF(COUNTIF('🎓 Alumnas'!$O$2:$O$1000,"*|"&amp;TRIM($C342))=1,INDEX('🎓 Alumnas'!$A$2:$A$1000,MATCH("*|"&amp;TRIM($C342),'🎓 Alumnas'!$O$2:$O$1000,0)),IF(COUNTIF('🎓 Alumnas'!$Q$2:$Q$1000,TRIM($C342))=1,INDEX('🎓 Alumnas'!$A$2:$A$1000,MATCH(TRIM($C342),'🎓 Alumnas'!$Q$2:$Q$1000,0)),IF(COUNTIF('🎓 Alumnas'!$P$2:$P$1000,"*"&amp;TRIM($C342)&amp;"*")=1,INDEX('🎓 Alumnas'!$A$2:$A$1000,MATCH("*"&amp;TRIM($C342)&amp;"*",'🎓 Alumnas'!$P$2:$P$1000,0)),IF(COUNTIF('🎓 Alumnas'!$Q$2:$Q$1000,"*"&amp;TRIM($C342)&amp;"*")=1,INDEX('🎓 Alumnas'!$A$2:$A$1000,MATCH("*"&amp;TRIM($C342)&amp;"*",'🎓 Alumnas'!$Q$2:$Q$1000,0)),IF(COUNTIF('🎓 Alumnas'!$P$2:$P$1000,"*"&amp;TRIM($C342)&amp;"*")+COUNTIF('🎓 Alumnas'!$Q$2:$Q$1000,"*"&amp;TRIM($C342)&amp;"*")&gt;1,"Varias: elige de la lista","No encontrada"))))))))</f>
        <v/>
      </c>
    </row>
    <row r="343" customFormat="false" ht="14.25" hidden="false" customHeight="true" outlineLevel="0" collapsed="false">
      <c r="A343" s="25" t="s">
        <v>887</v>
      </c>
      <c r="B343" s="27"/>
      <c r="C343" s="25"/>
      <c r="D343" s="34" t="str">
        <f aca="false">IF($W343="","",IFERROR(TRIM(INDEX('🎓 Alumnas'!$B$2:$B$1000,MATCH($W343,'🎓 Alumnas'!$A$2:$A$1000,0))),""))</f>
        <v/>
      </c>
      <c r="E343" s="34" t="str">
        <f aca="false">IF($W343="","",IFERROR(TRIM(INDEX('🎓 Alumnas'!$C$2:$C$1000,MATCH($W343,'🎓 Alumnas'!$A$2:$A$1000,0))),""))</f>
        <v/>
      </c>
      <c r="F343" s="34" t="str">
        <f aca="false">IF($W343="","",IFERROR(IF(INDEX('🎓 Alumnas'!$D$2:$D$1000,MATCH($W343,'🎓 Alumnas'!$A$2:$A$1000,0))="","",INDEX('🎓 Alumnas'!$D$2:$D$1000,MATCH($W343,'🎓 Alumnas'!$A$2:$A$1000,0))),""))</f>
        <v/>
      </c>
      <c r="G343" s="28" t="str">
        <f aca="false">IF($W343="","",IFERROR(IF(INDEX('🎓 Alumnas'!$E$2:$E$1000,MATCH($W343,'🎓 Alumnas'!$A$2:$A$1000,0))="","",INDEX('🎓 Alumnas'!$E$2:$E$1000,MATCH($W343,'🎓 Alumnas'!$A$2:$A$1000,0))),""))</f>
        <v/>
      </c>
      <c r="H343" s="28" t="str">
        <f aca="false">IF($W343="","",IFERROR(IF(INDEX('🎓 Alumnas'!$F$2:$F$1000,MATCH($W343,'🎓 Alumnas'!$A$2:$A$1000,0))="","",INDEX('🎓 Alumnas'!$F$2:$F$1000,MATCH($W343,'🎓 Alumnas'!$A$2:$A$1000,0))),""))</f>
        <v/>
      </c>
      <c r="I343" s="30" t="str">
        <f aca="false">IF($W343="","",IFERROR(IF(INDEX('🎓 Alumnas'!$G$2:$G$1000,MATCH($W343,'🎓 Alumnas'!$A$2:$A$1000,0))="","",INDEX('🎓 Alumnas'!$G$2:$G$1000,MATCH($W343,'🎓 Alumnas'!$A$2:$A$1000,0))),""))</f>
        <v/>
      </c>
      <c r="J343" s="28" t="str">
        <f aca="true">IF(I343="","",DATEDIF(I343,TODAY(),"Y"))</f>
        <v/>
      </c>
      <c r="K343" s="25"/>
      <c r="L343" s="28" t="str">
        <f aca="false">IF(K343="","",IF(LEFT(K343,6)="1 Pole","Alquiler",IF(LEFT(K343,7)="1 Clase","Clase suelta","Paquete")))</f>
        <v/>
      </c>
      <c r="M343" s="25"/>
      <c r="N343" s="25"/>
      <c r="O343" s="35"/>
      <c r="P343" s="29" t="str">
        <f aca="false">IF(O343="","",N343*O343)</f>
        <v/>
      </c>
      <c r="Q343" s="36"/>
      <c r="R343" s="25"/>
      <c r="S343" s="25"/>
      <c r="T343" s="28" t="str">
        <f aca="false">IF(OR(LEFT(W343,2)&lt;&gt;"A-",ISERROR(MATCH(W343,'🎓 Alumnas'!$A$2:$A$1000,0))),"",IF(COUNTIF($W$2:W343,W343)=1,"Nueva","Recurrente"))</f>
        <v/>
      </c>
      <c r="U343" s="28" t="str">
        <f aca="false">IF(OR(T343="",L343&lt;&gt;"Paquete"),"",COUNTIFS($W$2:W343,W343,$L$2:L343,"Paquete"))</f>
        <v/>
      </c>
      <c r="V343" s="25"/>
      <c r="W343" s="34" t="str">
        <f aca="false">IF(TRIM($C343)="","",IF(COUNTIF('🎓 Alumnas'!$P$2:$P$1000,TRIM($C343))&gt;0,INDEX('🎓 Alumnas'!$A$2:$A$1000,MATCH(TRIM($C343),'🎓 Alumnas'!$P$2:$P$1000,0)),IF(COUNTIF('🎓 Alumnas'!$O$2:$O$1000,TRIM($C343)&amp;"|*")=1,INDEX('🎓 Alumnas'!$A$2:$A$1000,MATCH(TRIM($C343)&amp;"|*",'🎓 Alumnas'!$O$2:$O$1000,0)),IF(COUNTIF('🎓 Alumnas'!$O$2:$O$1000,"*|"&amp;TRIM($C343))=1,INDEX('🎓 Alumnas'!$A$2:$A$1000,MATCH("*|"&amp;TRIM($C343),'🎓 Alumnas'!$O$2:$O$1000,0)),IF(COUNTIF('🎓 Alumnas'!$Q$2:$Q$1000,TRIM($C343))=1,INDEX('🎓 Alumnas'!$A$2:$A$1000,MATCH(TRIM($C343),'🎓 Alumnas'!$Q$2:$Q$1000,0)),IF(COUNTIF('🎓 Alumnas'!$P$2:$P$1000,"*"&amp;TRIM($C343)&amp;"*")=1,INDEX('🎓 Alumnas'!$A$2:$A$1000,MATCH("*"&amp;TRIM($C343)&amp;"*",'🎓 Alumnas'!$P$2:$P$1000,0)),IF(COUNTIF('🎓 Alumnas'!$Q$2:$Q$1000,"*"&amp;TRIM($C343)&amp;"*")=1,INDEX('🎓 Alumnas'!$A$2:$A$1000,MATCH("*"&amp;TRIM($C343)&amp;"*",'🎓 Alumnas'!$Q$2:$Q$1000,0)),IF(COUNTIF('🎓 Alumnas'!$P$2:$P$1000,"*"&amp;TRIM($C343)&amp;"*")+COUNTIF('🎓 Alumnas'!$Q$2:$Q$1000,"*"&amp;TRIM($C343)&amp;"*")&gt;1,"Varias: elige de la lista","No encontrada"))))))))</f>
        <v/>
      </c>
    </row>
    <row r="344" customFormat="false" ht="14.25" hidden="false" customHeight="true" outlineLevel="0" collapsed="false">
      <c r="A344" s="25" t="s">
        <v>888</v>
      </c>
      <c r="B344" s="27"/>
      <c r="C344" s="25"/>
      <c r="D344" s="34" t="str">
        <f aca="false">IF($W344="","",IFERROR(TRIM(INDEX('🎓 Alumnas'!$B$2:$B$1000,MATCH($W344,'🎓 Alumnas'!$A$2:$A$1000,0))),""))</f>
        <v/>
      </c>
      <c r="E344" s="34" t="str">
        <f aca="false">IF($W344="","",IFERROR(TRIM(INDEX('🎓 Alumnas'!$C$2:$C$1000,MATCH($W344,'🎓 Alumnas'!$A$2:$A$1000,0))),""))</f>
        <v/>
      </c>
      <c r="F344" s="34" t="str">
        <f aca="false">IF($W344="","",IFERROR(IF(INDEX('🎓 Alumnas'!$D$2:$D$1000,MATCH($W344,'🎓 Alumnas'!$A$2:$A$1000,0))="","",INDEX('🎓 Alumnas'!$D$2:$D$1000,MATCH($W344,'🎓 Alumnas'!$A$2:$A$1000,0))),""))</f>
        <v/>
      </c>
      <c r="G344" s="28" t="str">
        <f aca="false">IF($W344="","",IFERROR(IF(INDEX('🎓 Alumnas'!$E$2:$E$1000,MATCH($W344,'🎓 Alumnas'!$A$2:$A$1000,0))="","",INDEX('🎓 Alumnas'!$E$2:$E$1000,MATCH($W344,'🎓 Alumnas'!$A$2:$A$1000,0))),""))</f>
        <v/>
      </c>
      <c r="H344" s="28" t="str">
        <f aca="false">IF($W344="","",IFERROR(IF(INDEX('🎓 Alumnas'!$F$2:$F$1000,MATCH($W344,'🎓 Alumnas'!$A$2:$A$1000,0))="","",INDEX('🎓 Alumnas'!$F$2:$F$1000,MATCH($W344,'🎓 Alumnas'!$A$2:$A$1000,0))),""))</f>
        <v/>
      </c>
      <c r="I344" s="30" t="str">
        <f aca="false">IF($W344="","",IFERROR(IF(INDEX('🎓 Alumnas'!$G$2:$G$1000,MATCH($W344,'🎓 Alumnas'!$A$2:$A$1000,0))="","",INDEX('🎓 Alumnas'!$G$2:$G$1000,MATCH($W344,'🎓 Alumnas'!$A$2:$A$1000,0))),""))</f>
        <v/>
      </c>
      <c r="J344" s="28" t="str">
        <f aca="true">IF(I344="","",DATEDIF(I344,TODAY(),"Y"))</f>
        <v/>
      </c>
      <c r="K344" s="25"/>
      <c r="L344" s="28" t="str">
        <f aca="false">IF(K344="","",IF(LEFT(K344,6)="1 Pole","Alquiler",IF(LEFT(K344,7)="1 Clase","Clase suelta","Paquete")))</f>
        <v/>
      </c>
      <c r="M344" s="25"/>
      <c r="N344" s="25"/>
      <c r="O344" s="35"/>
      <c r="P344" s="29" t="str">
        <f aca="false">IF(O344="","",N344*O344)</f>
        <v/>
      </c>
      <c r="Q344" s="36"/>
      <c r="R344" s="25"/>
      <c r="S344" s="25"/>
      <c r="T344" s="28" t="str">
        <f aca="false">IF(OR(LEFT(W344,2)&lt;&gt;"A-",ISERROR(MATCH(W344,'🎓 Alumnas'!$A$2:$A$1000,0))),"",IF(COUNTIF($W$2:W344,W344)=1,"Nueva","Recurrente"))</f>
        <v/>
      </c>
      <c r="U344" s="28" t="str">
        <f aca="false">IF(OR(T344="",L344&lt;&gt;"Paquete"),"",COUNTIFS($W$2:W344,W344,$L$2:L344,"Paquete"))</f>
        <v/>
      </c>
      <c r="V344" s="25"/>
      <c r="W344" s="34" t="str">
        <f aca="false">IF(TRIM($C344)="","",IF(COUNTIF('🎓 Alumnas'!$P$2:$P$1000,TRIM($C344))&gt;0,INDEX('🎓 Alumnas'!$A$2:$A$1000,MATCH(TRIM($C344),'🎓 Alumnas'!$P$2:$P$1000,0)),IF(COUNTIF('🎓 Alumnas'!$O$2:$O$1000,TRIM($C344)&amp;"|*")=1,INDEX('🎓 Alumnas'!$A$2:$A$1000,MATCH(TRIM($C344)&amp;"|*",'🎓 Alumnas'!$O$2:$O$1000,0)),IF(COUNTIF('🎓 Alumnas'!$O$2:$O$1000,"*|"&amp;TRIM($C344))=1,INDEX('🎓 Alumnas'!$A$2:$A$1000,MATCH("*|"&amp;TRIM($C344),'🎓 Alumnas'!$O$2:$O$1000,0)),IF(COUNTIF('🎓 Alumnas'!$Q$2:$Q$1000,TRIM($C344))=1,INDEX('🎓 Alumnas'!$A$2:$A$1000,MATCH(TRIM($C344),'🎓 Alumnas'!$Q$2:$Q$1000,0)),IF(COUNTIF('🎓 Alumnas'!$P$2:$P$1000,"*"&amp;TRIM($C344)&amp;"*")=1,INDEX('🎓 Alumnas'!$A$2:$A$1000,MATCH("*"&amp;TRIM($C344)&amp;"*",'🎓 Alumnas'!$P$2:$P$1000,0)),IF(COUNTIF('🎓 Alumnas'!$Q$2:$Q$1000,"*"&amp;TRIM($C344)&amp;"*")=1,INDEX('🎓 Alumnas'!$A$2:$A$1000,MATCH("*"&amp;TRIM($C344)&amp;"*",'🎓 Alumnas'!$Q$2:$Q$1000,0)),IF(COUNTIF('🎓 Alumnas'!$P$2:$P$1000,"*"&amp;TRIM($C344)&amp;"*")+COUNTIF('🎓 Alumnas'!$Q$2:$Q$1000,"*"&amp;TRIM($C344)&amp;"*")&gt;1,"Varias: elige de la lista","No encontrada"))))))))</f>
        <v/>
      </c>
    </row>
    <row r="345" customFormat="false" ht="14.25" hidden="false" customHeight="true" outlineLevel="0" collapsed="false">
      <c r="A345" s="25" t="s">
        <v>889</v>
      </c>
      <c r="B345" s="27"/>
      <c r="C345" s="25"/>
      <c r="D345" s="34" t="str">
        <f aca="false">IF($W345="","",IFERROR(TRIM(INDEX('🎓 Alumnas'!$B$2:$B$1000,MATCH($W345,'🎓 Alumnas'!$A$2:$A$1000,0))),""))</f>
        <v/>
      </c>
      <c r="E345" s="34" t="str">
        <f aca="false">IF($W345="","",IFERROR(TRIM(INDEX('🎓 Alumnas'!$C$2:$C$1000,MATCH($W345,'🎓 Alumnas'!$A$2:$A$1000,0))),""))</f>
        <v/>
      </c>
      <c r="F345" s="34" t="str">
        <f aca="false">IF($W345="","",IFERROR(IF(INDEX('🎓 Alumnas'!$D$2:$D$1000,MATCH($W345,'🎓 Alumnas'!$A$2:$A$1000,0))="","",INDEX('🎓 Alumnas'!$D$2:$D$1000,MATCH($W345,'🎓 Alumnas'!$A$2:$A$1000,0))),""))</f>
        <v/>
      </c>
      <c r="G345" s="28" t="str">
        <f aca="false">IF($W345="","",IFERROR(IF(INDEX('🎓 Alumnas'!$E$2:$E$1000,MATCH($W345,'🎓 Alumnas'!$A$2:$A$1000,0))="","",INDEX('🎓 Alumnas'!$E$2:$E$1000,MATCH($W345,'🎓 Alumnas'!$A$2:$A$1000,0))),""))</f>
        <v/>
      </c>
      <c r="H345" s="28" t="str">
        <f aca="false">IF($W345="","",IFERROR(IF(INDEX('🎓 Alumnas'!$F$2:$F$1000,MATCH($W345,'🎓 Alumnas'!$A$2:$A$1000,0))="","",INDEX('🎓 Alumnas'!$F$2:$F$1000,MATCH($W345,'🎓 Alumnas'!$A$2:$A$1000,0))),""))</f>
        <v/>
      </c>
      <c r="I345" s="30" t="str">
        <f aca="false">IF($W345="","",IFERROR(IF(INDEX('🎓 Alumnas'!$G$2:$G$1000,MATCH($W345,'🎓 Alumnas'!$A$2:$A$1000,0))="","",INDEX('🎓 Alumnas'!$G$2:$G$1000,MATCH($W345,'🎓 Alumnas'!$A$2:$A$1000,0))),""))</f>
        <v/>
      </c>
      <c r="J345" s="28" t="str">
        <f aca="true">IF(I345="","",DATEDIF(I345,TODAY(),"Y"))</f>
        <v/>
      </c>
      <c r="K345" s="25"/>
      <c r="L345" s="28" t="str">
        <f aca="false">IF(K345="","",IF(LEFT(K345,6)="1 Pole","Alquiler",IF(LEFT(K345,7)="1 Clase","Clase suelta","Paquete")))</f>
        <v/>
      </c>
      <c r="M345" s="25"/>
      <c r="N345" s="25"/>
      <c r="O345" s="35"/>
      <c r="P345" s="29" t="str">
        <f aca="false">IF(O345="","",N345*O345)</f>
        <v/>
      </c>
      <c r="Q345" s="36"/>
      <c r="R345" s="25"/>
      <c r="S345" s="25"/>
      <c r="T345" s="28" t="str">
        <f aca="false">IF(OR(LEFT(W345,2)&lt;&gt;"A-",ISERROR(MATCH(W345,'🎓 Alumnas'!$A$2:$A$1000,0))),"",IF(COUNTIF($W$2:W345,W345)=1,"Nueva","Recurrente"))</f>
        <v/>
      </c>
      <c r="U345" s="28" t="str">
        <f aca="false">IF(OR(T345="",L345&lt;&gt;"Paquete"),"",COUNTIFS($W$2:W345,W345,$L$2:L345,"Paquete"))</f>
        <v/>
      </c>
      <c r="V345" s="25"/>
      <c r="W345" s="34" t="str">
        <f aca="false">IF(TRIM($C345)="","",IF(COUNTIF('🎓 Alumnas'!$P$2:$P$1000,TRIM($C345))&gt;0,INDEX('🎓 Alumnas'!$A$2:$A$1000,MATCH(TRIM($C345),'🎓 Alumnas'!$P$2:$P$1000,0)),IF(COUNTIF('🎓 Alumnas'!$O$2:$O$1000,TRIM($C345)&amp;"|*")=1,INDEX('🎓 Alumnas'!$A$2:$A$1000,MATCH(TRIM($C345)&amp;"|*",'🎓 Alumnas'!$O$2:$O$1000,0)),IF(COUNTIF('🎓 Alumnas'!$O$2:$O$1000,"*|"&amp;TRIM($C345))=1,INDEX('🎓 Alumnas'!$A$2:$A$1000,MATCH("*|"&amp;TRIM($C345),'🎓 Alumnas'!$O$2:$O$1000,0)),IF(COUNTIF('🎓 Alumnas'!$Q$2:$Q$1000,TRIM($C345))=1,INDEX('🎓 Alumnas'!$A$2:$A$1000,MATCH(TRIM($C345),'🎓 Alumnas'!$Q$2:$Q$1000,0)),IF(COUNTIF('🎓 Alumnas'!$P$2:$P$1000,"*"&amp;TRIM($C345)&amp;"*")=1,INDEX('🎓 Alumnas'!$A$2:$A$1000,MATCH("*"&amp;TRIM($C345)&amp;"*",'🎓 Alumnas'!$P$2:$P$1000,0)),IF(COUNTIF('🎓 Alumnas'!$Q$2:$Q$1000,"*"&amp;TRIM($C345)&amp;"*")=1,INDEX('🎓 Alumnas'!$A$2:$A$1000,MATCH("*"&amp;TRIM($C345)&amp;"*",'🎓 Alumnas'!$Q$2:$Q$1000,0)),IF(COUNTIF('🎓 Alumnas'!$P$2:$P$1000,"*"&amp;TRIM($C345)&amp;"*")+COUNTIF('🎓 Alumnas'!$Q$2:$Q$1000,"*"&amp;TRIM($C345)&amp;"*")&gt;1,"Varias: elige de la lista","No encontrada"))))))))</f>
        <v/>
      </c>
    </row>
    <row r="346" customFormat="false" ht="14.25" hidden="false" customHeight="true" outlineLevel="0" collapsed="false">
      <c r="A346" s="25" t="s">
        <v>890</v>
      </c>
      <c r="B346" s="27"/>
      <c r="C346" s="25"/>
      <c r="D346" s="34" t="str">
        <f aca="false">IF($W346="","",IFERROR(TRIM(INDEX('🎓 Alumnas'!$B$2:$B$1000,MATCH($W346,'🎓 Alumnas'!$A$2:$A$1000,0))),""))</f>
        <v/>
      </c>
      <c r="E346" s="34" t="str">
        <f aca="false">IF($W346="","",IFERROR(TRIM(INDEX('🎓 Alumnas'!$C$2:$C$1000,MATCH($W346,'🎓 Alumnas'!$A$2:$A$1000,0))),""))</f>
        <v/>
      </c>
      <c r="F346" s="34" t="str">
        <f aca="false">IF($W346="","",IFERROR(IF(INDEX('🎓 Alumnas'!$D$2:$D$1000,MATCH($W346,'🎓 Alumnas'!$A$2:$A$1000,0))="","",INDEX('🎓 Alumnas'!$D$2:$D$1000,MATCH($W346,'🎓 Alumnas'!$A$2:$A$1000,0))),""))</f>
        <v/>
      </c>
      <c r="G346" s="28" t="str">
        <f aca="false">IF($W346="","",IFERROR(IF(INDEX('🎓 Alumnas'!$E$2:$E$1000,MATCH($W346,'🎓 Alumnas'!$A$2:$A$1000,0))="","",INDEX('🎓 Alumnas'!$E$2:$E$1000,MATCH($W346,'🎓 Alumnas'!$A$2:$A$1000,0))),""))</f>
        <v/>
      </c>
      <c r="H346" s="28" t="str">
        <f aca="false">IF($W346="","",IFERROR(IF(INDEX('🎓 Alumnas'!$F$2:$F$1000,MATCH($W346,'🎓 Alumnas'!$A$2:$A$1000,0))="","",INDEX('🎓 Alumnas'!$F$2:$F$1000,MATCH($W346,'🎓 Alumnas'!$A$2:$A$1000,0))),""))</f>
        <v/>
      </c>
      <c r="I346" s="30" t="str">
        <f aca="false">IF($W346="","",IFERROR(IF(INDEX('🎓 Alumnas'!$G$2:$G$1000,MATCH($W346,'🎓 Alumnas'!$A$2:$A$1000,0))="","",INDEX('🎓 Alumnas'!$G$2:$G$1000,MATCH($W346,'🎓 Alumnas'!$A$2:$A$1000,0))),""))</f>
        <v/>
      </c>
      <c r="J346" s="28" t="str">
        <f aca="true">IF(I346="","",DATEDIF(I346,TODAY(),"Y"))</f>
        <v/>
      </c>
      <c r="K346" s="25"/>
      <c r="L346" s="28" t="str">
        <f aca="false">IF(K346="","",IF(LEFT(K346,6)="1 Pole","Alquiler",IF(LEFT(K346,7)="1 Clase","Clase suelta","Paquete")))</f>
        <v/>
      </c>
      <c r="M346" s="25"/>
      <c r="N346" s="25"/>
      <c r="O346" s="35"/>
      <c r="P346" s="29" t="str">
        <f aca="false">IF(O346="","",N346*O346)</f>
        <v/>
      </c>
      <c r="Q346" s="36"/>
      <c r="R346" s="25"/>
      <c r="S346" s="25"/>
      <c r="T346" s="28" t="str">
        <f aca="false">IF(OR(LEFT(W346,2)&lt;&gt;"A-",ISERROR(MATCH(W346,'🎓 Alumnas'!$A$2:$A$1000,0))),"",IF(COUNTIF($W$2:W346,W346)=1,"Nueva","Recurrente"))</f>
        <v/>
      </c>
      <c r="U346" s="28" t="str">
        <f aca="false">IF(OR(T346="",L346&lt;&gt;"Paquete"),"",COUNTIFS($W$2:W346,W346,$L$2:L346,"Paquete"))</f>
        <v/>
      </c>
      <c r="V346" s="25"/>
      <c r="W346" s="34" t="str">
        <f aca="false">IF(TRIM($C346)="","",IF(COUNTIF('🎓 Alumnas'!$P$2:$P$1000,TRIM($C346))&gt;0,INDEX('🎓 Alumnas'!$A$2:$A$1000,MATCH(TRIM($C346),'🎓 Alumnas'!$P$2:$P$1000,0)),IF(COUNTIF('🎓 Alumnas'!$O$2:$O$1000,TRIM($C346)&amp;"|*")=1,INDEX('🎓 Alumnas'!$A$2:$A$1000,MATCH(TRIM($C346)&amp;"|*",'🎓 Alumnas'!$O$2:$O$1000,0)),IF(COUNTIF('🎓 Alumnas'!$O$2:$O$1000,"*|"&amp;TRIM($C346))=1,INDEX('🎓 Alumnas'!$A$2:$A$1000,MATCH("*|"&amp;TRIM($C346),'🎓 Alumnas'!$O$2:$O$1000,0)),IF(COUNTIF('🎓 Alumnas'!$Q$2:$Q$1000,TRIM($C346))=1,INDEX('🎓 Alumnas'!$A$2:$A$1000,MATCH(TRIM($C346),'🎓 Alumnas'!$Q$2:$Q$1000,0)),IF(COUNTIF('🎓 Alumnas'!$P$2:$P$1000,"*"&amp;TRIM($C346)&amp;"*")=1,INDEX('🎓 Alumnas'!$A$2:$A$1000,MATCH("*"&amp;TRIM($C346)&amp;"*",'🎓 Alumnas'!$P$2:$P$1000,0)),IF(COUNTIF('🎓 Alumnas'!$Q$2:$Q$1000,"*"&amp;TRIM($C346)&amp;"*")=1,INDEX('🎓 Alumnas'!$A$2:$A$1000,MATCH("*"&amp;TRIM($C346)&amp;"*",'🎓 Alumnas'!$Q$2:$Q$1000,0)),IF(COUNTIF('🎓 Alumnas'!$P$2:$P$1000,"*"&amp;TRIM($C346)&amp;"*")+COUNTIF('🎓 Alumnas'!$Q$2:$Q$1000,"*"&amp;TRIM($C346)&amp;"*")&gt;1,"Varias: elige de la lista","No encontrada"))))))))</f>
        <v/>
      </c>
    </row>
    <row r="347" customFormat="false" ht="14.25" hidden="false" customHeight="true" outlineLevel="0" collapsed="false">
      <c r="A347" s="25" t="s">
        <v>891</v>
      </c>
      <c r="B347" s="27"/>
      <c r="C347" s="25"/>
      <c r="D347" s="34" t="str">
        <f aca="false">IF($W347="","",IFERROR(TRIM(INDEX('🎓 Alumnas'!$B$2:$B$1000,MATCH($W347,'🎓 Alumnas'!$A$2:$A$1000,0))),""))</f>
        <v/>
      </c>
      <c r="E347" s="34" t="str">
        <f aca="false">IF($W347="","",IFERROR(TRIM(INDEX('🎓 Alumnas'!$C$2:$C$1000,MATCH($W347,'🎓 Alumnas'!$A$2:$A$1000,0))),""))</f>
        <v/>
      </c>
      <c r="F347" s="34" t="str">
        <f aca="false">IF($W347="","",IFERROR(IF(INDEX('🎓 Alumnas'!$D$2:$D$1000,MATCH($W347,'🎓 Alumnas'!$A$2:$A$1000,0))="","",INDEX('🎓 Alumnas'!$D$2:$D$1000,MATCH($W347,'🎓 Alumnas'!$A$2:$A$1000,0))),""))</f>
        <v/>
      </c>
      <c r="G347" s="28" t="str">
        <f aca="false">IF($W347="","",IFERROR(IF(INDEX('🎓 Alumnas'!$E$2:$E$1000,MATCH($W347,'🎓 Alumnas'!$A$2:$A$1000,0))="","",INDEX('🎓 Alumnas'!$E$2:$E$1000,MATCH($W347,'🎓 Alumnas'!$A$2:$A$1000,0))),""))</f>
        <v/>
      </c>
      <c r="H347" s="28" t="str">
        <f aca="false">IF($W347="","",IFERROR(IF(INDEX('🎓 Alumnas'!$F$2:$F$1000,MATCH($W347,'🎓 Alumnas'!$A$2:$A$1000,0))="","",INDEX('🎓 Alumnas'!$F$2:$F$1000,MATCH($W347,'🎓 Alumnas'!$A$2:$A$1000,0))),""))</f>
        <v/>
      </c>
      <c r="I347" s="30" t="str">
        <f aca="false">IF($W347="","",IFERROR(IF(INDEX('🎓 Alumnas'!$G$2:$G$1000,MATCH($W347,'🎓 Alumnas'!$A$2:$A$1000,0))="","",INDEX('🎓 Alumnas'!$G$2:$G$1000,MATCH($W347,'🎓 Alumnas'!$A$2:$A$1000,0))),""))</f>
        <v/>
      </c>
      <c r="J347" s="28" t="str">
        <f aca="true">IF(I347="","",DATEDIF(I347,TODAY(),"Y"))</f>
        <v/>
      </c>
      <c r="K347" s="25"/>
      <c r="L347" s="28" t="str">
        <f aca="false">IF(K347="","",IF(LEFT(K347,6)="1 Pole","Alquiler",IF(LEFT(K347,7)="1 Clase","Clase suelta","Paquete")))</f>
        <v/>
      </c>
      <c r="M347" s="25"/>
      <c r="N347" s="25"/>
      <c r="O347" s="35"/>
      <c r="P347" s="29" t="str">
        <f aca="false">IF(O347="","",N347*O347)</f>
        <v/>
      </c>
      <c r="Q347" s="36"/>
      <c r="R347" s="25"/>
      <c r="S347" s="25"/>
      <c r="T347" s="28" t="str">
        <f aca="false">IF(OR(LEFT(W347,2)&lt;&gt;"A-",ISERROR(MATCH(W347,'🎓 Alumnas'!$A$2:$A$1000,0))),"",IF(COUNTIF($W$2:W347,W347)=1,"Nueva","Recurrente"))</f>
        <v/>
      </c>
      <c r="U347" s="28" t="str">
        <f aca="false">IF(OR(T347="",L347&lt;&gt;"Paquete"),"",COUNTIFS($W$2:W347,W347,$L$2:L347,"Paquete"))</f>
        <v/>
      </c>
      <c r="V347" s="25"/>
      <c r="W347" s="34" t="str">
        <f aca="false">IF(TRIM($C347)="","",IF(COUNTIF('🎓 Alumnas'!$P$2:$P$1000,TRIM($C347))&gt;0,INDEX('🎓 Alumnas'!$A$2:$A$1000,MATCH(TRIM($C347),'🎓 Alumnas'!$P$2:$P$1000,0)),IF(COUNTIF('🎓 Alumnas'!$O$2:$O$1000,TRIM($C347)&amp;"|*")=1,INDEX('🎓 Alumnas'!$A$2:$A$1000,MATCH(TRIM($C347)&amp;"|*",'🎓 Alumnas'!$O$2:$O$1000,0)),IF(COUNTIF('🎓 Alumnas'!$O$2:$O$1000,"*|"&amp;TRIM($C347))=1,INDEX('🎓 Alumnas'!$A$2:$A$1000,MATCH("*|"&amp;TRIM($C347),'🎓 Alumnas'!$O$2:$O$1000,0)),IF(COUNTIF('🎓 Alumnas'!$Q$2:$Q$1000,TRIM($C347))=1,INDEX('🎓 Alumnas'!$A$2:$A$1000,MATCH(TRIM($C347),'🎓 Alumnas'!$Q$2:$Q$1000,0)),IF(COUNTIF('🎓 Alumnas'!$P$2:$P$1000,"*"&amp;TRIM($C347)&amp;"*")=1,INDEX('🎓 Alumnas'!$A$2:$A$1000,MATCH("*"&amp;TRIM($C347)&amp;"*",'🎓 Alumnas'!$P$2:$P$1000,0)),IF(COUNTIF('🎓 Alumnas'!$Q$2:$Q$1000,"*"&amp;TRIM($C347)&amp;"*")=1,INDEX('🎓 Alumnas'!$A$2:$A$1000,MATCH("*"&amp;TRIM($C347)&amp;"*",'🎓 Alumnas'!$Q$2:$Q$1000,0)),IF(COUNTIF('🎓 Alumnas'!$P$2:$P$1000,"*"&amp;TRIM($C347)&amp;"*")+COUNTIF('🎓 Alumnas'!$Q$2:$Q$1000,"*"&amp;TRIM($C347)&amp;"*")&gt;1,"Varias: elige de la lista","No encontrada"))))))))</f>
        <v/>
      </c>
    </row>
    <row r="348" customFormat="false" ht="14.25" hidden="false" customHeight="true" outlineLevel="0" collapsed="false">
      <c r="A348" s="25" t="s">
        <v>892</v>
      </c>
      <c r="B348" s="27"/>
      <c r="C348" s="25"/>
      <c r="D348" s="34" t="str">
        <f aca="false">IF($W348="","",IFERROR(TRIM(INDEX('🎓 Alumnas'!$B$2:$B$1000,MATCH($W348,'🎓 Alumnas'!$A$2:$A$1000,0))),""))</f>
        <v/>
      </c>
      <c r="E348" s="34" t="str">
        <f aca="false">IF($W348="","",IFERROR(TRIM(INDEX('🎓 Alumnas'!$C$2:$C$1000,MATCH($W348,'🎓 Alumnas'!$A$2:$A$1000,0))),""))</f>
        <v/>
      </c>
      <c r="F348" s="34" t="str">
        <f aca="false">IF($W348="","",IFERROR(IF(INDEX('🎓 Alumnas'!$D$2:$D$1000,MATCH($W348,'🎓 Alumnas'!$A$2:$A$1000,0))="","",INDEX('🎓 Alumnas'!$D$2:$D$1000,MATCH($W348,'🎓 Alumnas'!$A$2:$A$1000,0))),""))</f>
        <v/>
      </c>
      <c r="G348" s="28" t="str">
        <f aca="false">IF($W348="","",IFERROR(IF(INDEX('🎓 Alumnas'!$E$2:$E$1000,MATCH($W348,'🎓 Alumnas'!$A$2:$A$1000,0))="","",INDEX('🎓 Alumnas'!$E$2:$E$1000,MATCH($W348,'🎓 Alumnas'!$A$2:$A$1000,0))),""))</f>
        <v/>
      </c>
      <c r="H348" s="28" t="str">
        <f aca="false">IF($W348="","",IFERROR(IF(INDEX('🎓 Alumnas'!$F$2:$F$1000,MATCH($W348,'🎓 Alumnas'!$A$2:$A$1000,0))="","",INDEX('🎓 Alumnas'!$F$2:$F$1000,MATCH($W348,'🎓 Alumnas'!$A$2:$A$1000,0))),""))</f>
        <v/>
      </c>
      <c r="I348" s="30" t="str">
        <f aca="false">IF($W348="","",IFERROR(IF(INDEX('🎓 Alumnas'!$G$2:$G$1000,MATCH($W348,'🎓 Alumnas'!$A$2:$A$1000,0))="","",INDEX('🎓 Alumnas'!$G$2:$G$1000,MATCH($W348,'🎓 Alumnas'!$A$2:$A$1000,0))),""))</f>
        <v/>
      </c>
      <c r="J348" s="28" t="str">
        <f aca="true">IF(I348="","",DATEDIF(I348,TODAY(),"Y"))</f>
        <v/>
      </c>
      <c r="K348" s="25"/>
      <c r="L348" s="28" t="str">
        <f aca="false">IF(K348="","",IF(LEFT(K348,6)="1 Pole","Alquiler",IF(LEFT(K348,7)="1 Clase","Clase suelta","Paquete")))</f>
        <v/>
      </c>
      <c r="M348" s="25"/>
      <c r="N348" s="25"/>
      <c r="O348" s="35"/>
      <c r="P348" s="29" t="str">
        <f aca="false">IF(O348="","",N348*O348)</f>
        <v/>
      </c>
      <c r="Q348" s="36"/>
      <c r="R348" s="25"/>
      <c r="S348" s="25"/>
      <c r="T348" s="28" t="str">
        <f aca="false">IF(OR(LEFT(W348,2)&lt;&gt;"A-",ISERROR(MATCH(W348,'🎓 Alumnas'!$A$2:$A$1000,0))),"",IF(COUNTIF($W$2:W348,W348)=1,"Nueva","Recurrente"))</f>
        <v/>
      </c>
      <c r="U348" s="28" t="str">
        <f aca="false">IF(OR(T348="",L348&lt;&gt;"Paquete"),"",COUNTIFS($W$2:W348,W348,$L$2:L348,"Paquete"))</f>
        <v/>
      </c>
      <c r="V348" s="25"/>
      <c r="W348" s="34" t="str">
        <f aca="false">IF(TRIM($C348)="","",IF(COUNTIF('🎓 Alumnas'!$P$2:$P$1000,TRIM($C348))&gt;0,INDEX('🎓 Alumnas'!$A$2:$A$1000,MATCH(TRIM($C348),'🎓 Alumnas'!$P$2:$P$1000,0)),IF(COUNTIF('🎓 Alumnas'!$O$2:$O$1000,TRIM($C348)&amp;"|*")=1,INDEX('🎓 Alumnas'!$A$2:$A$1000,MATCH(TRIM($C348)&amp;"|*",'🎓 Alumnas'!$O$2:$O$1000,0)),IF(COUNTIF('🎓 Alumnas'!$O$2:$O$1000,"*|"&amp;TRIM($C348))=1,INDEX('🎓 Alumnas'!$A$2:$A$1000,MATCH("*|"&amp;TRIM($C348),'🎓 Alumnas'!$O$2:$O$1000,0)),IF(COUNTIF('🎓 Alumnas'!$Q$2:$Q$1000,TRIM($C348))=1,INDEX('🎓 Alumnas'!$A$2:$A$1000,MATCH(TRIM($C348),'🎓 Alumnas'!$Q$2:$Q$1000,0)),IF(COUNTIF('🎓 Alumnas'!$P$2:$P$1000,"*"&amp;TRIM($C348)&amp;"*")=1,INDEX('🎓 Alumnas'!$A$2:$A$1000,MATCH("*"&amp;TRIM($C348)&amp;"*",'🎓 Alumnas'!$P$2:$P$1000,0)),IF(COUNTIF('🎓 Alumnas'!$Q$2:$Q$1000,"*"&amp;TRIM($C348)&amp;"*")=1,INDEX('🎓 Alumnas'!$A$2:$A$1000,MATCH("*"&amp;TRIM($C348)&amp;"*",'🎓 Alumnas'!$Q$2:$Q$1000,0)),IF(COUNTIF('🎓 Alumnas'!$P$2:$P$1000,"*"&amp;TRIM($C348)&amp;"*")+COUNTIF('🎓 Alumnas'!$Q$2:$Q$1000,"*"&amp;TRIM($C348)&amp;"*")&gt;1,"Varias: elige de la lista","No encontrada"))))))))</f>
        <v/>
      </c>
    </row>
    <row r="349" customFormat="false" ht="14.25" hidden="false" customHeight="true" outlineLevel="0" collapsed="false">
      <c r="A349" s="25" t="s">
        <v>893</v>
      </c>
      <c r="B349" s="27"/>
      <c r="C349" s="25"/>
      <c r="D349" s="34" t="str">
        <f aca="false">IF($W349="","",IFERROR(TRIM(INDEX('🎓 Alumnas'!$B$2:$B$1000,MATCH($W349,'🎓 Alumnas'!$A$2:$A$1000,0))),""))</f>
        <v/>
      </c>
      <c r="E349" s="34" t="str">
        <f aca="false">IF($W349="","",IFERROR(TRIM(INDEX('🎓 Alumnas'!$C$2:$C$1000,MATCH($W349,'🎓 Alumnas'!$A$2:$A$1000,0))),""))</f>
        <v/>
      </c>
      <c r="F349" s="34" t="str">
        <f aca="false">IF($W349="","",IFERROR(IF(INDEX('🎓 Alumnas'!$D$2:$D$1000,MATCH($W349,'🎓 Alumnas'!$A$2:$A$1000,0))="","",INDEX('🎓 Alumnas'!$D$2:$D$1000,MATCH($W349,'🎓 Alumnas'!$A$2:$A$1000,0))),""))</f>
        <v/>
      </c>
      <c r="G349" s="28" t="str">
        <f aca="false">IF($W349="","",IFERROR(IF(INDEX('🎓 Alumnas'!$E$2:$E$1000,MATCH($W349,'🎓 Alumnas'!$A$2:$A$1000,0))="","",INDEX('🎓 Alumnas'!$E$2:$E$1000,MATCH($W349,'🎓 Alumnas'!$A$2:$A$1000,0))),""))</f>
        <v/>
      </c>
      <c r="H349" s="28" t="str">
        <f aca="false">IF($W349="","",IFERROR(IF(INDEX('🎓 Alumnas'!$F$2:$F$1000,MATCH($W349,'🎓 Alumnas'!$A$2:$A$1000,0))="","",INDEX('🎓 Alumnas'!$F$2:$F$1000,MATCH($W349,'🎓 Alumnas'!$A$2:$A$1000,0))),""))</f>
        <v/>
      </c>
      <c r="I349" s="30" t="str">
        <f aca="false">IF($W349="","",IFERROR(IF(INDEX('🎓 Alumnas'!$G$2:$G$1000,MATCH($W349,'🎓 Alumnas'!$A$2:$A$1000,0))="","",INDEX('🎓 Alumnas'!$G$2:$G$1000,MATCH($W349,'🎓 Alumnas'!$A$2:$A$1000,0))),""))</f>
        <v/>
      </c>
      <c r="J349" s="28" t="str">
        <f aca="true">IF(I349="","",DATEDIF(I349,TODAY(),"Y"))</f>
        <v/>
      </c>
      <c r="K349" s="25"/>
      <c r="L349" s="28" t="str">
        <f aca="false">IF(K349="","",IF(LEFT(K349,6)="1 Pole","Alquiler",IF(LEFT(K349,7)="1 Clase","Clase suelta","Paquete")))</f>
        <v/>
      </c>
      <c r="M349" s="25"/>
      <c r="N349" s="25"/>
      <c r="O349" s="35"/>
      <c r="P349" s="29" t="str">
        <f aca="false">IF(O349="","",N349*O349)</f>
        <v/>
      </c>
      <c r="Q349" s="36"/>
      <c r="R349" s="25"/>
      <c r="S349" s="25"/>
      <c r="T349" s="28" t="str">
        <f aca="false">IF(OR(LEFT(W349,2)&lt;&gt;"A-",ISERROR(MATCH(W349,'🎓 Alumnas'!$A$2:$A$1000,0))),"",IF(COUNTIF($W$2:W349,W349)=1,"Nueva","Recurrente"))</f>
        <v/>
      </c>
      <c r="U349" s="28" t="str">
        <f aca="false">IF(OR(T349="",L349&lt;&gt;"Paquete"),"",COUNTIFS($W$2:W349,W349,$L$2:L349,"Paquete"))</f>
        <v/>
      </c>
      <c r="V349" s="25"/>
      <c r="W349" s="34" t="str">
        <f aca="false">IF(TRIM($C349)="","",IF(COUNTIF('🎓 Alumnas'!$P$2:$P$1000,TRIM($C349))&gt;0,INDEX('🎓 Alumnas'!$A$2:$A$1000,MATCH(TRIM($C349),'🎓 Alumnas'!$P$2:$P$1000,0)),IF(COUNTIF('🎓 Alumnas'!$O$2:$O$1000,TRIM($C349)&amp;"|*")=1,INDEX('🎓 Alumnas'!$A$2:$A$1000,MATCH(TRIM($C349)&amp;"|*",'🎓 Alumnas'!$O$2:$O$1000,0)),IF(COUNTIF('🎓 Alumnas'!$O$2:$O$1000,"*|"&amp;TRIM($C349))=1,INDEX('🎓 Alumnas'!$A$2:$A$1000,MATCH("*|"&amp;TRIM($C349),'🎓 Alumnas'!$O$2:$O$1000,0)),IF(COUNTIF('🎓 Alumnas'!$Q$2:$Q$1000,TRIM($C349))=1,INDEX('🎓 Alumnas'!$A$2:$A$1000,MATCH(TRIM($C349),'🎓 Alumnas'!$Q$2:$Q$1000,0)),IF(COUNTIF('🎓 Alumnas'!$P$2:$P$1000,"*"&amp;TRIM($C349)&amp;"*")=1,INDEX('🎓 Alumnas'!$A$2:$A$1000,MATCH("*"&amp;TRIM($C349)&amp;"*",'🎓 Alumnas'!$P$2:$P$1000,0)),IF(COUNTIF('🎓 Alumnas'!$Q$2:$Q$1000,"*"&amp;TRIM($C349)&amp;"*")=1,INDEX('🎓 Alumnas'!$A$2:$A$1000,MATCH("*"&amp;TRIM($C349)&amp;"*",'🎓 Alumnas'!$Q$2:$Q$1000,0)),IF(COUNTIF('🎓 Alumnas'!$P$2:$P$1000,"*"&amp;TRIM($C349)&amp;"*")+COUNTIF('🎓 Alumnas'!$Q$2:$Q$1000,"*"&amp;TRIM($C349)&amp;"*")&gt;1,"Varias: elige de la lista","No encontrada"))))))))</f>
        <v/>
      </c>
    </row>
    <row r="350" customFormat="false" ht="14.25" hidden="false" customHeight="true" outlineLevel="0" collapsed="false">
      <c r="A350" s="25" t="s">
        <v>894</v>
      </c>
      <c r="B350" s="27"/>
      <c r="C350" s="25"/>
      <c r="D350" s="34" t="str">
        <f aca="false">IF($W350="","",IFERROR(TRIM(INDEX('🎓 Alumnas'!$B$2:$B$1000,MATCH($W350,'🎓 Alumnas'!$A$2:$A$1000,0))),""))</f>
        <v/>
      </c>
      <c r="E350" s="34" t="str">
        <f aca="false">IF($W350="","",IFERROR(TRIM(INDEX('🎓 Alumnas'!$C$2:$C$1000,MATCH($W350,'🎓 Alumnas'!$A$2:$A$1000,0))),""))</f>
        <v/>
      </c>
      <c r="F350" s="34" t="str">
        <f aca="false">IF($W350="","",IFERROR(IF(INDEX('🎓 Alumnas'!$D$2:$D$1000,MATCH($W350,'🎓 Alumnas'!$A$2:$A$1000,0))="","",INDEX('🎓 Alumnas'!$D$2:$D$1000,MATCH($W350,'🎓 Alumnas'!$A$2:$A$1000,0))),""))</f>
        <v/>
      </c>
      <c r="G350" s="28" t="str">
        <f aca="false">IF($W350="","",IFERROR(IF(INDEX('🎓 Alumnas'!$E$2:$E$1000,MATCH($W350,'🎓 Alumnas'!$A$2:$A$1000,0))="","",INDEX('🎓 Alumnas'!$E$2:$E$1000,MATCH($W350,'🎓 Alumnas'!$A$2:$A$1000,0))),""))</f>
        <v/>
      </c>
      <c r="H350" s="28" t="str">
        <f aca="false">IF($W350="","",IFERROR(IF(INDEX('🎓 Alumnas'!$F$2:$F$1000,MATCH($W350,'🎓 Alumnas'!$A$2:$A$1000,0))="","",INDEX('🎓 Alumnas'!$F$2:$F$1000,MATCH($W350,'🎓 Alumnas'!$A$2:$A$1000,0))),""))</f>
        <v/>
      </c>
      <c r="I350" s="30" t="str">
        <f aca="false">IF($W350="","",IFERROR(IF(INDEX('🎓 Alumnas'!$G$2:$G$1000,MATCH($W350,'🎓 Alumnas'!$A$2:$A$1000,0))="","",INDEX('🎓 Alumnas'!$G$2:$G$1000,MATCH($W350,'🎓 Alumnas'!$A$2:$A$1000,0))),""))</f>
        <v/>
      </c>
      <c r="J350" s="28" t="str">
        <f aca="true">IF(I350="","",DATEDIF(I350,TODAY(),"Y"))</f>
        <v/>
      </c>
      <c r="K350" s="25"/>
      <c r="L350" s="28" t="str">
        <f aca="false">IF(K350="","",IF(LEFT(K350,6)="1 Pole","Alquiler",IF(LEFT(K350,7)="1 Clase","Clase suelta","Paquete")))</f>
        <v/>
      </c>
      <c r="M350" s="25"/>
      <c r="N350" s="25"/>
      <c r="O350" s="35"/>
      <c r="P350" s="29" t="str">
        <f aca="false">IF(O350="","",N350*O350)</f>
        <v/>
      </c>
      <c r="Q350" s="36"/>
      <c r="R350" s="25"/>
      <c r="S350" s="25"/>
      <c r="T350" s="28" t="str">
        <f aca="false">IF(OR(LEFT(W350,2)&lt;&gt;"A-",ISERROR(MATCH(W350,'🎓 Alumnas'!$A$2:$A$1000,0))),"",IF(COUNTIF($W$2:W350,W350)=1,"Nueva","Recurrente"))</f>
        <v/>
      </c>
      <c r="U350" s="28" t="str">
        <f aca="false">IF(OR(T350="",L350&lt;&gt;"Paquete"),"",COUNTIFS($W$2:W350,W350,$L$2:L350,"Paquete"))</f>
        <v/>
      </c>
      <c r="V350" s="25"/>
      <c r="W350" s="34" t="str">
        <f aca="false">IF(TRIM($C350)="","",IF(COUNTIF('🎓 Alumnas'!$P$2:$P$1000,TRIM($C350))&gt;0,INDEX('🎓 Alumnas'!$A$2:$A$1000,MATCH(TRIM($C350),'🎓 Alumnas'!$P$2:$P$1000,0)),IF(COUNTIF('🎓 Alumnas'!$O$2:$O$1000,TRIM($C350)&amp;"|*")=1,INDEX('🎓 Alumnas'!$A$2:$A$1000,MATCH(TRIM($C350)&amp;"|*",'🎓 Alumnas'!$O$2:$O$1000,0)),IF(COUNTIF('🎓 Alumnas'!$O$2:$O$1000,"*|"&amp;TRIM($C350))=1,INDEX('🎓 Alumnas'!$A$2:$A$1000,MATCH("*|"&amp;TRIM($C350),'🎓 Alumnas'!$O$2:$O$1000,0)),IF(COUNTIF('🎓 Alumnas'!$Q$2:$Q$1000,TRIM($C350))=1,INDEX('🎓 Alumnas'!$A$2:$A$1000,MATCH(TRIM($C350),'🎓 Alumnas'!$Q$2:$Q$1000,0)),IF(COUNTIF('🎓 Alumnas'!$P$2:$P$1000,"*"&amp;TRIM($C350)&amp;"*")=1,INDEX('🎓 Alumnas'!$A$2:$A$1000,MATCH("*"&amp;TRIM($C350)&amp;"*",'🎓 Alumnas'!$P$2:$P$1000,0)),IF(COUNTIF('🎓 Alumnas'!$Q$2:$Q$1000,"*"&amp;TRIM($C350)&amp;"*")=1,INDEX('🎓 Alumnas'!$A$2:$A$1000,MATCH("*"&amp;TRIM($C350)&amp;"*",'🎓 Alumnas'!$Q$2:$Q$1000,0)),IF(COUNTIF('🎓 Alumnas'!$P$2:$P$1000,"*"&amp;TRIM($C350)&amp;"*")+COUNTIF('🎓 Alumnas'!$Q$2:$Q$1000,"*"&amp;TRIM($C350)&amp;"*")&gt;1,"Varias: elige de la lista","No encontrada"))))))))</f>
        <v/>
      </c>
    </row>
    <row r="351" customFormat="false" ht="14.25" hidden="false" customHeight="true" outlineLevel="0" collapsed="false">
      <c r="A351" s="25" t="s">
        <v>895</v>
      </c>
      <c r="B351" s="27"/>
      <c r="C351" s="25"/>
      <c r="D351" s="34" t="str">
        <f aca="false">IF($W351="","",IFERROR(TRIM(INDEX('🎓 Alumnas'!$B$2:$B$1000,MATCH($W351,'🎓 Alumnas'!$A$2:$A$1000,0))),""))</f>
        <v/>
      </c>
      <c r="E351" s="34" t="str">
        <f aca="false">IF($W351="","",IFERROR(TRIM(INDEX('🎓 Alumnas'!$C$2:$C$1000,MATCH($W351,'🎓 Alumnas'!$A$2:$A$1000,0))),""))</f>
        <v/>
      </c>
      <c r="F351" s="34" t="str">
        <f aca="false">IF($W351="","",IFERROR(IF(INDEX('🎓 Alumnas'!$D$2:$D$1000,MATCH($W351,'🎓 Alumnas'!$A$2:$A$1000,0))="","",INDEX('🎓 Alumnas'!$D$2:$D$1000,MATCH($W351,'🎓 Alumnas'!$A$2:$A$1000,0))),""))</f>
        <v/>
      </c>
      <c r="G351" s="28" t="str">
        <f aca="false">IF($W351="","",IFERROR(IF(INDEX('🎓 Alumnas'!$E$2:$E$1000,MATCH($W351,'🎓 Alumnas'!$A$2:$A$1000,0))="","",INDEX('🎓 Alumnas'!$E$2:$E$1000,MATCH($W351,'🎓 Alumnas'!$A$2:$A$1000,0))),""))</f>
        <v/>
      </c>
      <c r="H351" s="28" t="str">
        <f aca="false">IF($W351="","",IFERROR(IF(INDEX('🎓 Alumnas'!$F$2:$F$1000,MATCH($W351,'🎓 Alumnas'!$A$2:$A$1000,0))="","",INDEX('🎓 Alumnas'!$F$2:$F$1000,MATCH($W351,'🎓 Alumnas'!$A$2:$A$1000,0))),""))</f>
        <v/>
      </c>
      <c r="I351" s="30" t="str">
        <f aca="false">IF($W351="","",IFERROR(IF(INDEX('🎓 Alumnas'!$G$2:$G$1000,MATCH($W351,'🎓 Alumnas'!$A$2:$A$1000,0))="","",INDEX('🎓 Alumnas'!$G$2:$G$1000,MATCH($W351,'🎓 Alumnas'!$A$2:$A$1000,0))),""))</f>
        <v/>
      </c>
      <c r="J351" s="28" t="str">
        <f aca="true">IF(I351="","",DATEDIF(I351,TODAY(),"Y"))</f>
        <v/>
      </c>
      <c r="K351" s="25"/>
      <c r="L351" s="28" t="str">
        <f aca="false">IF(K351="","",IF(LEFT(K351,6)="1 Pole","Alquiler",IF(LEFT(K351,7)="1 Clase","Clase suelta","Paquete")))</f>
        <v/>
      </c>
      <c r="M351" s="25"/>
      <c r="N351" s="25"/>
      <c r="O351" s="35"/>
      <c r="P351" s="29" t="str">
        <f aca="false">IF(O351="","",N351*O351)</f>
        <v/>
      </c>
      <c r="Q351" s="36"/>
      <c r="R351" s="25"/>
      <c r="S351" s="25"/>
      <c r="T351" s="28" t="str">
        <f aca="false">IF(OR(LEFT(W351,2)&lt;&gt;"A-",ISERROR(MATCH(W351,'🎓 Alumnas'!$A$2:$A$1000,0))),"",IF(COUNTIF($W$2:W351,W351)=1,"Nueva","Recurrente"))</f>
        <v/>
      </c>
      <c r="U351" s="28" t="str">
        <f aca="false">IF(OR(T351="",L351&lt;&gt;"Paquete"),"",COUNTIFS($W$2:W351,W351,$L$2:L351,"Paquete"))</f>
        <v/>
      </c>
      <c r="V351" s="25"/>
      <c r="W351" s="34" t="str">
        <f aca="false">IF(TRIM($C351)="","",IF(COUNTIF('🎓 Alumnas'!$P$2:$P$1000,TRIM($C351))&gt;0,INDEX('🎓 Alumnas'!$A$2:$A$1000,MATCH(TRIM($C351),'🎓 Alumnas'!$P$2:$P$1000,0)),IF(COUNTIF('🎓 Alumnas'!$O$2:$O$1000,TRIM($C351)&amp;"|*")=1,INDEX('🎓 Alumnas'!$A$2:$A$1000,MATCH(TRIM($C351)&amp;"|*",'🎓 Alumnas'!$O$2:$O$1000,0)),IF(COUNTIF('🎓 Alumnas'!$O$2:$O$1000,"*|"&amp;TRIM($C351))=1,INDEX('🎓 Alumnas'!$A$2:$A$1000,MATCH("*|"&amp;TRIM($C351),'🎓 Alumnas'!$O$2:$O$1000,0)),IF(COUNTIF('🎓 Alumnas'!$Q$2:$Q$1000,TRIM($C351))=1,INDEX('🎓 Alumnas'!$A$2:$A$1000,MATCH(TRIM($C351),'🎓 Alumnas'!$Q$2:$Q$1000,0)),IF(COUNTIF('🎓 Alumnas'!$P$2:$P$1000,"*"&amp;TRIM($C351)&amp;"*")=1,INDEX('🎓 Alumnas'!$A$2:$A$1000,MATCH("*"&amp;TRIM($C351)&amp;"*",'🎓 Alumnas'!$P$2:$P$1000,0)),IF(COUNTIF('🎓 Alumnas'!$Q$2:$Q$1000,"*"&amp;TRIM($C351)&amp;"*")=1,INDEX('🎓 Alumnas'!$A$2:$A$1000,MATCH("*"&amp;TRIM($C351)&amp;"*",'🎓 Alumnas'!$Q$2:$Q$1000,0)),IF(COUNTIF('🎓 Alumnas'!$P$2:$P$1000,"*"&amp;TRIM($C351)&amp;"*")+COUNTIF('🎓 Alumnas'!$Q$2:$Q$1000,"*"&amp;TRIM($C351)&amp;"*")&gt;1,"Varias: elige de la lista","No encontrada"))))))))</f>
        <v/>
      </c>
    </row>
    <row r="352" customFormat="false" ht="14.25" hidden="false" customHeight="true" outlineLevel="0" collapsed="false">
      <c r="A352" s="25" t="s">
        <v>896</v>
      </c>
      <c r="B352" s="27"/>
      <c r="C352" s="25"/>
      <c r="D352" s="34" t="str">
        <f aca="false">IF($W352="","",IFERROR(TRIM(INDEX('🎓 Alumnas'!$B$2:$B$1000,MATCH($W352,'🎓 Alumnas'!$A$2:$A$1000,0))),""))</f>
        <v/>
      </c>
      <c r="E352" s="34" t="str">
        <f aca="false">IF($W352="","",IFERROR(TRIM(INDEX('🎓 Alumnas'!$C$2:$C$1000,MATCH($W352,'🎓 Alumnas'!$A$2:$A$1000,0))),""))</f>
        <v/>
      </c>
      <c r="F352" s="34" t="str">
        <f aca="false">IF($W352="","",IFERROR(IF(INDEX('🎓 Alumnas'!$D$2:$D$1000,MATCH($W352,'🎓 Alumnas'!$A$2:$A$1000,0))="","",INDEX('🎓 Alumnas'!$D$2:$D$1000,MATCH($W352,'🎓 Alumnas'!$A$2:$A$1000,0))),""))</f>
        <v/>
      </c>
      <c r="G352" s="28" t="str">
        <f aca="false">IF($W352="","",IFERROR(IF(INDEX('🎓 Alumnas'!$E$2:$E$1000,MATCH($W352,'🎓 Alumnas'!$A$2:$A$1000,0))="","",INDEX('🎓 Alumnas'!$E$2:$E$1000,MATCH($W352,'🎓 Alumnas'!$A$2:$A$1000,0))),""))</f>
        <v/>
      </c>
      <c r="H352" s="28" t="str">
        <f aca="false">IF($W352="","",IFERROR(IF(INDEX('🎓 Alumnas'!$F$2:$F$1000,MATCH($W352,'🎓 Alumnas'!$A$2:$A$1000,0))="","",INDEX('🎓 Alumnas'!$F$2:$F$1000,MATCH($W352,'🎓 Alumnas'!$A$2:$A$1000,0))),""))</f>
        <v/>
      </c>
      <c r="I352" s="30" t="str">
        <f aca="false">IF($W352="","",IFERROR(IF(INDEX('🎓 Alumnas'!$G$2:$G$1000,MATCH($W352,'🎓 Alumnas'!$A$2:$A$1000,0))="","",INDEX('🎓 Alumnas'!$G$2:$G$1000,MATCH($W352,'🎓 Alumnas'!$A$2:$A$1000,0))),""))</f>
        <v/>
      </c>
      <c r="J352" s="28" t="str">
        <f aca="true">IF(I352="","",DATEDIF(I352,TODAY(),"Y"))</f>
        <v/>
      </c>
      <c r="K352" s="25"/>
      <c r="L352" s="28" t="str">
        <f aca="false">IF(K352="","",IF(LEFT(K352,6)="1 Pole","Alquiler",IF(LEFT(K352,7)="1 Clase","Clase suelta","Paquete")))</f>
        <v/>
      </c>
      <c r="M352" s="25"/>
      <c r="N352" s="25"/>
      <c r="O352" s="35"/>
      <c r="P352" s="29" t="str">
        <f aca="false">IF(O352="","",N352*O352)</f>
        <v/>
      </c>
      <c r="Q352" s="36"/>
      <c r="R352" s="25"/>
      <c r="S352" s="25"/>
      <c r="T352" s="28" t="str">
        <f aca="false">IF(OR(LEFT(W352,2)&lt;&gt;"A-",ISERROR(MATCH(W352,'🎓 Alumnas'!$A$2:$A$1000,0))),"",IF(COUNTIF($W$2:W352,W352)=1,"Nueva","Recurrente"))</f>
        <v/>
      </c>
      <c r="U352" s="28" t="str">
        <f aca="false">IF(OR(T352="",L352&lt;&gt;"Paquete"),"",COUNTIFS($W$2:W352,W352,$L$2:L352,"Paquete"))</f>
        <v/>
      </c>
      <c r="V352" s="25"/>
      <c r="W352" s="34" t="str">
        <f aca="false">IF(TRIM($C352)="","",IF(COUNTIF('🎓 Alumnas'!$P$2:$P$1000,TRIM($C352))&gt;0,INDEX('🎓 Alumnas'!$A$2:$A$1000,MATCH(TRIM($C352),'🎓 Alumnas'!$P$2:$P$1000,0)),IF(COUNTIF('🎓 Alumnas'!$O$2:$O$1000,TRIM($C352)&amp;"|*")=1,INDEX('🎓 Alumnas'!$A$2:$A$1000,MATCH(TRIM($C352)&amp;"|*",'🎓 Alumnas'!$O$2:$O$1000,0)),IF(COUNTIF('🎓 Alumnas'!$O$2:$O$1000,"*|"&amp;TRIM($C352))=1,INDEX('🎓 Alumnas'!$A$2:$A$1000,MATCH("*|"&amp;TRIM($C352),'🎓 Alumnas'!$O$2:$O$1000,0)),IF(COUNTIF('🎓 Alumnas'!$Q$2:$Q$1000,TRIM($C352))=1,INDEX('🎓 Alumnas'!$A$2:$A$1000,MATCH(TRIM($C352),'🎓 Alumnas'!$Q$2:$Q$1000,0)),IF(COUNTIF('🎓 Alumnas'!$P$2:$P$1000,"*"&amp;TRIM($C352)&amp;"*")=1,INDEX('🎓 Alumnas'!$A$2:$A$1000,MATCH("*"&amp;TRIM($C352)&amp;"*",'🎓 Alumnas'!$P$2:$P$1000,0)),IF(COUNTIF('🎓 Alumnas'!$Q$2:$Q$1000,"*"&amp;TRIM($C352)&amp;"*")=1,INDEX('🎓 Alumnas'!$A$2:$A$1000,MATCH("*"&amp;TRIM($C352)&amp;"*",'🎓 Alumnas'!$Q$2:$Q$1000,0)),IF(COUNTIF('🎓 Alumnas'!$P$2:$P$1000,"*"&amp;TRIM($C352)&amp;"*")+COUNTIF('🎓 Alumnas'!$Q$2:$Q$1000,"*"&amp;TRIM($C352)&amp;"*")&gt;1,"Varias: elige de la lista","No encontrada"))))))))</f>
        <v/>
      </c>
    </row>
    <row r="353" customFormat="false" ht="14.25" hidden="false" customHeight="true" outlineLevel="0" collapsed="false">
      <c r="A353" s="25" t="s">
        <v>897</v>
      </c>
      <c r="B353" s="27"/>
      <c r="C353" s="25"/>
      <c r="D353" s="34" t="str">
        <f aca="false">IF($W353="","",IFERROR(TRIM(INDEX('🎓 Alumnas'!$B$2:$B$1000,MATCH($W353,'🎓 Alumnas'!$A$2:$A$1000,0))),""))</f>
        <v/>
      </c>
      <c r="E353" s="34" t="str">
        <f aca="false">IF($W353="","",IFERROR(TRIM(INDEX('🎓 Alumnas'!$C$2:$C$1000,MATCH($W353,'🎓 Alumnas'!$A$2:$A$1000,0))),""))</f>
        <v/>
      </c>
      <c r="F353" s="34" t="str">
        <f aca="false">IF($W353="","",IFERROR(IF(INDEX('🎓 Alumnas'!$D$2:$D$1000,MATCH($W353,'🎓 Alumnas'!$A$2:$A$1000,0))="","",INDEX('🎓 Alumnas'!$D$2:$D$1000,MATCH($W353,'🎓 Alumnas'!$A$2:$A$1000,0))),""))</f>
        <v/>
      </c>
      <c r="G353" s="28" t="str">
        <f aca="false">IF($W353="","",IFERROR(IF(INDEX('🎓 Alumnas'!$E$2:$E$1000,MATCH($W353,'🎓 Alumnas'!$A$2:$A$1000,0))="","",INDEX('🎓 Alumnas'!$E$2:$E$1000,MATCH($W353,'🎓 Alumnas'!$A$2:$A$1000,0))),""))</f>
        <v/>
      </c>
      <c r="H353" s="28" t="str">
        <f aca="false">IF($W353="","",IFERROR(IF(INDEX('🎓 Alumnas'!$F$2:$F$1000,MATCH($W353,'🎓 Alumnas'!$A$2:$A$1000,0))="","",INDEX('🎓 Alumnas'!$F$2:$F$1000,MATCH($W353,'🎓 Alumnas'!$A$2:$A$1000,0))),""))</f>
        <v/>
      </c>
      <c r="I353" s="30" t="str">
        <f aca="false">IF($W353="","",IFERROR(IF(INDEX('🎓 Alumnas'!$G$2:$G$1000,MATCH($W353,'🎓 Alumnas'!$A$2:$A$1000,0))="","",INDEX('🎓 Alumnas'!$G$2:$G$1000,MATCH($W353,'🎓 Alumnas'!$A$2:$A$1000,0))),""))</f>
        <v/>
      </c>
      <c r="J353" s="28" t="str">
        <f aca="true">IF(I353="","",DATEDIF(I353,TODAY(),"Y"))</f>
        <v/>
      </c>
      <c r="K353" s="25"/>
      <c r="L353" s="28" t="str">
        <f aca="false">IF(K353="","",IF(LEFT(K353,6)="1 Pole","Alquiler",IF(LEFT(K353,7)="1 Clase","Clase suelta","Paquete")))</f>
        <v/>
      </c>
      <c r="M353" s="25"/>
      <c r="N353" s="25"/>
      <c r="O353" s="35"/>
      <c r="P353" s="29" t="str">
        <f aca="false">IF(O353="","",N353*O353)</f>
        <v/>
      </c>
      <c r="Q353" s="36"/>
      <c r="R353" s="25"/>
      <c r="S353" s="25"/>
      <c r="T353" s="28" t="str">
        <f aca="false">IF(OR(LEFT(W353,2)&lt;&gt;"A-",ISERROR(MATCH(W353,'🎓 Alumnas'!$A$2:$A$1000,0))),"",IF(COUNTIF($W$2:W353,W353)=1,"Nueva","Recurrente"))</f>
        <v/>
      </c>
      <c r="U353" s="28" t="str">
        <f aca="false">IF(OR(T353="",L353&lt;&gt;"Paquete"),"",COUNTIFS($W$2:W353,W353,$L$2:L353,"Paquete"))</f>
        <v/>
      </c>
      <c r="V353" s="25"/>
      <c r="W353" s="34" t="str">
        <f aca="false">IF(TRIM($C353)="","",IF(COUNTIF('🎓 Alumnas'!$P$2:$P$1000,TRIM($C353))&gt;0,INDEX('🎓 Alumnas'!$A$2:$A$1000,MATCH(TRIM($C353),'🎓 Alumnas'!$P$2:$P$1000,0)),IF(COUNTIF('🎓 Alumnas'!$O$2:$O$1000,TRIM($C353)&amp;"|*")=1,INDEX('🎓 Alumnas'!$A$2:$A$1000,MATCH(TRIM($C353)&amp;"|*",'🎓 Alumnas'!$O$2:$O$1000,0)),IF(COUNTIF('🎓 Alumnas'!$O$2:$O$1000,"*|"&amp;TRIM($C353))=1,INDEX('🎓 Alumnas'!$A$2:$A$1000,MATCH("*|"&amp;TRIM($C353),'🎓 Alumnas'!$O$2:$O$1000,0)),IF(COUNTIF('🎓 Alumnas'!$Q$2:$Q$1000,TRIM($C353))=1,INDEX('🎓 Alumnas'!$A$2:$A$1000,MATCH(TRIM($C353),'🎓 Alumnas'!$Q$2:$Q$1000,0)),IF(COUNTIF('🎓 Alumnas'!$P$2:$P$1000,"*"&amp;TRIM($C353)&amp;"*")=1,INDEX('🎓 Alumnas'!$A$2:$A$1000,MATCH("*"&amp;TRIM($C353)&amp;"*",'🎓 Alumnas'!$P$2:$P$1000,0)),IF(COUNTIF('🎓 Alumnas'!$Q$2:$Q$1000,"*"&amp;TRIM($C353)&amp;"*")=1,INDEX('🎓 Alumnas'!$A$2:$A$1000,MATCH("*"&amp;TRIM($C353)&amp;"*",'🎓 Alumnas'!$Q$2:$Q$1000,0)),IF(COUNTIF('🎓 Alumnas'!$P$2:$P$1000,"*"&amp;TRIM($C353)&amp;"*")+COUNTIF('🎓 Alumnas'!$Q$2:$Q$1000,"*"&amp;TRIM($C353)&amp;"*")&gt;1,"Varias: elige de la lista","No encontrada"))))))))</f>
        <v/>
      </c>
    </row>
    <row r="354" customFormat="false" ht="14.25" hidden="false" customHeight="true" outlineLevel="0" collapsed="false">
      <c r="A354" s="25" t="s">
        <v>898</v>
      </c>
      <c r="B354" s="27"/>
      <c r="C354" s="25"/>
      <c r="D354" s="34" t="str">
        <f aca="false">IF($W354="","",IFERROR(TRIM(INDEX('🎓 Alumnas'!$B$2:$B$1000,MATCH($W354,'🎓 Alumnas'!$A$2:$A$1000,0))),""))</f>
        <v/>
      </c>
      <c r="E354" s="34" t="str">
        <f aca="false">IF($W354="","",IFERROR(TRIM(INDEX('🎓 Alumnas'!$C$2:$C$1000,MATCH($W354,'🎓 Alumnas'!$A$2:$A$1000,0))),""))</f>
        <v/>
      </c>
      <c r="F354" s="34" t="str">
        <f aca="false">IF($W354="","",IFERROR(IF(INDEX('🎓 Alumnas'!$D$2:$D$1000,MATCH($W354,'🎓 Alumnas'!$A$2:$A$1000,0))="","",INDEX('🎓 Alumnas'!$D$2:$D$1000,MATCH($W354,'🎓 Alumnas'!$A$2:$A$1000,0))),""))</f>
        <v/>
      </c>
      <c r="G354" s="28" t="str">
        <f aca="false">IF($W354="","",IFERROR(IF(INDEX('🎓 Alumnas'!$E$2:$E$1000,MATCH($W354,'🎓 Alumnas'!$A$2:$A$1000,0))="","",INDEX('🎓 Alumnas'!$E$2:$E$1000,MATCH($W354,'🎓 Alumnas'!$A$2:$A$1000,0))),""))</f>
        <v/>
      </c>
      <c r="H354" s="28" t="str">
        <f aca="false">IF($W354="","",IFERROR(IF(INDEX('🎓 Alumnas'!$F$2:$F$1000,MATCH($W354,'🎓 Alumnas'!$A$2:$A$1000,0))="","",INDEX('🎓 Alumnas'!$F$2:$F$1000,MATCH($W354,'🎓 Alumnas'!$A$2:$A$1000,0))),""))</f>
        <v/>
      </c>
      <c r="I354" s="30" t="str">
        <f aca="false">IF($W354="","",IFERROR(IF(INDEX('🎓 Alumnas'!$G$2:$G$1000,MATCH($W354,'🎓 Alumnas'!$A$2:$A$1000,0))="","",INDEX('🎓 Alumnas'!$G$2:$G$1000,MATCH($W354,'🎓 Alumnas'!$A$2:$A$1000,0))),""))</f>
        <v/>
      </c>
      <c r="J354" s="28" t="str">
        <f aca="true">IF(I354="","",DATEDIF(I354,TODAY(),"Y"))</f>
        <v/>
      </c>
      <c r="K354" s="25"/>
      <c r="L354" s="28" t="str">
        <f aca="false">IF(K354="","",IF(LEFT(K354,6)="1 Pole","Alquiler",IF(LEFT(K354,7)="1 Clase","Clase suelta","Paquete")))</f>
        <v/>
      </c>
      <c r="M354" s="25"/>
      <c r="N354" s="25"/>
      <c r="O354" s="35"/>
      <c r="P354" s="29" t="str">
        <f aca="false">IF(O354="","",N354*O354)</f>
        <v/>
      </c>
      <c r="Q354" s="36"/>
      <c r="R354" s="25"/>
      <c r="S354" s="25"/>
      <c r="T354" s="28" t="str">
        <f aca="false">IF(OR(LEFT(W354,2)&lt;&gt;"A-",ISERROR(MATCH(W354,'🎓 Alumnas'!$A$2:$A$1000,0))),"",IF(COUNTIF($W$2:W354,W354)=1,"Nueva","Recurrente"))</f>
        <v/>
      </c>
      <c r="U354" s="28" t="str">
        <f aca="false">IF(OR(T354="",L354&lt;&gt;"Paquete"),"",COUNTIFS($W$2:W354,W354,$L$2:L354,"Paquete"))</f>
        <v/>
      </c>
      <c r="V354" s="25"/>
      <c r="W354" s="34" t="str">
        <f aca="false">IF(TRIM($C354)="","",IF(COUNTIF('🎓 Alumnas'!$P$2:$P$1000,TRIM($C354))&gt;0,INDEX('🎓 Alumnas'!$A$2:$A$1000,MATCH(TRIM($C354),'🎓 Alumnas'!$P$2:$P$1000,0)),IF(COUNTIF('🎓 Alumnas'!$O$2:$O$1000,TRIM($C354)&amp;"|*")=1,INDEX('🎓 Alumnas'!$A$2:$A$1000,MATCH(TRIM($C354)&amp;"|*",'🎓 Alumnas'!$O$2:$O$1000,0)),IF(COUNTIF('🎓 Alumnas'!$O$2:$O$1000,"*|"&amp;TRIM($C354))=1,INDEX('🎓 Alumnas'!$A$2:$A$1000,MATCH("*|"&amp;TRIM($C354),'🎓 Alumnas'!$O$2:$O$1000,0)),IF(COUNTIF('🎓 Alumnas'!$Q$2:$Q$1000,TRIM($C354))=1,INDEX('🎓 Alumnas'!$A$2:$A$1000,MATCH(TRIM($C354),'🎓 Alumnas'!$Q$2:$Q$1000,0)),IF(COUNTIF('🎓 Alumnas'!$P$2:$P$1000,"*"&amp;TRIM($C354)&amp;"*")=1,INDEX('🎓 Alumnas'!$A$2:$A$1000,MATCH("*"&amp;TRIM($C354)&amp;"*",'🎓 Alumnas'!$P$2:$P$1000,0)),IF(COUNTIF('🎓 Alumnas'!$Q$2:$Q$1000,"*"&amp;TRIM($C354)&amp;"*")=1,INDEX('🎓 Alumnas'!$A$2:$A$1000,MATCH("*"&amp;TRIM($C354)&amp;"*",'🎓 Alumnas'!$Q$2:$Q$1000,0)),IF(COUNTIF('🎓 Alumnas'!$P$2:$P$1000,"*"&amp;TRIM($C354)&amp;"*")+COUNTIF('🎓 Alumnas'!$Q$2:$Q$1000,"*"&amp;TRIM($C354)&amp;"*")&gt;1,"Varias: elige de la lista","No encontrada"))))))))</f>
        <v/>
      </c>
    </row>
    <row r="355" customFormat="false" ht="14.25" hidden="false" customHeight="true" outlineLevel="0" collapsed="false">
      <c r="A355" s="25" t="s">
        <v>899</v>
      </c>
      <c r="B355" s="27"/>
      <c r="C355" s="25"/>
      <c r="D355" s="34" t="str">
        <f aca="false">IF($W355="","",IFERROR(TRIM(INDEX('🎓 Alumnas'!$B$2:$B$1000,MATCH($W355,'🎓 Alumnas'!$A$2:$A$1000,0))),""))</f>
        <v/>
      </c>
      <c r="E355" s="34" t="str">
        <f aca="false">IF($W355="","",IFERROR(TRIM(INDEX('🎓 Alumnas'!$C$2:$C$1000,MATCH($W355,'🎓 Alumnas'!$A$2:$A$1000,0))),""))</f>
        <v/>
      </c>
      <c r="F355" s="34" t="str">
        <f aca="false">IF($W355="","",IFERROR(IF(INDEX('🎓 Alumnas'!$D$2:$D$1000,MATCH($W355,'🎓 Alumnas'!$A$2:$A$1000,0))="","",INDEX('🎓 Alumnas'!$D$2:$D$1000,MATCH($W355,'🎓 Alumnas'!$A$2:$A$1000,0))),""))</f>
        <v/>
      </c>
      <c r="G355" s="28" t="str">
        <f aca="false">IF($W355="","",IFERROR(IF(INDEX('🎓 Alumnas'!$E$2:$E$1000,MATCH($W355,'🎓 Alumnas'!$A$2:$A$1000,0))="","",INDEX('🎓 Alumnas'!$E$2:$E$1000,MATCH($W355,'🎓 Alumnas'!$A$2:$A$1000,0))),""))</f>
        <v/>
      </c>
      <c r="H355" s="28" t="str">
        <f aca="false">IF($W355="","",IFERROR(IF(INDEX('🎓 Alumnas'!$F$2:$F$1000,MATCH($W355,'🎓 Alumnas'!$A$2:$A$1000,0))="","",INDEX('🎓 Alumnas'!$F$2:$F$1000,MATCH($W355,'🎓 Alumnas'!$A$2:$A$1000,0))),""))</f>
        <v/>
      </c>
      <c r="I355" s="30" t="str">
        <f aca="false">IF($W355="","",IFERROR(IF(INDEX('🎓 Alumnas'!$G$2:$G$1000,MATCH($W355,'🎓 Alumnas'!$A$2:$A$1000,0))="","",INDEX('🎓 Alumnas'!$G$2:$G$1000,MATCH($W355,'🎓 Alumnas'!$A$2:$A$1000,0))),""))</f>
        <v/>
      </c>
      <c r="J355" s="28" t="str">
        <f aca="true">IF(I355="","",DATEDIF(I355,TODAY(),"Y"))</f>
        <v/>
      </c>
      <c r="K355" s="25"/>
      <c r="L355" s="28" t="str">
        <f aca="false">IF(K355="","",IF(LEFT(K355,6)="1 Pole","Alquiler",IF(LEFT(K355,7)="1 Clase","Clase suelta","Paquete")))</f>
        <v/>
      </c>
      <c r="M355" s="25"/>
      <c r="N355" s="25"/>
      <c r="O355" s="35"/>
      <c r="P355" s="29" t="str">
        <f aca="false">IF(O355="","",N355*O355)</f>
        <v/>
      </c>
      <c r="Q355" s="36"/>
      <c r="R355" s="25"/>
      <c r="S355" s="25"/>
      <c r="T355" s="28" t="str">
        <f aca="false">IF(OR(LEFT(W355,2)&lt;&gt;"A-",ISERROR(MATCH(W355,'🎓 Alumnas'!$A$2:$A$1000,0))),"",IF(COUNTIF($W$2:W355,W355)=1,"Nueva","Recurrente"))</f>
        <v/>
      </c>
      <c r="U355" s="28" t="str">
        <f aca="false">IF(OR(T355="",L355&lt;&gt;"Paquete"),"",COUNTIFS($W$2:W355,W355,$L$2:L355,"Paquete"))</f>
        <v/>
      </c>
      <c r="V355" s="25"/>
      <c r="W355" s="34" t="str">
        <f aca="false">IF(TRIM($C355)="","",IF(COUNTIF('🎓 Alumnas'!$P$2:$P$1000,TRIM($C355))&gt;0,INDEX('🎓 Alumnas'!$A$2:$A$1000,MATCH(TRIM($C355),'🎓 Alumnas'!$P$2:$P$1000,0)),IF(COUNTIF('🎓 Alumnas'!$O$2:$O$1000,TRIM($C355)&amp;"|*")=1,INDEX('🎓 Alumnas'!$A$2:$A$1000,MATCH(TRIM($C355)&amp;"|*",'🎓 Alumnas'!$O$2:$O$1000,0)),IF(COUNTIF('🎓 Alumnas'!$O$2:$O$1000,"*|"&amp;TRIM($C355))=1,INDEX('🎓 Alumnas'!$A$2:$A$1000,MATCH("*|"&amp;TRIM($C355),'🎓 Alumnas'!$O$2:$O$1000,0)),IF(COUNTIF('🎓 Alumnas'!$Q$2:$Q$1000,TRIM($C355))=1,INDEX('🎓 Alumnas'!$A$2:$A$1000,MATCH(TRIM($C355),'🎓 Alumnas'!$Q$2:$Q$1000,0)),IF(COUNTIF('🎓 Alumnas'!$P$2:$P$1000,"*"&amp;TRIM($C355)&amp;"*")=1,INDEX('🎓 Alumnas'!$A$2:$A$1000,MATCH("*"&amp;TRIM($C355)&amp;"*",'🎓 Alumnas'!$P$2:$P$1000,0)),IF(COUNTIF('🎓 Alumnas'!$Q$2:$Q$1000,"*"&amp;TRIM($C355)&amp;"*")=1,INDEX('🎓 Alumnas'!$A$2:$A$1000,MATCH("*"&amp;TRIM($C355)&amp;"*",'🎓 Alumnas'!$Q$2:$Q$1000,0)),IF(COUNTIF('🎓 Alumnas'!$P$2:$P$1000,"*"&amp;TRIM($C355)&amp;"*")+COUNTIF('🎓 Alumnas'!$Q$2:$Q$1000,"*"&amp;TRIM($C355)&amp;"*")&gt;1,"Varias: elige de la lista","No encontrada"))))))))</f>
        <v/>
      </c>
    </row>
    <row r="356" customFormat="false" ht="14.25" hidden="false" customHeight="true" outlineLevel="0" collapsed="false">
      <c r="A356" s="25" t="s">
        <v>900</v>
      </c>
      <c r="B356" s="27"/>
      <c r="C356" s="25"/>
      <c r="D356" s="34" t="str">
        <f aca="false">IF($W356="","",IFERROR(TRIM(INDEX('🎓 Alumnas'!$B$2:$B$1000,MATCH($W356,'🎓 Alumnas'!$A$2:$A$1000,0))),""))</f>
        <v/>
      </c>
      <c r="E356" s="34" t="str">
        <f aca="false">IF($W356="","",IFERROR(TRIM(INDEX('🎓 Alumnas'!$C$2:$C$1000,MATCH($W356,'🎓 Alumnas'!$A$2:$A$1000,0))),""))</f>
        <v/>
      </c>
      <c r="F356" s="34" t="str">
        <f aca="false">IF($W356="","",IFERROR(IF(INDEX('🎓 Alumnas'!$D$2:$D$1000,MATCH($W356,'🎓 Alumnas'!$A$2:$A$1000,0))="","",INDEX('🎓 Alumnas'!$D$2:$D$1000,MATCH($W356,'🎓 Alumnas'!$A$2:$A$1000,0))),""))</f>
        <v/>
      </c>
      <c r="G356" s="28" t="str">
        <f aca="false">IF($W356="","",IFERROR(IF(INDEX('🎓 Alumnas'!$E$2:$E$1000,MATCH($W356,'🎓 Alumnas'!$A$2:$A$1000,0))="","",INDEX('🎓 Alumnas'!$E$2:$E$1000,MATCH($W356,'🎓 Alumnas'!$A$2:$A$1000,0))),""))</f>
        <v/>
      </c>
      <c r="H356" s="28" t="str">
        <f aca="false">IF($W356="","",IFERROR(IF(INDEX('🎓 Alumnas'!$F$2:$F$1000,MATCH($W356,'🎓 Alumnas'!$A$2:$A$1000,0))="","",INDEX('🎓 Alumnas'!$F$2:$F$1000,MATCH($W356,'🎓 Alumnas'!$A$2:$A$1000,0))),""))</f>
        <v/>
      </c>
      <c r="I356" s="30" t="str">
        <f aca="false">IF($W356="","",IFERROR(IF(INDEX('🎓 Alumnas'!$G$2:$G$1000,MATCH($W356,'🎓 Alumnas'!$A$2:$A$1000,0))="","",INDEX('🎓 Alumnas'!$G$2:$G$1000,MATCH($W356,'🎓 Alumnas'!$A$2:$A$1000,0))),""))</f>
        <v/>
      </c>
      <c r="J356" s="28" t="str">
        <f aca="true">IF(I356="","",DATEDIF(I356,TODAY(),"Y"))</f>
        <v/>
      </c>
      <c r="K356" s="25"/>
      <c r="L356" s="28" t="str">
        <f aca="false">IF(K356="","",IF(LEFT(K356,6)="1 Pole","Alquiler",IF(LEFT(K356,7)="1 Clase","Clase suelta","Paquete")))</f>
        <v/>
      </c>
      <c r="M356" s="25"/>
      <c r="N356" s="25"/>
      <c r="O356" s="35"/>
      <c r="P356" s="29" t="str">
        <f aca="false">IF(O356="","",N356*O356)</f>
        <v/>
      </c>
      <c r="Q356" s="36"/>
      <c r="R356" s="25"/>
      <c r="S356" s="25"/>
      <c r="T356" s="28" t="str">
        <f aca="false">IF(OR(LEFT(W356,2)&lt;&gt;"A-",ISERROR(MATCH(W356,'🎓 Alumnas'!$A$2:$A$1000,0))),"",IF(COUNTIF($W$2:W356,W356)=1,"Nueva","Recurrente"))</f>
        <v/>
      </c>
      <c r="U356" s="28" t="str">
        <f aca="false">IF(OR(T356="",L356&lt;&gt;"Paquete"),"",COUNTIFS($W$2:W356,W356,$L$2:L356,"Paquete"))</f>
        <v/>
      </c>
      <c r="V356" s="25"/>
      <c r="W356" s="34" t="str">
        <f aca="false">IF(TRIM($C356)="","",IF(COUNTIF('🎓 Alumnas'!$P$2:$P$1000,TRIM($C356))&gt;0,INDEX('🎓 Alumnas'!$A$2:$A$1000,MATCH(TRIM($C356),'🎓 Alumnas'!$P$2:$P$1000,0)),IF(COUNTIF('🎓 Alumnas'!$O$2:$O$1000,TRIM($C356)&amp;"|*")=1,INDEX('🎓 Alumnas'!$A$2:$A$1000,MATCH(TRIM($C356)&amp;"|*",'🎓 Alumnas'!$O$2:$O$1000,0)),IF(COUNTIF('🎓 Alumnas'!$O$2:$O$1000,"*|"&amp;TRIM($C356))=1,INDEX('🎓 Alumnas'!$A$2:$A$1000,MATCH("*|"&amp;TRIM($C356),'🎓 Alumnas'!$O$2:$O$1000,0)),IF(COUNTIF('🎓 Alumnas'!$Q$2:$Q$1000,TRIM($C356))=1,INDEX('🎓 Alumnas'!$A$2:$A$1000,MATCH(TRIM($C356),'🎓 Alumnas'!$Q$2:$Q$1000,0)),IF(COUNTIF('🎓 Alumnas'!$P$2:$P$1000,"*"&amp;TRIM($C356)&amp;"*")=1,INDEX('🎓 Alumnas'!$A$2:$A$1000,MATCH("*"&amp;TRIM($C356)&amp;"*",'🎓 Alumnas'!$P$2:$P$1000,0)),IF(COUNTIF('🎓 Alumnas'!$Q$2:$Q$1000,"*"&amp;TRIM($C356)&amp;"*")=1,INDEX('🎓 Alumnas'!$A$2:$A$1000,MATCH("*"&amp;TRIM($C356)&amp;"*",'🎓 Alumnas'!$Q$2:$Q$1000,0)),IF(COUNTIF('🎓 Alumnas'!$P$2:$P$1000,"*"&amp;TRIM($C356)&amp;"*")+COUNTIF('🎓 Alumnas'!$Q$2:$Q$1000,"*"&amp;TRIM($C356)&amp;"*")&gt;1,"Varias: elige de la lista","No encontrada"))))))))</f>
        <v/>
      </c>
    </row>
    <row r="357" customFormat="false" ht="14.25" hidden="false" customHeight="true" outlineLevel="0" collapsed="false">
      <c r="A357" s="25" t="s">
        <v>901</v>
      </c>
      <c r="B357" s="27"/>
      <c r="C357" s="25"/>
      <c r="D357" s="34" t="str">
        <f aca="false">IF($W357="","",IFERROR(TRIM(INDEX('🎓 Alumnas'!$B$2:$B$1000,MATCH($W357,'🎓 Alumnas'!$A$2:$A$1000,0))),""))</f>
        <v/>
      </c>
      <c r="E357" s="34" t="str">
        <f aca="false">IF($W357="","",IFERROR(TRIM(INDEX('🎓 Alumnas'!$C$2:$C$1000,MATCH($W357,'🎓 Alumnas'!$A$2:$A$1000,0))),""))</f>
        <v/>
      </c>
      <c r="F357" s="34" t="str">
        <f aca="false">IF($W357="","",IFERROR(IF(INDEX('🎓 Alumnas'!$D$2:$D$1000,MATCH($W357,'🎓 Alumnas'!$A$2:$A$1000,0))="","",INDEX('🎓 Alumnas'!$D$2:$D$1000,MATCH($W357,'🎓 Alumnas'!$A$2:$A$1000,0))),""))</f>
        <v/>
      </c>
      <c r="G357" s="28" t="str">
        <f aca="false">IF($W357="","",IFERROR(IF(INDEX('🎓 Alumnas'!$E$2:$E$1000,MATCH($W357,'🎓 Alumnas'!$A$2:$A$1000,0))="","",INDEX('🎓 Alumnas'!$E$2:$E$1000,MATCH($W357,'🎓 Alumnas'!$A$2:$A$1000,0))),""))</f>
        <v/>
      </c>
      <c r="H357" s="28" t="str">
        <f aca="false">IF($W357="","",IFERROR(IF(INDEX('🎓 Alumnas'!$F$2:$F$1000,MATCH($W357,'🎓 Alumnas'!$A$2:$A$1000,0))="","",INDEX('🎓 Alumnas'!$F$2:$F$1000,MATCH($W357,'🎓 Alumnas'!$A$2:$A$1000,0))),""))</f>
        <v/>
      </c>
      <c r="I357" s="30" t="str">
        <f aca="false">IF($W357="","",IFERROR(IF(INDEX('🎓 Alumnas'!$G$2:$G$1000,MATCH($W357,'🎓 Alumnas'!$A$2:$A$1000,0))="","",INDEX('🎓 Alumnas'!$G$2:$G$1000,MATCH($W357,'🎓 Alumnas'!$A$2:$A$1000,0))),""))</f>
        <v/>
      </c>
      <c r="J357" s="28" t="str">
        <f aca="true">IF(I357="","",DATEDIF(I357,TODAY(),"Y"))</f>
        <v/>
      </c>
      <c r="K357" s="25"/>
      <c r="L357" s="28" t="str">
        <f aca="false">IF(K357="","",IF(LEFT(K357,6)="1 Pole","Alquiler",IF(LEFT(K357,7)="1 Clase","Clase suelta","Paquete")))</f>
        <v/>
      </c>
      <c r="M357" s="25"/>
      <c r="N357" s="25"/>
      <c r="O357" s="35"/>
      <c r="P357" s="29" t="str">
        <f aca="false">IF(O357="","",N357*O357)</f>
        <v/>
      </c>
      <c r="Q357" s="36"/>
      <c r="R357" s="25"/>
      <c r="S357" s="25"/>
      <c r="T357" s="28" t="str">
        <f aca="false">IF(OR(LEFT(W357,2)&lt;&gt;"A-",ISERROR(MATCH(W357,'🎓 Alumnas'!$A$2:$A$1000,0))),"",IF(COUNTIF($W$2:W357,W357)=1,"Nueva","Recurrente"))</f>
        <v/>
      </c>
      <c r="U357" s="28" t="str">
        <f aca="false">IF(OR(T357="",L357&lt;&gt;"Paquete"),"",COUNTIFS($W$2:W357,W357,$L$2:L357,"Paquete"))</f>
        <v/>
      </c>
      <c r="V357" s="25"/>
      <c r="W357" s="34" t="str">
        <f aca="false">IF(TRIM($C357)="","",IF(COUNTIF('🎓 Alumnas'!$P$2:$P$1000,TRIM($C357))&gt;0,INDEX('🎓 Alumnas'!$A$2:$A$1000,MATCH(TRIM($C357),'🎓 Alumnas'!$P$2:$P$1000,0)),IF(COUNTIF('🎓 Alumnas'!$O$2:$O$1000,TRIM($C357)&amp;"|*")=1,INDEX('🎓 Alumnas'!$A$2:$A$1000,MATCH(TRIM($C357)&amp;"|*",'🎓 Alumnas'!$O$2:$O$1000,0)),IF(COUNTIF('🎓 Alumnas'!$O$2:$O$1000,"*|"&amp;TRIM($C357))=1,INDEX('🎓 Alumnas'!$A$2:$A$1000,MATCH("*|"&amp;TRIM($C357),'🎓 Alumnas'!$O$2:$O$1000,0)),IF(COUNTIF('🎓 Alumnas'!$Q$2:$Q$1000,TRIM($C357))=1,INDEX('🎓 Alumnas'!$A$2:$A$1000,MATCH(TRIM($C357),'🎓 Alumnas'!$Q$2:$Q$1000,0)),IF(COUNTIF('🎓 Alumnas'!$P$2:$P$1000,"*"&amp;TRIM($C357)&amp;"*")=1,INDEX('🎓 Alumnas'!$A$2:$A$1000,MATCH("*"&amp;TRIM($C357)&amp;"*",'🎓 Alumnas'!$P$2:$P$1000,0)),IF(COUNTIF('🎓 Alumnas'!$Q$2:$Q$1000,"*"&amp;TRIM($C357)&amp;"*")=1,INDEX('🎓 Alumnas'!$A$2:$A$1000,MATCH("*"&amp;TRIM($C357)&amp;"*",'🎓 Alumnas'!$Q$2:$Q$1000,0)),IF(COUNTIF('🎓 Alumnas'!$P$2:$P$1000,"*"&amp;TRIM($C357)&amp;"*")+COUNTIF('🎓 Alumnas'!$Q$2:$Q$1000,"*"&amp;TRIM($C357)&amp;"*")&gt;1,"Varias: elige de la lista","No encontrada"))))))))</f>
        <v/>
      </c>
    </row>
    <row r="358" customFormat="false" ht="14.25" hidden="false" customHeight="true" outlineLevel="0" collapsed="false">
      <c r="A358" s="25" t="s">
        <v>902</v>
      </c>
      <c r="B358" s="27"/>
      <c r="C358" s="25"/>
      <c r="D358" s="34" t="str">
        <f aca="false">IF($W358="","",IFERROR(TRIM(INDEX('🎓 Alumnas'!$B$2:$B$1000,MATCH($W358,'🎓 Alumnas'!$A$2:$A$1000,0))),""))</f>
        <v/>
      </c>
      <c r="E358" s="34" t="str">
        <f aca="false">IF($W358="","",IFERROR(TRIM(INDEX('🎓 Alumnas'!$C$2:$C$1000,MATCH($W358,'🎓 Alumnas'!$A$2:$A$1000,0))),""))</f>
        <v/>
      </c>
      <c r="F358" s="34" t="str">
        <f aca="false">IF($W358="","",IFERROR(IF(INDEX('🎓 Alumnas'!$D$2:$D$1000,MATCH($W358,'🎓 Alumnas'!$A$2:$A$1000,0))="","",INDEX('🎓 Alumnas'!$D$2:$D$1000,MATCH($W358,'🎓 Alumnas'!$A$2:$A$1000,0))),""))</f>
        <v/>
      </c>
      <c r="G358" s="28" t="str">
        <f aca="false">IF($W358="","",IFERROR(IF(INDEX('🎓 Alumnas'!$E$2:$E$1000,MATCH($W358,'🎓 Alumnas'!$A$2:$A$1000,0))="","",INDEX('🎓 Alumnas'!$E$2:$E$1000,MATCH($W358,'🎓 Alumnas'!$A$2:$A$1000,0))),""))</f>
        <v/>
      </c>
      <c r="H358" s="28" t="str">
        <f aca="false">IF($W358="","",IFERROR(IF(INDEX('🎓 Alumnas'!$F$2:$F$1000,MATCH($W358,'🎓 Alumnas'!$A$2:$A$1000,0))="","",INDEX('🎓 Alumnas'!$F$2:$F$1000,MATCH($W358,'🎓 Alumnas'!$A$2:$A$1000,0))),""))</f>
        <v/>
      </c>
      <c r="I358" s="30" t="str">
        <f aca="false">IF($W358="","",IFERROR(IF(INDEX('🎓 Alumnas'!$G$2:$G$1000,MATCH($W358,'🎓 Alumnas'!$A$2:$A$1000,0))="","",INDEX('🎓 Alumnas'!$G$2:$G$1000,MATCH($W358,'🎓 Alumnas'!$A$2:$A$1000,0))),""))</f>
        <v/>
      </c>
      <c r="J358" s="28" t="str">
        <f aca="true">IF(I358="","",DATEDIF(I358,TODAY(),"Y"))</f>
        <v/>
      </c>
      <c r="K358" s="25"/>
      <c r="L358" s="28" t="str">
        <f aca="false">IF(K358="","",IF(LEFT(K358,6)="1 Pole","Alquiler",IF(LEFT(K358,7)="1 Clase","Clase suelta","Paquete")))</f>
        <v/>
      </c>
      <c r="M358" s="25"/>
      <c r="N358" s="25"/>
      <c r="O358" s="35"/>
      <c r="P358" s="29" t="str">
        <f aca="false">IF(O358="","",N358*O358)</f>
        <v/>
      </c>
      <c r="Q358" s="36"/>
      <c r="R358" s="25"/>
      <c r="S358" s="25"/>
      <c r="T358" s="28" t="str">
        <f aca="false">IF(OR(LEFT(W358,2)&lt;&gt;"A-",ISERROR(MATCH(W358,'🎓 Alumnas'!$A$2:$A$1000,0))),"",IF(COUNTIF($W$2:W358,W358)=1,"Nueva","Recurrente"))</f>
        <v/>
      </c>
      <c r="U358" s="28" t="str">
        <f aca="false">IF(OR(T358="",L358&lt;&gt;"Paquete"),"",COUNTIFS($W$2:W358,W358,$L$2:L358,"Paquete"))</f>
        <v/>
      </c>
      <c r="V358" s="25"/>
      <c r="W358" s="34" t="str">
        <f aca="false">IF(TRIM($C358)="","",IF(COUNTIF('🎓 Alumnas'!$P$2:$P$1000,TRIM($C358))&gt;0,INDEX('🎓 Alumnas'!$A$2:$A$1000,MATCH(TRIM($C358),'🎓 Alumnas'!$P$2:$P$1000,0)),IF(COUNTIF('🎓 Alumnas'!$O$2:$O$1000,TRIM($C358)&amp;"|*")=1,INDEX('🎓 Alumnas'!$A$2:$A$1000,MATCH(TRIM($C358)&amp;"|*",'🎓 Alumnas'!$O$2:$O$1000,0)),IF(COUNTIF('🎓 Alumnas'!$O$2:$O$1000,"*|"&amp;TRIM($C358))=1,INDEX('🎓 Alumnas'!$A$2:$A$1000,MATCH("*|"&amp;TRIM($C358),'🎓 Alumnas'!$O$2:$O$1000,0)),IF(COUNTIF('🎓 Alumnas'!$Q$2:$Q$1000,TRIM($C358))=1,INDEX('🎓 Alumnas'!$A$2:$A$1000,MATCH(TRIM($C358),'🎓 Alumnas'!$Q$2:$Q$1000,0)),IF(COUNTIF('🎓 Alumnas'!$P$2:$P$1000,"*"&amp;TRIM($C358)&amp;"*")=1,INDEX('🎓 Alumnas'!$A$2:$A$1000,MATCH("*"&amp;TRIM($C358)&amp;"*",'🎓 Alumnas'!$P$2:$P$1000,0)),IF(COUNTIF('🎓 Alumnas'!$Q$2:$Q$1000,"*"&amp;TRIM($C358)&amp;"*")=1,INDEX('🎓 Alumnas'!$A$2:$A$1000,MATCH("*"&amp;TRIM($C358)&amp;"*",'🎓 Alumnas'!$Q$2:$Q$1000,0)),IF(COUNTIF('🎓 Alumnas'!$P$2:$P$1000,"*"&amp;TRIM($C358)&amp;"*")+COUNTIF('🎓 Alumnas'!$Q$2:$Q$1000,"*"&amp;TRIM($C358)&amp;"*")&gt;1,"Varias: elige de la lista","No encontrada"))))))))</f>
        <v/>
      </c>
    </row>
    <row r="359" customFormat="false" ht="14.25" hidden="false" customHeight="true" outlineLevel="0" collapsed="false">
      <c r="A359" s="25" t="s">
        <v>903</v>
      </c>
      <c r="B359" s="27"/>
      <c r="C359" s="25"/>
      <c r="D359" s="34" t="str">
        <f aca="false">IF($W359="","",IFERROR(TRIM(INDEX('🎓 Alumnas'!$B$2:$B$1000,MATCH($W359,'🎓 Alumnas'!$A$2:$A$1000,0))),""))</f>
        <v/>
      </c>
      <c r="E359" s="34" t="str">
        <f aca="false">IF($W359="","",IFERROR(TRIM(INDEX('🎓 Alumnas'!$C$2:$C$1000,MATCH($W359,'🎓 Alumnas'!$A$2:$A$1000,0))),""))</f>
        <v/>
      </c>
      <c r="F359" s="34" t="str">
        <f aca="false">IF($W359="","",IFERROR(IF(INDEX('🎓 Alumnas'!$D$2:$D$1000,MATCH($W359,'🎓 Alumnas'!$A$2:$A$1000,0))="","",INDEX('🎓 Alumnas'!$D$2:$D$1000,MATCH($W359,'🎓 Alumnas'!$A$2:$A$1000,0))),""))</f>
        <v/>
      </c>
      <c r="G359" s="28" t="str">
        <f aca="false">IF($W359="","",IFERROR(IF(INDEX('🎓 Alumnas'!$E$2:$E$1000,MATCH($W359,'🎓 Alumnas'!$A$2:$A$1000,0))="","",INDEX('🎓 Alumnas'!$E$2:$E$1000,MATCH($W359,'🎓 Alumnas'!$A$2:$A$1000,0))),""))</f>
        <v/>
      </c>
      <c r="H359" s="28" t="str">
        <f aca="false">IF($W359="","",IFERROR(IF(INDEX('🎓 Alumnas'!$F$2:$F$1000,MATCH($W359,'🎓 Alumnas'!$A$2:$A$1000,0))="","",INDEX('🎓 Alumnas'!$F$2:$F$1000,MATCH($W359,'🎓 Alumnas'!$A$2:$A$1000,0))),""))</f>
        <v/>
      </c>
      <c r="I359" s="30" t="str">
        <f aca="false">IF($W359="","",IFERROR(IF(INDEX('🎓 Alumnas'!$G$2:$G$1000,MATCH($W359,'🎓 Alumnas'!$A$2:$A$1000,0))="","",INDEX('🎓 Alumnas'!$G$2:$G$1000,MATCH($W359,'🎓 Alumnas'!$A$2:$A$1000,0))),""))</f>
        <v/>
      </c>
      <c r="J359" s="28" t="str">
        <f aca="true">IF(I359="","",DATEDIF(I359,TODAY(),"Y"))</f>
        <v/>
      </c>
      <c r="K359" s="25"/>
      <c r="L359" s="28" t="str">
        <f aca="false">IF(K359="","",IF(LEFT(K359,6)="1 Pole","Alquiler",IF(LEFT(K359,7)="1 Clase","Clase suelta","Paquete")))</f>
        <v/>
      </c>
      <c r="M359" s="25"/>
      <c r="N359" s="25"/>
      <c r="O359" s="35"/>
      <c r="P359" s="29" t="str">
        <f aca="false">IF(O359="","",N359*O359)</f>
        <v/>
      </c>
      <c r="Q359" s="36"/>
      <c r="R359" s="25"/>
      <c r="S359" s="25"/>
      <c r="T359" s="28" t="str">
        <f aca="false">IF(OR(LEFT(W359,2)&lt;&gt;"A-",ISERROR(MATCH(W359,'🎓 Alumnas'!$A$2:$A$1000,0))),"",IF(COUNTIF($W$2:W359,W359)=1,"Nueva","Recurrente"))</f>
        <v/>
      </c>
      <c r="U359" s="28" t="str">
        <f aca="false">IF(OR(T359="",L359&lt;&gt;"Paquete"),"",COUNTIFS($W$2:W359,W359,$L$2:L359,"Paquete"))</f>
        <v/>
      </c>
      <c r="V359" s="25"/>
      <c r="W359" s="34" t="str">
        <f aca="false">IF(TRIM($C359)="","",IF(COUNTIF('🎓 Alumnas'!$P$2:$P$1000,TRIM($C359))&gt;0,INDEX('🎓 Alumnas'!$A$2:$A$1000,MATCH(TRIM($C359),'🎓 Alumnas'!$P$2:$P$1000,0)),IF(COUNTIF('🎓 Alumnas'!$O$2:$O$1000,TRIM($C359)&amp;"|*")=1,INDEX('🎓 Alumnas'!$A$2:$A$1000,MATCH(TRIM($C359)&amp;"|*",'🎓 Alumnas'!$O$2:$O$1000,0)),IF(COUNTIF('🎓 Alumnas'!$O$2:$O$1000,"*|"&amp;TRIM($C359))=1,INDEX('🎓 Alumnas'!$A$2:$A$1000,MATCH("*|"&amp;TRIM($C359),'🎓 Alumnas'!$O$2:$O$1000,0)),IF(COUNTIF('🎓 Alumnas'!$Q$2:$Q$1000,TRIM($C359))=1,INDEX('🎓 Alumnas'!$A$2:$A$1000,MATCH(TRIM($C359),'🎓 Alumnas'!$Q$2:$Q$1000,0)),IF(COUNTIF('🎓 Alumnas'!$P$2:$P$1000,"*"&amp;TRIM($C359)&amp;"*")=1,INDEX('🎓 Alumnas'!$A$2:$A$1000,MATCH("*"&amp;TRIM($C359)&amp;"*",'🎓 Alumnas'!$P$2:$P$1000,0)),IF(COUNTIF('🎓 Alumnas'!$Q$2:$Q$1000,"*"&amp;TRIM($C359)&amp;"*")=1,INDEX('🎓 Alumnas'!$A$2:$A$1000,MATCH("*"&amp;TRIM($C359)&amp;"*",'🎓 Alumnas'!$Q$2:$Q$1000,0)),IF(COUNTIF('🎓 Alumnas'!$P$2:$P$1000,"*"&amp;TRIM($C359)&amp;"*")+COUNTIF('🎓 Alumnas'!$Q$2:$Q$1000,"*"&amp;TRIM($C359)&amp;"*")&gt;1,"Varias: elige de la lista","No encontrada"))))))))</f>
        <v/>
      </c>
    </row>
    <row r="360" customFormat="false" ht="14.25" hidden="false" customHeight="true" outlineLevel="0" collapsed="false">
      <c r="A360" s="25" t="s">
        <v>904</v>
      </c>
      <c r="B360" s="27"/>
      <c r="C360" s="25"/>
      <c r="D360" s="34" t="str">
        <f aca="false">IF($W360="","",IFERROR(TRIM(INDEX('🎓 Alumnas'!$B$2:$B$1000,MATCH($W360,'🎓 Alumnas'!$A$2:$A$1000,0))),""))</f>
        <v/>
      </c>
      <c r="E360" s="34" t="str">
        <f aca="false">IF($W360="","",IFERROR(TRIM(INDEX('🎓 Alumnas'!$C$2:$C$1000,MATCH($W360,'🎓 Alumnas'!$A$2:$A$1000,0))),""))</f>
        <v/>
      </c>
      <c r="F360" s="34" t="str">
        <f aca="false">IF($W360="","",IFERROR(IF(INDEX('🎓 Alumnas'!$D$2:$D$1000,MATCH($W360,'🎓 Alumnas'!$A$2:$A$1000,0))="","",INDEX('🎓 Alumnas'!$D$2:$D$1000,MATCH($W360,'🎓 Alumnas'!$A$2:$A$1000,0))),""))</f>
        <v/>
      </c>
      <c r="G360" s="28" t="str">
        <f aca="false">IF($W360="","",IFERROR(IF(INDEX('🎓 Alumnas'!$E$2:$E$1000,MATCH($W360,'🎓 Alumnas'!$A$2:$A$1000,0))="","",INDEX('🎓 Alumnas'!$E$2:$E$1000,MATCH($W360,'🎓 Alumnas'!$A$2:$A$1000,0))),""))</f>
        <v/>
      </c>
      <c r="H360" s="28" t="str">
        <f aca="false">IF($W360="","",IFERROR(IF(INDEX('🎓 Alumnas'!$F$2:$F$1000,MATCH($W360,'🎓 Alumnas'!$A$2:$A$1000,0))="","",INDEX('🎓 Alumnas'!$F$2:$F$1000,MATCH($W360,'🎓 Alumnas'!$A$2:$A$1000,0))),""))</f>
        <v/>
      </c>
      <c r="I360" s="30" t="str">
        <f aca="false">IF($W360="","",IFERROR(IF(INDEX('🎓 Alumnas'!$G$2:$G$1000,MATCH($W360,'🎓 Alumnas'!$A$2:$A$1000,0))="","",INDEX('🎓 Alumnas'!$G$2:$G$1000,MATCH($W360,'🎓 Alumnas'!$A$2:$A$1000,0))),""))</f>
        <v/>
      </c>
      <c r="J360" s="28" t="str">
        <f aca="true">IF(I360="","",DATEDIF(I360,TODAY(),"Y"))</f>
        <v/>
      </c>
      <c r="K360" s="25"/>
      <c r="L360" s="28" t="str">
        <f aca="false">IF(K360="","",IF(LEFT(K360,6)="1 Pole","Alquiler",IF(LEFT(K360,7)="1 Clase","Clase suelta","Paquete")))</f>
        <v/>
      </c>
      <c r="M360" s="25"/>
      <c r="N360" s="25"/>
      <c r="O360" s="35"/>
      <c r="P360" s="29" t="str">
        <f aca="false">IF(O360="","",N360*O360)</f>
        <v/>
      </c>
      <c r="Q360" s="36"/>
      <c r="R360" s="25"/>
      <c r="S360" s="25"/>
      <c r="T360" s="28" t="str">
        <f aca="false">IF(OR(LEFT(W360,2)&lt;&gt;"A-",ISERROR(MATCH(W360,'🎓 Alumnas'!$A$2:$A$1000,0))),"",IF(COUNTIF($W$2:W360,W360)=1,"Nueva","Recurrente"))</f>
        <v/>
      </c>
      <c r="U360" s="28" t="str">
        <f aca="false">IF(OR(T360="",L360&lt;&gt;"Paquete"),"",COUNTIFS($W$2:W360,W360,$L$2:L360,"Paquete"))</f>
        <v/>
      </c>
      <c r="V360" s="25"/>
      <c r="W360" s="34" t="str">
        <f aca="false">IF(TRIM($C360)="","",IF(COUNTIF('🎓 Alumnas'!$P$2:$P$1000,TRIM($C360))&gt;0,INDEX('🎓 Alumnas'!$A$2:$A$1000,MATCH(TRIM($C360),'🎓 Alumnas'!$P$2:$P$1000,0)),IF(COUNTIF('🎓 Alumnas'!$O$2:$O$1000,TRIM($C360)&amp;"|*")=1,INDEX('🎓 Alumnas'!$A$2:$A$1000,MATCH(TRIM($C360)&amp;"|*",'🎓 Alumnas'!$O$2:$O$1000,0)),IF(COUNTIF('🎓 Alumnas'!$O$2:$O$1000,"*|"&amp;TRIM($C360))=1,INDEX('🎓 Alumnas'!$A$2:$A$1000,MATCH("*|"&amp;TRIM($C360),'🎓 Alumnas'!$O$2:$O$1000,0)),IF(COUNTIF('🎓 Alumnas'!$Q$2:$Q$1000,TRIM($C360))=1,INDEX('🎓 Alumnas'!$A$2:$A$1000,MATCH(TRIM($C360),'🎓 Alumnas'!$Q$2:$Q$1000,0)),IF(COUNTIF('🎓 Alumnas'!$P$2:$P$1000,"*"&amp;TRIM($C360)&amp;"*")=1,INDEX('🎓 Alumnas'!$A$2:$A$1000,MATCH("*"&amp;TRIM($C360)&amp;"*",'🎓 Alumnas'!$P$2:$P$1000,0)),IF(COUNTIF('🎓 Alumnas'!$Q$2:$Q$1000,"*"&amp;TRIM($C360)&amp;"*")=1,INDEX('🎓 Alumnas'!$A$2:$A$1000,MATCH("*"&amp;TRIM($C360)&amp;"*",'🎓 Alumnas'!$Q$2:$Q$1000,0)),IF(COUNTIF('🎓 Alumnas'!$P$2:$P$1000,"*"&amp;TRIM($C360)&amp;"*")+COUNTIF('🎓 Alumnas'!$Q$2:$Q$1000,"*"&amp;TRIM($C360)&amp;"*")&gt;1,"Varias: elige de la lista","No encontrada"))))))))</f>
        <v/>
      </c>
    </row>
    <row r="361" customFormat="false" ht="14.25" hidden="false" customHeight="true" outlineLevel="0" collapsed="false">
      <c r="A361" s="25" t="s">
        <v>905</v>
      </c>
      <c r="B361" s="27"/>
      <c r="C361" s="25"/>
      <c r="D361" s="34" t="str">
        <f aca="false">IF($W361="","",IFERROR(TRIM(INDEX('🎓 Alumnas'!$B$2:$B$1000,MATCH($W361,'🎓 Alumnas'!$A$2:$A$1000,0))),""))</f>
        <v/>
      </c>
      <c r="E361" s="34" t="str">
        <f aca="false">IF($W361="","",IFERROR(TRIM(INDEX('🎓 Alumnas'!$C$2:$C$1000,MATCH($W361,'🎓 Alumnas'!$A$2:$A$1000,0))),""))</f>
        <v/>
      </c>
      <c r="F361" s="34" t="str">
        <f aca="false">IF($W361="","",IFERROR(IF(INDEX('🎓 Alumnas'!$D$2:$D$1000,MATCH($W361,'🎓 Alumnas'!$A$2:$A$1000,0))="","",INDEX('🎓 Alumnas'!$D$2:$D$1000,MATCH($W361,'🎓 Alumnas'!$A$2:$A$1000,0))),""))</f>
        <v/>
      </c>
      <c r="G361" s="28" t="str">
        <f aca="false">IF($W361="","",IFERROR(IF(INDEX('🎓 Alumnas'!$E$2:$E$1000,MATCH($W361,'🎓 Alumnas'!$A$2:$A$1000,0))="","",INDEX('🎓 Alumnas'!$E$2:$E$1000,MATCH($W361,'🎓 Alumnas'!$A$2:$A$1000,0))),""))</f>
        <v/>
      </c>
      <c r="H361" s="28" t="str">
        <f aca="false">IF($W361="","",IFERROR(IF(INDEX('🎓 Alumnas'!$F$2:$F$1000,MATCH($W361,'🎓 Alumnas'!$A$2:$A$1000,0))="","",INDEX('🎓 Alumnas'!$F$2:$F$1000,MATCH($W361,'🎓 Alumnas'!$A$2:$A$1000,0))),""))</f>
        <v/>
      </c>
      <c r="I361" s="30" t="str">
        <f aca="false">IF($W361="","",IFERROR(IF(INDEX('🎓 Alumnas'!$G$2:$G$1000,MATCH($W361,'🎓 Alumnas'!$A$2:$A$1000,0))="","",INDEX('🎓 Alumnas'!$G$2:$G$1000,MATCH($W361,'🎓 Alumnas'!$A$2:$A$1000,0))),""))</f>
        <v/>
      </c>
      <c r="J361" s="28" t="str">
        <f aca="true">IF(I361="","",DATEDIF(I361,TODAY(),"Y"))</f>
        <v/>
      </c>
      <c r="K361" s="25"/>
      <c r="L361" s="28" t="str">
        <f aca="false">IF(K361="","",IF(LEFT(K361,6)="1 Pole","Alquiler",IF(LEFT(K361,7)="1 Clase","Clase suelta","Paquete")))</f>
        <v/>
      </c>
      <c r="M361" s="25"/>
      <c r="N361" s="25"/>
      <c r="O361" s="35"/>
      <c r="P361" s="29" t="str">
        <f aca="false">IF(O361="","",N361*O361)</f>
        <v/>
      </c>
      <c r="Q361" s="36"/>
      <c r="R361" s="25"/>
      <c r="S361" s="25"/>
      <c r="T361" s="28" t="str">
        <f aca="false">IF(OR(LEFT(W361,2)&lt;&gt;"A-",ISERROR(MATCH(W361,'🎓 Alumnas'!$A$2:$A$1000,0))),"",IF(COUNTIF($W$2:W361,W361)=1,"Nueva","Recurrente"))</f>
        <v/>
      </c>
      <c r="U361" s="28" t="str">
        <f aca="false">IF(OR(T361="",L361&lt;&gt;"Paquete"),"",COUNTIFS($W$2:W361,W361,$L$2:L361,"Paquete"))</f>
        <v/>
      </c>
      <c r="V361" s="25"/>
      <c r="W361" s="34" t="str">
        <f aca="false">IF(TRIM($C361)="","",IF(COUNTIF('🎓 Alumnas'!$P$2:$P$1000,TRIM($C361))&gt;0,INDEX('🎓 Alumnas'!$A$2:$A$1000,MATCH(TRIM($C361),'🎓 Alumnas'!$P$2:$P$1000,0)),IF(COUNTIF('🎓 Alumnas'!$O$2:$O$1000,TRIM($C361)&amp;"|*")=1,INDEX('🎓 Alumnas'!$A$2:$A$1000,MATCH(TRIM($C361)&amp;"|*",'🎓 Alumnas'!$O$2:$O$1000,0)),IF(COUNTIF('🎓 Alumnas'!$O$2:$O$1000,"*|"&amp;TRIM($C361))=1,INDEX('🎓 Alumnas'!$A$2:$A$1000,MATCH("*|"&amp;TRIM($C361),'🎓 Alumnas'!$O$2:$O$1000,0)),IF(COUNTIF('🎓 Alumnas'!$Q$2:$Q$1000,TRIM($C361))=1,INDEX('🎓 Alumnas'!$A$2:$A$1000,MATCH(TRIM($C361),'🎓 Alumnas'!$Q$2:$Q$1000,0)),IF(COUNTIF('🎓 Alumnas'!$P$2:$P$1000,"*"&amp;TRIM($C361)&amp;"*")=1,INDEX('🎓 Alumnas'!$A$2:$A$1000,MATCH("*"&amp;TRIM($C361)&amp;"*",'🎓 Alumnas'!$P$2:$P$1000,0)),IF(COUNTIF('🎓 Alumnas'!$Q$2:$Q$1000,"*"&amp;TRIM($C361)&amp;"*")=1,INDEX('🎓 Alumnas'!$A$2:$A$1000,MATCH("*"&amp;TRIM($C361)&amp;"*",'🎓 Alumnas'!$Q$2:$Q$1000,0)),IF(COUNTIF('🎓 Alumnas'!$P$2:$P$1000,"*"&amp;TRIM($C361)&amp;"*")+COUNTIF('🎓 Alumnas'!$Q$2:$Q$1000,"*"&amp;TRIM($C361)&amp;"*")&gt;1,"Varias: elige de la lista","No encontrada"))))))))</f>
        <v/>
      </c>
    </row>
    <row r="362" customFormat="false" ht="14.25" hidden="false" customHeight="true" outlineLevel="0" collapsed="false">
      <c r="A362" s="25" t="s">
        <v>906</v>
      </c>
      <c r="B362" s="27"/>
      <c r="C362" s="25"/>
      <c r="D362" s="34" t="str">
        <f aca="false">IF($W362="","",IFERROR(TRIM(INDEX('🎓 Alumnas'!$B$2:$B$1000,MATCH($W362,'🎓 Alumnas'!$A$2:$A$1000,0))),""))</f>
        <v/>
      </c>
      <c r="E362" s="34" t="str">
        <f aca="false">IF($W362="","",IFERROR(TRIM(INDEX('🎓 Alumnas'!$C$2:$C$1000,MATCH($W362,'🎓 Alumnas'!$A$2:$A$1000,0))),""))</f>
        <v/>
      </c>
      <c r="F362" s="34" t="str">
        <f aca="false">IF($W362="","",IFERROR(IF(INDEX('🎓 Alumnas'!$D$2:$D$1000,MATCH($W362,'🎓 Alumnas'!$A$2:$A$1000,0))="","",INDEX('🎓 Alumnas'!$D$2:$D$1000,MATCH($W362,'🎓 Alumnas'!$A$2:$A$1000,0))),""))</f>
        <v/>
      </c>
      <c r="G362" s="28" t="str">
        <f aca="false">IF($W362="","",IFERROR(IF(INDEX('🎓 Alumnas'!$E$2:$E$1000,MATCH($W362,'🎓 Alumnas'!$A$2:$A$1000,0))="","",INDEX('🎓 Alumnas'!$E$2:$E$1000,MATCH($W362,'🎓 Alumnas'!$A$2:$A$1000,0))),""))</f>
        <v/>
      </c>
      <c r="H362" s="28" t="str">
        <f aca="false">IF($W362="","",IFERROR(IF(INDEX('🎓 Alumnas'!$F$2:$F$1000,MATCH($W362,'🎓 Alumnas'!$A$2:$A$1000,0))="","",INDEX('🎓 Alumnas'!$F$2:$F$1000,MATCH($W362,'🎓 Alumnas'!$A$2:$A$1000,0))),""))</f>
        <v/>
      </c>
      <c r="I362" s="30" t="str">
        <f aca="false">IF($W362="","",IFERROR(IF(INDEX('🎓 Alumnas'!$G$2:$G$1000,MATCH($W362,'🎓 Alumnas'!$A$2:$A$1000,0))="","",INDEX('🎓 Alumnas'!$G$2:$G$1000,MATCH($W362,'🎓 Alumnas'!$A$2:$A$1000,0))),""))</f>
        <v/>
      </c>
      <c r="J362" s="28" t="str">
        <f aca="true">IF(I362="","",DATEDIF(I362,TODAY(),"Y"))</f>
        <v/>
      </c>
      <c r="K362" s="25"/>
      <c r="L362" s="28" t="str">
        <f aca="false">IF(K362="","",IF(LEFT(K362,6)="1 Pole","Alquiler",IF(LEFT(K362,7)="1 Clase","Clase suelta","Paquete")))</f>
        <v/>
      </c>
      <c r="M362" s="25"/>
      <c r="N362" s="25"/>
      <c r="O362" s="35"/>
      <c r="P362" s="29" t="str">
        <f aca="false">IF(O362="","",N362*O362)</f>
        <v/>
      </c>
      <c r="Q362" s="36"/>
      <c r="R362" s="25"/>
      <c r="S362" s="25"/>
      <c r="T362" s="28" t="str">
        <f aca="false">IF(OR(LEFT(W362,2)&lt;&gt;"A-",ISERROR(MATCH(W362,'🎓 Alumnas'!$A$2:$A$1000,0))),"",IF(COUNTIF($W$2:W362,W362)=1,"Nueva","Recurrente"))</f>
        <v/>
      </c>
      <c r="U362" s="28" t="str">
        <f aca="false">IF(OR(T362="",L362&lt;&gt;"Paquete"),"",COUNTIFS($W$2:W362,W362,$L$2:L362,"Paquete"))</f>
        <v/>
      </c>
      <c r="V362" s="25"/>
      <c r="W362" s="34" t="str">
        <f aca="false">IF(TRIM($C362)="","",IF(COUNTIF('🎓 Alumnas'!$P$2:$P$1000,TRIM($C362))&gt;0,INDEX('🎓 Alumnas'!$A$2:$A$1000,MATCH(TRIM($C362),'🎓 Alumnas'!$P$2:$P$1000,0)),IF(COUNTIF('🎓 Alumnas'!$O$2:$O$1000,TRIM($C362)&amp;"|*")=1,INDEX('🎓 Alumnas'!$A$2:$A$1000,MATCH(TRIM($C362)&amp;"|*",'🎓 Alumnas'!$O$2:$O$1000,0)),IF(COUNTIF('🎓 Alumnas'!$O$2:$O$1000,"*|"&amp;TRIM($C362))=1,INDEX('🎓 Alumnas'!$A$2:$A$1000,MATCH("*|"&amp;TRIM($C362),'🎓 Alumnas'!$O$2:$O$1000,0)),IF(COUNTIF('🎓 Alumnas'!$Q$2:$Q$1000,TRIM($C362))=1,INDEX('🎓 Alumnas'!$A$2:$A$1000,MATCH(TRIM($C362),'🎓 Alumnas'!$Q$2:$Q$1000,0)),IF(COUNTIF('🎓 Alumnas'!$P$2:$P$1000,"*"&amp;TRIM($C362)&amp;"*")=1,INDEX('🎓 Alumnas'!$A$2:$A$1000,MATCH("*"&amp;TRIM($C362)&amp;"*",'🎓 Alumnas'!$P$2:$P$1000,0)),IF(COUNTIF('🎓 Alumnas'!$Q$2:$Q$1000,"*"&amp;TRIM($C362)&amp;"*")=1,INDEX('🎓 Alumnas'!$A$2:$A$1000,MATCH("*"&amp;TRIM($C362)&amp;"*",'🎓 Alumnas'!$Q$2:$Q$1000,0)),IF(COUNTIF('🎓 Alumnas'!$P$2:$P$1000,"*"&amp;TRIM($C362)&amp;"*")+COUNTIF('🎓 Alumnas'!$Q$2:$Q$1000,"*"&amp;TRIM($C362)&amp;"*")&gt;1,"Varias: elige de la lista","No encontrada"))))))))</f>
        <v/>
      </c>
    </row>
    <row r="363" customFormat="false" ht="14.25" hidden="false" customHeight="true" outlineLevel="0" collapsed="false">
      <c r="A363" s="25" t="s">
        <v>907</v>
      </c>
      <c r="B363" s="27"/>
      <c r="C363" s="25"/>
      <c r="D363" s="34" t="str">
        <f aca="false">IF($W363="","",IFERROR(TRIM(INDEX('🎓 Alumnas'!$B$2:$B$1000,MATCH($W363,'🎓 Alumnas'!$A$2:$A$1000,0))),""))</f>
        <v/>
      </c>
      <c r="E363" s="34" t="str">
        <f aca="false">IF($W363="","",IFERROR(TRIM(INDEX('🎓 Alumnas'!$C$2:$C$1000,MATCH($W363,'🎓 Alumnas'!$A$2:$A$1000,0))),""))</f>
        <v/>
      </c>
      <c r="F363" s="34" t="str">
        <f aca="false">IF($W363="","",IFERROR(IF(INDEX('🎓 Alumnas'!$D$2:$D$1000,MATCH($W363,'🎓 Alumnas'!$A$2:$A$1000,0))="","",INDEX('🎓 Alumnas'!$D$2:$D$1000,MATCH($W363,'🎓 Alumnas'!$A$2:$A$1000,0))),""))</f>
        <v/>
      </c>
      <c r="G363" s="28" t="str">
        <f aca="false">IF($W363="","",IFERROR(IF(INDEX('🎓 Alumnas'!$E$2:$E$1000,MATCH($W363,'🎓 Alumnas'!$A$2:$A$1000,0))="","",INDEX('🎓 Alumnas'!$E$2:$E$1000,MATCH($W363,'🎓 Alumnas'!$A$2:$A$1000,0))),""))</f>
        <v/>
      </c>
      <c r="H363" s="28" t="str">
        <f aca="false">IF($W363="","",IFERROR(IF(INDEX('🎓 Alumnas'!$F$2:$F$1000,MATCH($W363,'🎓 Alumnas'!$A$2:$A$1000,0))="","",INDEX('🎓 Alumnas'!$F$2:$F$1000,MATCH($W363,'🎓 Alumnas'!$A$2:$A$1000,0))),""))</f>
        <v/>
      </c>
      <c r="I363" s="30" t="str">
        <f aca="false">IF($W363="","",IFERROR(IF(INDEX('🎓 Alumnas'!$G$2:$G$1000,MATCH($W363,'🎓 Alumnas'!$A$2:$A$1000,0))="","",INDEX('🎓 Alumnas'!$G$2:$G$1000,MATCH($W363,'🎓 Alumnas'!$A$2:$A$1000,0))),""))</f>
        <v/>
      </c>
      <c r="J363" s="28" t="str">
        <f aca="true">IF(I363="","",DATEDIF(I363,TODAY(),"Y"))</f>
        <v/>
      </c>
      <c r="K363" s="25"/>
      <c r="L363" s="28" t="str">
        <f aca="false">IF(K363="","",IF(LEFT(K363,6)="1 Pole","Alquiler",IF(LEFT(K363,7)="1 Clase","Clase suelta","Paquete")))</f>
        <v/>
      </c>
      <c r="M363" s="25"/>
      <c r="N363" s="25"/>
      <c r="O363" s="35"/>
      <c r="P363" s="29" t="str">
        <f aca="false">IF(O363="","",N363*O363)</f>
        <v/>
      </c>
      <c r="Q363" s="36"/>
      <c r="R363" s="25"/>
      <c r="S363" s="25"/>
      <c r="T363" s="28" t="str">
        <f aca="false">IF(OR(LEFT(W363,2)&lt;&gt;"A-",ISERROR(MATCH(W363,'🎓 Alumnas'!$A$2:$A$1000,0))),"",IF(COUNTIF($W$2:W363,W363)=1,"Nueva","Recurrente"))</f>
        <v/>
      </c>
      <c r="U363" s="28" t="str">
        <f aca="false">IF(OR(T363="",L363&lt;&gt;"Paquete"),"",COUNTIFS($W$2:W363,W363,$L$2:L363,"Paquete"))</f>
        <v/>
      </c>
      <c r="V363" s="25"/>
      <c r="W363" s="34" t="str">
        <f aca="false">IF(TRIM($C363)="","",IF(COUNTIF('🎓 Alumnas'!$P$2:$P$1000,TRIM($C363))&gt;0,INDEX('🎓 Alumnas'!$A$2:$A$1000,MATCH(TRIM($C363),'🎓 Alumnas'!$P$2:$P$1000,0)),IF(COUNTIF('🎓 Alumnas'!$O$2:$O$1000,TRIM($C363)&amp;"|*")=1,INDEX('🎓 Alumnas'!$A$2:$A$1000,MATCH(TRIM($C363)&amp;"|*",'🎓 Alumnas'!$O$2:$O$1000,0)),IF(COUNTIF('🎓 Alumnas'!$O$2:$O$1000,"*|"&amp;TRIM($C363))=1,INDEX('🎓 Alumnas'!$A$2:$A$1000,MATCH("*|"&amp;TRIM($C363),'🎓 Alumnas'!$O$2:$O$1000,0)),IF(COUNTIF('🎓 Alumnas'!$Q$2:$Q$1000,TRIM($C363))=1,INDEX('🎓 Alumnas'!$A$2:$A$1000,MATCH(TRIM($C363),'🎓 Alumnas'!$Q$2:$Q$1000,0)),IF(COUNTIF('🎓 Alumnas'!$P$2:$P$1000,"*"&amp;TRIM($C363)&amp;"*")=1,INDEX('🎓 Alumnas'!$A$2:$A$1000,MATCH("*"&amp;TRIM($C363)&amp;"*",'🎓 Alumnas'!$P$2:$P$1000,0)),IF(COUNTIF('🎓 Alumnas'!$Q$2:$Q$1000,"*"&amp;TRIM($C363)&amp;"*")=1,INDEX('🎓 Alumnas'!$A$2:$A$1000,MATCH("*"&amp;TRIM($C363)&amp;"*",'🎓 Alumnas'!$Q$2:$Q$1000,0)),IF(COUNTIF('🎓 Alumnas'!$P$2:$P$1000,"*"&amp;TRIM($C363)&amp;"*")+COUNTIF('🎓 Alumnas'!$Q$2:$Q$1000,"*"&amp;TRIM($C363)&amp;"*")&gt;1,"Varias: elige de la lista","No encontrada"))))))))</f>
        <v/>
      </c>
    </row>
    <row r="364" customFormat="false" ht="14.25" hidden="false" customHeight="true" outlineLevel="0" collapsed="false">
      <c r="A364" s="25" t="s">
        <v>908</v>
      </c>
      <c r="B364" s="27"/>
      <c r="C364" s="25"/>
      <c r="D364" s="34" t="str">
        <f aca="false">IF($W364="","",IFERROR(TRIM(INDEX('🎓 Alumnas'!$B$2:$B$1000,MATCH($W364,'🎓 Alumnas'!$A$2:$A$1000,0))),""))</f>
        <v/>
      </c>
      <c r="E364" s="34" t="str">
        <f aca="false">IF($W364="","",IFERROR(TRIM(INDEX('🎓 Alumnas'!$C$2:$C$1000,MATCH($W364,'🎓 Alumnas'!$A$2:$A$1000,0))),""))</f>
        <v/>
      </c>
      <c r="F364" s="34" t="str">
        <f aca="false">IF($W364="","",IFERROR(IF(INDEX('🎓 Alumnas'!$D$2:$D$1000,MATCH($W364,'🎓 Alumnas'!$A$2:$A$1000,0))="","",INDEX('🎓 Alumnas'!$D$2:$D$1000,MATCH($W364,'🎓 Alumnas'!$A$2:$A$1000,0))),""))</f>
        <v/>
      </c>
      <c r="G364" s="28" t="str">
        <f aca="false">IF($W364="","",IFERROR(IF(INDEX('🎓 Alumnas'!$E$2:$E$1000,MATCH($W364,'🎓 Alumnas'!$A$2:$A$1000,0))="","",INDEX('🎓 Alumnas'!$E$2:$E$1000,MATCH($W364,'🎓 Alumnas'!$A$2:$A$1000,0))),""))</f>
        <v/>
      </c>
      <c r="H364" s="28" t="str">
        <f aca="false">IF($W364="","",IFERROR(IF(INDEX('🎓 Alumnas'!$F$2:$F$1000,MATCH($W364,'🎓 Alumnas'!$A$2:$A$1000,0))="","",INDEX('🎓 Alumnas'!$F$2:$F$1000,MATCH($W364,'🎓 Alumnas'!$A$2:$A$1000,0))),""))</f>
        <v/>
      </c>
      <c r="I364" s="30" t="str">
        <f aca="false">IF($W364="","",IFERROR(IF(INDEX('🎓 Alumnas'!$G$2:$G$1000,MATCH($W364,'🎓 Alumnas'!$A$2:$A$1000,0))="","",INDEX('🎓 Alumnas'!$G$2:$G$1000,MATCH($W364,'🎓 Alumnas'!$A$2:$A$1000,0))),""))</f>
        <v/>
      </c>
      <c r="J364" s="28" t="str">
        <f aca="true">IF(I364="","",DATEDIF(I364,TODAY(),"Y"))</f>
        <v/>
      </c>
      <c r="K364" s="25"/>
      <c r="L364" s="28" t="str">
        <f aca="false">IF(K364="","",IF(LEFT(K364,6)="1 Pole","Alquiler",IF(LEFT(K364,7)="1 Clase","Clase suelta","Paquete")))</f>
        <v/>
      </c>
      <c r="M364" s="25"/>
      <c r="N364" s="25"/>
      <c r="O364" s="35"/>
      <c r="P364" s="29" t="str">
        <f aca="false">IF(O364="","",N364*O364)</f>
        <v/>
      </c>
      <c r="Q364" s="36"/>
      <c r="R364" s="25"/>
      <c r="S364" s="25"/>
      <c r="T364" s="28" t="str">
        <f aca="false">IF(OR(LEFT(W364,2)&lt;&gt;"A-",ISERROR(MATCH(W364,'🎓 Alumnas'!$A$2:$A$1000,0))),"",IF(COUNTIF($W$2:W364,W364)=1,"Nueva","Recurrente"))</f>
        <v/>
      </c>
      <c r="U364" s="28" t="str">
        <f aca="false">IF(OR(T364="",L364&lt;&gt;"Paquete"),"",COUNTIFS($W$2:W364,W364,$L$2:L364,"Paquete"))</f>
        <v/>
      </c>
      <c r="V364" s="25"/>
      <c r="W364" s="34" t="str">
        <f aca="false">IF(TRIM($C364)="","",IF(COUNTIF('🎓 Alumnas'!$P$2:$P$1000,TRIM($C364))&gt;0,INDEX('🎓 Alumnas'!$A$2:$A$1000,MATCH(TRIM($C364),'🎓 Alumnas'!$P$2:$P$1000,0)),IF(COUNTIF('🎓 Alumnas'!$O$2:$O$1000,TRIM($C364)&amp;"|*")=1,INDEX('🎓 Alumnas'!$A$2:$A$1000,MATCH(TRIM($C364)&amp;"|*",'🎓 Alumnas'!$O$2:$O$1000,0)),IF(COUNTIF('🎓 Alumnas'!$O$2:$O$1000,"*|"&amp;TRIM($C364))=1,INDEX('🎓 Alumnas'!$A$2:$A$1000,MATCH("*|"&amp;TRIM($C364),'🎓 Alumnas'!$O$2:$O$1000,0)),IF(COUNTIF('🎓 Alumnas'!$Q$2:$Q$1000,TRIM($C364))=1,INDEX('🎓 Alumnas'!$A$2:$A$1000,MATCH(TRIM($C364),'🎓 Alumnas'!$Q$2:$Q$1000,0)),IF(COUNTIF('🎓 Alumnas'!$P$2:$P$1000,"*"&amp;TRIM($C364)&amp;"*")=1,INDEX('🎓 Alumnas'!$A$2:$A$1000,MATCH("*"&amp;TRIM($C364)&amp;"*",'🎓 Alumnas'!$P$2:$P$1000,0)),IF(COUNTIF('🎓 Alumnas'!$Q$2:$Q$1000,"*"&amp;TRIM($C364)&amp;"*")=1,INDEX('🎓 Alumnas'!$A$2:$A$1000,MATCH("*"&amp;TRIM($C364)&amp;"*",'🎓 Alumnas'!$Q$2:$Q$1000,0)),IF(COUNTIF('🎓 Alumnas'!$P$2:$P$1000,"*"&amp;TRIM($C364)&amp;"*")+COUNTIF('🎓 Alumnas'!$Q$2:$Q$1000,"*"&amp;TRIM($C364)&amp;"*")&gt;1,"Varias: elige de la lista","No encontrada"))))))))</f>
        <v/>
      </c>
    </row>
    <row r="365" customFormat="false" ht="14.25" hidden="false" customHeight="true" outlineLevel="0" collapsed="false">
      <c r="A365" s="25" t="s">
        <v>909</v>
      </c>
      <c r="B365" s="27"/>
      <c r="C365" s="25"/>
      <c r="D365" s="34" t="str">
        <f aca="false">IF($W365="","",IFERROR(TRIM(INDEX('🎓 Alumnas'!$B$2:$B$1000,MATCH($W365,'🎓 Alumnas'!$A$2:$A$1000,0))),""))</f>
        <v/>
      </c>
      <c r="E365" s="34" t="str">
        <f aca="false">IF($W365="","",IFERROR(TRIM(INDEX('🎓 Alumnas'!$C$2:$C$1000,MATCH($W365,'🎓 Alumnas'!$A$2:$A$1000,0))),""))</f>
        <v/>
      </c>
      <c r="F365" s="34" t="str">
        <f aca="false">IF($W365="","",IFERROR(IF(INDEX('🎓 Alumnas'!$D$2:$D$1000,MATCH($W365,'🎓 Alumnas'!$A$2:$A$1000,0))="","",INDEX('🎓 Alumnas'!$D$2:$D$1000,MATCH($W365,'🎓 Alumnas'!$A$2:$A$1000,0))),""))</f>
        <v/>
      </c>
      <c r="G365" s="28" t="str">
        <f aca="false">IF($W365="","",IFERROR(IF(INDEX('🎓 Alumnas'!$E$2:$E$1000,MATCH($W365,'🎓 Alumnas'!$A$2:$A$1000,0))="","",INDEX('🎓 Alumnas'!$E$2:$E$1000,MATCH($W365,'🎓 Alumnas'!$A$2:$A$1000,0))),""))</f>
        <v/>
      </c>
      <c r="H365" s="28" t="str">
        <f aca="false">IF($W365="","",IFERROR(IF(INDEX('🎓 Alumnas'!$F$2:$F$1000,MATCH($W365,'🎓 Alumnas'!$A$2:$A$1000,0))="","",INDEX('🎓 Alumnas'!$F$2:$F$1000,MATCH($W365,'🎓 Alumnas'!$A$2:$A$1000,0))),""))</f>
        <v/>
      </c>
      <c r="I365" s="30" t="str">
        <f aca="false">IF($W365="","",IFERROR(IF(INDEX('🎓 Alumnas'!$G$2:$G$1000,MATCH($W365,'🎓 Alumnas'!$A$2:$A$1000,0))="","",INDEX('🎓 Alumnas'!$G$2:$G$1000,MATCH($W365,'🎓 Alumnas'!$A$2:$A$1000,0))),""))</f>
        <v/>
      </c>
      <c r="J365" s="28" t="str">
        <f aca="true">IF(I365="","",DATEDIF(I365,TODAY(),"Y"))</f>
        <v/>
      </c>
      <c r="K365" s="25"/>
      <c r="L365" s="28" t="str">
        <f aca="false">IF(K365="","",IF(LEFT(K365,6)="1 Pole","Alquiler",IF(LEFT(K365,7)="1 Clase","Clase suelta","Paquete")))</f>
        <v/>
      </c>
      <c r="M365" s="25"/>
      <c r="N365" s="25"/>
      <c r="O365" s="35"/>
      <c r="P365" s="29" t="str">
        <f aca="false">IF(O365="","",N365*O365)</f>
        <v/>
      </c>
      <c r="Q365" s="36"/>
      <c r="R365" s="25"/>
      <c r="S365" s="25"/>
      <c r="T365" s="28" t="str">
        <f aca="false">IF(OR(LEFT(W365,2)&lt;&gt;"A-",ISERROR(MATCH(W365,'🎓 Alumnas'!$A$2:$A$1000,0))),"",IF(COUNTIF($W$2:W365,W365)=1,"Nueva","Recurrente"))</f>
        <v/>
      </c>
      <c r="U365" s="28" t="str">
        <f aca="false">IF(OR(T365="",L365&lt;&gt;"Paquete"),"",COUNTIFS($W$2:W365,W365,$L$2:L365,"Paquete"))</f>
        <v/>
      </c>
      <c r="V365" s="25"/>
      <c r="W365" s="34" t="str">
        <f aca="false">IF(TRIM($C365)="","",IF(COUNTIF('🎓 Alumnas'!$P$2:$P$1000,TRIM($C365))&gt;0,INDEX('🎓 Alumnas'!$A$2:$A$1000,MATCH(TRIM($C365),'🎓 Alumnas'!$P$2:$P$1000,0)),IF(COUNTIF('🎓 Alumnas'!$O$2:$O$1000,TRIM($C365)&amp;"|*")=1,INDEX('🎓 Alumnas'!$A$2:$A$1000,MATCH(TRIM($C365)&amp;"|*",'🎓 Alumnas'!$O$2:$O$1000,0)),IF(COUNTIF('🎓 Alumnas'!$O$2:$O$1000,"*|"&amp;TRIM($C365))=1,INDEX('🎓 Alumnas'!$A$2:$A$1000,MATCH("*|"&amp;TRIM($C365),'🎓 Alumnas'!$O$2:$O$1000,0)),IF(COUNTIF('🎓 Alumnas'!$Q$2:$Q$1000,TRIM($C365))=1,INDEX('🎓 Alumnas'!$A$2:$A$1000,MATCH(TRIM($C365),'🎓 Alumnas'!$Q$2:$Q$1000,0)),IF(COUNTIF('🎓 Alumnas'!$P$2:$P$1000,"*"&amp;TRIM($C365)&amp;"*")=1,INDEX('🎓 Alumnas'!$A$2:$A$1000,MATCH("*"&amp;TRIM($C365)&amp;"*",'🎓 Alumnas'!$P$2:$P$1000,0)),IF(COUNTIF('🎓 Alumnas'!$Q$2:$Q$1000,"*"&amp;TRIM($C365)&amp;"*")=1,INDEX('🎓 Alumnas'!$A$2:$A$1000,MATCH("*"&amp;TRIM($C365)&amp;"*",'🎓 Alumnas'!$Q$2:$Q$1000,0)),IF(COUNTIF('🎓 Alumnas'!$P$2:$P$1000,"*"&amp;TRIM($C365)&amp;"*")+COUNTIF('🎓 Alumnas'!$Q$2:$Q$1000,"*"&amp;TRIM($C365)&amp;"*")&gt;1,"Varias: elige de la lista","No encontrada"))))))))</f>
        <v/>
      </c>
    </row>
    <row r="366" customFormat="false" ht="14.25" hidden="false" customHeight="true" outlineLevel="0" collapsed="false">
      <c r="A366" s="25" t="s">
        <v>910</v>
      </c>
      <c r="B366" s="27"/>
      <c r="C366" s="25"/>
      <c r="D366" s="34" t="str">
        <f aca="false">IF($W366="","",IFERROR(TRIM(INDEX('🎓 Alumnas'!$B$2:$B$1000,MATCH($W366,'🎓 Alumnas'!$A$2:$A$1000,0))),""))</f>
        <v/>
      </c>
      <c r="E366" s="34" t="str">
        <f aca="false">IF($W366="","",IFERROR(TRIM(INDEX('🎓 Alumnas'!$C$2:$C$1000,MATCH($W366,'🎓 Alumnas'!$A$2:$A$1000,0))),""))</f>
        <v/>
      </c>
      <c r="F366" s="34" t="str">
        <f aca="false">IF($W366="","",IFERROR(IF(INDEX('🎓 Alumnas'!$D$2:$D$1000,MATCH($W366,'🎓 Alumnas'!$A$2:$A$1000,0))="","",INDEX('🎓 Alumnas'!$D$2:$D$1000,MATCH($W366,'🎓 Alumnas'!$A$2:$A$1000,0))),""))</f>
        <v/>
      </c>
      <c r="G366" s="28" t="str">
        <f aca="false">IF($W366="","",IFERROR(IF(INDEX('🎓 Alumnas'!$E$2:$E$1000,MATCH($W366,'🎓 Alumnas'!$A$2:$A$1000,0))="","",INDEX('🎓 Alumnas'!$E$2:$E$1000,MATCH($W366,'🎓 Alumnas'!$A$2:$A$1000,0))),""))</f>
        <v/>
      </c>
      <c r="H366" s="28" t="str">
        <f aca="false">IF($W366="","",IFERROR(IF(INDEX('🎓 Alumnas'!$F$2:$F$1000,MATCH($W366,'🎓 Alumnas'!$A$2:$A$1000,0))="","",INDEX('🎓 Alumnas'!$F$2:$F$1000,MATCH($W366,'🎓 Alumnas'!$A$2:$A$1000,0))),""))</f>
        <v/>
      </c>
      <c r="I366" s="30" t="str">
        <f aca="false">IF($W366="","",IFERROR(IF(INDEX('🎓 Alumnas'!$G$2:$G$1000,MATCH($W366,'🎓 Alumnas'!$A$2:$A$1000,0))="","",INDEX('🎓 Alumnas'!$G$2:$G$1000,MATCH($W366,'🎓 Alumnas'!$A$2:$A$1000,0))),""))</f>
        <v/>
      </c>
      <c r="J366" s="28" t="str">
        <f aca="true">IF(I366="","",DATEDIF(I366,TODAY(),"Y"))</f>
        <v/>
      </c>
      <c r="K366" s="25"/>
      <c r="L366" s="28" t="str">
        <f aca="false">IF(K366="","",IF(LEFT(K366,6)="1 Pole","Alquiler",IF(LEFT(K366,7)="1 Clase","Clase suelta","Paquete")))</f>
        <v/>
      </c>
      <c r="M366" s="25"/>
      <c r="N366" s="25"/>
      <c r="O366" s="35"/>
      <c r="P366" s="29" t="str">
        <f aca="false">IF(O366="","",N366*O366)</f>
        <v/>
      </c>
      <c r="Q366" s="36"/>
      <c r="R366" s="25"/>
      <c r="S366" s="25"/>
      <c r="T366" s="28" t="str">
        <f aca="false">IF(OR(LEFT(W366,2)&lt;&gt;"A-",ISERROR(MATCH(W366,'🎓 Alumnas'!$A$2:$A$1000,0))),"",IF(COUNTIF($W$2:W366,W366)=1,"Nueva","Recurrente"))</f>
        <v/>
      </c>
      <c r="U366" s="28" t="str">
        <f aca="false">IF(OR(T366="",L366&lt;&gt;"Paquete"),"",COUNTIFS($W$2:W366,W366,$L$2:L366,"Paquete"))</f>
        <v/>
      </c>
      <c r="V366" s="25"/>
      <c r="W366" s="34" t="str">
        <f aca="false">IF(TRIM($C366)="","",IF(COUNTIF('🎓 Alumnas'!$P$2:$P$1000,TRIM($C366))&gt;0,INDEX('🎓 Alumnas'!$A$2:$A$1000,MATCH(TRIM($C366),'🎓 Alumnas'!$P$2:$P$1000,0)),IF(COUNTIF('🎓 Alumnas'!$O$2:$O$1000,TRIM($C366)&amp;"|*")=1,INDEX('🎓 Alumnas'!$A$2:$A$1000,MATCH(TRIM($C366)&amp;"|*",'🎓 Alumnas'!$O$2:$O$1000,0)),IF(COUNTIF('🎓 Alumnas'!$O$2:$O$1000,"*|"&amp;TRIM($C366))=1,INDEX('🎓 Alumnas'!$A$2:$A$1000,MATCH("*|"&amp;TRIM($C366),'🎓 Alumnas'!$O$2:$O$1000,0)),IF(COUNTIF('🎓 Alumnas'!$Q$2:$Q$1000,TRIM($C366))=1,INDEX('🎓 Alumnas'!$A$2:$A$1000,MATCH(TRIM($C366),'🎓 Alumnas'!$Q$2:$Q$1000,0)),IF(COUNTIF('🎓 Alumnas'!$P$2:$P$1000,"*"&amp;TRIM($C366)&amp;"*")=1,INDEX('🎓 Alumnas'!$A$2:$A$1000,MATCH("*"&amp;TRIM($C366)&amp;"*",'🎓 Alumnas'!$P$2:$P$1000,0)),IF(COUNTIF('🎓 Alumnas'!$Q$2:$Q$1000,"*"&amp;TRIM($C366)&amp;"*")=1,INDEX('🎓 Alumnas'!$A$2:$A$1000,MATCH("*"&amp;TRIM($C366)&amp;"*",'🎓 Alumnas'!$Q$2:$Q$1000,0)),IF(COUNTIF('🎓 Alumnas'!$P$2:$P$1000,"*"&amp;TRIM($C366)&amp;"*")+COUNTIF('🎓 Alumnas'!$Q$2:$Q$1000,"*"&amp;TRIM($C366)&amp;"*")&gt;1,"Varias: elige de la lista","No encontrada"))))))))</f>
        <v/>
      </c>
    </row>
    <row r="367" customFormat="false" ht="14.25" hidden="false" customHeight="true" outlineLevel="0" collapsed="false">
      <c r="A367" s="25" t="s">
        <v>911</v>
      </c>
      <c r="B367" s="27"/>
      <c r="C367" s="25"/>
      <c r="D367" s="34" t="str">
        <f aca="false">IF($W367="","",IFERROR(TRIM(INDEX('🎓 Alumnas'!$B$2:$B$1000,MATCH($W367,'🎓 Alumnas'!$A$2:$A$1000,0))),""))</f>
        <v/>
      </c>
      <c r="E367" s="34" t="str">
        <f aca="false">IF($W367="","",IFERROR(TRIM(INDEX('🎓 Alumnas'!$C$2:$C$1000,MATCH($W367,'🎓 Alumnas'!$A$2:$A$1000,0))),""))</f>
        <v/>
      </c>
      <c r="F367" s="34" t="str">
        <f aca="false">IF($W367="","",IFERROR(IF(INDEX('🎓 Alumnas'!$D$2:$D$1000,MATCH($W367,'🎓 Alumnas'!$A$2:$A$1000,0))="","",INDEX('🎓 Alumnas'!$D$2:$D$1000,MATCH($W367,'🎓 Alumnas'!$A$2:$A$1000,0))),""))</f>
        <v/>
      </c>
      <c r="G367" s="28" t="str">
        <f aca="false">IF($W367="","",IFERROR(IF(INDEX('🎓 Alumnas'!$E$2:$E$1000,MATCH($W367,'🎓 Alumnas'!$A$2:$A$1000,0))="","",INDEX('🎓 Alumnas'!$E$2:$E$1000,MATCH($W367,'🎓 Alumnas'!$A$2:$A$1000,0))),""))</f>
        <v/>
      </c>
      <c r="H367" s="28" t="str">
        <f aca="false">IF($W367="","",IFERROR(IF(INDEX('🎓 Alumnas'!$F$2:$F$1000,MATCH($W367,'🎓 Alumnas'!$A$2:$A$1000,0))="","",INDEX('🎓 Alumnas'!$F$2:$F$1000,MATCH($W367,'🎓 Alumnas'!$A$2:$A$1000,0))),""))</f>
        <v/>
      </c>
      <c r="I367" s="30" t="str">
        <f aca="false">IF($W367="","",IFERROR(IF(INDEX('🎓 Alumnas'!$G$2:$G$1000,MATCH($W367,'🎓 Alumnas'!$A$2:$A$1000,0))="","",INDEX('🎓 Alumnas'!$G$2:$G$1000,MATCH($W367,'🎓 Alumnas'!$A$2:$A$1000,0))),""))</f>
        <v/>
      </c>
      <c r="J367" s="28" t="str">
        <f aca="true">IF(I367="","",DATEDIF(I367,TODAY(),"Y"))</f>
        <v/>
      </c>
      <c r="K367" s="25"/>
      <c r="L367" s="28" t="str">
        <f aca="false">IF(K367="","",IF(LEFT(K367,6)="1 Pole","Alquiler",IF(LEFT(K367,7)="1 Clase","Clase suelta","Paquete")))</f>
        <v/>
      </c>
      <c r="M367" s="25"/>
      <c r="N367" s="25"/>
      <c r="O367" s="35"/>
      <c r="P367" s="29" t="str">
        <f aca="false">IF(O367="","",N367*O367)</f>
        <v/>
      </c>
      <c r="Q367" s="36"/>
      <c r="R367" s="25"/>
      <c r="S367" s="25"/>
      <c r="T367" s="28" t="str">
        <f aca="false">IF(OR(LEFT(W367,2)&lt;&gt;"A-",ISERROR(MATCH(W367,'🎓 Alumnas'!$A$2:$A$1000,0))),"",IF(COUNTIF($W$2:W367,W367)=1,"Nueva","Recurrente"))</f>
        <v/>
      </c>
      <c r="U367" s="28" t="str">
        <f aca="false">IF(OR(T367="",L367&lt;&gt;"Paquete"),"",COUNTIFS($W$2:W367,W367,$L$2:L367,"Paquete"))</f>
        <v/>
      </c>
      <c r="V367" s="25"/>
      <c r="W367" s="34" t="str">
        <f aca="false">IF(TRIM($C367)="","",IF(COUNTIF('🎓 Alumnas'!$P$2:$P$1000,TRIM($C367))&gt;0,INDEX('🎓 Alumnas'!$A$2:$A$1000,MATCH(TRIM($C367),'🎓 Alumnas'!$P$2:$P$1000,0)),IF(COUNTIF('🎓 Alumnas'!$O$2:$O$1000,TRIM($C367)&amp;"|*")=1,INDEX('🎓 Alumnas'!$A$2:$A$1000,MATCH(TRIM($C367)&amp;"|*",'🎓 Alumnas'!$O$2:$O$1000,0)),IF(COUNTIF('🎓 Alumnas'!$O$2:$O$1000,"*|"&amp;TRIM($C367))=1,INDEX('🎓 Alumnas'!$A$2:$A$1000,MATCH("*|"&amp;TRIM($C367),'🎓 Alumnas'!$O$2:$O$1000,0)),IF(COUNTIF('🎓 Alumnas'!$Q$2:$Q$1000,TRIM($C367))=1,INDEX('🎓 Alumnas'!$A$2:$A$1000,MATCH(TRIM($C367),'🎓 Alumnas'!$Q$2:$Q$1000,0)),IF(COUNTIF('🎓 Alumnas'!$P$2:$P$1000,"*"&amp;TRIM($C367)&amp;"*")=1,INDEX('🎓 Alumnas'!$A$2:$A$1000,MATCH("*"&amp;TRIM($C367)&amp;"*",'🎓 Alumnas'!$P$2:$P$1000,0)),IF(COUNTIF('🎓 Alumnas'!$Q$2:$Q$1000,"*"&amp;TRIM($C367)&amp;"*")=1,INDEX('🎓 Alumnas'!$A$2:$A$1000,MATCH("*"&amp;TRIM($C367)&amp;"*",'🎓 Alumnas'!$Q$2:$Q$1000,0)),IF(COUNTIF('🎓 Alumnas'!$P$2:$P$1000,"*"&amp;TRIM($C367)&amp;"*")+COUNTIF('🎓 Alumnas'!$Q$2:$Q$1000,"*"&amp;TRIM($C367)&amp;"*")&gt;1,"Varias: elige de la lista","No encontrada"))))))))</f>
        <v/>
      </c>
    </row>
    <row r="368" customFormat="false" ht="14.25" hidden="false" customHeight="true" outlineLevel="0" collapsed="false">
      <c r="A368" s="25" t="s">
        <v>912</v>
      </c>
      <c r="B368" s="27"/>
      <c r="C368" s="25"/>
      <c r="D368" s="34" t="str">
        <f aca="false">IF($W368="","",IFERROR(TRIM(INDEX('🎓 Alumnas'!$B$2:$B$1000,MATCH($W368,'🎓 Alumnas'!$A$2:$A$1000,0))),""))</f>
        <v/>
      </c>
      <c r="E368" s="34" t="str">
        <f aca="false">IF($W368="","",IFERROR(TRIM(INDEX('🎓 Alumnas'!$C$2:$C$1000,MATCH($W368,'🎓 Alumnas'!$A$2:$A$1000,0))),""))</f>
        <v/>
      </c>
      <c r="F368" s="34" t="str">
        <f aca="false">IF($W368="","",IFERROR(IF(INDEX('🎓 Alumnas'!$D$2:$D$1000,MATCH($W368,'🎓 Alumnas'!$A$2:$A$1000,0))="","",INDEX('🎓 Alumnas'!$D$2:$D$1000,MATCH($W368,'🎓 Alumnas'!$A$2:$A$1000,0))),""))</f>
        <v/>
      </c>
      <c r="G368" s="28" t="str">
        <f aca="false">IF($W368="","",IFERROR(IF(INDEX('🎓 Alumnas'!$E$2:$E$1000,MATCH($W368,'🎓 Alumnas'!$A$2:$A$1000,0))="","",INDEX('🎓 Alumnas'!$E$2:$E$1000,MATCH($W368,'🎓 Alumnas'!$A$2:$A$1000,0))),""))</f>
        <v/>
      </c>
      <c r="H368" s="28" t="str">
        <f aca="false">IF($W368="","",IFERROR(IF(INDEX('🎓 Alumnas'!$F$2:$F$1000,MATCH($W368,'🎓 Alumnas'!$A$2:$A$1000,0))="","",INDEX('🎓 Alumnas'!$F$2:$F$1000,MATCH($W368,'🎓 Alumnas'!$A$2:$A$1000,0))),""))</f>
        <v/>
      </c>
      <c r="I368" s="30" t="str">
        <f aca="false">IF($W368="","",IFERROR(IF(INDEX('🎓 Alumnas'!$G$2:$G$1000,MATCH($W368,'🎓 Alumnas'!$A$2:$A$1000,0))="","",INDEX('🎓 Alumnas'!$G$2:$G$1000,MATCH($W368,'🎓 Alumnas'!$A$2:$A$1000,0))),""))</f>
        <v/>
      </c>
      <c r="J368" s="28" t="str">
        <f aca="true">IF(I368="","",DATEDIF(I368,TODAY(),"Y"))</f>
        <v/>
      </c>
      <c r="K368" s="25"/>
      <c r="L368" s="28" t="str">
        <f aca="false">IF(K368="","",IF(LEFT(K368,6)="1 Pole","Alquiler",IF(LEFT(K368,7)="1 Clase","Clase suelta","Paquete")))</f>
        <v/>
      </c>
      <c r="M368" s="25"/>
      <c r="N368" s="25"/>
      <c r="O368" s="35"/>
      <c r="P368" s="29" t="str">
        <f aca="false">IF(O368="","",N368*O368)</f>
        <v/>
      </c>
      <c r="Q368" s="36"/>
      <c r="R368" s="25"/>
      <c r="S368" s="25"/>
      <c r="T368" s="28" t="str">
        <f aca="false">IF(OR(LEFT(W368,2)&lt;&gt;"A-",ISERROR(MATCH(W368,'🎓 Alumnas'!$A$2:$A$1000,0))),"",IF(COUNTIF($W$2:W368,W368)=1,"Nueva","Recurrente"))</f>
        <v/>
      </c>
      <c r="U368" s="28" t="str">
        <f aca="false">IF(OR(T368="",L368&lt;&gt;"Paquete"),"",COUNTIFS($W$2:W368,W368,$L$2:L368,"Paquete"))</f>
        <v/>
      </c>
      <c r="V368" s="25"/>
      <c r="W368" s="34" t="str">
        <f aca="false">IF(TRIM($C368)="","",IF(COUNTIF('🎓 Alumnas'!$P$2:$P$1000,TRIM($C368))&gt;0,INDEX('🎓 Alumnas'!$A$2:$A$1000,MATCH(TRIM($C368),'🎓 Alumnas'!$P$2:$P$1000,0)),IF(COUNTIF('🎓 Alumnas'!$O$2:$O$1000,TRIM($C368)&amp;"|*")=1,INDEX('🎓 Alumnas'!$A$2:$A$1000,MATCH(TRIM($C368)&amp;"|*",'🎓 Alumnas'!$O$2:$O$1000,0)),IF(COUNTIF('🎓 Alumnas'!$O$2:$O$1000,"*|"&amp;TRIM($C368))=1,INDEX('🎓 Alumnas'!$A$2:$A$1000,MATCH("*|"&amp;TRIM($C368),'🎓 Alumnas'!$O$2:$O$1000,0)),IF(COUNTIF('🎓 Alumnas'!$Q$2:$Q$1000,TRIM($C368))=1,INDEX('🎓 Alumnas'!$A$2:$A$1000,MATCH(TRIM($C368),'🎓 Alumnas'!$Q$2:$Q$1000,0)),IF(COUNTIF('🎓 Alumnas'!$P$2:$P$1000,"*"&amp;TRIM($C368)&amp;"*")=1,INDEX('🎓 Alumnas'!$A$2:$A$1000,MATCH("*"&amp;TRIM($C368)&amp;"*",'🎓 Alumnas'!$P$2:$P$1000,0)),IF(COUNTIF('🎓 Alumnas'!$Q$2:$Q$1000,"*"&amp;TRIM($C368)&amp;"*")=1,INDEX('🎓 Alumnas'!$A$2:$A$1000,MATCH("*"&amp;TRIM($C368)&amp;"*",'🎓 Alumnas'!$Q$2:$Q$1000,0)),IF(COUNTIF('🎓 Alumnas'!$P$2:$P$1000,"*"&amp;TRIM($C368)&amp;"*")+COUNTIF('🎓 Alumnas'!$Q$2:$Q$1000,"*"&amp;TRIM($C368)&amp;"*")&gt;1,"Varias: elige de la lista","No encontrada"))))))))</f>
        <v/>
      </c>
    </row>
    <row r="369" customFormat="false" ht="14.25" hidden="false" customHeight="true" outlineLevel="0" collapsed="false">
      <c r="A369" s="25" t="s">
        <v>913</v>
      </c>
      <c r="B369" s="27"/>
      <c r="C369" s="25"/>
      <c r="D369" s="34" t="str">
        <f aca="false">IF($W369="","",IFERROR(TRIM(INDEX('🎓 Alumnas'!$B$2:$B$1000,MATCH($W369,'🎓 Alumnas'!$A$2:$A$1000,0))),""))</f>
        <v/>
      </c>
      <c r="E369" s="34" t="str">
        <f aca="false">IF($W369="","",IFERROR(TRIM(INDEX('🎓 Alumnas'!$C$2:$C$1000,MATCH($W369,'🎓 Alumnas'!$A$2:$A$1000,0))),""))</f>
        <v/>
      </c>
      <c r="F369" s="34" t="str">
        <f aca="false">IF($W369="","",IFERROR(IF(INDEX('🎓 Alumnas'!$D$2:$D$1000,MATCH($W369,'🎓 Alumnas'!$A$2:$A$1000,0))="","",INDEX('🎓 Alumnas'!$D$2:$D$1000,MATCH($W369,'🎓 Alumnas'!$A$2:$A$1000,0))),""))</f>
        <v/>
      </c>
      <c r="G369" s="28" t="str">
        <f aca="false">IF($W369="","",IFERROR(IF(INDEX('🎓 Alumnas'!$E$2:$E$1000,MATCH($W369,'🎓 Alumnas'!$A$2:$A$1000,0))="","",INDEX('🎓 Alumnas'!$E$2:$E$1000,MATCH($W369,'🎓 Alumnas'!$A$2:$A$1000,0))),""))</f>
        <v/>
      </c>
      <c r="H369" s="28" t="str">
        <f aca="false">IF($W369="","",IFERROR(IF(INDEX('🎓 Alumnas'!$F$2:$F$1000,MATCH($W369,'🎓 Alumnas'!$A$2:$A$1000,0))="","",INDEX('🎓 Alumnas'!$F$2:$F$1000,MATCH($W369,'🎓 Alumnas'!$A$2:$A$1000,0))),""))</f>
        <v/>
      </c>
      <c r="I369" s="30" t="str">
        <f aca="false">IF($W369="","",IFERROR(IF(INDEX('🎓 Alumnas'!$G$2:$G$1000,MATCH($W369,'🎓 Alumnas'!$A$2:$A$1000,0))="","",INDEX('🎓 Alumnas'!$G$2:$G$1000,MATCH($W369,'🎓 Alumnas'!$A$2:$A$1000,0))),""))</f>
        <v/>
      </c>
      <c r="J369" s="28" t="str">
        <f aca="true">IF(I369="","",DATEDIF(I369,TODAY(),"Y"))</f>
        <v/>
      </c>
      <c r="K369" s="25"/>
      <c r="L369" s="28" t="str">
        <f aca="false">IF(K369="","",IF(LEFT(K369,6)="1 Pole","Alquiler",IF(LEFT(K369,7)="1 Clase","Clase suelta","Paquete")))</f>
        <v/>
      </c>
      <c r="M369" s="25"/>
      <c r="N369" s="25"/>
      <c r="O369" s="35"/>
      <c r="P369" s="29" t="str">
        <f aca="false">IF(O369="","",N369*O369)</f>
        <v/>
      </c>
      <c r="Q369" s="36"/>
      <c r="R369" s="25"/>
      <c r="S369" s="25"/>
      <c r="T369" s="28" t="str">
        <f aca="false">IF(OR(LEFT(W369,2)&lt;&gt;"A-",ISERROR(MATCH(W369,'🎓 Alumnas'!$A$2:$A$1000,0))),"",IF(COUNTIF($W$2:W369,W369)=1,"Nueva","Recurrente"))</f>
        <v/>
      </c>
      <c r="U369" s="28" t="str">
        <f aca="false">IF(OR(T369="",L369&lt;&gt;"Paquete"),"",COUNTIFS($W$2:W369,W369,$L$2:L369,"Paquete"))</f>
        <v/>
      </c>
      <c r="V369" s="25"/>
      <c r="W369" s="34" t="str">
        <f aca="false">IF(TRIM($C369)="","",IF(COUNTIF('🎓 Alumnas'!$P$2:$P$1000,TRIM($C369))&gt;0,INDEX('🎓 Alumnas'!$A$2:$A$1000,MATCH(TRIM($C369),'🎓 Alumnas'!$P$2:$P$1000,0)),IF(COUNTIF('🎓 Alumnas'!$O$2:$O$1000,TRIM($C369)&amp;"|*")=1,INDEX('🎓 Alumnas'!$A$2:$A$1000,MATCH(TRIM($C369)&amp;"|*",'🎓 Alumnas'!$O$2:$O$1000,0)),IF(COUNTIF('🎓 Alumnas'!$O$2:$O$1000,"*|"&amp;TRIM($C369))=1,INDEX('🎓 Alumnas'!$A$2:$A$1000,MATCH("*|"&amp;TRIM($C369),'🎓 Alumnas'!$O$2:$O$1000,0)),IF(COUNTIF('🎓 Alumnas'!$Q$2:$Q$1000,TRIM($C369))=1,INDEX('🎓 Alumnas'!$A$2:$A$1000,MATCH(TRIM($C369),'🎓 Alumnas'!$Q$2:$Q$1000,0)),IF(COUNTIF('🎓 Alumnas'!$P$2:$P$1000,"*"&amp;TRIM($C369)&amp;"*")=1,INDEX('🎓 Alumnas'!$A$2:$A$1000,MATCH("*"&amp;TRIM($C369)&amp;"*",'🎓 Alumnas'!$P$2:$P$1000,0)),IF(COUNTIF('🎓 Alumnas'!$Q$2:$Q$1000,"*"&amp;TRIM($C369)&amp;"*")=1,INDEX('🎓 Alumnas'!$A$2:$A$1000,MATCH("*"&amp;TRIM($C369)&amp;"*",'🎓 Alumnas'!$Q$2:$Q$1000,0)),IF(COUNTIF('🎓 Alumnas'!$P$2:$P$1000,"*"&amp;TRIM($C369)&amp;"*")+COUNTIF('🎓 Alumnas'!$Q$2:$Q$1000,"*"&amp;TRIM($C369)&amp;"*")&gt;1,"Varias: elige de la lista","No encontrada"))))))))</f>
        <v/>
      </c>
    </row>
    <row r="370" customFormat="false" ht="14.25" hidden="false" customHeight="true" outlineLevel="0" collapsed="false">
      <c r="A370" s="25" t="s">
        <v>914</v>
      </c>
      <c r="B370" s="27"/>
      <c r="C370" s="25"/>
      <c r="D370" s="34" t="str">
        <f aca="false">IF($W370="","",IFERROR(TRIM(INDEX('🎓 Alumnas'!$B$2:$B$1000,MATCH($W370,'🎓 Alumnas'!$A$2:$A$1000,0))),""))</f>
        <v/>
      </c>
      <c r="E370" s="34" t="str">
        <f aca="false">IF($W370="","",IFERROR(TRIM(INDEX('🎓 Alumnas'!$C$2:$C$1000,MATCH($W370,'🎓 Alumnas'!$A$2:$A$1000,0))),""))</f>
        <v/>
      </c>
      <c r="F370" s="34" t="str">
        <f aca="false">IF($W370="","",IFERROR(IF(INDEX('🎓 Alumnas'!$D$2:$D$1000,MATCH($W370,'🎓 Alumnas'!$A$2:$A$1000,0))="","",INDEX('🎓 Alumnas'!$D$2:$D$1000,MATCH($W370,'🎓 Alumnas'!$A$2:$A$1000,0))),""))</f>
        <v/>
      </c>
      <c r="G370" s="28" t="str">
        <f aca="false">IF($W370="","",IFERROR(IF(INDEX('🎓 Alumnas'!$E$2:$E$1000,MATCH($W370,'🎓 Alumnas'!$A$2:$A$1000,0))="","",INDEX('🎓 Alumnas'!$E$2:$E$1000,MATCH($W370,'🎓 Alumnas'!$A$2:$A$1000,0))),""))</f>
        <v/>
      </c>
      <c r="H370" s="28" t="str">
        <f aca="false">IF($W370="","",IFERROR(IF(INDEX('🎓 Alumnas'!$F$2:$F$1000,MATCH($W370,'🎓 Alumnas'!$A$2:$A$1000,0))="","",INDEX('🎓 Alumnas'!$F$2:$F$1000,MATCH($W370,'🎓 Alumnas'!$A$2:$A$1000,0))),""))</f>
        <v/>
      </c>
      <c r="I370" s="30" t="str">
        <f aca="false">IF($W370="","",IFERROR(IF(INDEX('🎓 Alumnas'!$G$2:$G$1000,MATCH($W370,'🎓 Alumnas'!$A$2:$A$1000,0))="","",INDEX('🎓 Alumnas'!$G$2:$G$1000,MATCH($W370,'🎓 Alumnas'!$A$2:$A$1000,0))),""))</f>
        <v/>
      </c>
      <c r="J370" s="28" t="str">
        <f aca="true">IF(I370="","",DATEDIF(I370,TODAY(),"Y"))</f>
        <v/>
      </c>
      <c r="K370" s="25"/>
      <c r="L370" s="28" t="str">
        <f aca="false">IF(K370="","",IF(LEFT(K370,6)="1 Pole","Alquiler",IF(LEFT(K370,7)="1 Clase","Clase suelta","Paquete")))</f>
        <v/>
      </c>
      <c r="M370" s="25"/>
      <c r="N370" s="25"/>
      <c r="O370" s="35"/>
      <c r="P370" s="29" t="str">
        <f aca="false">IF(O370="","",N370*O370)</f>
        <v/>
      </c>
      <c r="Q370" s="36"/>
      <c r="R370" s="25"/>
      <c r="S370" s="25"/>
      <c r="T370" s="28" t="str">
        <f aca="false">IF(OR(LEFT(W370,2)&lt;&gt;"A-",ISERROR(MATCH(W370,'🎓 Alumnas'!$A$2:$A$1000,0))),"",IF(COUNTIF($W$2:W370,W370)=1,"Nueva","Recurrente"))</f>
        <v/>
      </c>
      <c r="U370" s="28" t="str">
        <f aca="false">IF(OR(T370="",L370&lt;&gt;"Paquete"),"",COUNTIFS($W$2:W370,W370,$L$2:L370,"Paquete"))</f>
        <v/>
      </c>
      <c r="V370" s="25"/>
      <c r="W370" s="34" t="str">
        <f aca="false">IF(TRIM($C370)="","",IF(COUNTIF('🎓 Alumnas'!$P$2:$P$1000,TRIM($C370))&gt;0,INDEX('🎓 Alumnas'!$A$2:$A$1000,MATCH(TRIM($C370),'🎓 Alumnas'!$P$2:$P$1000,0)),IF(COUNTIF('🎓 Alumnas'!$O$2:$O$1000,TRIM($C370)&amp;"|*")=1,INDEX('🎓 Alumnas'!$A$2:$A$1000,MATCH(TRIM($C370)&amp;"|*",'🎓 Alumnas'!$O$2:$O$1000,0)),IF(COUNTIF('🎓 Alumnas'!$O$2:$O$1000,"*|"&amp;TRIM($C370))=1,INDEX('🎓 Alumnas'!$A$2:$A$1000,MATCH("*|"&amp;TRIM($C370),'🎓 Alumnas'!$O$2:$O$1000,0)),IF(COUNTIF('🎓 Alumnas'!$Q$2:$Q$1000,TRIM($C370))=1,INDEX('🎓 Alumnas'!$A$2:$A$1000,MATCH(TRIM($C370),'🎓 Alumnas'!$Q$2:$Q$1000,0)),IF(COUNTIF('🎓 Alumnas'!$P$2:$P$1000,"*"&amp;TRIM($C370)&amp;"*")=1,INDEX('🎓 Alumnas'!$A$2:$A$1000,MATCH("*"&amp;TRIM($C370)&amp;"*",'🎓 Alumnas'!$P$2:$P$1000,0)),IF(COUNTIF('🎓 Alumnas'!$Q$2:$Q$1000,"*"&amp;TRIM($C370)&amp;"*")=1,INDEX('🎓 Alumnas'!$A$2:$A$1000,MATCH("*"&amp;TRIM($C370)&amp;"*",'🎓 Alumnas'!$Q$2:$Q$1000,0)),IF(COUNTIF('🎓 Alumnas'!$P$2:$P$1000,"*"&amp;TRIM($C370)&amp;"*")+COUNTIF('🎓 Alumnas'!$Q$2:$Q$1000,"*"&amp;TRIM($C370)&amp;"*")&gt;1,"Varias: elige de la lista","No encontrada"))))))))</f>
        <v/>
      </c>
    </row>
    <row r="371" customFormat="false" ht="14.25" hidden="false" customHeight="true" outlineLevel="0" collapsed="false">
      <c r="A371" s="25" t="s">
        <v>915</v>
      </c>
      <c r="B371" s="27"/>
      <c r="C371" s="25"/>
      <c r="D371" s="34" t="str">
        <f aca="false">IF($W371="","",IFERROR(TRIM(INDEX('🎓 Alumnas'!$B$2:$B$1000,MATCH($W371,'🎓 Alumnas'!$A$2:$A$1000,0))),""))</f>
        <v/>
      </c>
      <c r="E371" s="34" t="str">
        <f aca="false">IF($W371="","",IFERROR(TRIM(INDEX('🎓 Alumnas'!$C$2:$C$1000,MATCH($W371,'🎓 Alumnas'!$A$2:$A$1000,0))),""))</f>
        <v/>
      </c>
      <c r="F371" s="34" t="str">
        <f aca="false">IF($W371="","",IFERROR(IF(INDEX('🎓 Alumnas'!$D$2:$D$1000,MATCH($W371,'🎓 Alumnas'!$A$2:$A$1000,0))="","",INDEX('🎓 Alumnas'!$D$2:$D$1000,MATCH($W371,'🎓 Alumnas'!$A$2:$A$1000,0))),""))</f>
        <v/>
      </c>
      <c r="G371" s="28" t="str">
        <f aca="false">IF($W371="","",IFERROR(IF(INDEX('🎓 Alumnas'!$E$2:$E$1000,MATCH($W371,'🎓 Alumnas'!$A$2:$A$1000,0))="","",INDEX('🎓 Alumnas'!$E$2:$E$1000,MATCH($W371,'🎓 Alumnas'!$A$2:$A$1000,0))),""))</f>
        <v/>
      </c>
      <c r="H371" s="28" t="str">
        <f aca="false">IF($W371="","",IFERROR(IF(INDEX('🎓 Alumnas'!$F$2:$F$1000,MATCH($W371,'🎓 Alumnas'!$A$2:$A$1000,0))="","",INDEX('🎓 Alumnas'!$F$2:$F$1000,MATCH($W371,'🎓 Alumnas'!$A$2:$A$1000,0))),""))</f>
        <v/>
      </c>
      <c r="I371" s="30" t="str">
        <f aca="false">IF($W371="","",IFERROR(IF(INDEX('🎓 Alumnas'!$G$2:$G$1000,MATCH($W371,'🎓 Alumnas'!$A$2:$A$1000,0))="","",INDEX('🎓 Alumnas'!$G$2:$G$1000,MATCH($W371,'🎓 Alumnas'!$A$2:$A$1000,0))),""))</f>
        <v/>
      </c>
      <c r="J371" s="28" t="str">
        <f aca="true">IF(I371="","",DATEDIF(I371,TODAY(),"Y"))</f>
        <v/>
      </c>
      <c r="K371" s="25"/>
      <c r="L371" s="28" t="str">
        <f aca="false">IF(K371="","",IF(LEFT(K371,6)="1 Pole","Alquiler",IF(LEFT(K371,7)="1 Clase","Clase suelta","Paquete")))</f>
        <v/>
      </c>
      <c r="M371" s="25"/>
      <c r="N371" s="25"/>
      <c r="O371" s="35"/>
      <c r="P371" s="29" t="str">
        <f aca="false">IF(O371="","",N371*O371)</f>
        <v/>
      </c>
      <c r="Q371" s="36"/>
      <c r="R371" s="25"/>
      <c r="S371" s="25"/>
      <c r="T371" s="28" t="str">
        <f aca="false">IF(OR(LEFT(W371,2)&lt;&gt;"A-",ISERROR(MATCH(W371,'🎓 Alumnas'!$A$2:$A$1000,0))),"",IF(COUNTIF($W$2:W371,W371)=1,"Nueva","Recurrente"))</f>
        <v/>
      </c>
      <c r="U371" s="28" t="str">
        <f aca="false">IF(OR(T371="",L371&lt;&gt;"Paquete"),"",COUNTIFS($W$2:W371,W371,$L$2:L371,"Paquete"))</f>
        <v/>
      </c>
      <c r="V371" s="25"/>
      <c r="W371" s="34" t="str">
        <f aca="false">IF(TRIM($C371)="","",IF(COUNTIF('🎓 Alumnas'!$P$2:$P$1000,TRIM($C371))&gt;0,INDEX('🎓 Alumnas'!$A$2:$A$1000,MATCH(TRIM($C371),'🎓 Alumnas'!$P$2:$P$1000,0)),IF(COUNTIF('🎓 Alumnas'!$O$2:$O$1000,TRIM($C371)&amp;"|*")=1,INDEX('🎓 Alumnas'!$A$2:$A$1000,MATCH(TRIM($C371)&amp;"|*",'🎓 Alumnas'!$O$2:$O$1000,0)),IF(COUNTIF('🎓 Alumnas'!$O$2:$O$1000,"*|"&amp;TRIM($C371))=1,INDEX('🎓 Alumnas'!$A$2:$A$1000,MATCH("*|"&amp;TRIM($C371),'🎓 Alumnas'!$O$2:$O$1000,0)),IF(COUNTIF('🎓 Alumnas'!$Q$2:$Q$1000,TRIM($C371))=1,INDEX('🎓 Alumnas'!$A$2:$A$1000,MATCH(TRIM($C371),'🎓 Alumnas'!$Q$2:$Q$1000,0)),IF(COUNTIF('🎓 Alumnas'!$P$2:$P$1000,"*"&amp;TRIM($C371)&amp;"*")=1,INDEX('🎓 Alumnas'!$A$2:$A$1000,MATCH("*"&amp;TRIM($C371)&amp;"*",'🎓 Alumnas'!$P$2:$P$1000,0)),IF(COUNTIF('🎓 Alumnas'!$Q$2:$Q$1000,"*"&amp;TRIM($C371)&amp;"*")=1,INDEX('🎓 Alumnas'!$A$2:$A$1000,MATCH("*"&amp;TRIM($C371)&amp;"*",'🎓 Alumnas'!$Q$2:$Q$1000,0)),IF(COUNTIF('🎓 Alumnas'!$P$2:$P$1000,"*"&amp;TRIM($C371)&amp;"*")+COUNTIF('🎓 Alumnas'!$Q$2:$Q$1000,"*"&amp;TRIM($C371)&amp;"*")&gt;1,"Varias: elige de la lista","No encontrada"))))))))</f>
        <v/>
      </c>
    </row>
    <row r="372" customFormat="false" ht="14.25" hidden="false" customHeight="true" outlineLevel="0" collapsed="false">
      <c r="A372" s="25" t="s">
        <v>916</v>
      </c>
      <c r="B372" s="27"/>
      <c r="C372" s="25"/>
      <c r="D372" s="34" t="str">
        <f aca="false">IF($W372="","",IFERROR(TRIM(INDEX('🎓 Alumnas'!$B$2:$B$1000,MATCH($W372,'🎓 Alumnas'!$A$2:$A$1000,0))),""))</f>
        <v/>
      </c>
      <c r="E372" s="34" t="str">
        <f aca="false">IF($W372="","",IFERROR(TRIM(INDEX('🎓 Alumnas'!$C$2:$C$1000,MATCH($W372,'🎓 Alumnas'!$A$2:$A$1000,0))),""))</f>
        <v/>
      </c>
      <c r="F372" s="34" t="str">
        <f aca="false">IF($W372="","",IFERROR(IF(INDEX('🎓 Alumnas'!$D$2:$D$1000,MATCH($W372,'🎓 Alumnas'!$A$2:$A$1000,0))="","",INDEX('🎓 Alumnas'!$D$2:$D$1000,MATCH($W372,'🎓 Alumnas'!$A$2:$A$1000,0))),""))</f>
        <v/>
      </c>
      <c r="G372" s="28" t="str">
        <f aca="false">IF($W372="","",IFERROR(IF(INDEX('🎓 Alumnas'!$E$2:$E$1000,MATCH($W372,'🎓 Alumnas'!$A$2:$A$1000,0))="","",INDEX('🎓 Alumnas'!$E$2:$E$1000,MATCH($W372,'🎓 Alumnas'!$A$2:$A$1000,0))),""))</f>
        <v/>
      </c>
      <c r="H372" s="28" t="str">
        <f aca="false">IF($W372="","",IFERROR(IF(INDEX('🎓 Alumnas'!$F$2:$F$1000,MATCH($W372,'🎓 Alumnas'!$A$2:$A$1000,0))="","",INDEX('🎓 Alumnas'!$F$2:$F$1000,MATCH($W372,'🎓 Alumnas'!$A$2:$A$1000,0))),""))</f>
        <v/>
      </c>
      <c r="I372" s="30" t="str">
        <f aca="false">IF($W372="","",IFERROR(IF(INDEX('🎓 Alumnas'!$G$2:$G$1000,MATCH($W372,'🎓 Alumnas'!$A$2:$A$1000,0))="","",INDEX('🎓 Alumnas'!$G$2:$G$1000,MATCH($W372,'🎓 Alumnas'!$A$2:$A$1000,0))),""))</f>
        <v/>
      </c>
      <c r="J372" s="28" t="str">
        <f aca="true">IF(I372="","",DATEDIF(I372,TODAY(),"Y"))</f>
        <v/>
      </c>
      <c r="K372" s="25"/>
      <c r="L372" s="28" t="str">
        <f aca="false">IF(K372="","",IF(LEFT(K372,6)="1 Pole","Alquiler",IF(LEFT(K372,7)="1 Clase","Clase suelta","Paquete")))</f>
        <v/>
      </c>
      <c r="M372" s="25"/>
      <c r="N372" s="25"/>
      <c r="O372" s="35"/>
      <c r="P372" s="29" t="str">
        <f aca="false">IF(O372="","",N372*O372)</f>
        <v/>
      </c>
      <c r="Q372" s="36"/>
      <c r="R372" s="25"/>
      <c r="S372" s="25"/>
      <c r="T372" s="28" t="str">
        <f aca="false">IF(OR(LEFT(W372,2)&lt;&gt;"A-",ISERROR(MATCH(W372,'🎓 Alumnas'!$A$2:$A$1000,0))),"",IF(COUNTIF($W$2:W372,W372)=1,"Nueva","Recurrente"))</f>
        <v/>
      </c>
      <c r="U372" s="28" t="str">
        <f aca="false">IF(OR(T372="",L372&lt;&gt;"Paquete"),"",COUNTIFS($W$2:W372,W372,$L$2:L372,"Paquete"))</f>
        <v/>
      </c>
      <c r="V372" s="25"/>
      <c r="W372" s="34" t="str">
        <f aca="false">IF(TRIM($C372)="","",IF(COUNTIF('🎓 Alumnas'!$P$2:$P$1000,TRIM($C372))&gt;0,INDEX('🎓 Alumnas'!$A$2:$A$1000,MATCH(TRIM($C372),'🎓 Alumnas'!$P$2:$P$1000,0)),IF(COUNTIF('🎓 Alumnas'!$O$2:$O$1000,TRIM($C372)&amp;"|*")=1,INDEX('🎓 Alumnas'!$A$2:$A$1000,MATCH(TRIM($C372)&amp;"|*",'🎓 Alumnas'!$O$2:$O$1000,0)),IF(COUNTIF('🎓 Alumnas'!$O$2:$O$1000,"*|"&amp;TRIM($C372))=1,INDEX('🎓 Alumnas'!$A$2:$A$1000,MATCH("*|"&amp;TRIM($C372),'🎓 Alumnas'!$O$2:$O$1000,0)),IF(COUNTIF('🎓 Alumnas'!$Q$2:$Q$1000,TRIM($C372))=1,INDEX('🎓 Alumnas'!$A$2:$A$1000,MATCH(TRIM($C372),'🎓 Alumnas'!$Q$2:$Q$1000,0)),IF(COUNTIF('🎓 Alumnas'!$P$2:$P$1000,"*"&amp;TRIM($C372)&amp;"*")=1,INDEX('🎓 Alumnas'!$A$2:$A$1000,MATCH("*"&amp;TRIM($C372)&amp;"*",'🎓 Alumnas'!$P$2:$P$1000,0)),IF(COUNTIF('🎓 Alumnas'!$Q$2:$Q$1000,"*"&amp;TRIM($C372)&amp;"*")=1,INDEX('🎓 Alumnas'!$A$2:$A$1000,MATCH("*"&amp;TRIM($C372)&amp;"*",'🎓 Alumnas'!$Q$2:$Q$1000,0)),IF(COUNTIF('🎓 Alumnas'!$P$2:$P$1000,"*"&amp;TRIM($C372)&amp;"*")+COUNTIF('🎓 Alumnas'!$Q$2:$Q$1000,"*"&amp;TRIM($C372)&amp;"*")&gt;1,"Varias: elige de la lista","No encontrada"))))))))</f>
        <v/>
      </c>
    </row>
    <row r="373" customFormat="false" ht="14.25" hidden="false" customHeight="true" outlineLevel="0" collapsed="false">
      <c r="A373" s="25" t="s">
        <v>917</v>
      </c>
      <c r="B373" s="27"/>
      <c r="C373" s="25"/>
      <c r="D373" s="34" t="str">
        <f aca="false">IF($W373="","",IFERROR(TRIM(INDEX('🎓 Alumnas'!$B$2:$B$1000,MATCH($W373,'🎓 Alumnas'!$A$2:$A$1000,0))),""))</f>
        <v/>
      </c>
      <c r="E373" s="34" t="str">
        <f aca="false">IF($W373="","",IFERROR(TRIM(INDEX('🎓 Alumnas'!$C$2:$C$1000,MATCH($W373,'🎓 Alumnas'!$A$2:$A$1000,0))),""))</f>
        <v/>
      </c>
      <c r="F373" s="34" t="str">
        <f aca="false">IF($W373="","",IFERROR(IF(INDEX('🎓 Alumnas'!$D$2:$D$1000,MATCH($W373,'🎓 Alumnas'!$A$2:$A$1000,0))="","",INDEX('🎓 Alumnas'!$D$2:$D$1000,MATCH($W373,'🎓 Alumnas'!$A$2:$A$1000,0))),""))</f>
        <v/>
      </c>
      <c r="G373" s="28" t="str">
        <f aca="false">IF($W373="","",IFERROR(IF(INDEX('🎓 Alumnas'!$E$2:$E$1000,MATCH($W373,'🎓 Alumnas'!$A$2:$A$1000,0))="","",INDEX('🎓 Alumnas'!$E$2:$E$1000,MATCH($W373,'🎓 Alumnas'!$A$2:$A$1000,0))),""))</f>
        <v/>
      </c>
      <c r="H373" s="28" t="str">
        <f aca="false">IF($W373="","",IFERROR(IF(INDEX('🎓 Alumnas'!$F$2:$F$1000,MATCH($W373,'🎓 Alumnas'!$A$2:$A$1000,0))="","",INDEX('🎓 Alumnas'!$F$2:$F$1000,MATCH($W373,'🎓 Alumnas'!$A$2:$A$1000,0))),""))</f>
        <v/>
      </c>
      <c r="I373" s="30" t="str">
        <f aca="false">IF($W373="","",IFERROR(IF(INDEX('🎓 Alumnas'!$G$2:$G$1000,MATCH($W373,'🎓 Alumnas'!$A$2:$A$1000,0))="","",INDEX('🎓 Alumnas'!$G$2:$G$1000,MATCH($W373,'🎓 Alumnas'!$A$2:$A$1000,0))),""))</f>
        <v/>
      </c>
      <c r="J373" s="28" t="str">
        <f aca="true">IF(I373="","",DATEDIF(I373,TODAY(),"Y"))</f>
        <v/>
      </c>
      <c r="K373" s="25"/>
      <c r="L373" s="28" t="str">
        <f aca="false">IF(K373="","",IF(LEFT(K373,6)="1 Pole","Alquiler",IF(LEFT(K373,7)="1 Clase","Clase suelta","Paquete")))</f>
        <v/>
      </c>
      <c r="M373" s="25"/>
      <c r="N373" s="25"/>
      <c r="O373" s="35"/>
      <c r="P373" s="29" t="str">
        <f aca="false">IF(O373="","",N373*O373)</f>
        <v/>
      </c>
      <c r="Q373" s="36"/>
      <c r="R373" s="25"/>
      <c r="S373" s="25"/>
      <c r="T373" s="28" t="str">
        <f aca="false">IF(OR(LEFT(W373,2)&lt;&gt;"A-",ISERROR(MATCH(W373,'🎓 Alumnas'!$A$2:$A$1000,0))),"",IF(COUNTIF($W$2:W373,W373)=1,"Nueva","Recurrente"))</f>
        <v/>
      </c>
      <c r="U373" s="28" t="str">
        <f aca="false">IF(OR(T373="",L373&lt;&gt;"Paquete"),"",COUNTIFS($W$2:W373,W373,$L$2:L373,"Paquete"))</f>
        <v/>
      </c>
      <c r="V373" s="25"/>
      <c r="W373" s="34" t="str">
        <f aca="false">IF(TRIM($C373)="","",IF(COUNTIF('🎓 Alumnas'!$P$2:$P$1000,TRIM($C373))&gt;0,INDEX('🎓 Alumnas'!$A$2:$A$1000,MATCH(TRIM($C373),'🎓 Alumnas'!$P$2:$P$1000,0)),IF(COUNTIF('🎓 Alumnas'!$O$2:$O$1000,TRIM($C373)&amp;"|*")=1,INDEX('🎓 Alumnas'!$A$2:$A$1000,MATCH(TRIM($C373)&amp;"|*",'🎓 Alumnas'!$O$2:$O$1000,0)),IF(COUNTIF('🎓 Alumnas'!$O$2:$O$1000,"*|"&amp;TRIM($C373))=1,INDEX('🎓 Alumnas'!$A$2:$A$1000,MATCH("*|"&amp;TRIM($C373),'🎓 Alumnas'!$O$2:$O$1000,0)),IF(COUNTIF('🎓 Alumnas'!$Q$2:$Q$1000,TRIM($C373))=1,INDEX('🎓 Alumnas'!$A$2:$A$1000,MATCH(TRIM($C373),'🎓 Alumnas'!$Q$2:$Q$1000,0)),IF(COUNTIF('🎓 Alumnas'!$P$2:$P$1000,"*"&amp;TRIM($C373)&amp;"*")=1,INDEX('🎓 Alumnas'!$A$2:$A$1000,MATCH("*"&amp;TRIM($C373)&amp;"*",'🎓 Alumnas'!$P$2:$P$1000,0)),IF(COUNTIF('🎓 Alumnas'!$Q$2:$Q$1000,"*"&amp;TRIM($C373)&amp;"*")=1,INDEX('🎓 Alumnas'!$A$2:$A$1000,MATCH("*"&amp;TRIM($C373)&amp;"*",'🎓 Alumnas'!$Q$2:$Q$1000,0)),IF(COUNTIF('🎓 Alumnas'!$P$2:$P$1000,"*"&amp;TRIM($C373)&amp;"*")+COUNTIF('🎓 Alumnas'!$Q$2:$Q$1000,"*"&amp;TRIM($C373)&amp;"*")&gt;1,"Varias: elige de la lista","No encontrada"))))))))</f>
        <v/>
      </c>
    </row>
    <row r="374" customFormat="false" ht="14.25" hidden="false" customHeight="true" outlineLevel="0" collapsed="false">
      <c r="A374" s="25" t="s">
        <v>918</v>
      </c>
      <c r="B374" s="27"/>
      <c r="C374" s="25"/>
      <c r="D374" s="34" t="str">
        <f aca="false">IF($W374="","",IFERROR(TRIM(INDEX('🎓 Alumnas'!$B$2:$B$1000,MATCH($W374,'🎓 Alumnas'!$A$2:$A$1000,0))),""))</f>
        <v/>
      </c>
      <c r="E374" s="34" t="str">
        <f aca="false">IF($W374="","",IFERROR(TRIM(INDEX('🎓 Alumnas'!$C$2:$C$1000,MATCH($W374,'🎓 Alumnas'!$A$2:$A$1000,0))),""))</f>
        <v/>
      </c>
      <c r="F374" s="34" t="str">
        <f aca="false">IF($W374="","",IFERROR(IF(INDEX('🎓 Alumnas'!$D$2:$D$1000,MATCH($W374,'🎓 Alumnas'!$A$2:$A$1000,0))="","",INDEX('🎓 Alumnas'!$D$2:$D$1000,MATCH($W374,'🎓 Alumnas'!$A$2:$A$1000,0))),""))</f>
        <v/>
      </c>
      <c r="G374" s="28" t="str">
        <f aca="false">IF($W374="","",IFERROR(IF(INDEX('🎓 Alumnas'!$E$2:$E$1000,MATCH($W374,'🎓 Alumnas'!$A$2:$A$1000,0))="","",INDEX('🎓 Alumnas'!$E$2:$E$1000,MATCH($W374,'🎓 Alumnas'!$A$2:$A$1000,0))),""))</f>
        <v/>
      </c>
      <c r="H374" s="28" t="str">
        <f aca="false">IF($W374="","",IFERROR(IF(INDEX('🎓 Alumnas'!$F$2:$F$1000,MATCH($W374,'🎓 Alumnas'!$A$2:$A$1000,0))="","",INDEX('🎓 Alumnas'!$F$2:$F$1000,MATCH($W374,'🎓 Alumnas'!$A$2:$A$1000,0))),""))</f>
        <v/>
      </c>
      <c r="I374" s="30" t="str">
        <f aca="false">IF($W374="","",IFERROR(IF(INDEX('🎓 Alumnas'!$G$2:$G$1000,MATCH($W374,'🎓 Alumnas'!$A$2:$A$1000,0))="","",INDEX('🎓 Alumnas'!$G$2:$G$1000,MATCH($W374,'🎓 Alumnas'!$A$2:$A$1000,0))),""))</f>
        <v/>
      </c>
      <c r="J374" s="28" t="str">
        <f aca="true">IF(I374="","",DATEDIF(I374,TODAY(),"Y"))</f>
        <v/>
      </c>
      <c r="K374" s="25"/>
      <c r="L374" s="28" t="str">
        <f aca="false">IF(K374="","",IF(LEFT(K374,6)="1 Pole","Alquiler",IF(LEFT(K374,7)="1 Clase","Clase suelta","Paquete")))</f>
        <v/>
      </c>
      <c r="M374" s="25"/>
      <c r="N374" s="25"/>
      <c r="O374" s="35"/>
      <c r="P374" s="29" t="str">
        <f aca="false">IF(O374="","",N374*O374)</f>
        <v/>
      </c>
      <c r="Q374" s="36"/>
      <c r="R374" s="25"/>
      <c r="S374" s="25"/>
      <c r="T374" s="28" t="str">
        <f aca="false">IF(OR(LEFT(W374,2)&lt;&gt;"A-",ISERROR(MATCH(W374,'🎓 Alumnas'!$A$2:$A$1000,0))),"",IF(COUNTIF($W$2:W374,W374)=1,"Nueva","Recurrente"))</f>
        <v/>
      </c>
      <c r="U374" s="28" t="str">
        <f aca="false">IF(OR(T374="",L374&lt;&gt;"Paquete"),"",COUNTIFS($W$2:W374,W374,$L$2:L374,"Paquete"))</f>
        <v/>
      </c>
      <c r="V374" s="25"/>
      <c r="W374" s="34" t="str">
        <f aca="false">IF(TRIM($C374)="","",IF(COUNTIF('🎓 Alumnas'!$P$2:$P$1000,TRIM($C374))&gt;0,INDEX('🎓 Alumnas'!$A$2:$A$1000,MATCH(TRIM($C374),'🎓 Alumnas'!$P$2:$P$1000,0)),IF(COUNTIF('🎓 Alumnas'!$O$2:$O$1000,TRIM($C374)&amp;"|*")=1,INDEX('🎓 Alumnas'!$A$2:$A$1000,MATCH(TRIM($C374)&amp;"|*",'🎓 Alumnas'!$O$2:$O$1000,0)),IF(COUNTIF('🎓 Alumnas'!$O$2:$O$1000,"*|"&amp;TRIM($C374))=1,INDEX('🎓 Alumnas'!$A$2:$A$1000,MATCH("*|"&amp;TRIM($C374),'🎓 Alumnas'!$O$2:$O$1000,0)),IF(COUNTIF('🎓 Alumnas'!$Q$2:$Q$1000,TRIM($C374))=1,INDEX('🎓 Alumnas'!$A$2:$A$1000,MATCH(TRIM($C374),'🎓 Alumnas'!$Q$2:$Q$1000,0)),IF(COUNTIF('🎓 Alumnas'!$P$2:$P$1000,"*"&amp;TRIM($C374)&amp;"*")=1,INDEX('🎓 Alumnas'!$A$2:$A$1000,MATCH("*"&amp;TRIM($C374)&amp;"*",'🎓 Alumnas'!$P$2:$P$1000,0)),IF(COUNTIF('🎓 Alumnas'!$Q$2:$Q$1000,"*"&amp;TRIM($C374)&amp;"*")=1,INDEX('🎓 Alumnas'!$A$2:$A$1000,MATCH("*"&amp;TRIM($C374)&amp;"*",'🎓 Alumnas'!$Q$2:$Q$1000,0)),IF(COUNTIF('🎓 Alumnas'!$P$2:$P$1000,"*"&amp;TRIM($C374)&amp;"*")+COUNTIF('🎓 Alumnas'!$Q$2:$Q$1000,"*"&amp;TRIM($C374)&amp;"*")&gt;1,"Varias: elige de la lista","No encontrada"))))))))</f>
        <v/>
      </c>
    </row>
    <row r="375" customFormat="false" ht="14.25" hidden="false" customHeight="true" outlineLevel="0" collapsed="false">
      <c r="A375" s="25" t="s">
        <v>919</v>
      </c>
      <c r="B375" s="27"/>
      <c r="C375" s="25"/>
      <c r="D375" s="34" t="str">
        <f aca="false">IF($W375="","",IFERROR(TRIM(INDEX('🎓 Alumnas'!$B$2:$B$1000,MATCH($W375,'🎓 Alumnas'!$A$2:$A$1000,0))),""))</f>
        <v/>
      </c>
      <c r="E375" s="34" t="str">
        <f aca="false">IF($W375="","",IFERROR(TRIM(INDEX('🎓 Alumnas'!$C$2:$C$1000,MATCH($W375,'🎓 Alumnas'!$A$2:$A$1000,0))),""))</f>
        <v/>
      </c>
      <c r="F375" s="34" t="str">
        <f aca="false">IF($W375="","",IFERROR(IF(INDEX('🎓 Alumnas'!$D$2:$D$1000,MATCH($W375,'🎓 Alumnas'!$A$2:$A$1000,0))="","",INDEX('🎓 Alumnas'!$D$2:$D$1000,MATCH($W375,'🎓 Alumnas'!$A$2:$A$1000,0))),""))</f>
        <v/>
      </c>
      <c r="G375" s="28" t="str">
        <f aca="false">IF($W375="","",IFERROR(IF(INDEX('🎓 Alumnas'!$E$2:$E$1000,MATCH($W375,'🎓 Alumnas'!$A$2:$A$1000,0))="","",INDEX('🎓 Alumnas'!$E$2:$E$1000,MATCH($W375,'🎓 Alumnas'!$A$2:$A$1000,0))),""))</f>
        <v/>
      </c>
      <c r="H375" s="28" t="str">
        <f aca="false">IF($W375="","",IFERROR(IF(INDEX('🎓 Alumnas'!$F$2:$F$1000,MATCH($W375,'🎓 Alumnas'!$A$2:$A$1000,0))="","",INDEX('🎓 Alumnas'!$F$2:$F$1000,MATCH($W375,'🎓 Alumnas'!$A$2:$A$1000,0))),""))</f>
        <v/>
      </c>
      <c r="I375" s="30" t="str">
        <f aca="false">IF($W375="","",IFERROR(IF(INDEX('🎓 Alumnas'!$G$2:$G$1000,MATCH($W375,'🎓 Alumnas'!$A$2:$A$1000,0))="","",INDEX('🎓 Alumnas'!$G$2:$G$1000,MATCH($W375,'🎓 Alumnas'!$A$2:$A$1000,0))),""))</f>
        <v/>
      </c>
      <c r="J375" s="28" t="str">
        <f aca="true">IF(I375="","",DATEDIF(I375,TODAY(),"Y"))</f>
        <v/>
      </c>
      <c r="K375" s="25"/>
      <c r="L375" s="28" t="str">
        <f aca="false">IF(K375="","",IF(LEFT(K375,6)="1 Pole","Alquiler",IF(LEFT(K375,7)="1 Clase","Clase suelta","Paquete")))</f>
        <v/>
      </c>
      <c r="M375" s="25"/>
      <c r="N375" s="25"/>
      <c r="O375" s="35"/>
      <c r="P375" s="29" t="str">
        <f aca="false">IF(O375="","",N375*O375)</f>
        <v/>
      </c>
      <c r="Q375" s="36"/>
      <c r="R375" s="25"/>
      <c r="S375" s="25"/>
      <c r="T375" s="28" t="str">
        <f aca="false">IF(OR(LEFT(W375,2)&lt;&gt;"A-",ISERROR(MATCH(W375,'🎓 Alumnas'!$A$2:$A$1000,0))),"",IF(COUNTIF($W$2:W375,W375)=1,"Nueva","Recurrente"))</f>
        <v/>
      </c>
      <c r="U375" s="28" t="str">
        <f aca="false">IF(OR(T375="",L375&lt;&gt;"Paquete"),"",COUNTIFS($W$2:W375,W375,$L$2:L375,"Paquete"))</f>
        <v/>
      </c>
      <c r="V375" s="25"/>
      <c r="W375" s="34" t="str">
        <f aca="false">IF(TRIM($C375)="","",IF(COUNTIF('🎓 Alumnas'!$P$2:$P$1000,TRIM($C375))&gt;0,INDEX('🎓 Alumnas'!$A$2:$A$1000,MATCH(TRIM($C375),'🎓 Alumnas'!$P$2:$P$1000,0)),IF(COUNTIF('🎓 Alumnas'!$O$2:$O$1000,TRIM($C375)&amp;"|*")=1,INDEX('🎓 Alumnas'!$A$2:$A$1000,MATCH(TRIM($C375)&amp;"|*",'🎓 Alumnas'!$O$2:$O$1000,0)),IF(COUNTIF('🎓 Alumnas'!$O$2:$O$1000,"*|"&amp;TRIM($C375))=1,INDEX('🎓 Alumnas'!$A$2:$A$1000,MATCH("*|"&amp;TRIM($C375),'🎓 Alumnas'!$O$2:$O$1000,0)),IF(COUNTIF('🎓 Alumnas'!$Q$2:$Q$1000,TRIM($C375))=1,INDEX('🎓 Alumnas'!$A$2:$A$1000,MATCH(TRIM($C375),'🎓 Alumnas'!$Q$2:$Q$1000,0)),IF(COUNTIF('🎓 Alumnas'!$P$2:$P$1000,"*"&amp;TRIM($C375)&amp;"*")=1,INDEX('🎓 Alumnas'!$A$2:$A$1000,MATCH("*"&amp;TRIM($C375)&amp;"*",'🎓 Alumnas'!$P$2:$P$1000,0)),IF(COUNTIF('🎓 Alumnas'!$Q$2:$Q$1000,"*"&amp;TRIM($C375)&amp;"*")=1,INDEX('🎓 Alumnas'!$A$2:$A$1000,MATCH("*"&amp;TRIM($C375)&amp;"*",'🎓 Alumnas'!$Q$2:$Q$1000,0)),IF(COUNTIF('🎓 Alumnas'!$P$2:$P$1000,"*"&amp;TRIM($C375)&amp;"*")+COUNTIF('🎓 Alumnas'!$Q$2:$Q$1000,"*"&amp;TRIM($C375)&amp;"*")&gt;1,"Varias: elige de la lista","No encontrada"))))))))</f>
        <v/>
      </c>
    </row>
    <row r="376" customFormat="false" ht="14.25" hidden="false" customHeight="true" outlineLevel="0" collapsed="false">
      <c r="A376" s="25" t="s">
        <v>920</v>
      </c>
      <c r="B376" s="27"/>
      <c r="C376" s="25"/>
      <c r="D376" s="34" t="str">
        <f aca="false">IF($W376="","",IFERROR(TRIM(INDEX('🎓 Alumnas'!$B$2:$B$1000,MATCH($W376,'🎓 Alumnas'!$A$2:$A$1000,0))),""))</f>
        <v/>
      </c>
      <c r="E376" s="34" t="str">
        <f aca="false">IF($W376="","",IFERROR(TRIM(INDEX('🎓 Alumnas'!$C$2:$C$1000,MATCH($W376,'🎓 Alumnas'!$A$2:$A$1000,0))),""))</f>
        <v/>
      </c>
      <c r="F376" s="34" t="str">
        <f aca="false">IF($W376="","",IFERROR(IF(INDEX('🎓 Alumnas'!$D$2:$D$1000,MATCH($W376,'🎓 Alumnas'!$A$2:$A$1000,0))="","",INDEX('🎓 Alumnas'!$D$2:$D$1000,MATCH($W376,'🎓 Alumnas'!$A$2:$A$1000,0))),""))</f>
        <v/>
      </c>
      <c r="G376" s="28" t="str">
        <f aca="false">IF($W376="","",IFERROR(IF(INDEX('🎓 Alumnas'!$E$2:$E$1000,MATCH($W376,'🎓 Alumnas'!$A$2:$A$1000,0))="","",INDEX('🎓 Alumnas'!$E$2:$E$1000,MATCH($W376,'🎓 Alumnas'!$A$2:$A$1000,0))),""))</f>
        <v/>
      </c>
      <c r="H376" s="28" t="str">
        <f aca="false">IF($W376="","",IFERROR(IF(INDEX('🎓 Alumnas'!$F$2:$F$1000,MATCH($W376,'🎓 Alumnas'!$A$2:$A$1000,0))="","",INDEX('🎓 Alumnas'!$F$2:$F$1000,MATCH($W376,'🎓 Alumnas'!$A$2:$A$1000,0))),""))</f>
        <v/>
      </c>
      <c r="I376" s="30" t="str">
        <f aca="false">IF($W376="","",IFERROR(IF(INDEX('🎓 Alumnas'!$G$2:$G$1000,MATCH($W376,'🎓 Alumnas'!$A$2:$A$1000,0))="","",INDEX('🎓 Alumnas'!$G$2:$G$1000,MATCH($W376,'🎓 Alumnas'!$A$2:$A$1000,0))),""))</f>
        <v/>
      </c>
      <c r="J376" s="28" t="str">
        <f aca="true">IF(I376="","",DATEDIF(I376,TODAY(),"Y"))</f>
        <v/>
      </c>
      <c r="K376" s="25"/>
      <c r="L376" s="28" t="str">
        <f aca="false">IF(K376="","",IF(LEFT(K376,6)="1 Pole","Alquiler",IF(LEFT(K376,7)="1 Clase","Clase suelta","Paquete")))</f>
        <v/>
      </c>
      <c r="M376" s="25"/>
      <c r="N376" s="25"/>
      <c r="O376" s="35"/>
      <c r="P376" s="29" t="str">
        <f aca="false">IF(O376="","",N376*O376)</f>
        <v/>
      </c>
      <c r="Q376" s="36"/>
      <c r="R376" s="25"/>
      <c r="S376" s="25"/>
      <c r="T376" s="28" t="str">
        <f aca="false">IF(OR(LEFT(W376,2)&lt;&gt;"A-",ISERROR(MATCH(W376,'🎓 Alumnas'!$A$2:$A$1000,0))),"",IF(COUNTIF($W$2:W376,W376)=1,"Nueva","Recurrente"))</f>
        <v/>
      </c>
      <c r="U376" s="28" t="str">
        <f aca="false">IF(OR(T376="",L376&lt;&gt;"Paquete"),"",COUNTIFS($W$2:W376,W376,$L$2:L376,"Paquete"))</f>
        <v/>
      </c>
      <c r="V376" s="25"/>
      <c r="W376" s="34" t="str">
        <f aca="false">IF(TRIM($C376)="","",IF(COUNTIF('🎓 Alumnas'!$P$2:$P$1000,TRIM($C376))&gt;0,INDEX('🎓 Alumnas'!$A$2:$A$1000,MATCH(TRIM($C376),'🎓 Alumnas'!$P$2:$P$1000,0)),IF(COUNTIF('🎓 Alumnas'!$O$2:$O$1000,TRIM($C376)&amp;"|*")=1,INDEX('🎓 Alumnas'!$A$2:$A$1000,MATCH(TRIM($C376)&amp;"|*",'🎓 Alumnas'!$O$2:$O$1000,0)),IF(COUNTIF('🎓 Alumnas'!$O$2:$O$1000,"*|"&amp;TRIM($C376))=1,INDEX('🎓 Alumnas'!$A$2:$A$1000,MATCH("*|"&amp;TRIM($C376),'🎓 Alumnas'!$O$2:$O$1000,0)),IF(COUNTIF('🎓 Alumnas'!$Q$2:$Q$1000,TRIM($C376))=1,INDEX('🎓 Alumnas'!$A$2:$A$1000,MATCH(TRIM($C376),'🎓 Alumnas'!$Q$2:$Q$1000,0)),IF(COUNTIF('🎓 Alumnas'!$P$2:$P$1000,"*"&amp;TRIM($C376)&amp;"*")=1,INDEX('🎓 Alumnas'!$A$2:$A$1000,MATCH("*"&amp;TRIM($C376)&amp;"*",'🎓 Alumnas'!$P$2:$P$1000,0)),IF(COUNTIF('🎓 Alumnas'!$Q$2:$Q$1000,"*"&amp;TRIM($C376)&amp;"*")=1,INDEX('🎓 Alumnas'!$A$2:$A$1000,MATCH("*"&amp;TRIM($C376)&amp;"*",'🎓 Alumnas'!$Q$2:$Q$1000,0)),IF(COUNTIF('🎓 Alumnas'!$P$2:$P$1000,"*"&amp;TRIM($C376)&amp;"*")+COUNTIF('🎓 Alumnas'!$Q$2:$Q$1000,"*"&amp;TRIM($C376)&amp;"*")&gt;1,"Varias: elige de la lista","No encontrada"))))))))</f>
        <v/>
      </c>
    </row>
    <row r="377" customFormat="false" ht="14.25" hidden="false" customHeight="true" outlineLevel="0" collapsed="false">
      <c r="A377" s="25" t="s">
        <v>921</v>
      </c>
      <c r="B377" s="27"/>
      <c r="C377" s="25"/>
      <c r="D377" s="34" t="str">
        <f aca="false">IF($W377="","",IFERROR(TRIM(INDEX('🎓 Alumnas'!$B$2:$B$1000,MATCH($W377,'🎓 Alumnas'!$A$2:$A$1000,0))),""))</f>
        <v/>
      </c>
      <c r="E377" s="34" t="str">
        <f aca="false">IF($W377="","",IFERROR(TRIM(INDEX('🎓 Alumnas'!$C$2:$C$1000,MATCH($W377,'🎓 Alumnas'!$A$2:$A$1000,0))),""))</f>
        <v/>
      </c>
      <c r="F377" s="34" t="str">
        <f aca="false">IF($W377="","",IFERROR(IF(INDEX('🎓 Alumnas'!$D$2:$D$1000,MATCH($W377,'🎓 Alumnas'!$A$2:$A$1000,0))="","",INDEX('🎓 Alumnas'!$D$2:$D$1000,MATCH($W377,'🎓 Alumnas'!$A$2:$A$1000,0))),""))</f>
        <v/>
      </c>
      <c r="G377" s="28" t="str">
        <f aca="false">IF($W377="","",IFERROR(IF(INDEX('🎓 Alumnas'!$E$2:$E$1000,MATCH($W377,'🎓 Alumnas'!$A$2:$A$1000,0))="","",INDEX('🎓 Alumnas'!$E$2:$E$1000,MATCH($W377,'🎓 Alumnas'!$A$2:$A$1000,0))),""))</f>
        <v/>
      </c>
      <c r="H377" s="28" t="str">
        <f aca="false">IF($W377="","",IFERROR(IF(INDEX('🎓 Alumnas'!$F$2:$F$1000,MATCH($W377,'🎓 Alumnas'!$A$2:$A$1000,0))="","",INDEX('🎓 Alumnas'!$F$2:$F$1000,MATCH($W377,'🎓 Alumnas'!$A$2:$A$1000,0))),""))</f>
        <v/>
      </c>
      <c r="I377" s="30" t="str">
        <f aca="false">IF($W377="","",IFERROR(IF(INDEX('🎓 Alumnas'!$G$2:$G$1000,MATCH($W377,'🎓 Alumnas'!$A$2:$A$1000,0))="","",INDEX('🎓 Alumnas'!$G$2:$G$1000,MATCH($W377,'🎓 Alumnas'!$A$2:$A$1000,0))),""))</f>
        <v/>
      </c>
      <c r="J377" s="28" t="str">
        <f aca="true">IF(I377="","",DATEDIF(I377,TODAY(),"Y"))</f>
        <v/>
      </c>
      <c r="K377" s="25"/>
      <c r="L377" s="28" t="str">
        <f aca="false">IF(K377="","",IF(LEFT(K377,6)="1 Pole","Alquiler",IF(LEFT(K377,7)="1 Clase","Clase suelta","Paquete")))</f>
        <v/>
      </c>
      <c r="M377" s="25"/>
      <c r="N377" s="25"/>
      <c r="O377" s="35"/>
      <c r="P377" s="29" t="str">
        <f aca="false">IF(O377="","",N377*O377)</f>
        <v/>
      </c>
      <c r="Q377" s="36"/>
      <c r="R377" s="25"/>
      <c r="S377" s="25"/>
      <c r="T377" s="28" t="str">
        <f aca="false">IF(OR(LEFT(W377,2)&lt;&gt;"A-",ISERROR(MATCH(W377,'🎓 Alumnas'!$A$2:$A$1000,0))),"",IF(COUNTIF($W$2:W377,W377)=1,"Nueva","Recurrente"))</f>
        <v/>
      </c>
      <c r="U377" s="28" t="str">
        <f aca="false">IF(OR(T377="",L377&lt;&gt;"Paquete"),"",COUNTIFS($W$2:W377,W377,$L$2:L377,"Paquete"))</f>
        <v/>
      </c>
      <c r="V377" s="25"/>
      <c r="W377" s="34" t="str">
        <f aca="false">IF(TRIM($C377)="","",IF(COUNTIF('🎓 Alumnas'!$P$2:$P$1000,TRIM($C377))&gt;0,INDEX('🎓 Alumnas'!$A$2:$A$1000,MATCH(TRIM($C377),'🎓 Alumnas'!$P$2:$P$1000,0)),IF(COUNTIF('🎓 Alumnas'!$O$2:$O$1000,TRIM($C377)&amp;"|*")=1,INDEX('🎓 Alumnas'!$A$2:$A$1000,MATCH(TRIM($C377)&amp;"|*",'🎓 Alumnas'!$O$2:$O$1000,0)),IF(COUNTIF('🎓 Alumnas'!$O$2:$O$1000,"*|"&amp;TRIM($C377))=1,INDEX('🎓 Alumnas'!$A$2:$A$1000,MATCH("*|"&amp;TRIM($C377),'🎓 Alumnas'!$O$2:$O$1000,0)),IF(COUNTIF('🎓 Alumnas'!$Q$2:$Q$1000,TRIM($C377))=1,INDEX('🎓 Alumnas'!$A$2:$A$1000,MATCH(TRIM($C377),'🎓 Alumnas'!$Q$2:$Q$1000,0)),IF(COUNTIF('🎓 Alumnas'!$P$2:$P$1000,"*"&amp;TRIM($C377)&amp;"*")=1,INDEX('🎓 Alumnas'!$A$2:$A$1000,MATCH("*"&amp;TRIM($C377)&amp;"*",'🎓 Alumnas'!$P$2:$P$1000,0)),IF(COUNTIF('🎓 Alumnas'!$Q$2:$Q$1000,"*"&amp;TRIM($C377)&amp;"*")=1,INDEX('🎓 Alumnas'!$A$2:$A$1000,MATCH("*"&amp;TRIM($C377)&amp;"*",'🎓 Alumnas'!$Q$2:$Q$1000,0)),IF(COUNTIF('🎓 Alumnas'!$P$2:$P$1000,"*"&amp;TRIM($C377)&amp;"*")+COUNTIF('🎓 Alumnas'!$Q$2:$Q$1000,"*"&amp;TRIM($C377)&amp;"*")&gt;1,"Varias: elige de la lista","No encontrada"))))))))</f>
        <v/>
      </c>
    </row>
    <row r="378" customFormat="false" ht="14.25" hidden="false" customHeight="true" outlineLevel="0" collapsed="false">
      <c r="A378" s="25" t="s">
        <v>922</v>
      </c>
      <c r="B378" s="27"/>
      <c r="C378" s="25"/>
      <c r="D378" s="34" t="str">
        <f aca="false">IF($W378="","",IFERROR(TRIM(INDEX('🎓 Alumnas'!$B$2:$B$1000,MATCH($W378,'🎓 Alumnas'!$A$2:$A$1000,0))),""))</f>
        <v/>
      </c>
      <c r="E378" s="34" t="str">
        <f aca="false">IF($W378="","",IFERROR(TRIM(INDEX('🎓 Alumnas'!$C$2:$C$1000,MATCH($W378,'🎓 Alumnas'!$A$2:$A$1000,0))),""))</f>
        <v/>
      </c>
      <c r="F378" s="34" t="str">
        <f aca="false">IF($W378="","",IFERROR(IF(INDEX('🎓 Alumnas'!$D$2:$D$1000,MATCH($W378,'🎓 Alumnas'!$A$2:$A$1000,0))="","",INDEX('🎓 Alumnas'!$D$2:$D$1000,MATCH($W378,'🎓 Alumnas'!$A$2:$A$1000,0))),""))</f>
        <v/>
      </c>
      <c r="G378" s="28" t="str">
        <f aca="false">IF($W378="","",IFERROR(IF(INDEX('🎓 Alumnas'!$E$2:$E$1000,MATCH($W378,'🎓 Alumnas'!$A$2:$A$1000,0))="","",INDEX('🎓 Alumnas'!$E$2:$E$1000,MATCH($W378,'🎓 Alumnas'!$A$2:$A$1000,0))),""))</f>
        <v/>
      </c>
      <c r="H378" s="28" t="str">
        <f aca="false">IF($W378="","",IFERROR(IF(INDEX('🎓 Alumnas'!$F$2:$F$1000,MATCH($W378,'🎓 Alumnas'!$A$2:$A$1000,0))="","",INDEX('🎓 Alumnas'!$F$2:$F$1000,MATCH($W378,'🎓 Alumnas'!$A$2:$A$1000,0))),""))</f>
        <v/>
      </c>
      <c r="I378" s="30" t="str">
        <f aca="false">IF($W378="","",IFERROR(IF(INDEX('🎓 Alumnas'!$G$2:$G$1000,MATCH($W378,'🎓 Alumnas'!$A$2:$A$1000,0))="","",INDEX('🎓 Alumnas'!$G$2:$G$1000,MATCH($W378,'🎓 Alumnas'!$A$2:$A$1000,0))),""))</f>
        <v/>
      </c>
      <c r="J378" s="28" t="str">
        <f aca="true">IF(I378="","",DATEDIF(I378,TODAY(),"Y"))</f>
        <v/>
      </c>
      <c r="K378" s="25"/>
      <c r="L378" s="28" t="str">
        <f aca="false">IF(K378="","",IF(LEFT(K378,6)="1 Pole","Alquiler",IF(LEFT(K378,7)="1 Clase","Clase suelta","Paquete")))</f>
        <v/>
      </c>
      <c r="M378" s="25"/>
      <c r="N378" s="25"/>
      <c r="O378" s="35"/>
      <c r="P378" s="29" t="str">
        <f aca="false">IF(O378="","",N378*O378)</f>
        <v/>
      </c>
      <c r="Q378" s="36"/>
      <c r="R378" s="25"/>
      <c r="S378" s="25"/>
      <c r="T378" s="28" t="str">
        <f aca="false">IF(OR(LEFT(W378,2)&lt;&gt;"A-",ISERROR(MATCH(W378,'🎓 Alumnas'!$A$2:$A$1000,0))),"",IF(COUNTIF($W$2:W378,W378)=1,"Nueva","Recurrente"))</f>
        <v/>
      </c>
      <c r="U378" s="28" t="str">
        <f aca="false">IF(OR(T378="",L378&lt;&gt;"Paquete"),"",COUNTIFS($W$2:W378,W378,$L$2:L378,"Paquete"))</f>
        <v/>
      </c>
      <c r="V378" s="25"/>
      <c r="W378" s="34" t="str">
        <f aca="false">IF(TRIM($C378)="","",IF(COUNTIF('🎓 Alumnas'!$P$2:$P$1000,TRIM($C378))&gt;0,INDEX('🎓 Alumnas'!$A$2:$A$1000,MATCH(TRIM($C378),'🎓 Alumnas'!$P$2:$P$1000,0)),IF(COUNTIF('🎓 Alumnas'!$O$2:$O$1000,TRIM($C378)&amp;"|*")=1,INDEX('🎓 Alumnas'!$A$2:$A$1000,MATCH(TRIM($C378)&amp;"|*",'🎓 Alumnas'!$O$2:$O$1000,0)),IF(COUNTIF('🎓 Alumnas'!$O$2:$O$1000,"*|"&amp;TRIM($C378))=1,INDEX('🎓 Alumnas'!$A$2:$A$1000,MATCH("*|"&amp;TRIM($C378),'🎓 Alumnas'!$O$2:$O$1000,0)),IF(COUNTIF('🎓 Alumnas'!$Q$2:$Q$1000,TRIM($C378))=1,INDEX('🎓 Alumnas'!$A$2:$A$1000,MATCH(TRIM($C378),'🎓 Alumnas'!$Q$2:$Q$1000,0)),IF(COUNTIF('🎓 Alumnas'!$P$2:$P$1000,"*"&amp;TRIM($C378)&amp;"*")=1,INDEX('🎓 Alumnas'!$A$2:$A$1000,MATCH("*"&amp;TRIM($C378)&amp;"*",'🎓 Alumnas'!$P$2:$P$1000,0)),IF(COUNTIF('🎓 Alumnas'!$Q$2:$Q$1000,"*"&amp;TRIM($C378)&amp;"*")=1,INDEX('🎓 Alumnas'!$A$2:$A$1000,MATCH("*"&amp;TRIM($C378)&amp;"*",'🎓 Alumnas'!$Q$2:$Q$1000,0)),IF(COUNTIF('🎓 Alumnas'!$P$2:$P$1000,"*"&amp;TRIM($C378)&amp;"*")+COUNTIF('🎓 Alumnas'!$Q$2:$Q$1000,"*"&amp;TRIM($C378)&amp;"*")&gt;1,"Varias: elige de la lista","No encontrada"))))))))</f>
        <v/>
      </c>
    </row>
    <row r="379" customFormat="false" ht="14.25" hidden="false" customHeight="true" outlineLevel="0" collapsed="false">
      <c r="A379" s="25" t="s">
        <v>923</v>
      </c>
      <c r="B379" s="27"/>
      <c r="C379" s="25"/>
      <c r="D379" s="34" t="str">
        <f aca="false">IF($W379="","",IFERROR(TRIM(INDEX('🎓 Alumnas'!$B$2:$B$1000,MATCH($W379,'🎓 Alumnas'!$A$2:$A$1000,0))),""))</f>
        <v/>
      </c>
      <c r="E379" s="34" t="str">
        <f aca="false">IF($W379="","",IFERROR(TRIM(INDEX('🎓 Alumnas'!$C$2:$C$1000,MATCH($W379,'🎓 Alumnas'!$A$2:$A$1000,0))),""))</f>
        <v/>
      </c>
      <c r="F379" s="34" t="str">
        <f aca="false">IF($W379="","",IFERROR(IF(INDEX('🎓 Alumnas'!$D$2:$D$1000,MATCH($W379,'🎓 Alumnas'!$A$2:$A$1000,0))="","",INDEX('🎓 Alumnas'!$D$2:$D$1000,MATCH($W379,'🎓 Alumnas'!$A$2:$A$1000,0))),""))</f>
        <v/>
      </c>
      <c r="G379" s="28" t="str">
        <f aca="false">IF($W379="","",IFERROR(IF(INDEX('🎓 Alumnas'!$E$2:$E$1000,MATCH($W379,'🎓 Alumnas'!$A$2:$A$1000,0))="","",INDEX('🎓 Alumnas'!$E$2:$E$1000,MATCH($W379,'🎓 Alumnas'!$A$2:$A$1000,0))),""))</f>
        <v/>
      </c>
      <c r="H379" s="28" t="str">
        <f aca="false">IF($W379="","",IFERROR(IF(INDEX('🎓 Alumnas'!$F$2:$F$1000,MATCH($W379,'🎓 Alumnas'!$A$2:$A$1000,0))="","",INDEX('🎓 Alumnas'!$F$2:$F$1000,MATCH($W379,'🎓 Alumnas'!$A$2:$A$1000,0))),""))</f>
        <v/>
      </c>
      <c r="I379" s="30" t="str">
        <f aca="false">IF($W379="","",IFERROR(IF(INDEX('🎓 Alumnas'!$G$2:$G$1000,MATCH($W379,'🎓 Alumnas'!$A$2:$A$1000,0))="","",INDEX('🎓 Alumnas'!$G$2:$G$1000,MATCH($W379,'🎓 Alumnas'!$A$2:$A$1000,0))),""))</f>
        <v/>
      </c>
      <c r="J379" s="28" t="str">
        <f aca="true">IF(I379="","",DATEDIF(I379,TODAY(),"Y"))</f>
        <v/>
      </c>
      <c r="K379" s="25"/>
      <c r="L379" s="28" t="str">
        <f aca="false">IF(K379="","",IF(LEFT(K379,6)="1 Pole","Alquiler",IF(LEFT(K379,7)="1 Clase","Clase suelta","Paquete")))</f>
        <v/>
      </c>
      <c r="M379" s="25"/>
      <c r="N379" s="25"/>
      <c r="O379" s="35"/>
      <c r="P379" s="29" t="str">
        <f aca="false">IF(O379="","",N379*O379)</f>
        <v/>
      </c>
      <c r="Q379" s="36"/>
      <c r="R379" s="25"/>
      <c r="S379" s="25"/>
      <c r="T379" s="28" t="str">
        <f aca="false">IF(OR(LEFT(W379,2)&lt;&gt;"A-",ISERROR(MATCH(W379,'🎓 Alumnas'!$A$2:$A$1000,0))),"",IF(COUNTIF($W$2:W379,W379)=1,"Nueva","Recurrente"))</f>
        <v/>
      </c>
      <c r="U379" s="28" t="str">
        <f aca="false">IF(OR(T379="",L379&lt;&gt;"Paquete"),"",COUNTIFS($W$2:W379,W379,$L$2:L379,"Paquete"))</f>
        <v/>
      </c>
      <c r="V379" s="25"/>
      <c r="W379" s="34" t="str">
        <f aca="false">IF(TRIM($C379)="","",IF(COUNTIF('🎓 Alumnas'!$P$2:$P$1000,TRIM($C379))&gt;0,INDEX('🎓 Alumnas'!$A$2:$A$1000,MATCH(TRIM($C379),'🎓 Alumnas'!$P$2:$P$1000,0)),IF(COUNTIF('🎓 Alumnas'!$O$2:$O$1000,TRIM($C379)&amp;"|*")=1,INDEX('🎓 Alumnas'!$A$2:$A$1000,MATCH(TRIM($C379)&amp;"|*",'🎓 Alumnas'!$O$2:$O$1000,0)),IF(COUNTIF('🎓 Alumnas'!$O$2:$O$1000,"*|"&amp;TRIM($C379))=1,INDEX('🎓 Alumnas'!$A$2:$A$1000,MATCH("*|"&amp;TRIM($C379),'🎓 Alumnas'!$O$2:$O$1000,0)),IF(COUNTIF('🎓 Alumnas'!$Q$2:$Q$1000,TRIM($C379))=1,INDEX('🎓 Alumnas'!$A$2:$A$1000,MATCH(TRIM($C379),'🎓 Alumnas'!$Q$2:$Q$1000,0)),IF(COUNTIF('🎓 Alumnas'!$P$2:$P$1000,"*"&amp;TRIM($C379)&amp;"*")=1,INDEX('🎓 Alumnas'!$A$2:$A$1000,MATCH("*"&amp;TRIM($C379)&amp;"*",'🎓 Alumnas'!$P$2:$P$1000,0)),IF(COUNTIF('🎓 Alumnas'!$Q$2:$Q$1000,"*"&amp;TRIM($C379)&amp;"*")=1,INDEX('🎓 Alumnas'!$A$2:$A$1000,MATCH("*"&amp;TRIM($C379)&amp;"*",'🎓 Alumnas'!$Q$2:$Q$1000,0)),IF(COUNTIF('🎓 Alumnas'!$P$2:$P$1000,"*"&amp;TRIM($C379)&amp;"*")+COUNTIF('🎓 Alumnas'!$Q$2:$Q$1000,"*"&amp;TRIM($C379)&amp;"*")&gt;1,"Varias: elige de la lista","No encontrada"))))))))</f>
        <v/>
      </c>
    </row>
    <row r="380" customFormat="false" ht="14.25" hidden="false" customHeight="true" outlineLevel="0" collapsed="false">
      <c r="A380" s="25" t="s">
        <v>924</v>
      </c>
      <c r="B380" s="27"/>
      <c r="C380" s="25"/>
      <c r="D380" s="34" t="str">
        <f aca="false">IF($W380="","",IFERROR(TRIM(INDEX('🎓 Alumnas'!$B$2:$B$1000,MATCH($W380,'🎓 Alumnas'!$A$2:$A$1000,0))),""))</f>
        <v/>
      </c>
      <c r="E380" s="34" t="str">
        <f aca="false">IF($W380="","",IFERROR(TRIM(INDEX('🎓 Alumnas'!$C$2:$C$1000,MATCH($W380,'🎓 Alumnas'!$A$2:$A$1000,0))),""))</f>
        <v/>
      </c>
      <c r="F380" s="34" t="str">
        <f aca="false">IF($W380="","",IFERROR(IF(INDEX('🎓 Alumnas'!$D$2:$D$1000,MATCH($W380,'🎓 Alumnas'!$A$2:$A$1000,0))="","",INDEX('🎓 Alumnas'!$D$2:$D$1000,MATCH($W380,'🎓 Alumnas'!$A$2:$A$1000,0))),""))</f>
        <v/>
      </c>
      <c r="G380" s="28" t="str">
        <f aca="false">IF($W380="","",IFERROR(IF(INDEX('🎓 Alumnas'!$E$2:$E$1000,MATCH($W380,'🎓 Alumnas'!$A$2:$A$1000,0))="","",INDEX('🎓 Alumnas'!$E$2:$E$1000,MATCH($W380,'🎓 Alumnas'!$A$2:$A$1000,0))),""))</f>
        <v/>
      </c>
      <c r="H380" s="28" t="str">
        <f aca="false">IF($W380="","",IFERROR(IF(INDEX('🎓 Alumnas'!$F$2:$F$1000,MATCH($W380,'🎓 Alumnas'!$A$2:$A$1000,0))="","",INDEX('🎓 Alumnas'!$F$2:$F$1000,MATCH($W380,'🎓 Alumnas'!$A$2:$A$1000,0))),""))</f>
        <v/>
      </c>
      <c r="I380" s="30" t="str">
        <f aca="false">IF($W380="","",IFERROR(IF(INDEX('🎓 Alumnas'!$G$2:$G$1000,MATCH($W380,'🎓 Alumnas'!$A$2:$A$1000,0))="","",INDEX('🎓 Alumnas'!$G$2:$G$1000,MATCH($W380,'🎓 Alumnas'!$A$2:$A$1000,0))),""))</f>
        <v/>
      </c>
      <c r="J380" s="28" t="str">
        <f aca="true">IF(I380="","",DATEDIF(I380,TODAY(),"Y"))</f>
        <v/>
      </c>
      <c r="K380" s="25"/>
      <c r="L380" s="28" t="str">
        <f aca="false">IF(K380="","",IF(LEFT(K380,6)="1 Pole","Alquiler",IF(LEFT(K380,7)="1 Clase","Clase suelta","Paquete")))</f>
        <v/>
      </c>
      <c r="M380" s="25"/>
      <c r="N380" s="25"/>
      <c r="O380" s="35"/>
      <c r="P380" s="29" t="str">
        <f aca="false">IF(O380="","",N380*O380)</f>
        <v/>
      </c>
      <c r="Q380" s="36"/>
      <c r="R380" s="25"/>
      <c r="S380" s="25"/>
      <c r="T380" s="28" t="str">
        <f aca="false">IF(OR(LEFT(W380,2)&lt;&gt;"A-",ISERROR(MATCH(W380,'🎓 Alumnas'!$A$2:$A$1000,0))),"",IF(COUNTIF($W$2:W380,W380)=1,"Nueva","Recurrente"))</f>
        <v/>
      </c>
      <c r="U380" s="28" t="str">
        <f aca="false">IF(OR(T380="",L380&lt;&gt;"Paquete"),"",COUNTIFS($W$2:W380,W380,$L$2:L380,"Paquete"))</f>
        <v/>
      </c>
      <c r="V380" s="25"/>
      <c r="W380" s="34" t="str">
        <f aca="false">IF(TRIM($C380)="","",IF(COUNTIF('🎓 Alumnas'!$P$2:$P$1000,TRIM($C380))&gt;0,INDEX('🎓 Alumnas'!$A$2:$A$1000,MATCH(TRIM($C380),'🎓 Alumnas'!$P$2:$P$1000,0)),IF(COUNTIF('🎓 Alumnas'!$O$2:$O$1000,TRIM($C380)&amp;"|*")=1,INDEX('🎓 Alumnas'!$A$2:$A$1000,MATCH(TRIM($C380)&amp;"|*",'🎓 Alumnas'!$O$2:$O$1000,0)),IF(COUNTIF('🎓 Alumnas'!$O$2:$O$1000,"*|"&amp;TRIM($C380))=1,INDEX('🎓 Alumnas'!$A$2:$A$1000,MATCH("*|"&amp;TRIM($C380),'🎓 Alumnas'!$O$2:$O$1000,0)),IF(COUNTIF('🎓 Alumnas'!$Q$2:$Q$1000,TRIM($C380))=1,INDEX('🎓 Alumnas'!$A$2:$A$1000,MATCH(TRIM($C380),'🎓 Alumnas'!$Q$2:$Q$1000,0)),IF(COUNTIF('🎓 Alumnas'!$P$2:$P$1000,"*"&amp;TRIM($C380)&amp;"*")=1,INDEX('🎓 Alumnas'!$A$2:$A$1000,MATCH("*"&amp;TRIM($C380)&amp;"*",'🎓 Alumnas'!$P$2:$P$1000,0)),IF(COUNTIF('🎓 Alumnas'!$Q$2:$Q$1000,"*"&amp;TRIM($C380)&amp;"*")=1,INDEX('🎓 Alumnas'!$A$2:$A$1000,MATCH("*"&amp;TRIM($C380)&amp;"*",'🎓 Alumnas'!$Q$2:$Q$1000,0)),IF(COUNTIF('🎓 Alumnas'!$P$2:$P$1000,"*"&amp;TRIM($C380)&amp;"*")+COUNTIF('🎓 Alumnas'!$Q$2:$Q$1000,"*"&amp;TRIM($C380)&amp;"*")&gt;1,"Varias: elige de la lista","No encontrada"))))))))</f>
        <v/>
      </c>
    </row>
    <row r="381" customFormat="false" ht="14.25" hidden="false" customHeight="true" outlineLevel="0" collapsed="false">
      <c r="A381" s="25" t="s">
        <v>925</v>
      </c>
      <c r="B381" s="27"/>
      <c r="C381" s="25"/>
      <c r="D381" s="34" t="str">
        <f aca="false">IF($W381="","",IFERROR(TRIM(INDEX('🎓 Alumnas'!$B$2:$B$1000,MATCH($W381,'🎓 Alumnas'!$A$2:$A$1000,0))),""))</f>
        <v/>
      </c>
      <c r="E381" s="34" t="str">
        <f aca="false">IF($W381="","",IFERROR(TRIM(INDEX('🎓 Alumnas'!$C$2:$C$1000,MATCH($W381,'🎓 Alumnas'!$A$2:$A$1000,0))),""))</f>
        <v/>
      </c>
      <c r="F381" s="34" t="str">
        <f aca="false">IF($W381="","",IFERROR(IF(INDEX('🎓 Alumnas'!$D$2:$D$1000,MATCH($W381,'🎓 Alumnas'!$A$2:$A$1000,0))="","",INDEX('🎓 Alumnas'!$D$2:$D$1000,MATCH($W381,'🎓 Alumnas'!$A$2:$A$1000,0))),""))</f>
        <v/>
      </c>
      <c r="G381" s="28" t="str">
        <f aca="false">IF($W381="","",IFERROR(IF(INDEX('🎓 Alumnas'!$E$2:$E$1000,MATCH($W381,'🎓 Alumnas'!$A$2:$A$1000,0))="","",INDEX('🎓 Alumnas'!$E$2:$E$1000,MATCH($W381,'🎓 Alumnas'!$A$2:$A$1000,0))),""))</f>
        <v/>
      </c>
      <c r="H381" s="28" t="str">
        <f aca="false">IF($W381="","",IFERROR(IF(INDEX('🎓 Alumnas'!$F$2:$F$1000,MATCH($W381,'🎓 Alumnas'!$A$2:$A$1000,0))="","",INDEX('🎓 Alumnas'!$F$2:$F$1000,MATCH($W381,'🎓 Alumnas'!$A$2:$A$1000,0))),""))</f>
        <v/>
      </c>
      <c r="I381" s="30" t="str">
        <f aca="false">IF($W381="","",IFERROR(IF(INDEX('🎓 Alumnas'!$G$2:$G$1000,MATCH($W381,'🎓 Alumnas'!$A$2:$A$1000,0))="","",INDEX('🎓 Alumnas'!$G$2:$G$1000,MATCH($W381,'🎓 Alumnas'!$A$2:$A$1000,0))),""))</f>
        <v/>
      </c>
      <c r="J381" s="28" t="str">
        <f aca="true">IF(I381="","",DATEDIF(I381,TODAY(),"Y"))</f>
        <v/>
      </c>
      <c r="K381" s="25"/>
      <c r="L381" s="28" t="str">
        <f aca="false">IF(K381="","",IF(LEFT(K381,6)="1 Pole","Alquiler",IF(LEFT(K381,7)="1 Clase","Clase suelta","Paquete")))</f>
        <v/>
      </c>
      <c r="M381" s="25"/>
      <c r="N381" s="25"/>
      <c r="O381" s="35"/>
      <c r="P381" s="29" t="str">
        <f aca="false">IF(O381="","",N381*O381)</f>
        <v/>
      </c>
      <c r="Q381" s="36"/>
      <c r="R381" s="25"/>
      <c r="S381" s="25"/>
      <c r="T381" s="28" t="str">
        <f aca="false">IF(OR(LEFT(W381,2)&lt;&gt;"A-",ISERROR(MATCH(W381,'🎓 Alumnas'!$A$2:$A$1000,0))),"",IF(COUNTIF($W$2:W381,W381)=1,"Nueva","Recurrente"))</f>
        <v/>
      </c>
      <c r="U381" s="28" t="str">
        <f aca="false">IF(OR(T381="",L381&lt;&gt;"Paquete"),"",COUNTIFS($W$2:W381,W381,$L$2:L381,"Paquete"))</f>
        <v/>
      </c>
      <c r="V381" s="25"/>
      <c r="W381" s="34" t="str">
        <f aca="false">IF(TRIM($C381)="","",IF(COUNTIF('🎓 Alumnas'!$P$2:$P$1000,TRIM($C381))&gt;0,INDEX('🎓 Alumnas'!$A$2:$A$1000,MATCH(TRIM($C381),'🎓 Alumnas'!$P$2:$P$1000,0)),IF(COUNTIF('🎓 Alumnas'!$O$2:$O$1000,TRIM($C381)&amp;"|*")=1,INDEX('🎓 Alumnas'!$A$2:$A$1000,MATCH(TRIM($C381)&amp;"|*",'🎓 Alumnas'!$O$2:$O$1000,0)),IF(COUNTIF('🎓 Alumnas'!$O$2:$O$1000,"*|"&amp;TRIM($C381))=1,INDEX('🎓 Alumnas'!$A$2:$A$1000,MATCH("*|"&amp;TRIM($C381),'🎓 Alumnas'!$O$2:$O$1000,0)),IF(COUNTIF('🎓 Alumnas'!$Q$2:$Q$1000,TRIM($C381))=1,INDEX('🎓 Alumnas'!$A$2:$A$1000,MATCH(TRIM($C381),'🎓 Alumnas'!$Q$2:$Q$1000,0)),IF(COUNTIF('🎓 Alumnas'!$P$2:$P$1000,"*"&amp;TRIM($C381)&amp;"*")=1,INDEX('🎓 Alumnas'!$A$2:$A$1000,MATCH("*"&amp;TRIM($C381)&amp;"*",'🎓 Alumnas'!$P$2:$P$1000,0)),IF(COUNTIF('🎓 Alumnas'!$Q$2:$Q$1000,"*"&amp;TRIM($C381)&amp;"*")=1,INDEX('🎓 Alumnas'!$A$2:$A$1000,MATCH("*"&amp;TRIM($C381)&amp;"*",'🎓 Alumnas'!$Q$2:$Q$1000,0)),IF(COUNTIF('🎓 Alumnas'!$P$2:$P$1000,"*"&amp;TRIM($C381)&amp;"*")+COUNTIF('🎓 Alumnas'!$Q$2:$Q$1000,"*"&amp;TRIM($C381)&amp;"*")&gt;1,"Varias: elige de la lista","No encontrada"))))))))</f>
        <v/>
      </c>
    </row>
    <row r="382" customFormat="false" ht="14.25" hidden="false" customHeight="true" outlineLevel="0" collapsed="false">
      <c r="A382" s="25" t="s">
        <v>926</v>
      </c>
      <c r="B382" s="27"/>
      <c r="C382" s="25"/>
      <c r="D382" s="34" t="str">
        <f aca="false">IF($W382="","",IFERROR(TRIM(INDEX('🎓 Alumnas'!$B$2:$B$1000,MATCH($W382,'🎓 Alumnas'!$A$2:$A$1000,0))),""))</f>
        <v/>
      </c>
      <c r="E382" s="34" t="str">
        <f aca="false">IF($W382="","",IFERROR(TRIM(INDEX('🎓 Alumnas'!$C$2:$C$1000,MATCH($W382,'🎓 Alumnas'!$A$2:$A$1000,0))),""))</f>
        <v/>
      </c>
      <c r="F382" s="34" t="str">
        <f aca="false">IF($W382="","",IFERROR(IF(INDEX('🎓 Alumnas'!$D$2:$D$1000,MATCH($W382,'🎓 Alumnas'!$A$2:$A$1000,0))="","",INDEX('🎓 Alumnas'!$D$2:$D$1000,MATCH($W382,'🎓 Alumnas'!$A$2:$A$1000,0))),""))</f>
        <v/>
      </c>
      <c r="G382" s="28" t="str">
        <f aca="false">IF($W382="","",IFERROR(IF(INDEX('🎓 Alumnas'!$E$2:$E$1000,MATCH($W382,'🎓 Alumnas'!$A$2:$A$1000,0))="","",INDEX('🎓 Alumnas'!$E$2:$E$1000,MATCH($W382,'🎓 Alumnas'!$A$2:$A$1000,0))),""))</f>
        <v/>
      </c>
      <c r="H382" s="28" t="str">
        <f aca="false">IF($W382="","",IFERROR(IF(INDEX('🎓 Alumnas'!$F$2:$F$1000,MATCH($W382,'🎓 Alumnas'!$A$2:$A$1000,0))="","",INDEX('🎓 Alumnas'!$F$2:$F$1000,MATCH($W382,'🎓 Alumnas'!$A$2:$A$1000,0))),""))</f>
        <v/>
      </c>
      <c r="I382" s="30" t="str">
        <f aca="false">IF($W382="","",IFERROR(IF(INDEX('🎓 Alumnas'!$G$2:$G$1000,MATCH($W382,'🎓 Alumnas'!$A$2:$A$1000,0))="","",INDEX('🎓 Alumnas'!$G$2:$G$1000,MATCH($W382,'🎓 Alumnas'!$A$2:$A$1000,0))),""))</f>
        <v/>
      </c>
      <c r="J382" s="28" t="str">
        <f aca="true">IF(I382="","",DATEDIF(I382,TODAY(),"Y"))</f>
        <v/>
      </c>
      <c r="K382" s="25"/>
      <c r="L382" s="28" t="str">
        <f aca="false">IF(K382="","",IF(LEFT(K382,6)="1 Pole","Alquiler",IF(LEFT(K382,7)="1 Clase","Clase suelta","Paquete")))</f>
        <v/>
      </c>
      <c r="M382" s="25"/>
      <c r="N382" s="25"/>
      <c r="O382" s="35"/>
      <c r="P382" s="29" t="str">
        <f aca="false">IF(O382="","",N382*O382)</f>
        <v/>
      </c>
      <c r="Q382" s="36"/>
      <c r="R382" s="25"/>
      <c r="S382" s="25"/>
      <c r="T382" s="28" t="str">
        <f aca="false">IF(OR(LEFT(W382,2)&lt;&gt;"A-",ISERROR(MATCH(W382,'🎓 Alumnas'!$A$2:$A$1000,0))),"",IF(COUNTIF($W$2:W382,W382)=1,"Nueva","Recurrente"))</f>
        <v/>
      </c>
      <c r="U382" s="28" t="str">
        <f aca="false">IF(OR(T382="",L382&lt;&gt;"Paquete"),"",COUNTIFS($W$2:W382,W382,$L$2:L382,"Paquete"))</f>
        <v/>
      </c>
      <c r="V382" s="25"/>
      <c r="W382" s="34" t="str">
        <f aca="false">IF(TRIM($C382)="","",IF(COUNTIF('🎓 Alumnas'!$P$2:$P$1000,TRIM($C382))&gt;0,INDEX('🎓 Alumnas'!$A$2:$A$1000,MATCH(TRIM($C382),'🎓 Alumnas'!$P$2:$P$1000,0)),IF(COUNTIF('🎓 Alumnas'!$O$2:$O$1000,TRIM($C382)&amp;"|*")=1,INDEX('🎓 Alumnas'!$A$2:$A$1000,MATCH(TRIM($C382)&amp;"|*",'🎓 Alumnas'!$O$2:$O$1000,0)),IF(COUNTIF('🎓 Alumnas'!$O$2:$O$1000,"*|"&amp;TRIM($C382))=1,INDEX('🎓 Alumnas'!$A$2:$A$1000,MATCH("*|"&amp;TRIM($C382),'🎓 Alumnas'!$O$2:$O$1000,0)),IF(COUNTIF('🎓 Alumnas'!$Q$2:$Q$1000,TRIM($C382))=1,INDEX('🎓 Alumnas'!$A$2:$A$1000,MATCH(TRIM($C382),'🎓 Alumnas'!$Q$2:$Q$1000,0)),IF(COUNTIF('🎓 Alumnas'!$P$2:$P$1000,"*"&amp;TRIM($C382)&amp;"*")=1,INDEX('🎓 Alumnas'!$A$2:$A$1000,MATCH("*"&amp;TRIM($C382)&amp;"*",'🎓 Alumnas'!$P$2:$P$1000,0)),IF(COUNTIF('🎓 Alumnas'!$Q$2:$Q$1000,"*"&amp;TRIM($C382)&amp;"*")=1,INDEX('🎓 Alumnas'!$A$2:$A$1000,MATCH("*"&amp;TRIM($C382)&amp;"*",'🎓 Alumnas'!$Q$2:$Q$1000,0)),IF(COUNTIF('🎓 Alumnas'!$P$2:$P$1000,"*"&amp;TRIM($C382)&amp;"*")+COUNTIF('🎓 Alumnas'!$Q$2:$Q$1000,"*"&amp;TRIM($C382)&amp;"*")&gt;1,"Varias: elige de la lista","No encontrada"))))))))</f>
        <v/>
      </c>
    </row>
    <row r="383" customFormat="false" ht="14.25" hidden="false" customHeight="true" outlineLevel="0" collapsed="false">
      <c r="A383" s="25" t="s">
        <v>927</v>
      </c>
      <c r="B383" s="27"/>
      <c r="C383" s="25"/>
      <c r="D383" s="34" t="str">
        <f aca="false">IF($W383="","",IFERROR(TRIM(INDEX('🎓 Alumnas'!$B$2:$B$1000,MATCH($W383,'🎓 Alumnas'!$A$2:$A$1000,0))),""))</f>
        <v/>
      </c>
      <c r="E383" s="34" t="str">
        <f aca="false">IF($W383="","",IFERROR(TRIM(INDEX('🎓 Alumnas'!$C$2:$C$1000,MATCH($W383,'🎓 Alumnas'!$A$2:$A$1000,0))),""))</f>
        <v/>
      </c>
      <c r="F383" s="34" t="str">
        <f aca="false">IF($W383="","",IFERROR(IF(INDEX('🎓 Alumnas'!$D$2:$D$1000,MATCH($W383,'🎓 Alumnas'!$A$2:$A$1000,0))="","",INDEX('🎓 Alumnas'!$D$2:$D$1000,MATCH($W383,'🎓 Alumnas'!$A$2:$A$1000,0))),""))</f>
        <v/>
      </c>
      <c r="G383" s="28" t="str">
        <f aca="false">IF($W383="","",IFERROR(IF(INDEX('🎓 Alumnas'!$E$2:$E$1000,MATCH($W383,'🎓 Alumnas'!$A$2:$A$1000,0))="","",INDEX('🎓 Alumnas'!$E$2:$E$1000,MATCH($W383,'🎓 Alumnas'!$A$2:$A$1000,0))),""))</f>
        <v/>
      </c>
      <c r="H383" s="28" t="str">
        <f aca="false">IF($W383="","",IFERROR(IF(INDEX('🎓 Alumnas'!$F$2:$F$1000,MATCH($W383,'🎓 Alumnas'!$A$2:$A$1000,0))="","",INDEX('🎓 Alumnas'!$F$2:$F$1000,MATCH($W383,'🎓 Alumnas'!$A$2:$A$1000,0))),""))</f>
        <v/>
      </c>
      <c r="I383" s="30" t="str">
        <f aca="false">IF($W383="","",IFERROR(IF(INDEX('🎓 Alumnas'!$G$2:$G$1000,MATCH($W383,'🎓 Alumnas'!$A$2:$A$1000,0))="","",INDEX('🎓 Alumnas'!$G$2:$G$1000,MATCH($W383,'🎓 Alumnas'!$A$2:$A$1000,0))),""))</f>
        <v/>
      </c>
      <c r="J383" s="28" t="str">
        <f aca="true">IF(I383="","",DATEDIF(I383,TODAY(),"Y"))</f>
        <v/>
      </c>
      <c r="K383" s="25"/>
      <c r="L383" s="28" t="str">
        <f aca="false">IF(K383="","",IF(LEFT(K383,6)="1 Pole","Alquiler",IF(LEFT(K383,7)="1 Clase","Clase suelta","Paquete")))</f>
        <v/>
      </c>
      <c r="M383" s="25"/>
      <c r="N383" s="25"/>
      <c r="O383" s="35"/>
      <c r="P383" s="29" t="str">
        <f aca="false">IF(O383="","",N383*O383)</f>
        <v/>
      </c>
      <c r="Q383" s="36"/>
      <c r="R383" s="25"/>
      <c r="S383" s="25"/>
      <c r="T383" s="28" t="str">
        <f aca="false">IF(OR(LEFT(W383,2)&lt;&gt;"A-",ISERROR(MATCH(W383,'🎓 Alumnas'!$A$2:$A$1000,0))),"",IF(COUNTIF($W$2:W383,W383)=1,"Nueva","Recurrente"))</f>
        <v/>
      </c>
      <c r="U383" s="28" t="str">
        <f aca="false">IF(OR(T383="",L383&lt;&gt;"Paquete"),"",COUNTIFS($W$2:W383,W383,$L$2:L383,"Paquete"))</f>
        <v/>
      </c>
      <c r="V383" s="25"/>
      <c r="W383" s="34" t="str">
        <f aca="false">IF(TRIM($C383)="","",IF(COUNTIF('🎓 Alumnas'!$P$2:$P$1000,TRIM($C383))&gt;0,INDEX('🎓 Alumnas'!$A$2:$A$1000,MATCH(TRIM($C383),'🎓 Alumnas'!$P$2:$P$1000,0)),IF(COUNTIF('🎓 Alumnas'!$O$2:$O$1000,TRIM($C383)&amp;"|*")=1,INDEX('🎓 Alumnas'!$A$2:$A$1000,MATCH(TRIM($C383)&amp;"|*",'🎓 Alumnas'!$O$2:$O$1000,0)),IF(COUNTIF('🎓 Alumnas'!$O$2:$O$1000,"*|"&amp;TRIM($C383))=1,INDEX('🎓 Alumnas'!$A$2:$A$1000,MATCH("*|"&amp;TRIM($C383),'🎓 Alumnas'!$O$2:$O$1000,0)),IF(COUNTIF('🎓 Alumnas'!$Q$2:$Q$1000,TRIM($C383))=1,INDEX('🎓 Alumnas'!$A$2:$A$1000,MATCH(TRIM($C383),'🎓 Alumnas'!$Q$2:$Q$1000,0)),IF(COUNTIF('🎓 Alumnas'!$P$2:$P$1000,"*"&amp;TRIM($C383)&amp;"*")=1,INDEX('🎓 Alumnas'!$A$2:$A$1000,MATCH("*"&amp;TRIM($C383)&amp;"*",'🎓 Alumnas'!$P$2:$P$1000,0)),IF(COUNTIF('🎓 Alumnas'!$Q$2:$Q$1000,"*"&amp;TRIM($C383)&amp;"*")=1,INDEX('🎓 Alumnas'!$A$2:$A$1000,MATCH("*"&amp;TRIM($C383)&amp;"*",'🎓 Alumnas'!$Q$2:$Q$1000,0)),IF(COUNTIF('🎓 Alumnas'!$P$2:$P$1000,"*"&amp;TRIM($C383)&amp;"*")+COUNTIF('🎓 Alumnas'!$Q$2:$Q$1000,"*"&amp;TRIM($C383)&amp;"*")&gt;1,"Varias: elige de la lista","No encontrada"))))))))</f>
        <v/>
      </c>
    </row>
    <row r="384" customFormat="false" ht="14.25" hidden="false" customHeight="true" outlineLevel="0" collapsed="false">
      <c r="A384" s="25" t="s">
        <v>928</v>
      </c>
      <c r="B384" s="27"/>
      <c r="C384" s="25"/>
      <c r="D384" s="34" t="str">
        <f aca="false">IF($W384="","",IFERROR(TRIM(INDEX('🎓 Alumnas'!$B$2:$B$1000,MATCH($W384,'🎓 Alumnas'!$A$2:$A$1000,0))),""))</f>
        <v/>
      </c>
      <c r="E384" s="34" t="str">
        <f aca="false">IF($W384="","",IFERROR(TRIM(INDEX('🎓 Alumnas'!$C$2:$C$1000,MATCH($W384,'🎓 Alumnas'!$A$2:$A$1000,0))),""))</f>
        <v/>
      </c>
      <c r="F384" s="34" t="str">
        <f aca="false">IF($W384="","",IFERROR(IF(INDEX('🎓 Alumnas'!$D$2:$D$1000,MATCH($W384,'🎓 Alumnas'!$A$2:$A$1000,0))="","",INDEX('🎓 Alumnas'!$D$2:$D$1000,MATCH($W384,'🎓 Alumnas'!$A$2:$A$1000,0))),""))</f>
        <v/>
      </c>
      <c r="G384" s="28" t="str">
        <f aca="false">IF($W384="","",IFERROR(IF(INDEX('🎓 Alumnas'!$E$2:$E$1000,MATCH($W384,'🎓 Alumnas'!$A$2:$A$1000,0))="","",INDEX('🎓 Alumnas'!$E$2:$E$1000,MATCH($W384,'🎓 Alumnas'!$A$2:$A$1000,0))),""))</f>
        <v/>
      </c>
      <c r="H384" s="28" t="str">
        <f aca="false">IF($W384="","",IFERROR(IF(INDEX('🎓 Alumnas'!$F$2:$F$1000,MATCH($W384,'🎓 Alumnas'!$A$2:$A$1000,0))="","",INDEX('🎓 Alumnas'!$F$2:$F$1000,MATCH($W384,'🎓 Alumnas'!$A$2:$A$1000,0))),""))</f>
        <v/>
      </c>
      <c r="I384" s="30" t="str">
        <f aca="false">IF($W384="","",IFERROR(IF(INDEX('🎓 Alumnas'!$G$2:$G$1000,MATCH($W384,'🎓 Alumnas'!$A$2:$A$1000,0))="","",INDEX('🎓 Alumnas'!$G$2:$G$1000,MATCH($W384,'🎓 Alumnas'!$A$2:$A$1000,0))),""))</f>
        <v/>
      </c>
      <c r="J384" s="28" t="str">
        <f aca="true">IF(I384="","",DATEDIF(I384,TODAY(),"Y"))</f>
        <v/>
      </c>
      <c r="K384" s="25"/>
      <c r="L384" s="28" t="str">
        <f aca="false">IF(K384="","",IF(LEFT(K384,6)="1 Pole","Alquiler",IF(LEFT(K384,7)="1 Clase","Clase suelta","Paquete")))</f>
        <v/>
      </c>
      <c r="M384" s="25"/>
      <c r="N384" s="25"/>
      <c r="O384" s="35"/>
      <c r="P384" s="29" t="str">
        <f aca="false">IF(O384="","",N384*O384)</f>
        <v/>
      </c>
      <c r="Q384" s="36"/>
      <c r="R384" s="25"/>
      <c r="S384" s="25"/>
      <c r="T384" s="28" t="str">
        <f aca="false">IF(OR(LEFT(W384,2)&lt;&gt;"A-",ISERROR(MATCH(W384,'🎓 Alumnas'!$A$2:$A$1000,0))),"",IF(COUNTIF($W$2:W384,W384)=1,"Nueva","Recurrente"))</f>
        <v/>
      </c>
      <c r="U384" s="28" t="str">
        <f aca="false">IF(OR(T384="",L384&lt;&gt;"Paquete"),"",COUNTIFS($W$2:W384,W384,$L$2:L384,"Paquete"))</f>
        <v/>
      </c>
      <c r="V384" s="25"/>
      <c r="W384" s="34" t="str">
        <f aca="false">IF(TRIM($C384)="","",IF(COUNTIF('🎓 Alumnas'!$P$2:$P$1000,TRIM($C384))&gt;0,INDEX('🎓 Alumnas'!$A$2:$A$1000,MATCH(TRIM($C384),'🎓 Alumnas'!$P$2:$P$1000,0)),IF(COUNTIF('🎓 Alumnas'!$O$2:$O$1000,TRIM($C384)&amp;"|*")=1,INDEX('🎓 Alumnas'!$A$2:$A$1000,MATCH(TRIM($C384)&amp;"|*",'🎓 Alumnas'!$O$2:$O$1000,0)),IF(COUNTIF('🎓 Alumnas'!$O$2:$O$1000,"*|"&amp;TRIM($C384))=1,INDEX('🎓 Alumnas'!$A$2:$A$1000,MATCH("*|"&amp;TRIM($C384),'🎓 Alumnas'!$O$2:$O$1000,0)),IF(COUNTIF('🎓 Alumnas'!$Q$2:$Q$1000,TRIM($C384))=1,INDEX('🎓 Alumnas'!$A$2:$A$1000,MATCH(TRIM($C384),'🎓 Alumnas'!$Q$2:$Q$1000,0)),IF(COUNTIF('🎓 Alumnas'!$P$2:$P$1000,"*"&amp;TRIM($C384)&amp;"*")=1,INDEX('🎓 Alumnas'!$A$2:$A$1000,MATCH("*"&amp;TRIM($C384)&amp;"*",'🎓 Alumnas'!$P$2:$P$1000,0)),IF(COUNTIF('🎓 Alumnas'!$Q$2:$Q$1000,"*"&amp;TRIM($C384)&amp;"*")=1,INDEX('🎓 Alumnas'!$A$2:$A$1000,MATCH("*"&amp;TRIM($C384)&amp;"*",'🎓 Alumnas'!$Q$2:$Q$1000,0)),IF(COUNTIF('🎓 Alumnas'!$P$2:$P$1000,"*"&amp;TRIM($C384)&amp;"*")+COUNTIF('🎓 Alumnas'!$Q$2:$Q$1000,"*"&amp;TRIM($C384)&amp;"*")&gt;1,"Varias: elige de la lista","No encontrada"))))))))</f>
        <v/>
      </c>
    </row>
    <row r="385" customFormat="false" ht="14.25" hidden="false" customHeight="true" outlineLevel="0" collapsed="false">
      <c r="A385" s="25" t="s">
        <v>929</v>
      </c>
      <c r="B385" s="27"/>
      <c r="C385" s="25"/>
      <c r="D385" s="34" t="str">
        <f aca="false">IF($W385="","",IFERROR(TRIM(INDEX('🎓 Alumnas'!$B$2:$B$1000,MATCH($W385,'🎓 Alumnas'!$A$2:$A$1000,0))),""))</f>
        <v/>
      </c>
      <c r="E385" s="34" t="str">
        <f aca="false">IF($W385="","",IFERROR(TRIM(INDEX('🎓 Alumnas'!$C$2:$C$1000,MATCH($W385,'🎓 Alumnas'!$A$2:$A$1000,0))),""))</f>
        <v/>
      </c>
      <c r="F385" s="34" t="str">
        <f aca="false">IF($W385="","",IFERROR(IF(INDEX('🎓 Alumnas'!$D$2:$D$1000,MATCH($W385,'🎓 Alumnas'!$A$2:$A$1000,0))="","",INDEX('🎓 Alumnas'!$D$2:$D$1000,MATCH($W385,'🎓 Alumnas'!$A$2:$A$1000,0))),""))</f>
        <v/>
      </c>
      <c r="G385" s="28" t="str">
        <f aca="false">IF($W385="","",IFERROR(IF(INDEX('🎓 Alumnas'!$E$2:$E$1000,MATCH($W385,'🎓 Alumnas'!$A$2:$A$1000,0))="","",INDEX('🎓 Alumnas'!$E$2:$E$1000,MATCH($W385,'🎓 Alumnas'!$A$2:$A$1000,0))),""))</f>
        <v/>
      </c>
      <c r="H385" s="28" t="str">
        <f aca="false">IF($W385="","",IFERROR(IF(INDEX('🎓 Alumnas'!$F$2:$F$1000,MATCH($W385,'🎓 Alumnas'!$A$2:$A$1000,0))="","",INDEX('🎓 Alumnas'!$F$2:$F$1000,MATCH($W385,'🎓 Alumnas'!$A$2:$A$1000,0))),""))</f>
        <v/>
      </c>
      <c r="I385" s="30" t="str">
        <f aca="false">IF($W385="","",IFERROR(IF(INDEX('🎓 Alumnas'!$G$2:$G$1000,MATCH($W385,'🎓 Alumnas'!$A$2:$A$1000,0))="","",INDEX('🎓 Alumnas'!$G$2:$G$1000,MATCH($W385,'🎓 Alumnas'!$A$2:$A$1000,0))),""))</f>
        <v/>
      </c>
      <c r="J385" s="28" t="str">
        <f aca="true">IF(I385="","",DATEDIF(I385,TODAY(),"Y"))</f>
        <v/>
      </c>
      <c r="K385" s="25"/>
      <c r="L385" s="28" t="str">
        <f aca="false">IF(K385="","",IF(LEFT(K385,6)="1 Pole","Alquiler",IF(LEFT(K385,7)="1 Clase","Clase suelta","Paquete")))</f>
        <v/>
      </c>
      <c r="M385" s="25"/>
      <c r="N385" s="25"/>
      <c r="O385" s="35"/>
      <c r="P385" s="29" t="str">
        <f aca="false">IF(O385="","",N385*O385)</f>
        <v/>
      </c>
      <c r="Q385" s="36"/>
      <c r="R385" s="25"/>
      <c r="S385" s="25"/>
      <c r="T385" s="28" t="str">
        <f aca="false">IF(OR(LEFT(W385,2)&lt;&gt;"A-",ISERROR(MATCH(W385,'🎓 Alumnas'!$A$2:$A$1000,0))),"",IF(COUNTIF($W$2:W385,W385)=1,"Nueva","Recurrente"))</f>
        <v/>
      </c>
      <c r="U385" s="28" t="str">
        <f aca="false">IF(OR(T385="",L385&lt;&gt;"Paquete"),"",COUNTIFS($W$2:W385,W385,$L$2:L385,"Paquete"))</f>
        <v/>
      </c>
      <c r="V385" s="25"/>
      <c r="W385" s="34" t="str">
        <f aca="false">IF(TRIM($C385)="","",IF(COUNTIF('🎓 Alumnas'!$P$2:$P$1000,TRIM($C385))&gt;0,INDEX('🎓 Alumnas'!$A$2:$A$1000,MATCH(TRIM($C385),'🎓 Alumnas'!$P$2:$P$1000,0)),IF(COUNTIF('🎓 Alumnas'!$O$2:$O$1000,TRIM($C385)&amp;"|*")=1,INDEX('🎓 Alumnas'!$A$2:$A$1000,MATCH(TRIM($C385)&amp;"|*",'🎓 Alumnas'!$O$2:$O$1000,0)),IF(COUNTIF('🎓 Alumnas'!$O$2:$O$1000,"*|"&amp;TRIM($C385))=1,INDEX('🎓 Alumnas'!$A$2:$A$1000,MATCH("*|"&amp;TRIM($C385),'🎓 Alumnas'!$O$2:$O$1000,0)),IF(COUNTIF('🎓 Alumnas'!$Q$2:$Q$1000,TRIM($C385))=1,INDEX('🎓 Alumnas'!$A$2:$A$1000,MATCH(TRIM($C385),'🎓 Alumnas'!$Q$2:$Q$1000,0)),IF(COUNTIF('🎓 Alumnas'!$P$2:$P$1000,"*"&amp;TRIM($C385)&amp;"*")=1,INDEX('🎓 Alumnas'!$A$2:$A$1000,MATCH("*"&amp;TRIM($C385)&amp;"*",'🎓 Alumnas'!$P$2:$P$1000,0)),IF(COUNTIF('🎓 Alumnas'!$Q$2:$Q$1000,"*"&amp;TRIM($C385)&amp;"*")=1,INDEX('🎓 Alumnas'!$A$2:$A$1000,MATCH("*"&amp;TRIM($C385)&amp;"*",'🎓 Alumnas'!$Q$2:$Q$1000,0)),IF(COUNTIF('🎓 Alumnas'!$P$2:$P$1000,"*"&amp;TRIM($C385)&amp;"*")+COUNTIF('🎓 Alumnas'!$Q$2:$Q$1000,"*"&amp;TRIM($C385)&amp;"*")&gt;1,"Varias: elige de la lista","No encontrada"))))))))</f>
        <v/>
      </c>
    </row>
    <row r="386" customFormat="false" ht="14.25" hidden="false" customHeight="true" outlineLevel="0" collapsed="false">
      <c r="A386" s="25" t="s">
        <v>930</v>
      </c>
      <c r="B386" s="27"/>
      <c r="C386" s="25"/>
      <c r="D386" s="34" t="str">
        <f aca="false">IF($W386="","",IFERROR(TRIM(INDEX('🎓 Alumnas'!$B$2:$B$1000,MATCH($W386,'🎓 Alumnas'!$A$2:$A$1000,0))),""))</f>
        <v/>
      </c>
      <c r="E386" s="34" t="str">
        <f aca="false">IF($W386="","",IFERROR(TRIM(INDEX('🎓 Alumnas'!$C$2:$C$1000,MATCH($W386,'🎓 Alumnas'!$A$2:$A$1000,0))),""))</f>
        <v/>
      </c>
      <c r="F386" s="34" t="str">
        <f aca="false">IF($W386="","",IFERROR(IF(INDEX('🎓 Alumnas'!$D$2:$D$1000,MATCH($W386,'🎓 Alumnas'!$A$2:$A$1000,0))="","",INDEX('🎓 Alumnas'!$D$2:$D$1000,MATCH($W386,'🎓 Alumnas'!$A$2:$A$1000,0))),""))</f>
        <v/>
      </c>
      <c r="G386" s="28" t="str">
        <f aca="false">IF($W386="","",IFERROR(IF(INDEX('🎓 Alumnas'!$E$2:$E$1000,MATCH($W386,'🎓 Alumnas'!$A$2:$A$1000,0))="","",INDEX('🎓 Alumnas'!$E$2:$E$1000,MATCH($W386,'🎓 Alumnas'!$A$2:$A$1000,0))),""))</f>
        <v/>
      </c>
      <c r="H386" s="28" t="str">
        <f aca="false">IF($W386="","",IFERROR(IF(INDEX('🎓 Alumnas'!$F$2:$F$1000,MATCH($W386,'🎓 Alumnas'!$A$2:$A$1000,0))="","",INDEX('🎓 Alumnas'!$F$2:$F$1000,MATCH($W386,'🎓 Alumnas'!$A$2:$A$1000,0))),""))</f>
        <v/>
      </c>
      <c r="I386" s="30" t="str">
        <f aca="false">IF($W386="","",IFERROR(IF(INDEX('🎓 Alumnas'!$G$2:$G$1000,MATCH($W386,'🎓 Alumnas'!$A$2:$A$1000,0))="","",INDEX('🎓 Alumnas'!$G$2:$G$1000,MATCH($W386,'🎓 Alumnas'!$A$2:$A$1000,0))),""))</f>
        <v/>
      </c>
      <c r="J386" s="28" t="str">
        <f aca="true">IF(I386="","",DATEDIF(I386,TODAY(),"Y"))</f>
        <v/>
      </c>
      <c r="K386" s="25"/>
      <c r="L386" s="28" t="str">
        <f aca="false">IF(K386="","",IF(LEFT(K386,6)="1 Pole","Alquiler",IF(LEFT(K386,7)="1 Clase","Clase suelta","Paquete")))</f>
        <v/>
      </c>
      <c r="M386" s="25"/>
      <c r="N386" s="25"/>
      <c r="O386" s="35"/>
      <c r="P386" s="29" t="str">
        <f aca="false">IF(O386="","",N386*O386)</f>
        <v/>
      </c>
      <c r="Q386" s="36"/>
      <c r="R386" s="25"/>
      <c r="S386" s="25"/>
      <c r="T386" s="28" t="str">
        <f aca="false">IF(OR(LEFT(W386,2)&lt;&gt;"A-",ISERROR(MATCH(W386,'🎓 Alumnas'!$A$2:$A$1000,0))),"",IF(COUNTIF($W$2:W386,W386)=1,"Nueva","Recurrente"))</f>
        <v/>
      </c>
      <c r="U386" s="28" t="str">
        <f aca="false">IF(OR(T386="",L386&lt;&gt;"Paquete"),"",COUNTIFS($W$2:W386,W386,$L$2:L386,"Paquete"))</f>
        <v/>
      </c>
      <c r="V386" s="25"/>
      <c r="W386" s="34" t="str">
        <f aca="false">IF(TRIM($C386)="","",IF(COUNTIF('🎓 Alumnas'!$P$2:$P$1000,TRIM($C386))&gt;0,INDEX('🎓 Alumnas'!$A$2:$A$1000,MATCH(TRIM($C386),'🎓 Alumnas'!$P$2:$P$1000,0)),IF(COUNTIF('🎓 Alumnas'!$O$2:$O$1000,TRIM($C386)&amp;"|*")=1,INDEX('🎓 Alumnas'!$A$2:$A$1000,MATCH(TRIM($C386)&amp;"|*",'🎓 Alumnas'!$O$2:$O$1000,0)),IF(COUNTIF('🎓 Alumnas'!$O$2:$O$1000,"*|"&amp;TRIM($C386))=1,INDEX('🎓 Alumnas'!$A$2:$A$1000,MATCH("*|"&amp;TRIM($C386),'🎓 Alumnas'!$O$2:$O$1000,0)),IF(COUNTIF('🎓 Alumnas'!$Q$2:$Q$1000,TRIM($C386))=1,INDEX('🎓 Alumnas'!$A$2:$A$1000,MATCH(TRIM($C386),'🎓 Alumnas'!$Q$2:$Q$1000,0)),IF(COUNTIF('🎓 Alumnas'!$P$2:$P$1000,"*"&amp;TRIM($C386)&amp;"*")=1,INDEX('🎓 Alumnas'!$A$2:$A$1000,MATCH("*"&amp;TRIM($C386)&amp;"*",'🎓 Alumnas'!$P$2:$P$1000,0)),IF(COUNTIF('🎓 Alumnas'!$Q$2:$Q$1000,"*"&amp;TRIM($C386)&amp;"*")=1,INDEX('🎓 Alumnas'!$A$2:$A$1000,MATCH("*"&amp;TRIM($C386)&amp;"*",'🎓 Alumnas'!$Q$2:$Q$1000,0)),IF(COUNTIF('🎓 Alumnas'!$P$2:$P$1000,"*"&amp;TRIM($C386)&amp;"*")+COUNTIF('🎓 Alumnas'!$Q$2:$Q$1000,"*"&amp;TRIM($C386)&amp;"*")&gt;1,"Varias: elige de la lista","No encontrada"))))))))</f>
        <v/>
      </c>
    </row>
    <row r="387" customFormat="false" ht="14.25" hidden="false" customHeight="true" outlineLevel="0" collapsed="false">
      <c r="A387" s="25" t="s">
        <v>931</v>
      </c>
      <c r="B387" s="27"/>
      <c r="C387" s="25"/>
      <c r="D387" s="34" t="str">
        <f aca="false">IF($W387="","",IFERROR(TRIM(INDEX('🎓 Alumnas'!$B$2:$B$1000,MATCH($W387,'🎓 Alumnas'!$A$2:$A$1000,0))),""))</f>
        <v/>
      </c>
      <c r="E387" s="34" t="str">
        <f aca="false">IF($W387="","",IFERROR(TRIM(INDEX('🎓 Alumnas'!$C$2:$C$1000,MATCH($W387,'🎓 Alumnas'!$A$2:$A$1000,0))),""))</f>
        <v/>
      </c>
      <c r="F387" s="34" t="str">
        <f aca="false">IF($W387="","",IFERROR(IF(INDEX('🎓 Alumnas'!$D$2:$D$1000,MATCH($W387,'🎓 Alumnas'!$A$2:$A$1000,0))="","",INDEX('🎓 Alumnas'!$D$2:$D$1000,MATCH($W387,'🎓 Alumnas'!$A$2:$A$1000,0))),""))</f>
        <v/>
      </c>
      <c r="G387" s="28" t="str">
        <f aca="false">IF($W387="","",IFERROR(IF(INDEX('🎓 Alumnas'!$E$2:$E$1000,MATCH($W387,'🎓 Alumnas'!$A$2:$A$1000,0))="","",INDEX('🎓 Alumnas'!$E$2:$E$1000,MATCH($W387,'🎓 Alumnas'!$A$2:$A$1000,0))),""))</f>
        <v/>
      </c>
      <c r="H387" s="28" t="str">
        <f aca="false">IF($W387="","",IFERROR(IF(INDEX('🎓 Alumnas'!$F$2:$F$1000,MATCH($W387,'🎓 Alumnas'!$A$2:$A$1000,0))="","",INDEX('🎓 Alumnas'!$F$2:$F$1000,MATCH($W387,'🎓 Alumnas'!$A$2:$A$1000,0))),""))</f>
        <v/>
      </c>
      <c r="I387" s="30" t="str">
        <f aca="false">IF($W387="","",IFERROR(IF(INDEX('🎓 Alumnas'!$G$2:$G$1000,MATCH($W387,'🎓 Alumnas'!$A$2:$A$1000,0))="","",INDEX('🎓 Alumnas'!$G$2:$G$1000,MATCH($W387,'🎓 Alumnas'!$A$2:$A$1000,0))),""))</f>
        <v/>
      </c>
      <c r="J387" s="28" t="str">
        <f aca="true">IF(I387="","",DATEDIF(I387,TODAY(),"Y"))</f>
        <v/>
      </c>
      <c r="K387" s="25"/>
      <c r="L387" s="28" t="str">
        <f aca="false">IF(K387="","",IF(LEFT(K387,6)="1 Pole","Alquiler",IF(LEFT(K387,7)="1 Clase","Clase suelta","Paquete")))</f>
        <v/>
      </c>
      <c r="M387" s="25"/>
      <c r="N387" s="25"/>
      <c r="O387" s="35"/>
      <c r="P387" s="29" t="str">
        <f aca="false">IF(O387="","",N387*O387)</f>
        <v/>
      </c>
      <c r="Q387" s="36"/>
      <c r="R387" s="25"/>
      <c r="S387" s="25"/>
      <c r="T387" s="28" t="str">
        <f aca="false">IF(OR(LEFT(W387,2)&lt;&gt;"A-",ISERROR(MATCH(W387,'🎓 Alumnas'!$A$2:$A$1000,0))),"",IF(COUNTIF($W$2:W387,W387)=1,"Nueva","Recurrente"))</f>
        <v/>
      </c>
      <c r="U387" s="28" t="str">
        <f aca="false">IF(OR(T387="",L387&lt;&gt;"Paquete"),"",COUNTIFS($W$2:W387,W387,$L$2:L387,"Paquete"))</f>
        <v/>
      </c>
      <c r="V387" s="25"/>
      <c r="W387" s="34" t="str">
        <f aca="false">IF(TRIM($C387)="","",IF(COUNTIF('🎓 Alumnas'!$P$2:$P$1000,TRIM($C387))&gt;0,INDEX('🎓 Alumnas'!$A$2:$A$1000,MATCH(TRIM($C387),'🎓 Alumnas'!$P$2:$P$1000,0)),IF(COUNTIF('🎓 Alumnas'!$O$2:$O$1000,TRIM($C387)&amp;"|*")=1,INDEX('🎓 Alumnas'!$A$2:$A$1000,MATCH(TRIM($C387)&amp;"|*",'🎓 Alumnas'!$O$2:$O$1000,0)),IF(COUNTIF('🎓 Alumnas'!$O$2:$O$1000,"*|"&amp;TRIM($C387))=1,INDEX('🎓 Alumnas'!$A$2:$A$1000,MATCH("*|"&amp;TRIM($C387),'🎓 Alumnas'!$O$2:$O$1000,0)),IF(COUNTIF('🎓 Alumnas'!$Q$2:$Q$1000,TRIM($C387))=1,INDEX('🎓 Alumnas'!$A$2:$A$1000,MATCH(TRIM($C387),'🎓 Alumnas'!$Q$2:$Q$1000,0)),IF(COUNTIF('🎓 Alumnas'!$P$2:$P$1000,"*"&amp;TRIM($C387)&amp;"*")=1,INDEX('🎓 Alumnas'!$A$2:$A$1000,MATCH("*"&amp;TRIM($C387)&amp;"*",'🎓 Alumnas'!$P$2:$P$1000,0)),IF(COUNTIF('🎓 Alumnas'!$Q$2:$Q$1000,"*"&amp;TRIM($C387)&amp;"*")=1,INDEX('🎓 Alumnas'!$A$2:$A$1000,MATCH("*"&amp;TRIM($C387)&amp;"*",'🎓 Alumnas'!$Q$2:$Q$1000,0)),IF(COUNTIF('🎓 Alumnas'!$P$2:$P$1000,"*"&amp;TRIM($C387)&amp;"*")+COUNTIF('🎓 Alumnas'!$Q$2:$Q$1000,"*"&amp;TRIM($C387)&amp;"*")&gt;1,"Varias: elige de la lista","No encontrada"))))))))</f>
        <v/>
      </c>
    </row>
    <row r="388" customFormat="false" ht="14.25" hidden="false" customHeight="true" outlineLevel="0" collapsed="false">
      <c r="A388" s="25" t="s">
        <v>932</v>
      </c>
      <c r="B388" s="27"/>
      <c r="C388" s="25"/>
      <c r="D388" s="34" t="str">
        <f aca="false">IF($W388="","",IFERROR(TRIM(INDEX('🎓 Alumnas'!$B$2:$B$1000,MATCH($W388,'🎓 Alumnas'!$A$2:$A$1000,0))),""))</f>
        <v/>
      </c>
      <c r="E388" s="34" t="str">
        <f aca="false">IF($W388="","",IFERROR(TRIM(INDEX('🎓 Alumnas'!$C$2:$C$1000,MATCH($W388,'🎓 Alumnas'!$A$2:$A$1000,0))),""))</f>
        <v/>
      </c>
      <c r="F388" s="34" t="str">
        <f aca="false">IF($W388="","",IFERROR(IF(INDEX('🎓 Alumnas'!$D$2:$D$1000,MATCH($W388,'🎓 Alumnas'!$A$2:$A$1000,0))="","",INDEX('🎓 Alumnas'!$D$2:$D$1000,MATCH($W388,'🎓 Alumnas'!$A$2:$A$1000,0))),""))</f>
        <v/>
      </c>
      <c r="G388" s="28" t="str">
        <f aca="false">IF($W388="","",IFERROR(IF(INDEX('🎓 Alumnas'!$E$2:$E$1000,MATCH($W388,'🎓 Alumnas'!$A$2:$A$1000,0))="","",INDEX('🎓 Alumnas'!$E$2:$E$1000,MATCH($W388,'🎓 Alumnas'!$A$2:$A$1000,0))),""))</f>
        <v/>
      </c>
      <c r="H388" s="28" t="str">
        <f aca="false">IF($W388="","",IFERROR(IF(INDEX('🎓 Alumnas'!$F$2:$F$1000,MATCH($W388,'🎓 Alumnas'!$A$2:$A$1000,0))="","",INDEX('🎓 Alumnas'!$F$2:$F$1000,MATCH($W388,'🎓 Alumnas'!$A$2:$A$1000,0))),""))</f>
        <v/>
      </c>
      <c r="I388" s="30" t="str">
        <f aca="false">IF($W388="","",IFERROR(IF(INDEX('🎓 Alumnas'!$G$2:$G$1000,MATCH($W388,'🎓 Alumnas'!$A$2:$A$1000,0))="","",INDEX('🎓 Alumnas'!$G$2:$G$1000,MATCH($W388,'🎓 Alumnas'!$A$2:$A$1000,0))),""))</f>
        <v/>
      </c>
      <c r="J388" s="28" t="str">
        <f aca="true">IF(I388="","",DATEDIF(I388,TODAY(),"Y"))</f>
        <v/>
      </c>
      <c r="K388" s="25"/>
      <c r="L388" s="28" t="str">
        <f aca="false">IF(K388="","",IF(LEFT(K388,6)="1 Pole","Alquiler",IF(LEFT(K388,7)="1 Clase","Clase suelta","Paquete")))</f>
        <v/>
      </c>
      <c r="M388" s="25"/>
      <c r="N388" s="25"/>
      <c r="O388" s="35"/>
      <c r="P388" s="29" t="str">
        <f aca="false">IF(O388="","",N388*O388)</f>
        <v/>
      </c>
      <c r="Q388" s="36"/>
      <c r="R388" s="25"/>
      <c r="S388" s="25"/>
      <c r="T388" s="28" t="str">
        <f aca="false">IF(OR(LEFT(W388,2)&lt;&gt;"A-",ISERROR(MATCH(W388,'🎓 Alumnas'!$A$2:$A$1000,0))),"",IF(COUNTIF($W$2:W388,W388)=1,"Nueva","Recurrente"))</f>
        <v/>
      </c>
      <c r="U388" s="28" t="str">
        <f aca="false">IF(OR(T388="",L388&lt;&gt;"Paquete"),"",COUNTIFS($W$2:W388,W388,$L$2:L388,"Paquete"))</f>
        <v/>
      </c>
      <c r="V388" s="25"/>
      <c r="W388" s="34" t="str">
        <f aca="false">IF(TRIM($C388)="","",IF(COUNTIF('🎓 Alumnas'!$P$2:$P$1000,TRIM($C388))&gt;0,INDEX('🎓 Alumnas'!$A$2:$A$1000,MATCH(TRIM($C388),'🎓 Alumnas'!$P$2:$P$1000,0)),IF(COUNTIF('🎓 Alumnas'!$O$2:$O$1000,TRIM($C388)&amp;"|*")=1,INDEX('🎓 Alumnas'!$A$2:$A$1000,MATCH(TRIM($C388)&amp;"|*",'🎓 Alumnas'!$O$2:$O$1000,0)),IF(COUNTIF('🎓 Alumnas'!$O$2:$O$1000,"*|"&amp;TRIM($C388))=1,INDEX('🎓 Alumnas'!$A$2:$A$1000,MATCH("*|"&amp;TRIM($C388),'🎓 Alumnas'!$O$2:$O$1000,0)),IF(COUNTIF('🎓 Alumnas'!$Q$2:$Q$1000,TRIM($C388))=1,INDEX('🎓 Alumnas'!$A$2:$A$1000,MATCH(TRIM($C388),'🎓 Alumnas'!$Q$2:$Q$1000,0)),IF(COUNTIF('🎓 Alumnas'!$P$2:$P$1000,"*"&amp;TRIM($C388)&amp;"*")=1,INDEX('🎓 Alumnas'!$A$2:$A$1000,MATCH("*"&amp;TRIM($C388)&amp;"*",'🎓 Alumnas'!$P$2:$P$1000,0)),IF(COUNTIF('🎓 Alumnas'!$Q$2:$Q$1000,"*"&amp;TRIM($C388)&amp;"*")=1,INDEX('🎓 Alumnas'!$A$2:$A$1000,MATCH("*"&amp;TRIM($C388)&amp;"*",'🎓 Alumnas'!$Q$2:$Q$1000,0)),IF(COUNTIF('🎓 Alumnas'!$P$2:$P$1000,"*"&amp;TRIM($C388)&amp;"*")+COUNTIF('🎓 Alumnas'!$Q$2:$Q$1000,"*"&amp;TRIM($C388)&amp;"*")&gt;1,"Varias: elige de la lista","No encontrada"))))))))</f>
        <v/>
      </c>
    </row>
    <row r="389" customFormat="false" ht="14.25" hidden="false" customHeight="true" outlineLevel="0" collapsed="false">
      <c r="A389" s="25" t="s">
        <v>933</v>
      </c>
      <c r="B389" s="27"/>
      <c r="C389" s="25"/>
      <c r="D389" s="34" t="str">
        <f aca="false">IF($W389="","",IFERROR(TRIM(INDEX('🎓 Alumnas'!$B$2:$B$1000,MATCH($W389,'🎓 Alumnas'!$A$2:$A$1000,0))),""))</f>
        <v/>
      </c>
      <c r="E389" s="34" t="str">
        <f aca="false">IF($W389="","",IFERROR(TRIM(INDEX('🎓 Alumnas'!$C$2:$C$1000,MATCH($W389,'🎓 Alumnas'!$A$2:$A$1000,0))),""))</f>
        <v/>
      </c>
      <c r="F389" s="34" t="str">
        <f aca="false">IF($W389="","",IFERROR(IF(INDEX('🎓 Alumnas'!$D$2:$D$1000,MATCH($W389,'🎓 Alumnas'!$A$2:$A$1000,0))="","",INDEX('🎓 Alumnas'!$D$2:$D$1000,MATCH($W389,'🎓 Alumnas'!$A$2:$A$1000,0))),""))</f>
        <v/>
      </c>
      <c r="G389" s="28" t="str">
        <f aca="false">IF($W389="","",IFERROR(IF(INDEX('🎓 Alumnas'!$E$2:$E$1000,MATCH($W389,'🎓 Alumnas'!$A$2:$A$1000,0))="","",INDEX('🎓 Alumnas'!$E$2:$E$1000,MATCH($W389,'🎓 Alumnas'!$A$2:$A$1000,0))),""))</f>
        <v/>
      </c>
      <c r="H389" s="28" t="str">
        <f aca="false">IF($W389="","",IFERROR(IF(INDEX('🎓 Alumnas'!$F$2:$F$1000,MATCH($W389,'🎓 Alumnas'!$A$2:$A$1000,0))="","",INDEX('🎓 Alumnas'!$F$2:$F$1000,MATCH($W389,'🎓 Alumnas'!$A$2:$A$1000,0))),""))</f>
        <v/>
      </c>
      <c r="I389" s="30" t="str">
        <f aca="false">IF($W389="","",IFERROR(IF(INDEX('🎓 Alumnas'!$G$2:$G$1000,MATCH($W389,'🎓 Alumnas'!$A$2:$A$1000,0))="","",INDEX('🎓 Alumnas'!$G$2:$G$1000,MATCH($W389,'🎓 Alumnas'!$A$2:$A$1000,0))),""))</f>
        <v/>
      </c>
      <c r="J389" s="28" t="str">
        <f aca="true">IF(I389="","",DATEDIF(I389,TODAY(),"Y"))</f>
        <v/>
      </c>
      <c r="K389" s="25"/>
      <c r="L389" s="28" t="str">
        <f aca="false">IF(K389="","",IF(LEFT(K389,6)="1 Pole","Alquiler",IF(LEFT(K389,7)="1 Clase","Clase suelta","Paquete")))</f>
        <v/>
      </c>
      <c r="M389" s="25"/>
      <c r="N389" s="25"/>
      <c r="O389" s="35"/>
      <c r="P389" s="29" t="str">
        <f aca="false">IF(O389="","",N389*O389)</f>
        <v/>
      </c>
      <c r="Q389" s="36"/>
      <c r="R389" s="25"/>
      <c r="S389" s="25"/>
      <c r="T389" s="28" t="str">
        <f aca="false">IF(OR(LEFT(W389,2)&lt;&gt;"A-",ISERROR(MATCH(W389,'🎓 Alumnas'!$A$2:$A$1000,0))),"",IF(COUNTIF($W$2:W389,W389)=1,"Nueva","Recurrente"))</f>
        <v/>
      </c>
      <c r="U389" s="28" t="str">
        <f aca="false">IF(OR(T389="",L389&lt;&gt;"Paquete"),"",COUNTIFS($W$2:W389,W389,$L$2:L389,"Paquete"))</f>
        <v/>
      </c>
      <c r="V389" s="25"/>
      <c r="W389" s="34" t="str">
        <f aca="false">IF(TRIM($C389)="","",IF(COUNTIF('🎓 Alumnas'!$P$2:$P$1000,TRIM($C389))&gt;0,INDEX('🎓 Alumnas'!$A$2:$A$1000,MATCH(TRIM($C389),'🎓 Alumnas'!$P$2:$P$1000,0)),IF(COUNTIF('🎓 Alumnas'!$O$2:$O$1000,TRIM($C389)&amp;"|*")=1,INDEX('🎓 Alumnas'!$A$2:$A$1000,MATCH(TRIM($C389)&amp;"|*",'🎓 Alumnas'!$O$2:$O$1000,0)),IF(COUNTIF('🎓 Alumnas'!$O$2:$O$1000,"*|"&amp;TRIM($C389))=1,INDEX('🎓 Alumnas'!$A$2:$A$1000,MATCH("*|"&amp;TRIM($C389),'🎓 Alumnas'!$O$2:$O$1000,0)),IF(COUNTIF('🎓 Alumnas'!$Q$2:$Q$1000,TRIM($C389))=1,INDEX('🎓 Alumnas'!$A$2:$A$1000,MATCH(TRIM($C389),'🎓 Alumnas'!$Q$2:$Q$1000,0)),IF(COUNTIF('🎓 Alumnas'!$P$2:$P$1000,"*"&amp;TRIM($C389)&amp;"*")=1,INDEX('🎓 Alumnas'!$A$2:$A$1000,MATCH("*"&amp;TRIM($C389)&amp;"*",'🎓 Alumnas'!$P$2:$P$1000,0)),IF(COUNTIF('🎓 Alumnas'!$Q$2:$Q$1000,"*"&amp;TRIM($C389)&amp;"*")=1,INDEX('🎓 Alumnas'!$A$2:$A$1000,MATCH("*"&amp;TRIM($C389)&amp;"*",'🎓 Alumnas'!$Q$2:$Q$1000,0)),IF(COUNTIF('🎓 Alumnas'!$P$2:$P$1000,"*"&amp;TRIM($C389)&amp;"*")+COUNTIF('🎓 Alumnas'!$Q$2:$Q$1000,"*"&amp;TRIM($C389)&amp;"*")&gt;1,"Varias: elige de la lista","No encontrada"))))))))</f>
        <v/>
      </c>
    </row>
    <row r="390" customFormat="false" ht="14.25" hidden="false" customHeight="true" outlineLevel="0" collapsed="false">
      <c r="A390" s="25" t="s">
        <v>934</v>
      </c>
      <c r="B390" s="27"/>
      <c r="C390" s="25"/>
      <c r="D390" s="34" t="str">
        <f aca="false">IF($W390="","",IFERROR(TRIM(INDEX('🎓 Alumnas'!$B$2:$B$1000,MATCH($W390,'🎓 Alumnas'!$A$2:$A$1000,0))),""))</f>
        <v/>
      </c>
      <c r="E390" s="34" t="str">
        <f aca="false">IF($W390="","",IFERROR(TRIM(INDEX('🎓 Alumnas'!$C$2:$C$1000,MATCH($W390,'🎓 Alumnas'!$A$2:$A$1000,0))),""))</f>
        <v/>
      </c>
      <c r="F390" s="34" t="str">
        <f aca="false">IF($W390="","",IFERROR(IF(INDEX('🎓 Alumnas'!$D$2:$D$1000,MATCH($W390,'🎓 Alumnas'!$A$2:$A$1000,0))="","",INDEX('🎓 Alumnas'!$D$2:$D$1000,MATCH($W390,'🎓 Alumnas'!$A$2:$A$1000,0))),""))</f>
        <v/>
      </c>
      <c r="G390" s="28" t="str">
        <f aca="false">IF($W390="","",IFERROR(IF(INDEX('🎓 Alumnas'!$E$2:$E$1000,MATCH($W390,'🎓 Alumnas'!$A$2:$A$1000,0))="","",INDEX('🎓 Alumnas'!$E$2:$E$1000,MATCH($W390,'🎓 Alumnas'!$A$2:$A$1000,0))),""))</f>
        <v/>
      </c>
      <c r="H390" s="28" t="str">
        <f aca="false">IF($W390="","",IFERROR(IF(INDEX('🎓 Alumnas'!$F$2:$F$1000,MATCH($W390,'🎓 Alumnas'!$A$2:$A$1000,0))="","",INDEX('🎓 Alumnas'!$F$2:$F$1000,MATCH($W390,'🎓 Alumnas'!$A$2:$A$1000,0))),""))</f>
        <v/>
      </c>
      <c r="I390" s="30" t="str">
        <f aca="false">IF($W390="","",IFERROR(IF(INDEX('🎓 Alumnas'!$G$2:$G$1000,MATCH($W390,'🎓 Alumnas'!$A$2:$A$1000,0))="","",INDEX('🎓 Alumnas'!$G$2:$G$1000,MATCH($W390,'🎓 Alumnas'!$A$2:$A$1000,0))),""))</f>
        <v/>
      </c>
      <c r="J390" s="28" t="str">
        <f aca="true">IF(I390="","",DATEDIF(I390,TODAY(),"Y"))</f>
        <v/>
      </c>
      <c r="K390" s="25"/>
      <c r="L390" s="28" t="str">
        <f aca="false">IF(K390="","",IF(LEFT(K390,6)="1 Pole","Alquiler",IF(LEFT(K390,7)="1 Clase","Clase suelta","Paquete")))</f>
        <v/>
      </c>
      <c r="M390" s="25"/>
      <c r="N390" s="25"/>
      <c r="O390" s="35"/>
      <c r="P390" s="29" t="str">
        <f aca="false">IF(O390="","",N390*O390)</f>
        <v/>
      </c>
      <c r="Q390" s="36"/>
      <c r="R390" s="25"/>
      <c r="S390" s="25"/>
      <c r="T390" s="28" t="str">
        <f aca="false">IF(OR(LEFT(W390,2)&lt;&gt;"A-",ISERROR(MATCH(W390,'🎓 Alumnas'!$A$2:$A$1000,0))),"",IF(COUNTIF($W$2:W390,W390)=1,"Nueva","Recurrente"))</f>
        <v/>
      </c>
      <c r="U390" s="28" t="str">
        <f aca="false">IF(OR(T390="",L390&lt;&gt;"Paquete"),"",COUNTIFS($W$2:W390,W390,$L$2:L390,"Paquete"))</f>
        <v/>
      </c>
      <c r="V390" s="25"/>
      <c r="W390" s="34" t="str">
        <f aca="false">IF(TRIM($C390)="","",IF(COUNTIF('🎓 Alumnas'!$P$2:$P$1000,TRIM($C390))&gt;0,INDEX('🎓 Alumnas'!$A$2:$A$1000,MATCH(TRIM($C390),'🎓 Alumnas'!$P$2:$P$1000,0)),IF(COUNTIF('🎓 Alumnas'!$O$2:$O$1000,TRIM($C390)&amp;"|*")=1,INDEX('🎓 Alumnas'!$A$2:$A$1000,MATCH(TRIM($C390)&amp;"|*",'🎓 Alumnas'!$O$2:$O$1000,0)),IF(COUNTIF('🎓 Alumnas'!$O$2:$O$1000,"*|"&amp;TRIM($C390))=1,INDEX('🎓 Alumnas'!$A$2:$A$1000,MATCH("*|"&amp;TRIM($C390),'🎓 Alumnas'!$O$2:$O$1000,0)),IF(COUNTIF('🎓 Alumnas'!$Q$2:$Q$1000,TRIM($C390))=1,INDEX('🎓 Alumnas'!$A$2:$A$1000,MATCH(TRIM($C390),'🎓 Alumnas'!$Q$2:$Q$1000,0)),IF(COUNTIF('🎓 Alumnas'!$P$2:$P$1000,"*"&amp;TRIM($C390)&amp;"*")=1,INDEX('🎓 Alumnas'!$A$2:$A$1000,MATCH("*"&amp;TRIM($C390)&amp;"*",'🎓 Alumnas'!$P$2:$P$1000,0)),IF(COUNTIF('🎓 Alumnas'!$Q$2:$Q$1000,"*"&amp;TRIM($C390)&amp;"*")=1,INDEX('🎓 Alumnas'!$A$2:$A$1000,MATCH("*"&amp;TRIM($C390)&amp;"*",'🎓 Alumnas'!$Q$2:$Q$1000,0)),IF(COUNTIF('🎓 Alumnas'!$P$2:$P$1000,"*"&amp;TRIM($C390)&amp;"*")+COUNTIF('🎓 Alumnas'!$Q$2:$Q$1000,"*"&amp;TRIM($C390)&amp;"*")&gt;1,"Varias: elige de la lista","No encontrada"))))))))</f>
        <v/>
      </c>
    </row>
    <row r="391" customFormat="false" ht="14.25" hidden="false" customHeight="true" outlineLevel="0" collapsed="false">
      <c r="A391" s="25" t="s">
        <v>935</v>
      </c>
      <c r="B391" s="27"/>
      <c r="C391" s="25"/>
      <c r="D391" s="34" t="str">
        <f aca="false">IF($W391="","",IFERROR(TRIM(INDEX('🎓 Alumnas'!$B$2:$B$1000,MATCH($W391,'🎓 Alumnas'!$A$2:$A$1000,0))),""))</f>
        <v/>
      </c>
      <c r="E391" s="34" t="str">
        <f aca="false">IF($W391="","",IFERROR(TRIM(INDEX('🎓 Alumnas'!$C$2:$C$1000,MATCH($W391,'🎓 Alumnas'!$A$2:$A$1000,0))),""))</f>
        <v/>
      </c>
      <c r="F391" s="34" t="str">
        <f aca="false">IF($W391="","",IFERROR(IF(INDEX('🎓 Alumnas'!$D$2:$D$1000,MATCH($W391,'🎓 Alumnas'!$A$2:$A$1000,0))="","",INDEX('🎓 Alumnas'!$D$2:$D$1000,MATCH($W391,'🎓 Alumnas'!$A$2:$A$1000,0))),""))</f>
        <v/>
      </c>
      <c r="G391" s="28" t="str">
        <f aca="false">IF($W391="","",IFERROR(IF(INDEX('🎓 Alumnas'!$E$2:$E$1000,MATCH($W391,'🎓 Alumnas'!$A$2:$A$1000,0))="","",INDEX('🎓 Alumnas'!$E$2:$E$1000,MATCH($W391,'🎓 Alumnas'!$A$2:$A$1000,0))),""))</f>
        <v/>
      </c>
      <c r="H391" s="28" t="str">
        <f aca="false">IF($W391="","",IFERROR(IF(INDEX('🎓 Alumnas'!$F$2:$F$1000,MATCH($W391,'🎓 Alumnas'!$A$2:$A$1000,0))="","",INDEX('🎓 Alumnas'!$F$2:$F$1000,MATCH($W391,'🎓 Alumnas'!$A$2:$A$1000,0))),""))</f>
        <v/>
      </c>
      <c r="I391" s="30" t="str">
        <f aca="false">IF($W391="","",IFERROR(IF(INDEX('🎓 Alumnas'!$G$2:$G$1000,MATCH($W391,'🎓 Alumnas'!$A$2:$A$1000,0))="","",INDEX('🎓 Alumnas'!$G$2:$G$1000,MATCH($W391,'🎓 Alumnas'!$A$2:$A$1000,0))),""))</f>
        <v/>
      </c>
      <c r="J391" s="28" t="str">
        <f aca="true">IF(I391="","",DATEDIF(I391,TODAY(),"Y"))</f>
        <v/>
      </c>
      <c r="K391" s="25"/>
      <c r="L391" s="28" t="str">
        <f aca="false">IF(K391="","",IF(LEFT(K391,6)="1 Pole","Alquiler",IF(LEFT(K391,7)="1 Clase","Clase suelta","Paquete")))</f>
        <v/>
      </c>
      <c r="M391" s="25"/>
      <c r="N391" s="25"/>
      <c r="O391" s="35"/>
      <c r="P391" s="29" t="str">
        <f aca="false">IF(O391="","",N391*O391)</f>
        <v/>
      </c>
      <c r="Q391" s="36"/>
      <c r="R391" s="25"/>
      <c r="S391" s="25"/>
      <c r="T391" s="28" t="str">
        <f aca="false">IF(OR(LEFT(W391,2)&lt;&gt;"A-",ISERROR(MATCH(W391,'🎓 Alumnas'!$A$2:$A$1000,0))),"",IF(COUNTIF($W$2:W391,W391)=1,"Nueva","Recurrente"))</f>
        <v/>
      </c>
      <c r="U391" s="28" t="str">
        <f aca="false">IF(OR(T391="",L391&lt;&gt;"Paquete"),"",COUNTIFS($W$2:W391,W391,$L$2:L391,"Paquete"))</f>
        <v/>
      </c>
      <c r="V391" s="25"/>
      <c r="W391" s="34" t="str">
        <f aca="false">IF(TRIM($C391)="","",IF(COUNTIF('🎓 Alumnas'!$P$2:$P$1000,TRIM($C391))&gt;0,INDEX('🎓 Alumnas'!$A$2:$A$1000,MATCH(TRIM($C391),'🎓 Alumnas'!$P$2:$P$1000,0)),IF(COUNTIF('🎓 Alumnas'!$O$2:$O$1000,TRIM($C391)&amp;"|*")=1,INDEX('🎓 Alumnas'!$A$2:$A$1000,MATCH(TRIM($C391)&amp;"|*",'🎓 Alumnas'!$O$2:$O$1000,0)),IF(COUNTIF('🎓 Alumnas'!$O$2:$O$1000,"*|"&amp;TRIM($C391))=1,INDEX('🎓 Alumnas'!$A$2:$A$1000,MATCH("*|"&amp;TRIM($C391),'🎓 Alumnas'!$O$2:$O$1000,0)),IF(COUNTIF('🎓 Alumnas'!$Q$2:$Q$1000,TRIM($C391))=1,INDEX('🎓 Alumnas'!$A$2:$A$1000,MATCH(TRIM($C391),'🎓 Alumnas'!$Q$2:$Q$1000,0)),IF(COUNTIF('🎓 Alumnas'!$P$2:$P$1000,"*"&amp;TRIM($C391)&amp;"*")=1,INDEX('🎓 Alumnas'!$A$2:$A$1000,MATCH("*"&amp;TRIM($C391)&amp;"*",'🎓 Alumnas'!$P$2:$P$1000,0)),IF(COUNTIF('🎓 Alumnas'!$Q$2:$Q$1000,"*"&amp;TRIM($C391)&amp;"*")=1,INDEX('🎓 Alumnas'!$A$2:$A$1000,MATCH("*"&amp;TRIM($C391)&amp;"*",'🎓 Alumnas'!$Q$2:$Q$1000,0)),IF(COUNTIF('🎓 Alumnas'!$P$2:$P$1000,"*"&amp;TRIM($C391)&amp;"*")+COUNTIF('🎓 Alumnas'!$Q$2:$Q$1000,"*"&amp;TRIM($C391)&amp;"*")&gt;1,"Varias: elige de la lista","No encontrada"))))))))</f>
        <v/>
      </c>
    </row>
    <row r="392" customFormat="false" ht="14.25" hidden="false" customHeight="true" outlineLevel="0" collapsed="false">
      <c r="A392" s="25" t="s">
        <v>936</v>
      </c>
      <c r="B392" s="27"/>
      <c r="C392" s="25"/>
      <c r="D392" s="34" t="str">
        <f aca="false">IF($W392="","",IFERROR(TRIM(INDEX('🎓 Alumnas'!$B$2:$B$1000,MATCH($W392,'🎓 Alumnas'!$A$2:$A$1000,0))),""))</f>
        <v/>
      </c>
      <c r="E392" s="34" t="str">
        <f aca="false">IF($W392="","",IFERROR(TRIM(INDEX('🎓 Alumnas'!$C$2:$C$1000,MATCH($W392,'🎓 Alumnas'!$A$2:$A$1000,0))),""))</f>
        <v/>
      </c>
      <c r="F392" s="34" t="str">
        <f aca="false">IF($W392="","",IFERROR(IF(INDEX('🎓 Alumnas'!$D$2:$D$1000,MATCH($W392,'🎓 Alumnas'!$A$2:$A$1000,0))="","",INDEX('🎓 Alumnas'!$D$2:$D$1000,MATCH($W392,'🎓 Alumnas'!$A$2:$A$1000,0))),""))</f>
        <v/>
      </c>
      <c r="G392" s="28" t="str">
        <f aca="false">IF($W392="","",IFERROR(IF(INDEX('🎓 Alumnas'!$E$2:$E$1000,MATCH($W392,'🎓 Alumnas'!$A$2:$A$1000,0))="","",INDEX('🎓 Alumnas'!$E$2:$E$1000,MATCH($W392,'🎓 Alumnas'!$A$2:$A$1000,0))),""))</f>
        <v/>
      </c>
      <c r="H392" s="28" t="str">
        <f aca="false">IF($W392="","",IFERROR(IF(INDEX('🎓 Alumnas'!$F$2:$F$1000,MATCH($W392,'🎓 Alumnas'!$A$2:$A$1000,0))="","",INDEX('🎓 Alumnas'!$F$2:$F$1000,MATCH($W392,'🎓 Alumnas'!$A$2:$A$1000,0))),""))</f>
        <v/>
      </c>
      <c r="I392" s="30" t="str">
        <f aca="false">IF($W392="","",IFERROR(IF(INDEX('🎓 Alumnas'!$G$2:$G$1000,MATCH($W392,'🎓 Alumnas'!$A$2:$A$1000,0))="","",INDEX('🎓 Alumnas'!$G$2:$G$1000,MATCH($W392,'🎓 Alumnas'!$A$2:$A$1000,0))),""))</f>
        <v/>
      </c>
      <c r="J392" s="28" t="str">
        <f aca="true">IF(I392="","",DATEDIF(I392,TODAY(),"Y"))</f>
        <v/>
      </c>
      <c r="K392" s="25"/>
      <c r="L392" s="28" t="str">
        <f aca="false">IF(K392="","",IF(LEFT(K392,6)="1 Pole","Alquiler",IF(LEFT(K392,7)="1 Clase","Clase suelta","Paquete")))</f>
        <v/>
      </c>
      <c r="M392" s="25"/>
      <c r="N392" s="25"/>
      <c r="O392" s="35"/>
      <c r="P392" s="29" t="str">
        <f aca="false">IF(O392="","",N392*O392)</f>
        <v/>
      </c>
      <c r="Q392" s="36"/>
      <c r="R392" s="25"/>
      <c r="S392" s="25"/>
      <c r="T392" s="28" t="str">
        <f aca="false">IF(OR(LEFT(W392,2)&lt;&gt;"A-",ISERROR(MATCH(W392,'🎓 Alumnas'!$A$2:$A$1000,0))),"",IF(COUNTIF($W$2:W392,W392)=1,"Nueva","Recurrente"))</f>
        <v/>
      </c>
      <c r="U392" s="28" t="str">
        <f aca="false">IF(OR(T392="",L392&lt;&gt;"Paquete"),"",COUNTIFS($W$2:W392,W392,$L$2:L392,"Paquete"))</f>
        <v/>
      </c>
      <c r="V392" s="25"/>
      <c r="W392" s="34" t="str">
        <f aca="false">IF(TRIM($C392)="","",IF(COUNTIF('🎓 Alumnas'!$P$2:$P$1000,TRIM($C392))&gt;0,INDEX('🎓 Alumnas'!$A$2:$A$1000,MATCH(TRIM($C392),'🎓 Alumnas'!$P$2:$P$1000,0)),IF(COUNTIF('🎓 Alumnas'!$O$2:$O$1000,TRIM($C392)&amp;"|*")=1,INDEX('🎓 Alumnas'!$A$2:$A$1000,MATCH(TRIM($C392)&amp;"|*",'🎓 Alumnas'!$O$2:$O$1000,0)),IF(COUNTIF('🎓 Alumnas'!$O$2:$O$1000,"*|"&amp;TRIM($C392))=1,INDEX('🎓 Alumnas'!$A$2:$A$1000,MATCH("*|"&amp;TRIM($C392),'🎓 Alumnas'!$O$2:$O$1000,0)),IF(COUNTIF('🎓 Alumnas'!$Q$2:$Q$1000,TRIM($C392))=1,INDEX('🎓 Alumnas'!$A$2:$A$1000,MATCH(TRIM($C392),'🎓 Alumnas'!$Q$2:$Q$1000,0)),IF(COUNTIF('🎓 Alumnas'!$P$2:$P$1000,"*"&amp;TRIM($C392)&amp;"*")=1,INDEX('🎓 Alumnas'!$A$2:$A$1000,MATCH("*"&amp;TRIM($C392)&amp;"*",'🎓 Alumnas'!$P$2:$P$1000,0)),IF(COUNTIF('🎓 Alumnas'!$Q$2:$Q$1000,"*"&amp;TRIM($C392)&amp;"*")=1,INDEX('🎓 Alumnas'!$A$2:$A$1000,MATCH("*"&amp;TRIM($C392)&amp;"*",'🎓 Alumnas'!$Q$2:$Q$1000,0)),IF(COUNTIF('🎓 Alumnas'!$P$2:$P$1000,"*"&amp;TRIM($C392)&amp;"*")+COUNTIF('🎓 Alumnas'!$Q$2:$Q$1000,"*"&amp;TRIM($C392)&amp;"*")&gt;1,"Varias: elige de la lista","No encontrada"))))))))</f>
        <v/>
      </c>
    </row>
    <row r="393" customFormat="false" ht="14.25" hidden="false" customHeight="true" outlineLevel="0" collapsed="false">
      <c r="A393" s="25" t="s">
        <v>937</v>
      </c>
      <c r="B393" s="27"/>
      <c r="C393" s="25"/>
      <c r="D393" s="34" t="str">
        <f aca="false">IF($W393="","",IFERROR(TRIM(INDEX('🎓 Alumnas'!$B$2:$B$1000,MATCH($W393,'🎓 Alumnas'!$A$2:$A$1000,0))),""))</f>
        <v/>
      </c>
      <c r="E393" s="34" t="str">
        <f aca="false">IF($W393="","",IFERROR(TRIM(INDEX('🎓 Alumnas'!$C$2:$C$1000,MATCH($W393,'🎓 Alumnas'!$A$2:$A$1000,0))),""))</f>
        <v/>
      </c>
      <c r="F393" s="34" t="str">
        <f aca="false">IF($W393="","",IFERROR(IF(INDEX('🎓 Alumnas'!$D$2:$D$1000,MATCH($W393,'🎓 Alumnas'!$A$2:$A$1000,0))="","",INDEX('🎓 Alumnas'!$D$2:$D$1000,MATCH($W393,'🎓 Alumnas'!$A$2:$A$1000,0))),""))</f>
        <v/>
      </c>
      <c r="G393" s="28" t="str">
        <f aca="false">IF($W393="","",IFERROR(IF(INDEX('🎓 Alumnas'!$E$2:$E$1000,MATCH($W393,'🎓 Alumnas'!$A$2:$A$1000,0))="","",INDEX('🎓 Alumnas'!$E$2:$E$1000,MATCH($W393,'🎓 Alumnas'!$A$2:$A$1000,0))),""))</f>
        <v/>
      </c>
      <c r="H393" s="28" t="str">
        <f aca="false">IF($W393="","",IFERROR(IF(INDEX('🎓 Alumnas'!$F$2:$F$1000,MATCH($W393,'🎓 Alumnas'!$A$2:$A$1000,0))="","",INDEX('🎓 Alumnas'!$F$2:$F$1000,MATCH($W393,'🎓 Alumnas'!$A$2:$A$1000,0))),""))</f>
        <v/>
      </c>
      <c r="I393" s="30" t="str">
        <f aca="false">IF($W393="","",IFERROR(IF(INDEX('🎓 Alumnas'!$G$2:$G$1000,MATCH($W393,'🎓 Alumnas'!$A$2:$A$1000,0))="","",INDEX('🎓 Alumnas'!$G$2:$G$1000,MATCH($W393,'🎓 Alumnas'!$A$2:$A$1000,0))),""))</f>
        <v/>
      </c>
      <c r="J393" s="28" t="str">
        <f aca="true">IF(I393="","",DATEDIF(I393,TODAY(),"Y"))</f>
        <v/>
      </c>
      <c r="K393" s="25"/>
      <c r="L393" s="28" t="str">
        <f aca="false">IF(K393="","",IF(LEFT(K393,6)="1 Pole","Alquiler",IF(LEFT(K393,7)="1 Clase","Clase suelta","Paquete")))</f>
        <v/>
      </c>
      <c r="M393" s="25"/>
      <c r="N393" s="25"/>
      <c r="O393" s="35"/>
      <c r="P393" s="29" t="str">
        <f aca="false">IF(O393="","",N393*O393)</f>
        <v/>
      </c>
      <c r="Q393" s="36"/>
      <c r="R393" s="25"/>
      <c r="S393" s="25"/>
      <c r="T393" s="28" t="str">
        <f aca="false">IF(OR(LEFT(W393,2)&lt;&gt;"A-",ISERROR(MATCH(W393,'🎓 Alumnas'!$A$2:$A$1000,0))),"",IF(COUNTIF($W$2:W393,W393)=1,"Nueva","Recurrente"))</f>
        <v/>
      </c>
      <c r="U393" s="28" t="str">
        <f aca="false">IF(OR(T393="",L393&lt;&gt;"Paquete"),"",COUNTIFS($W$2:W393,W393,$L$2:L393,"Paquete"))</f>
        <v/>
      </c>
      <c r="V393" s="25"/>
      <c r="W393" s="34" t="str">
        <f aca="false">IF(TRIM($C393)="","",IF(COUNTIF('🎓 Alumnas'!$P$2:$P$1000,TRIM($C393))&gt;0,INDEX('🎓 Alumnas'!$A$2:$A$1000,MATCH(TRIM($C393),'🎓 Alumnas'!$P$2:$P$1000,0)),IF(COUNTIF('🎓 Alumnas'!$O$2:$O$1000,TRIM($C393)&amp;"|*")=1,INDEX('🎓 Alumnas'!$A$2:$A$1000,MATCH(TRIM($C393)&amp;"|*",'🎓 Alumnas'!$O$2:$O$1000,0)),IF(COUNTIF('🎓 Alumnas'!$O$2:$O$1000,"*|"&amp;TRIM($C393))=1,INDEX('🎓 Alumnas'!$A$2:$A$1000,MATCH("*|"&amp;TRIM($C393),'🎓 Alumnas'!$O$2:$O$1000,0)),IF(COUNTIF('🎓 Alumnas'!$Q$2:$Q$1000,TRIM($C393))=1,INDEX('🎓 Alumnas'!$A$2:$A$1000,MATCH(TRIM($C393),'🎓 Alumnas'!$Q$2:$Q$1000,0)),IF(COUNTIF('🎓 Alumnas'!$P$2:$P$1000,"*"&amp;TRIM($C393)&amp;"*")=1,INDEX('🎓 Alumnas'!$A$2:$A$1000,MATCH("*"&amp;TRIM($C393)&amp;"*",'🎓 Alumnas'!$P$2:$P$1000,0)),IF(COUNTIF('🎓 Alumnas'!$Q$2:$Q$1000,"*"&amp;TRIM($C393)&amp;"*")=1,INDEX('🎓 Alumnas'!$A$2:$A$1000,MATCH("*"&amp;TRIM($C393)&amp;"*",'🎓 Alumnas'!$Q$2:$Q$1000,0)),IF(COUNTIF('🎓 Alumnas'!$P$2:$P$1000,"*"&amp;TRIM($C393)&amp;"*")+COUNTIF('🎓 Alumnas'!$Q$2:$Q$1000,"*"&amp;TRIM($C393)&amp;"*")&gt;1,"Varias: elige de la lista","No encontrada"))))))))</f>
        <v/>
      </c>
    </row>
    <row r="394" customFormat="false" ht="14.25" hidden="false" customHeight="true" outlineLevel="0" collapsed="false">
      <c r="A394" s="25" t="s">
        <v>938</v>
      </c>
      <c r="B394" s="27"/>
      <c r="C394" s="25"/>
      <c r="D394" s="34" t="str">
        <f aca="false">IF($W394="","",IFERROR(TRIM(INDEX('🎓 Alumnas'!$B$2:$B$1000,MATCH($W394,'🎓 Alumnas'!$A$2:$A$1000,0))),""))</f>
        <v/>
      </c>
      <c r="E394" s="34" t="str">
        <f aca="false">IF($W394="","",IFERROR(TRIM(INDEX('🎓 Alumnas'!$C$2:$C$1000,MATCH($W394,'🎓 Alumnas'!$A$2:$A$1000,0))),""))</f>
        <v/>
      </c>
      <c r="F394" s="34" t="str">
        <f aca="false">IF($W394="","",IFERROR(IF(INDEX('🎓 Alumnas'!$D$2:$D$1000,MATCH($W394,'🎓 Alumnas'!$A$2:$A$1000,0))="","",INDEX('🎓 Alumnas'!$D$2:$D$1000,MATCH($W394,'🎓 Alumnas'!$A$2:$A$1000,0))),""))</f>
        <v/>
      </c>
      <c r="G394" s="28" t="str">
        <f aca="false">IF($W394="","",IFERROR(IF(INDEX('🎓 Alumnas'!$E$2:$E$1000,MATCH($W394,'🎓 Alumnas'!$A$2:$A$1000,0))="","",INDEX('🎓 Alumnas'!$E$2:$E$1000,MATCH($W394,'🎓 Alumnas'!$A$2:$A$1000,0))),""))</f>
        <v/>
      </c>
      <c r="H394" s="28" t="str">
        <f aca="false">IF($W394="","",IFERROR(IF(INDEX('🎓 Alumnas'!$F$2:$F$1000,MATCH($W394,'🎓 Alumnas'!$A$2:$A$1000,0))="","",INDEX('🎓 Alumnas'!$F$2:$F$1000,MATCH($W394,'🎓 Alumnas'!$A$2:$A$1000,0))),""))</f>
        <v/>
      </c>
      <c r="I394" s="30" t="str">
        <f aca="false">IF($W394="","",IFERROR(IF(INDEX('🎓 Alumnas'!$G$2:$G$1000,MATCH($W394,'🎓 Alumnas'!$A$2:$A$1000,0))="","",INDEX('🎓 Alumnas'!$G$2:$G$1000,MATCH($W394,'🎓 Alumnas'!$A$2:$A$1000,0))),""))</f>
        <v/>
      </c>
      <c r="J394" s="28" t="str">
        <f aca="true">IF(I394="","",DATEDIF(I394,TODAY(),"Y"))</f>
        <v/>
      </c>
      <c r="K394" s="25"/>
      <c r="L394" s="28" t="str">
        <f aca="false">IF(K394="","",IF(LEFT(K394,6)="1 Pole","Alquiler",IF(LEFT(K394,7)="1 Clase","Clase suelta","Paquete")))</f>
        <v/>
      </c>
      <c r="M394" s="25"/>
      <c r="N394" s="25"/>
      <c r="O394" s="35"/>
      <c r="P394" s="29" t="str">
        <f aca="false">IF(O394="","",N394*O394)</f>
        <v/>
      </c>
      <c r="Q394" s="36"/>
      <c r="R394" s="25"/>
      <c r="S394" s="25"/>
      <c r="T394" s="28" t="str">
        <f aca="false">IF(OR(LEFT(W394,2)&lt;&gt;"A-",ISERROR(MATCH(W394,'🎓 Alumnas'!$A$2:$A$1000,0))),"",IF(COUNTIF($W$2:W394,W394)=1,"Nueva","Recurrente"))</f>
        <v/>
      </c>
      <c r="U394" s="28" t="str">
        <f aca="false">IF(OR(T394="",L394&lt;&gt;"Paquete"),"",COUNTIFS($W$2:W394,W394,$L$2:L394,"Paquete"))</f>
        <v/>
      </c>
      <c r="V394" s="25"/>
      <c r="W394" s="34" t="str">
        <f aca="false">IF(TRIM($C394)="","",IF(COUNTIF('🎓 Alumnas'!$P$2:$P$1000,TRIM($C394))&gt;0,INDEX('🎓 Alumnas'!$A$2:$A$1000,MATCH(TRIM($C394),'🎓 Alumnas'!$P$2:$P$1000,0)),IF(COUNTIF('🎓 Alumnas'!$O$2:$O$1000,TRIM($C394)&amp;"|*")=1,INDEX('🎓 Alumnas'!$A$2:$A$1000,MATCH(TRIM($C394)&amp;"|*",'🎓 Alumnas'!$O$2:$O$1000,0)),IF(COUNTIF('🎓 Alumnas'!$O$2:$O$1000,"*|"&amp;TRIM($C394))=1,INDEX('🎓 Alumnas'!$A$2:$A$1000,MATCH("*|"&amp;TRIM($C394),'🎓 Alumnas'!$O$2:$O$1000,0)),IF(COUNTIF('🎓 Alumnas'!$Q$2:$Q$1000,TRIM($C394))=1,INDEX('🎓 Alumnas'!$A$2:$A$1000,MATCH(TRIM($C394),'🎓 Alumnas'!$Q$2:$Q$1000,0)),IF(COUNTIF('🎓 Alumnas'!$P$2:$P$1000,"*"&amp;TRIM($C394)&amp;"*")=1,INDEX('🎓 Alumnas'!$A$2:$A$1000,MATCH("*"&amp;TRIM($C394)&amp;"*",'🎓 Alumnas'!$P$2:$P$1000,0)),IF(COUNTIF('🎓 Alumnas'!$Q$2:$Q$1000,"*"&amp;TRIM($C394)&amp;"*")=1,INDEX('🎓 Alumnas'!$A$2:$A$1000,MATCH("*"&amp;TRIM($C394)&amp;"*",'🎓 Alumnas'!$Q$2:$Q$1000,0)),IF(COUNTIF('🎓 Alumnas'!$P$2:$P$1000,"*"&amp;TRIM($C394)&amp;"*")+COUNTIF('🎓 Alumnas'!$Q$2:$Q$1000,"*"&amp;TRIM($C394)&amp;"*")&gt;1,"Varias: elige de la lista","No encontrada"))))))))</f>
        <v/>
      </c>
    </row>
    <row r="395" customFormat="false" ht="14.25" hidden="false" customHeight="true" outlineLevel="0" collapsed="false">
      <c r="A395" s="25" t="s">
        <v>939</v>
      </c>
      <c r="B395" s="27"/>
      <c r="C395" s="25"/>
      <c r="D395" s="34" t="str">
        <f aca="false">IF($W395="","",IFERROR(TRIM(INDEX('🎓 Alumnas'!$B$2:$B$1000,MATCH($W395,'🎓 Alumnas'!$A$2:$A$1000,0))),""))</f>
        <v/>
      </c>
      <c r="E395" s="34" t="str">
        <f aca="false">IF($W395="","",IFERROR(TRIM(INDEX('🎓 Alumnas'!$C$2:$C$1000,MATCH($W395,'🎓 Alumnas'!$A$2:$A$1000,0))),""))</f>
        <v/>
      </c>
      <c r="F395" s="34" t="str">
        <f aca="false">IF($W395="","",IFERROR(IF(INDEX('🎓 Alumnas'!$D$2:$D$1000,MATCH($W395,'🎓 Alumnas'!$A$2:$A$1000,0))="","",INDEX('🎓 Alumnas'!$D$2:$D$1000,MATCH($W395,'🎓 Alumnas'!$A$2:$A$1000,0))),""))</f>
        <v/>
      </c>
      <c r="G395" s="28" t="str">
        <f aca="false">IF($W395="","",IFERROR(IF(INDEX('🎓 Alumnas'!$E$2:$E$1000,MATCH($W395,'🎓 Alumnas'!$A$2:$A$1000,0))="","",INDEX('🎓 Alumnas'!$E$2:$E$1000,MATCH($W395,'🎓 Alumnas'!$A$2:$A$1000,0))),""))</f>
        <v/>
      </c>
      <c r="H395" s="28" t="str">
        <f aca="false">IF($W395="","",IFERROR(IF(INDEX('🎓 Alumnas'!$F$2:$F$1000,MATCH($W395,'🎓 Alumnas'!$A$2:$A$1000,0))="","",INDEX('🎓 Alumnas'!$F$2:$F$1000,MATCH($W395,'🎓 Alumnas'!$A$2:$A$1000,0))),""))</f>
        <v/>
      </c>
      <c r="I395" s="30" t="str">
        <f aca="false">IF($W395="","",IFERROR(IF(INDEX('🎓 Alumnas'!$G$2:$G$1000,MATCH($W395,'🎓 Alumnas'!$A$2:$A$1000,0))="","",INDEX('🎓 Alumnas'!$G$2:$G$1000,MATCH($W395,'🎓 Alumnas'!$A$2:$A$1000,0))),""))</f>
        <v/>
      </c>
      <c r="J395" s="28" t="str">
        <f aca="true">IF(I395="","",DATEDIF(I395,TODAY(),"Y"))</f>
        <v/>
      </c>
      <c r="K395" s="25"/>
      <c r="L395" s="28" t="str">
        <f aca="false">IF(K395="","",IF(LEFT(K395,6)="1 Pole","Alquiler",IF(LEFT(K395,7)="1 Clase","Clase suelta","Paquete")))</f>
        <v/>
      </c>
      <c r="M395" s="25"/>
      <c r="N395" s="25"/>
      <c r="O395" s="35"/>
      <c r="P395" s="29" t="str">
        <f aca="false">IF(O395="","",N395*O395)</f>
        <v/>
      </c>
      <c r="Q395" s="36"/>
      <c r="R395" s="25"/>
      <c r="S395" s="25"/>
      <c r="T395" s="28" t="str">
        <f aca="false">IF(OR(LEFT(W395,2)&lt;&gt;"A-",ISERROR(MATCH(W395,'🎓 Alumnas'!$A$2:$A$1000,0))),"",IF(COUNTIF($W$2:W395,W395)=1,"Nueva","Recurrente"))</f>
        <v/>
      </c>
      <c r="U395" s="28" t="str">
        <f aca="false">IF(OR(T395="",L395&lt;&gt;"Paquete"),"",COUNTIFS($W$2:W395,W395,$L$2:L395,"Paquete"))</f>
        <v/>
      </c>
      <c r="V395" s="25"/>
      <c r="W395" s="34" t="str">
        <f aca="false">IF(TRIM($C395)="","",IF(COUNTIF('🎓 Alumnas'!$P$2:$P$1000,TRIM($C395))&gt;0,INDEX('🎓 Alumnas'!$A$2:$A$1000,MATCH(TRIM($C395),'🎓 Alumnas'!$P$2:$P$1000,0)),IF(COUNTIF('🎓 Alumnas'!$O$2:$O$1000,TRIM($C395)&amp;"|*")=1,INDEX('🎓 Alumnas'!$A$2:$A$1000,MATCH(TRIM($C395)&amp;"|*",'🎓 Alumnas'!$O$2:$O$1000,0)),IF(COUNTIF('🎓 Alumnas'!$O$2:$O$1000,"*|"&amp;TRIM($C395))=1,INDEX('🎓 Alumnas'!$A$2:$A$1000,MATCH("*|"&amp;TRIM($C395),'🎓 Alumnas'!$O$2:$O$1000,0)),IF(COUNTIF('🎓 Alumnas'!$Q$2:$Q$1000,TRIM($C395))=1,INDEX('🎓 Alumnas'!$A$2:$A$1000,MATCH(TRIM($C395),'🎓 Alumnas'!$Q$2:$Q$1000,0)),IF(COUNTIF('🎓 Alumnas'!$P$2:$P$1000,"*"&amp;TRIM($C395)&amp;"*")=1,INDEX('🎓 Alumnas'!$A$2:$A$1000,MATCH("*"&amp;TRIM($C395)&amp;"*",'🎓 Alumnas'!$P$2:$P$1000,0)),IF(COUNTIF('🎓 Alumnas'!$Q$2:$Q$1000,"*"&amp;TRIM($C395)&amp;"*")=1,INDEX('🎓 Alumnas'!$A$2:$A$1000,MATCH("*"&amp;TRIM($C395)&amp;"*",'🎓 Alumnas'!$Q$2:$Q$1000,0)),IF(COUNTIF('🎓 Alumnas'!$P$2:$P$1000,"*"&amp;TRIM($C395)&amp;"*")+COUNTIF('🎓 Alumnas'!$Q$2:$Q$1000,"*"&amp;TRIM($C395)&amp;"*")&gt;1,"Varias: elige de la lista","No encontrada"))))))))</f>
        <v/>
      </c>
    </row>
    <row r="396" customFormat="false" ht="14.25" hidden="false" customHeight="true" outlineLevel="0" collapsed="false">
      <c r="A396" s="25" t="s">
        <v>940</v>
      </c>
      <c r="B396" s="27"/>
      <c r="C396" s="25"/>
      <c r="D396" s="34" t="str">
        <f aca="false">IF($W396="","",IFERROR(TRIM(INDEX('🎓 Alumnas'!$B$2:$B$1000,MATCH($W396,'🎓 Alumnas'!$A$2:$A$1000,0))),""))</f>
        <v/>
      </c>
      <c r="E396" s="34" t="str">
        <f aca="false">IF($W396="","",IFERROR(TRIM(INDEX('🎓 Alumnas'!$C$2:$C$1000,MATCH($W396,'🎓 Alumnas'!$A$2:$A$1000,0))),""))</f>
        <v/>
      </c>
      <c r="F396" s="34" t="str">
        <f aca="false">IF($W396="","",IFERROR(IF(INDEX('🎓 Alumnas'!$D$2:$D$1000,MATCH($W396,'🎓 Alumnas'!$A$2:$A$1000,0))="","",INDEX('🎓 Alumnas'!$D$2:$D$1000,MATCH($W396,'🎓 Alumnas'!$A$2:$A$1000,0))),""))</f>
        <v/>
      </c>
      <c r="G396" s="28" t="str">
        <f aca="false">IF($W396="","",IFERROR(IF(INDEX('🎓 Alumnas'!$E$2:$E$1000,MATCH($W396,'🎓 Alumnas'!$A$2:$A$1000,0))="","",INDEX('🎓 Alumnas'!$E$2:$E$1000,MATCH($W396,'🎓 Alumnas'!$A$2:$A$1000,0))),""))</f>
        <v/>
      </c>
      <c r="H396" s="28" t="str">
        <f aca="false">IF($W396="","",IFERROR(IF(INDEX('🎓 Alumnas'!$F$2:$F$1000,MATCH($W396,'🎓 Alumnas'!$A$2:$A$1000,0))="","",INDEX('🎓 Alumnas'!$F$2:$F$1000,MATCH($W396,'🎓 Alumnas'!$A$2:$A$1000,0))),""))</f>
        <v/>
      </c>
      <c r="I396" s="30" t="str">
        <f aca="false">IF($W396="","",IFERROR(IF(INDEX('🎓 Alumnas'!$G$2:$G$1000,MATCH($W396,'🎓 Alumnas'!$A$2:$A$1000,0))="","",INDEX('🎓 Alumnas'!$G$2:$G$1000,MATCH($W396,'🎓 Alumnas'!$A$2:$A$1000,0))),""))</f>
        <v/>
      </c>
      <c r="J396" s="28" t="str">
        <f aca="true">IF(I396="","",DATEDIF(I396,TODAY(),"Y"))</f>
        <v/>
      </c>
      <c r="K396" s="25"/>
      <c r="L396" s="28" t="str">
        <f aca="false">IF(K396="","",IF(LEFT(K396,6)="1 Pole","Alquiler",IF(LEFT(K396,7)="1 Clase","Clase suelta","Paquete")))</f>
        <v/>
      </c>
      <c r="M396" s="25"/>
      <c r="N396" s="25"/>
      <c r="O396" s="35"/>
      <c r="P396" s="29" t="str">
        <f aca="false">IF(O396="","",N396*O396)</f>
        <v/>
      </c>
      <c r="Q396" s="36"/>
      <c r="R396" s="25"/>
      <c r="S396" s="25"/>
      <c r="T396" s="28" t="str">
        <f aca="false">IF(OR(LEFT(W396,2)&lt;&gt;"A-",ISERROR(MATCH(W396,'🎓 Alumnas'!$A$2:$A$1000,0))),"",IF(COUNTIF($W$2:W396,W396)=1,"Nueva","Recurrente"))</f>
        <v/>
      </c>
      <c r="U396" s="28" t="str">
        <f aca="false">IF(OR(T396="",L396&lt;&gt;"Paquete"),"",COUNTIFS($W$2:W396,W396,$L$2:L396,"Paquete"))</f>
        <v/>
      </c>
      <c r="V396" s="25"/>
      <c r="W396" s="34" t="str">
        <f aca="false">IF(TRIM($C396)="","",IF(COUNTIF('🎓 Alumnas'!$P$2:$P$1000,TRIM($C396))&gt;0,INDEX('🎓 Alumnas'!$A$2:$A$1000,MATCH(TRIM($C396),'🎓 Alumnas'!$P$2:$P$1000,0)),IF(COUNTIF('🎓 Alumnas'!$O$2:$O$1000,TRIM($C396)&amp;"|*")=1,INDEX('🎓 Alumnas'!$A$2:$A$1000,MATCH(TRIM($C396)&amp;"|*",'🎓 Alumnas'!$O$2:$O$1000,0)),IF(COUNTIF('🎓 Alumnas'!$O$2:$O$1000,"*|"&amp;TRIM($C396))=1,INDEX('🎓 Alumnas'!$A$2:$A$1000,MATCH("*|"&amp;TRIM($C396),'🎓 Alumnas'!$O$2:$O$1000,0)),IF(COUNTIF('🎓 Alumnas'!$Q$2:$Q$1000,TRIM($C396))=1,INDEX('🎓 Alumnas'!$A$2:$A$1000,MATCH(TRIM($C396),'🎓 Alumnas'!$Q$2:$Q$1000,0)),IF(COUNTIF('🎓 Alumnas'!$P$2:$P$1000,"*"&amp;TRIM($C396)&amp;"*")=1,INDEX('🎓 Alumnas'!$A$2:$A$1000,MATCH("*"&amp;TRIM($C396)&amp;"*",'🎓 Alumnas'!$P$2:$P$1000,0)),IF(COUNTIF('🎓 Alumnas'!$Q$2:$Q$1000,"*"&amp;TRIM($C396)&amp;"*")=1,INDEX('🎓 Alumnas'!$A$2:$A$1000,MATCH("*"&amp;TRIM($C396)&amp;"*",'🎓 Alumnas'!$Q$2:$Q$1000,0)),IF(COUNTIF('🎓 Alumnas'!$P$2:$P$1000,"*"&amp;TRIM($C396)&amp;"*")+COUNTIF('🎓 Alumnas'!$Q$2:$Q$1000,"*"&amp;TRIM($C396)&amp;"*")&gt;1,"Varias: elige de la lista","No encontrada"))))))))</f>
        <v/>
      </c>
    </row>
    <row r="397" customFormat="false" ht="14.25" hidden="false" customHeight="true" outlineLevel="0" collapsed="false">
      <c r="A397" s="25" t="s">
        <v>941</v>
      </c>
      <c r="B397" s="27"/>
      <c r="C397" s="25"/>
      <c r="D397" s="34" t="str">
        <f aca="false">IF($W397="","",IFERROR(TRIM(INDEX('🎓 Alumnas'!$B$2:$B$1000,MATCH($W397,'🎓 Alumnas'!$A$2:$A$1000,0))),""))</f>
        <v/>
      </c>
      <c r="E397" s="34" t="str">
        <f aca="false">IF($W397="","",IFERROR(TRIM(INDEX('🎓 Alumnas'!$C$2:$C$1000,MATCH($W397,'🎓 Alumnas'!$A$2:$A$1000,0))),""))</f>
        <v/>
      </c>
      <c r="F397" s="34" t="str">
        <f aca="false">IF($W397="","",IFERROR(IF(INDEX('🎓 Alumnas'!$D$2:$D$1000,MATCH($W397,'🎓 Alumnas'!$A$2:$A$1000,0))="","",INDEX('🎓 Alumnas'!$D$2:$D$1000,MATCH($W397,'🎓 Alumnas'!$A$2:$A$1000,0))),""))</f>
        <v/>
      </c>
      <c r="G397" s="28" t="str">
        <f aca="false">IF($W397="","",IFERROR(IF(INDEX('🎓 Alumnas'!$E$2:$E$1000,MATCH($W397,'🎓 Alumnas'!$A$2:$A$1000,0))="","",INDEX('🎓 Alumnas'!$E$2:$E$1000,MATCH($W397,'🎓 Alumnas'!$A$2:$A$1000,0))),""))</f>
        <v/>
      </c>
      <c r="H397" s="28" t="str">
        <f aca="false">IF($W397="","",IFERROR(IF(INDEX('🎓 Alumnas'!$F$2:$F$1000,MATCH($W397,'🎓 Alumnas'!$A$2:$A$1000,0))="","",INDEX('🎓 Alumnas'!$F$2:$F$1000,MATCH($W397,'🎓 Alumnas'!$A$2:$A$1000,0))),""))</f>
        <v/>
      </c>
      <c r="I397" s="30" t="str">
        <f aca="false">IF($W397="","",IFERROR(IF(INDEX('🎓 Alumnas'!$G$2:$G$1000,MATCH($W397,'🎓 Alumnas'!$A$2:$A$1000,0))="","",INDEX('🎓 Alumnas'!$G$2:$G$1000,MATCH($W397,'🎓 Alumnas'!$A$2:$A$1000,0))),""))</f>
        <v/>
      </c>
      <c r="J397" s="28" t="str">
        <f aca="true">IF(I397="","",DATEDIF(I397,TODAY(),"Y"))</f>
        <v/>
      </c>
      <c r="K397" s="25"/>
      <c r="L397" s="28" t="str">
        <f aca="false">IF(K397="","",IF(LEFT(K397,6)="1 Pole","Alquiler",IF(LEFT(K397,7)="1 Clase","Clase suelta","Paquete")))</f>
        <v/>
      </c>
      <c r="M397" s="25"/>
      <c r="N397" s="25"/>
      <c r="O397" s="35"/>
      <c r="P397" s="29" t="str">
        <f aca="false">IF(O397="","",N397*O397)</f>
        <v/>
      </c>
      <c r="Q397" s="36"/>
      <c r="R397" s="25"/>
      <c r="S397" s="25"/>
      <c r="T397" s="28" t="str">
        <f aca="false">IF(OR(LEFT(W397,2)&lt;&gt;"A-",ISERROR(MATCH(W397,'🎓 Alumnas'!$A$2:$A$1000,0))),"",IF(COUNTIF($W$2:W397,W397)=1,"Nueva","Recurrente"))</f>
        <v/>
      </c>
      <c r="U397" s="28" t="str">
        <f aca="false">IF(OR(T397="",L397&lt;&gt;"Paquete"),"",COUNTIFS($W$2:W397,W397,$L$2:L397,"Paquete"))</f>
        <v/>
      </c>
      <c r="V397" s="25"/>
      <c r="W397" s="34" t="str">
        <f aca="false">IF(TRIM($C397)="","",IF(COUNTIF('🎓 Alumnas'!$P$2:$P$1000,TRIM($C397))&gt;0,INDEX('🎓 Alumnas'!$A$2:$A$1000,MATCH(TRIM($C397),'🎓 Alumnas'!$P$2:$P$1000,0)),IF(COUNTIF('🎓 Alumnas'!$O$2:$O$1000,TRIM($C397)&amp;"|*")=1,INDEX('🎓 Alumnas'!$A$2:$A$1000,MATCH(TRIM($C397)&amp;"|*",'🎓 Alumnas'!$O$2:$O$1000,0)),IF(COUNTIF('🎓 Alumnas'!$O$2:$O$1000,"*|"&amp;TRIM($C397))=1,INDEX('🎓 Alumnas'!$A$2:$A$1000,MATCH("*|"&amp;TRIM($C397),'🎓 Alumnas'!$O$2:$O$1000,0)),IF(COUNTIF('🎓 Alumnas'!$Q$2:$Q$1000,TRIM($C397))=1,INDEX('🎓 Alumnas'!$A$2:$A$1000,MATCH(TRIM($C397),'🎓 Alumnas'!$Q$2:$Q$1000,0)),IF(COUNTIF('🎓 Alumnas'!$P$2:$P$1000,"*"&amp;TRIM($C397)&amp;"*")=1,INDEX('🎓 Alumnas'!$A$2:$A$1000,MATCH("*"&amp;TRIM($C397)&amp;"*",'🎓 Alumnas'!$P$2:$P$1000,0)),IF(COUNTIF('🎓 Alumnas'!$Q$2:$Q$1000,"*"&amp;TRIM($C397)&amp;"*")=1,INDEX('🎓 Alumnas'!$A$2:$A$1000,MATCH("*"&amp;TRIM($C397)&amp;"*",'🎓 Alumnas'!$Q$2:$Q$1000,0)),IF(COUNTIF('🎓 Alumnas'!$P$2:$P$1000,"*"&amp;TRIM($C397)&amp;"*")+COUNTIF('🎓 Alumnas'!$Q$2:$Q$1000,"*"&amp;TRIM($C397)&amp;"*")&gt;1,"Varias: elige de la lista","No encontrada"))))))))</f>
        <v/>
      </c>
    </row>
    <row r="398" customFormat="false" ht="14.25" hidden="false" customHeight="true" outlineLevel="0" collapsed="false">
      <c r="A398" s="25" t="s">
        <v>942</v>
      </c>
      <c r="B398" s="27"/>
      <c r="C398" s="25"/>
      <c r="D398" s="34" t="str">
        <f aca="false">IF($W398="","",IFERROR(TRIM(INDEX('🎓 Alumnas'!$B$2:$B$1000,MATCH($W398,'🎓 Alumnas'!$A$2:$A$1000,0))),""))</f>
        <v/>
      </c>
      <c r="E398" s="34" t="str">
        <f aca="false">IF($W398="","",IFERROR(TRIM(INDEX('🎓 Alumnas'!$C$2:$C$1000,MATCH($W398,'🎓 Alumnas'!$A$2:$A$1000,0))),""))</f>
        <v/>
      </c>
      <c r="F398" s="34" t="str">
        <f aca="false">IF($W398="","",IFERROR(IF(INDEX('🎓 Alumnas'!$D$2:$D$1000,MATCH($W398,'🎓 Alumnas'!$A$2:$A$1000,0))="","",INDEX('🎓 Alumnas'!$D$2:$D$1000,MATCH($W398,'🎓 Alumnas'!$A$2:$A$1000,0))),""))</f>
        <v/>
      </c>
      <c r="G398" s="28" t="str">
        <f aca="false">IF($W398="","",IFERROR(IF(INDEX('🎓 Alumnas'!$E$2:$E$1000,MATCH($W398,'🎓 Alumnas'!$A$2:$A$1000,0))="","",INDEX('🎓 Alumnas'!$E$2:$E$1000,MATCH($W398,'🎓 Alumnas'!$A$2:$A$1000,0))),""))</f>
        <v/>
      </c>
      <c r="H398" s="28" t="str">
        <f aca="false">IF($W398="","",IFERROR(IF(INDEX('🎓 Alumnas'!$F$2:$F$1000,MATCH($W398,'🎓 Alumnas'!$A$2:$A$1000,0))="","",INDEX('🎓 Alumnas'!$F$2:$F$1000,MATCH($W398,'🎓 Alumnas'!$A$2:$A$1000,0))),""))</f>
        <v/>
      </c>
      <c r="I398" s="30" t="str">
        <f aca="false">IF($W398="","",IFERROR(IF(INDEX('🎓 Alumnas'!$G$2:$G$1000,MATCH($W398,'🎓 Alumnas'!$A$2:$A$1000,0))="","",INDEX('🎓 Alumnas'!$G$2:$G$1000,MATCH($W398,'🎓 Alumnas'!$A$2:$A$1000,0))),""))</f>
        <v/>
      </c>
      <c r="J398" s="28" t="str">
        <f aca="true">IF(I398="","",DATEDIF(I398,TODAY(),"Y"))</f>
        <v/>
      </c>
      <c r="K398" s="25"/>
      <c r="L398" s="28" t="str">
        <f aca="false">IF(K398="","",IF(LEFT(K398,6)="1 Pole","Alquiler",IF(LEFT(K398,7)="1 Clase","Clase suelta","Paquete")))</f>
        <v/>
      </c>
      <c r="M398" s="25"/>
      <c r="N398" s="25"/>
      <c r="O398" s="35"/>
      <c r="P398" s="29" t="str">
        <f aca="false">IF(O398="","",N398*O398)</f>
        <v/>
      </c>
      <c r="Q398" s="36"/>
      <c r="R398" s="25"/>
      <c r="S398" s="25"/>
      <c r="T398" s="28" t="str">
        <f aca="false">IF(OR(LEFT(W398,2)&lt;&gt;"A-",ISERROR(MATCH(W398,'🎓 Alumnas'!$A$2:$A$1000,0))),"",IF(COUNTIF($W$2:W398,W398)=1,"Nueva","Recurrente"))</f>
        <v/>
      </c>
      <c r="U398" s="28" t="str">
        <f aca="false">IF(OR(T398="",L398&lt;&gt;"Paquete"),"",COUNTIFS($W$2:W398,W398,$L$2:L398,"Paquete"))</f>
        <v/>
      </c>
      <c r="V398" s="25"/>
      <c r="W398" s="34" t="str">
        <f aca="false">IF(TRIM($C398)="","",IF(COUNTIF('🎓 Alumnas'!$P$2:$P$1000,TRIM($C398))&gt;0,INDEX('🎓 Alumnas'!$A$2:$A$1000,MATCH(TRIM($C398),'🎓 Alumnas'!$P$2:$P$1000,0)),IF(COUNTIF('🎓 Alumnas'!$O$2:$O$1000,TRIM($C398)&amp;"|*")=1,INDEX('🎓 Alumnas'!$A$2:$A$1000,MATCH(TRIM($C398)&amp;"|*",'🎓 Alumnas'!$O$2:$O$1000,0)),IF(COUNTIF('🎓 Alumnas'!$O$2:$O$1000,"*|"&amp;TRIM($C398))=1,INDEX('🎓 Alumnas'!$A$2:$A$1000,MATCH("*|"&amp;TRIM($C398),'🎓 Alumnas'!$O$2:$O$1000,0)),IF(COUNTIF('🎓 Alumnas'!$Q$2:$Q$1000,TRIM($C398))=1,INDEX('🎓 Alumnas'!$A$2:$A$1000,MATCH(TRIM($C398),'🎓 Alumnas'!$Q$2:$Q$1000,0)),IF(COUNTIF('🎓 Alumnas'!$P$2:$P$1000,"*"&amp;TRIM($C398)&amp;"*")=1,INDEX('🎓 Alumnas'!$A$2:$A$1000,MATCH("*"&amp;TRIM($C398)&amp;"*",'🎓 Alumnas'!$P$2:$P$1000,0)),IF(COUNTIF('🎓 Alumnas'!$Q$2:$Q$1000,"*"&amp;TRIM($C398)&amp;"*")=1,INDEX('🎓 Alumnas'!$A$2:$A$1000,MATCH("*"&amp;TRIM($C398)&amp;"*",'🎓 Alumnas'!$Q$2:$Q$1000,0)),IF(COUNTIF('🎓 Alumnas'!$P$2:$P$1000,"*"&amp;TRIM($C398)&amp;"*")+COUNTIF('🎓 Alumnas'!$Q$2:$Q$1000,"*"&amp;TRIM($C398)&amp;"*")&gt;1,"Varias: elige de la lista","No encontrada"))))))))</f>
        <v/>
      </c>
    </row>
    <row r="399" customFormat="false" ht="14.25" hidden="false" customHeight="true" outlineLevel="0" collapsed="false">
      <c r="A399" s="25" t="s">
        <v>943</v>
      </c>
      <c r="B399" s="27"/>
      <c r="C399" s="25"/>
      <c r="D399" s="34" t="str">
        <f aca="false">IF($W399="","",IFERROR(TRIM(INDEX('🎓 Alumnas'!$B$2:$B$1000,MATCH($W399,'🎓 Alumnas'!$A$2:$A$1000,0))),""))</f>
        <v/>
      </c>
      <c r="E399" s="34" t="str">
        <f aca="false">IF($W399="","",IFERROR(TRIM(INDEX('🎓 Alumnas'!$C$2:$C$1000,MATCH($W399,'🎓 Alumnas'!$A$2:$A$1000,0))),""))</f>
        <v/>
      </c>
      <c r="F399" s="34" t="str">
        <f aca="false">IF($W399="","",IFERROR(IF(INDEX('🎓 Alumnas'!$D$2:$D$1000,MATCH($W399,'🎓 Alumnas'!$A$2:$A$1000,0))="","",INDEX('🎓 Alumnas'!$D$2:$D$1000,MATCH($W399,'🎓 Alumnas'!$A$2:$A$1000,0))),""))</f>
        <v/>
      </c>
      <c r="G399" s="28" t="str">
        <f aca="false">IF($W399="","",IFERROR(IF(INDEX('🎓 Alumnas'!$E$2:$E$1000,MATCH($W399,'🎓 Alumnas'!$A$2:$A$1000,0))="","",INDEX('🎓 Alumnas'!$E$2:$E$1000,MATCH($W399,'🎓 Alumnas'!$A$2:$A$1000,0))),""))</f>
        <v/>
      </c>
      <c r="H399" s="28" t="str">
        <f aca="false">IF($W399="","",IFERROR(IF(INDEX('🎓 Alumnas'!$F$2:$F$1000,MATCH($W399,'🎓 Alumnas'!$A$2:$A$1000,0))="","",INDEX('🎓 Alumnas'!$F$2:$F$1000,MATCH($W399,'🎓 Alumnas'!$A$2:$A$1000,0))),""))</f>
        <v/>
      </c>
      <c r="I399" s="30" t="str">
        <f aca="false">IF($W399="","",IFERROR(IF(INDEX('🎓 Alumnas'!$G$2:$G$1000,MATCH($W399,'🎓 Alumnas'!$A$2:$A$1000,0))="","",INDEX('🎓 Alumnas'!$G$2:$G$1000,MATCH($W399,'🎓 Alumnas'!$A$2:$A$1000,0))),""))</f>
        <v/>
      </c>
      <c r="J399" s="28" t="str">
        <f aca="true">IF(I399="","",DATEDIF(I399,TODAY(),"Y"))</f>
        <v/>
      </c>
      <c r="K399" s="25"/>
      <c r="L399" s="28" t="str">
        <f aca="false">IF(K399="","",IF(LEFT(K399,6)="1 Pole","Alquiler",IF(LEFT(K399,7)="1 Clase","Clase suelta","Paquete")))</f>
        <v/>
      </c>
      <c r="M399" s="25"/>
      <c r="N399" s="25"/>
      <c r="O399" s="35"/>
      <c r="P399" s="29" t="str">
        <f aca="false">IF(O399="","",N399*O399)</f>
        <v/>
      </c>
      <c r="Q399" s="36"/>
      <c r="R399" s="25"/>
      <c r="S399" s="25"/>
      <c r="T399" s="28" t="str">
        <f aca="false">IF(OR(LEFT(W399,2)&lt;&gt;"A-",ISERROR(MATCH(W399,'🎓 Alumnas'!$A$2:$A$1000,0))),"",IF(COUNTIF($W$2:W399,W399)=1,"Nueva","Recurrente"))</f>
        <v/>
      </c>
      <c r="U399" s="28" t="str">
        <f aca="false">IF(OR(T399="",L399&lt;&gt;"Paquete"),"",COUNTIFS($W$2:W399,W399,$L$2:L399,"Paquete"))</f>
        <v/>
      </c>
      <c r="V399" s="25"/>
      <c r="W399" s="34" t="str">
        <f aca="false">IF(TRIM($C399)="","",IF(COUNTIF('🎓 Alumnas'!$P$2:$P$1000,TRIM($C399))&gt;0,INDEX('🎓 Alumnas'!$A$2:$A$1000,MATCH(TRIM($C399),'🎓 Alumnas'!$P$2:$P$1000,0)),IF(COUNTIF('🎓 Alumnas'!$O$2:$O$1000,TRIM($C399)&amp;"|*")=1,INDEX('🎓 Alumnas'!$A$2:$A$1000,MATCH(TRIM($C399)&amp;"|*",'🎓 Alumnas'!$O$2:$O$1000,0)),IF(COUNTIF('🎓 Alumnas'!$O$2:$O$1000,"*|"&amp;TRIM($C399))=1,INDEX('🎓 Alumnas'!$A$2:$A$1000,MATCH("*|"&amp;TRIM($C399),'🎓 Alumnas'!$O$2:$O$1000,0)),IF(COUNTIF('🎓 Alumnas'!$Q$2:$Q$1000,TRIM($C399))=1,INDEX('🎓 Alumnas'!$A$2:$A$1000,MATCH(TRIM($C399),'🎓 Alumnas'!$Q$2:$Q$1000,0)),IF(COUNTIF('🎓 Alumnas'!$P$2:$P$1000,"*"&amp;TRIM($C399)&amp;"*")=1,INDEX('🎓 Alumnas'!$A$2:$A$1000,MATCH("*"&amp;TRIM($C399)&amp;"*",'🎓 Alumnas'!$P$2:$P$1000,0)),IF(COUNTIF('🎓 Alumnas'!$Q$2:$Q$1000,"*"&amp;TRIM($C399)&amp;"*")=1,INDEX('🎓 Alumnas'!$A$2:$A$1000,MATCH("*"&amp;TRIM($C399)&amp;"*",'🎓 Alumnas'!$Q$2:$Q$1000,0)),IF(COUNTIF('🎓 Alumnas'!$P$2:$P$1000,"*"&amp;TRIM($C399)&amp;"*")+COUNTIF('🎓 Alumnas'!$Q$2:$Q$1000,"*"&amp;TRIM($C399)&amp;"*")&gt;1,"Varias: elige de la lista","No encontrada"))))))))</f>
        <v/>
      </c>
    </row>
    <row r="400" customFormat="false" ht="14.25" hidden="false" customHeight="true" outlineLevel="0" collapsed="false">
      <c r="A400" s="25" t="s">
        <v>944</v>
      </c>
      <c r="B400" s="27"/>
      <c r="C400" s="25"/>
      <c r="D400" s="34" t="str">
        <f aca="false">IF($W400="","",IFERROR(TRIM(INDEX('🎓 Alumnas'!$B$2:$B$1000,MATCH($W400,'🎓 Alumnas'!$A$2:$A$1000,0))),""))</f>
        <v/>
      </c>
      <c r="E400" s="34" t="str">
        <f aca="false">IF($W400="","",IFERROR(TRIM(INDEX('🎓 Alumnas'!$C$2:$C$1000,MATCH($W400,'🎓 Alumnas'!$A$2:$A$1000,0))),""))</f>
        <v/>
      </c>
      <c r="F400" s="34" t="str">
        <f aca="false">IF($W400="","",IFERROR(IF(INDEX('🎓 Alumnas'!$D$2:$D$1000,MATCH($W400,'🎓 Alumnas'!$A$2:$A$1000,0))="","",INDEX('🎓 Alumnas'!$D$2:$D$1000,MATCH($W400,'🎓 Alumnas'!$A$2:$A$1000,0))),""))</f>
        <v/>
      </c>
      <c r="G400" s="28" t="str">
        <f aca="false">IF($W400="","",IFERROR(IF(INDEX('🎓 Alumnas'!$E$2:$E$1000,MATCH($W400,'🎓 Alumnas'!$A$2:$A$1000,0))="","",INDEX('🎓 Alumnas'!$E$2:$E$1000,MATCH($W400,'🎓 Alumnas'!$A$2:$A$1000,0))),""))</f>
        <v/>
      </c>
      <c r="H400" s="28" t="str">
        <f aca="false">IF($W400="","",IFERROR(IF(INDEX('🎓 Alumnas'!$F$2:$F$1000,MATCH($W400,'🎓 Alumnas'!$A$2:$A$1000,0))="","",INDEX('🎓 Alumnas'!$F$2:$F$1000,MATCH($W400,'🎓 Alumnas'!$A$2:$A$1000,0))),""))</f>
        <v/>
      </c>
      <c r="I400" s="30" t="str">
        <f aca="false">IF($W400="","",IFERROR(IF(INDEX('🎓 Alumnas'!$G$2:$G$1000,MATCH($W400,'🎓 Alumnas'!$A$2:$A$1000,0))="","",INDEX('🎓 Alumnas'!$G$2:$G$1000,MATCH($W400,'🎓 Alumnas'!$A$2:$A$1000,0))),""))</f>
        <v/>
      </c>
      <c r="J400" s="28" t="str">
        <f aca="true">IF(I400="","",DATEDIF(I400,TODAY(),"Y"))</f>
        <v/>
      </c>
      <c r="K400" s="25"/>
      <c r="L400" s="28" t="str">
        <f aca="false">IF(K400="","",IF(LEFT(K400,6)="1 Pole","Alquiler",IF(LEFT(K400,7)="1 Clase","Clase suelta","Paquete")))</f>
        <v/>
      </c>
      <c r="M400" s="25"/>
      <c r="N400" s="25"/>
      <c r="O400" s="35"/>
      <c r="P400" s="29" t="str">
        <f aca="false">IF(O400="","",N400*O400)</f>
        <v/>
      </c>
      <c r="Q400" s="36"/>
      <c r="R400" s="25"/>
      <c r="S400" s="25"/>
      <c r="T400" s="28" t="str">
        <f aca="false">IF(OR(LEFT(W400,2)&lt;&gt;"A-",ISERROR(MATCH(W400,'🎓 Alumnas'!$A$2:$A$1000,0))),"",IF(COUNTIF($W$2:W400,W400)=1,"Nueva","Recurrente"))</f>
        <v/>
      </c>
      <c r="U400" s="28" t="str">
        <f aca="false">IF(OR(T400="",L400&lt;&gt;"Paquete"),"",COUNTIFS($W$2:W400,W400,$L$2:L400,"Paquete"))</f>
        <v/>
      </c>
      <c r="V400" s="25"/>
      <c r="W400" s="34" t="str">
        <f aca="false">IF(TRIM($C400)="","",IF(COUNTIF('🎓 Alumnas'!$P$2:$P$1000,TRIM($C400))&gt;0,INDEX('🎓 Alumnas'!$A$2:$A$1000,MATCH(TRIM($C400),'🎓 Alumnas'!$P$2:$P$1000,0)),IF(COUNTIF('🎓 Alumnas'!$O$2:$O$1000,TRIM($C400)&amp;"|*")=1,INDEX('🎓 Alumnas'!$A$2:$A$1000,MATCH(TRIM($C400)&amp;"|*",'🎓 Alumnas'!$O$2:$O$1000,0)),IF(COUNTIF('🎓 Alumnas'!$O$2:$O$1000,"*|"&amp;TRIM($C400))=1,INDEX('🎓 Alumnas'!$A$2:$A$1000,MATCH("*|"&amp;TRIM($C400),'🎓 Alumnas'!$O$2:$O$1000,0)),IF(COUNTIF('🎓 Alumnas'!$Q$2:$Q$1000,TRIM($C400))=1,INDEX('🎓 Alumnas'!$A$2:$A$1000,MATCH(TRIM($C400),'🎓 Alumnas'!$Q$2:$Q$1000,0)),IF(COUNTIF('🎓 Alumnas'!$P$2:$P$1000,"*"&amp;TRIM($C400)&amp;"*")=1,INDEX('🎓 Alumnas'!$A$2:$A$1000,MATCH("*"&amp;TRIM($C400)&amp;"*",'🎓 Alumnas'!$P$2:$P$1000,0)),IF(COUNTIF('🎓 Alumnas'!$Q$2:$Q$1000,"*"&amp;TRIM($C400)&amp;"*")=1,INDEX('🎓 Alumnas'!$A$2:$A$1000,MATCH("*"&amp;TRIM($C400)&amp;"*",'🎓 Alumnas'!$Q$2:$Q$1000,0)),IF(COUNTIF('🎓 Alumnas'!$P$2:$P$1000,"*"&amp;TRIM($C400)&amp;"*")+COUNTIF('🎓 Alumnas'!$Q$2:$Q$1000,"*"&amp;TRIM($C400)&amp;"*")&gt;1,"Varias: elige de la lista","No encontrada"))))))))</f>
        <v/>
      </c>
    </row>
  </sheetData>
  <autoFilter ref="A1:W400"/>
  <conditionalFormatting sqref="C2:C400">
    <cfRule type="expression" priority="2" aboveAverage="0" equalAverage="0" bottom="0" percent="0" rank="0" text="" dxfId="5">
      <formula>AND(TRIM($C2)&lt;&gt;"",LEFT($W2,2)&lt;&gt;"A-")</formula>
    </cfRule>
  </conditionalFormatting>
  <dataValidations count="5">
    <dataValidation allowBlank="true" errorStyle="stop" operator="between" prompt="Escribe el apellido o el nombre (o elige de la lista). Apellidos, nombre, cel, correo, dirección y edad se llenan solos." promptTitle="Alumna" showDropDown="false" showErrorMessage="false" showInputMessage="true" sqref="C2:C400" type="list">
      <formula1>lista_alumnas</formula1>
      <formula2>0</formula2>
    </dataValidation>
    <dataValidation allowBlank="true" error="Ese valor no está en la lista de ⚙️ Configuración. ¿Lo dejas así?" errorStyle="warning" errorTitle="Concepto" operator="between" showDropDown="false" showErrorMessage="true" showInputMessage="false" sqref="K2:K400" type="list">
      <formula1>lista_conceptos</formula1>
      <formula2>0</formula2>
    </dataValidation>
    <dataValidation allowBlank="true" error="Ese valor no está en la lista de ⚙️ Configuración. ¿Lo dejas así?" errorStyle="warning" errorTitle="Método de Pago" operator="between" showDropDown="false" showErrorMessage="true" showInputMessage="false" sqref="R2:R400" type="list">
      <formula1>lista_metodos_pago</formula1>
      <formula2>0</formula2>
    </dataValidation>
    <dataValidation allowBlank="true" error="Ese valor no está en la lista de ⚙️ Configuración. ¿Lo dejas así?" errorStyle="warning" errorTitle="Registrado Por" operator="between" showDropDown="false" showErrorMessage="true" showInputMessage="false" sqref="S2:S400" type="list">
      <formula1>lista_registrado</formula1>
      <formula2>0</formula2>
    </dataValidation>
    <dataValidation allowBlank="true" error="Ese valor no está en la lista de ⚙️ Configuración. ¿Lo dejas así?" errorStyle="warning" errorTitle="Descripción" operator="between" showDropDown="false" showErrorMessage="true" showInputMessage="false" sqref="M2:M400" type="list">
      <formula1>lista_descripciones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5" activeCellId="0" sqref="B25"/>
    </sheetView>
  </sheetViews>
  <sheetFormatPr defaultColWidth="8.6328125" defaultRowHeight="14.25" zeroHeight="false" outlineLevelRow="0" outlineLevelCol="0"/>
  <cols>
    <col collapsed="false" customWidth="true" hidden="false" outlineLevel="0" max="1" min="1" style="1" width="42"/>
    <col collapsed="false" customWidth="true" hidden="false" outlineLevel="0" max="2" min="2" style="1" width="18"/>
    <col collapsed="false" customWidth="true" hidden="false" outlineLevel="0" max="3" min="3" style="1" width="3"/>
    <col collapsed="false" customWidth="true" hidden="false" outlineLevel="0" max="4" min="4" style="1" width="55"/>
  </cols>
  <sheetData>
    <row r="1" customFormat="false" ht="17.25" hidden="false" customHeight="true" outlineLevel="0" collapsed="false">
      <c r="A1" s="37" t="s">
        <v>945</v>
      </c>
    </row>
    <row r="2" customFormat="false" ht="15" hidden="false" customHeight="true" outlineLevel="0" collapsed="false">
      <c r="A2" s="38" t="s">
        <v>946</v>
      </c>
      <c r="B2" s="38"/>
      <c r="C2" s="38"/>
      <c r="D2" s="38"/>
    </row>
    <row r="4" customFormat="false" ht="15" hidden="false" customHeight="true" outlineLevel="0" collapsed="false">
      <c r="A4" s="39" t="s">
        <v>947</v>
      </c>
      <c r="B4" s="39"/>
    </row>
    <row r="5" customFormat="false" ht="15" hidden="false" customHeight="true" outlineLevel="0" collapsed="false">
      <c r="A5" s="1" t="s">
        <v>948</v>
      </c>
      <c r="B5" s="40" t="n">
        <f aca="false">SUM('🤸 Ingresos Pole'!P2:P1000)</f>
        <v>7624000</v>
      </c>
      <c r="D5" s="41" t="s">
        <v>949</v>
      </c>
    </row>
    <row r="6" customFormat="false" ht="15" hidden="false" customHeight="true" outlineLevel="0" collapsed="false">
      <c r="A6" s="1" t="s">
        <v>950</v>
      </c>
      <c r="B6" s="40" t="n">
        <f aca="false">SUM('🛒 Ventas'!I:I)</f>
        <v>0</v>
      </c>
      <c r="D6" s="41" t="s">
        <v>951</v>
      </c>
    </row>
    <row r="7" customFormat="false" ht="15" hidden="false" customHeight="true" outlineLevel="0" collapsed="false">
      <c r="A7" s="42" t="s">
        <v>952</v>
      </c>
      <c r="B7" s="43" t="n">
        <f aca="false">B5+B6</f>
        <v>7624000</v>
      </c>
    </row>
    <row r="9" customFormat="false" ht="15" hidden="false" customHeight="true" outlineLevel="0" collapsed="false">
      <c r="A9" s="1" t="s">
        <v>953</v>
      </c>
      <c r="B9" s="40" t="n">
        <f aca="false">SUMIF('💸 Gastos'!F:F,"Operativo",'💸 Gastos'!E:E)</f>
        <v>906000</v>
      </c>
      <c r="D9" s="41" t="s">
        <v>954</v>
      </c>
    </row>
    <row r="11" customFormat="false" ht="15" hidden="false" customHeight="true" outlineLevel="0" collapsed="false">
      <c r="A11" s="44" t="s">
        <v>955</v>
      </c>
      <c r="B11" s="45" t="n">
        <f aca="false">B7-B9</f>
        <v>6718000</v>
      </c>
      <c r="D11" s="41" t="s">
        <v>956</v>
      </c>
    </row>
    <row r="13" customFormat="false" ht="15" hidden="false" customHeight="true" outlineLevel="0" collapsed="false">
      <c r="A13" s="39" t="s">
        <v>957</v>
      </c>
      <c r="B13" s="39"/>
    </row>
    <row r="14" customFormat="false" ht="15" hidden="false" customHeight="true" outlineLevel="0" collapsed="false">
      <c r="A14" s="1" t="s">
        <v>958</v>
      </c>
      <c r="B14" s="40" t="n">
        <f aca="false">SUMIF('🏢 Activos Fijos'!K:K,"Inversión Inicial",'🏢 Activos Fijos'!H:H)</f>
        <v>20857007</v>
      </c>
      <c r="D14" s="41" t="s">
        <v>959</v>
      </c>
    </row>
    <row r="15" customFormat="false" ht="15" hidden="false" customHeight="true" outlineLevel="0" collapsed="false">
      <c r="A15" s="1" t="s">
        <v>960</v>
      </c>
      <c r="B15" s="40" t="n">
        <f aca="false">SUMIF(Marcancia!M:M,"Inversión Inicial",Marcancia!J:J)</f>
        <v>1393575</v>
      </c>
      <c r="D15" s="41" t="s">
        <v>961</v>
      </c>
    </row>
    <row r="16" customFormat="false" ht="15" hidden="false" customHeight="true" outlineLevel="0" collapsed="false">
      <c r="A16" s="1" t="s">
        <v>962</v>
      </c>
      <c r="B16" s="40" t="n">
        <f aca="false">SUMIF('💸 Gastos'!F:F,"Preoperativo",'💸 Gastos'!E:E)</f>
        <v>11050280</v>
      </c>
      <c r="D16" s="41" t="s">
        <v>963</v>
      </c>
    </row>
    <row r="17" customFormat="false" ht="15" hidden="false" customHeight="true" outlineLevel="0" collapsed="false">
      <c r="A17" s="1" t="s">
        <v>964</v>
      </c>
      <c r="B17" s="40" t="n">
        <f aca="false">SUMIF('💸 Gastos'!F:F,"Inversión Inicial",'💸 Gastos'!E:E)</f>
        <v>2300000</v>
      </c>
      <c r="D17" s="41" t="s">
        <v>965</v>
      </c>
    </row>
    <row r="18" customFormat="false" ht="15" hidden="false" customHeight="true" outlineLevel="0" collapsed="false">
      <c r="A18" s="42" t="s">
        <v>966</v>
      </c>
      <c r="B18" s="43" t="n">
        <f aca="false">B14+B15+B16+B17</f>
        <v>35600862</v>
      </c>
      <c r="D18" s="41" t="s">
        <v>967</v>
      </c>
    </row>
    <row r="19" customFormat="false" ht="15" hidden="false" customHeight="true" outlineLevel="0" collapsed="false"/>
    <row r="20" customFormat="false" ht="15" hidden="false" customHeight="true" outlineLevel="0" collapsed="false">
      <c r="A20" s="39" t="s">
        <v>968</v>
      </c>
      <c r="B20" s="39"/>
    </row>
    <row r="21" customFormat="false" ht="15" hidden="false" customHeight="true" outlineLevel="0" collapsed="false">
      <c r="A21" s="1" t="s">
        <v>969</v>
      </c>
      <c r="B21" s="40" t="n">
        <f aca="false">B11</f>
        <v>6718000</v>
      </c>
    </row>
    <row r="22" customFormat="false" ht="15" hidden="false" customHeight="true" outlineLevel="0" collapsed="false">
      <c r="A22" s="1" t="s">
        <v>970</v>
      </c>
      <c r="B22" s="40" t="n">
        <f aca="false">-B18</f>
        <v>-35600862</v>
      </c>
    </row>
    <row r="23" customFormat="false" ht="15" hidden="false" customHeight="true" outlineLevel="0" collapsed="false">
      <c r="A23" s="44" t="s">
        <v>971</v>
      </c>
      <c r="B23" s="45" t="n">
        <f aca="false">B21+B22</f>
        <v>-28882862</v>
      </c>
      <c r="D23" s="41" t="s">
        <v>972</v>
      </c>
    </row>
  </sheetData>
  <mergeCells count="4">
    <mergeCell ref="A2:D2"/>
    <mergeCell ref="A4:B4"/>
    <mergeCell ref="A13:B13"/>
    <mergeCell ref="A20:B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60" activeCellId="0" sqref="C60"/>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46" width="13"/>
    <col collapsed="false" customWidth="true" hidden="false" outlineLevel="0" max="3" min="3" style="1" width="32.09"/>
    <col collapsed="false" customWidth="true" hidden="false" outlineLevel="0" max="4" min="4" style="1" width="35.73"/>
    <col collapsed="false" customWidth="true" hidden="false" outlineLevel="0" max="5" min="5" style="1" width="15"/>
    <col collapsed="false" customWidth="true" hidden="false" outlineLevel="0" max="6" min="6" style="1" width="26.09"/>
    <col collapsed="false" customWidth="true" hidden="false" outlineLevel="0" max="8" min="7" style="1" width="16"/>
    <col collapsed="false" customWidth="true" hidden="false" outlineLevel="0" max="9" min="9" style="1" width="31.63"/>
  </cols>
  <sheetData>
    <row r="1" customFormat="false" ht="27.75" hidden="false" customHeight="true" outlineLevel="0" collapsed="false">
      <c r="A1" s="12" t="s">
        <v>973</v>
      </c>
      <c r="B1" s="47" t="s">
        <v>498</v>
      </c>
      <c r="C1" s="12" t="s">
        <v>40</v>
      </c>
      <c r="D1" s="12" t="s">
        <v>974</v>
      </c>
      <c r="E1" s="12" t="s">
        <v>975</v>
      </c>
      <c r="F1" s="48" t="s">
        <v>976</v>
      </c>
      <c r="G1" s="12" t="s">
        <v>509</v>
      </c>
      <c r="H1" s="48" t="s">
        <v>508</v>
      </c>
      <c r="I1" s="12" t="s">
        <v>512</v>
      </c>
    </row>
    <row r="2" customFormat="false" ht="19.5" hidden="false" customHeight="true" outlineLevel="0" collapsed="false">
      <c r="A2" s="49" t="s">
        <v>977</v>
      </c>
      <c r="B2" s="50" t="n">
        <v>46260</v>
      </c>
      <c r="C2" s="49" t="s">
        <v>50</v>
      </c>
      <c r="D2" s="13" t="s">
        <v>978</v>
      </c>
      <c r="E2" s="15" t="n">
        <v>5000000</v>
      </c>
      <c r="F2" s="51" t="s">
        <v>979</v>
      </c>
      <c r="G2" s="13" t="s">
        <v>517</v>
      </c>
      <c r="H2" s="52" t="s">
        <v>30</v>
      </c>
      <c r="I2" s="13" t="s">
        <v>980</v>
      </c>
    </row>
    <row r="3" customFormat="false" ht="19.5" hidden="false" customHeight="true" outlineLevel="0" collapsed="false">
      <c r="A3" s="49" t="s">
        <v>981</v>
      </c>
      <c r="B3" s="50" t="n">
        <v>46259</v>
      </c>
      <c r="C3" s="49" t="s">
        <v>51</v>
      </c>
      <c r="D3" s="13" t="s">
        <v>982</v>
      </c>
      <c r="E3" s="15" t="n">
        <v>195000</v>
      </c>
      <c r="F3" s="51" t="s">
        <v>979</v>
      </c>
      <c r="G3" s="13" t="s">
        <v>517</v>
      </c>
      <c r="H3" s="52" t="s">
        <v>30</v>
      </c>
      <c r="I3" s="13"/>
    </row>
    <row r="4" customFormat="false" ht="19.5" hidden="false" customHeight="true" outlineLevel="0" collapsed="false">
      <c r="A4" s="49" t="s">
        <v>983</v>
      </c>
      <c r="B4" s="50" t="n">
        <v>46248</v>
      </c>
      <c r="C4" s="49" t="s">
        <v>47</v>
      </c>
      <c r="D4" s="13" t="s">
        <v>984</v>
      </c>
      <c r="E4" s="15" t="n">
        <v>6543</v>
      </c>
      <c r="F4" s="51" t="s">
        <v>979</v>
      </c>
      <c r="G4" s="13" t="s">
        <v>517</v>
      </c>
      <c r="H4" s="52" t="s">
        <v>30</v>
      </c>
      <c r="I4" s="13"/>
    </row>
    <row r="5" customFormat="false" ht="19.5" hidden="false" customHeight="true" outlineLevel="0" collapsed="false">
      <c r="A5" s="49" t="s">
        <v>985</v>
      </c>
      <c r="B5" s="50" t="n">
        <v>46248</v>
      </c>
      <c r="C5" s="49" t="s">
        <v>47</v>
      </c>
      <c r="D5" s="13" t="s">
        <v>986</v>
      </c>
      <c r="E5" s="15" t="n">
        <v>10362</v>
      </c>
      <c r="F5" s="51" t="s">
        <v>979</v>
      </c>
      <c r="G5" s="13" t="s">
        <v>517</v>
      </c>
      <c r="H5" s="52" t="s">
        <v>30</v>
      </c>
      <c r="I5" s="13"/>
    </row>
    <row r="6" customFormat="false" ht="19.5" hidden="false" customHeight="true" outlineLevel="0" collapsed="false">
      <c r="A6" s="49" t="s">
        <v>987</v>
      </c>
      <c r="B6" s="50" t="n">
        <v>46248</v>
      </c>
      <c r="C6" s="49" t="s">
        <v>47</v>
      </c>
      <c r="D6" s="13" t="s">
        <v>988</v>
      </c>
      <c r="E6" s="15" t="n">
        <v>24090</v>
      </c>
      <c r="F6" s="51" t="s">
        <v>979</v>
      </c>
      <c r="G6" s="13" t="s">
        <v>517</v>
      </c>
      <c r="H6" s="52" t="s">
        <v>30</v>
      </c>
      <c r="I6" s="13" t="s">
        <v>989</v>
      </c>
    </row>
    <row r="7" customFormat="false" ht="19.5" hidden="false" customHeight="true" outlineLevel="0" collapsed="false">
      <c r="A7" s="49" t="s">
        <v>990</v>
      </c>
      <c r="B7" s="50" t="n">
        <v>46216</v>
      </c>
      <c r="C7" s="49" t="s">
        <v>991</v>
      </c>
      <c r="D7" s="13" t="s">
        <v>992</v>
      </c>
      <c r="E7" s="15" t="n">
        <v>2164</v>
      </c>
      <c r="F7" s="51" t="s">
        <v>979</v>
      </c>
      <c r="G7" s="13" t="s">
        <v>517</v>
      </c>
      <c r="H7" s="52" t="s">
        <v>30</v>
      </c>
      <c r="I7" s="13"/>
    </row>
    <row r="8" customFormat="false" ht="19.5" hidden="false" customHeight="true" outlineLevel="0" collapsed="false">
      <c r="A8" s="49" t="s">
        <v>993</v>
      </c>
      <c r="B8" s="50" t="n">
        <v>46216</v>
      </c>
      <c r="C8" s="49" t="s">
        <v>991</v>
      </c>
      <c r="D8" s="13" t="s">
        <v>994</v>
      </c>
      <c r="E8" s="15" t="n">
        <v>5339</v>
      </c>
      <c r="F8" s="51" t="s">
        <v>979</v>
      </c>
      <c r="G8" s="13" t="s">
        <v>517</v>
      </c>
      <c r="H8" s="52" t="s">
        <v>30</v>
      </c>
      <c r="I8" s="13"/>
    </row>
    <row r="9" customFormat="false" ht="19.5" hidden="false" customHeight="true" outlineLevel="0" collapsed="false">
      <c r="A9" s="49" t="s">
        <v>995</v>
      </c>
      <c r="B9" s="50" t="n">
        <v>46248</v>
      </c>
      <c r="C9" s="49" t="s">
        <v>47</v>
      </c>
      <c r="D9" s="13" t="s">
        <v>996</v>
      </c>
      <c r="E9" s="15" t="n">
        <v>14031</v>
      </c>
      <c r="F9" s="51" t="s">
        <v>979</v>
      </c>
      <c r="G9" s="13" t="s">
        <v>517</v>
      </c>
      <c r="H9" s="52" t="s">
        <v>30</v>
      </c>
      <c r="I9" s="13"/>
    </row>
    <row r="10" customFormat="false" ht="19.5" hidden="false" customHeight="true" outlineLevel="0" collapsed="false">
      <c r="A10" s="49" t="s">
        <v>997</v>
      </c>
      <c r="B10" s="50" t="n">
        <v>46248</v>
      </c>
      <c r="C10" s="49" t="s">
        <v>47</v>
      </c>
      <c r="D10" s="13" t="s">
        <v>998</v>
      </c>
      <c r="E10" s="15" t="n">
        <v>11352</v>
      </c>
      <c r="F10" s="51" t="s">
        <v>979</v>
      </c>
      <c r="G10" s="13" t="s">
        <v>517</v>
      </c>
      <c r="H10" s="52" t="s">
        <v>30</v>
      </c>
      <c r="I10" s="13"/>
    </row>
    <row r="11" customFormat="false" ht="19.5" hidden="false" customHeight="true" outlineLevel="0" collapsed="false">
      <c r="A11" s="49" t="s">
        <v>999</v>
      </c>
      <c r="B11" s="50" t="n">
        <v>46248</v>
      </c>
      <c r="C11" s="49" t="s">
        <v>991</v>
      </c>
      <c r="D11" s="13" t="s">
        <v>1000</v>
      </c>
      <c r="E11" s="15" t="n">
        <v>6683</v>
      </c>
      <c r="F11" s="51" t="s">
        <v>979</v>
      </c>
      <c r="G11" s="13" t="s">
        <v>517</v>
      </c>
      <c r="H11" s="52" t="s">
        <v>30</v>
      </c>
      <c r="I11" s="13"/>
    </row>
    <row r="12" customFormat="false" ht="19.5" hidden="false" customHeight="true" outlineLevel="0" collapsed="false">
      <c r="A12" s="49" t="s">
        <v>1001</v>
      </c>
      <c r="B12" s="50" t="n">
        <v>46248</v>
      </c>
      <c r="C12" s="49" t="s">
        <v>1002</v>
      </c>
      <c r="D12" s="13" t="s">
        <v>1003</v>
      </c>
      <c r="E12" s="15" t="n">
        <v>3701</v>
      </c>
      <c r="F12" s="51" t="s">
        <v>979</v>
      </c>
      <c r="G12" s="13" t="s">
        <v>517</v>
      </c>
      <c r="H12" s="52" t="s">
        <v>30</v>
      </c>
      <c r="I12" s="13"/>
    </row>
    <row r="13" customFormat="false" ht="19.5" hidden="false" customHeight="true" outlineLevel="0" collapsed="false">
      <c r="A13" s="49" t="s">
        <v>1004</v>
      </c>
      <c r="B13" s="50" t="n">
        <v>46248</v>
      </c>
      <c r="C13" s="49" t="s">
        <v>991</v>
      </c>
      <c r="D13" s="13" t="s">
        <v>1005</v>
      </c>
      <c r="E13" s="15" t="n">
        <v>17691</v>
      </c>
      <c r="F13" s="51" t="s">
        <v>979</v>
      </c>
      <c r="G13" s="13" t="s">
        <v>517</v>
      </c>
      <c r="H13" s="52" t="s">
        <v>30</v>
      </c>
      <c r="I13" s="13"/>
    </row>
    <row r="14" customFormat="false" ht="19.5" hidden="false" customHeight="true" outlineLevel="0" collapsed="false">
      <c r="A14" s="49" t="s">
        <v>1006</v>
      </c>
      <c r="B14" s="50" t="n">
        <v>46248</v>
      </c>
      <c r="C14" s="49" t="s">
        <v>991</v>
      </c>
      <c r="D14" s="13" t="s">
        <v>1007</v>
      </c>
      <c r="E14" s="15" t="n">
        <v>2719</v>
      </c>
      <c r="F14" s="51" t="s">
        <v>979</v>
      </c>
      <c r="G14" s="13" t="s">
        <v>517</v>
      </c>
      <c r="H14" s="52" t="s">
        <v>30</v>
      </c>
      <c r="I14" s="13"/>
    </row>
    <row r="15" customFormat="false" ht="19.5" hidden="false" customHeight="true" outlineLevel="0" collapsed="false">
      <c r="A15" s="49" t="s">
        <v>1008</v>
      </c>
      <c r="B15" s="50" t="n">
        <v>46248</v>
      </c>
      <c r="C15" s="49" t="s">
        <v>991</v>
      </c>
      <c r="D15" s="13" t="s">
        <v>1009</v>
      </c>
      <c r="E15" s="15" t="n">
        <v>8984</v>
      </c>
      <c r="F15" s="51" t="s">
        <v>979</v>
      </c>
      <c r="G15" s="13" t="s">
        <v>517</v>
      </c>
      <c r="H15" s="52" t="s">
        <v>30</v>
      </c>
      <c r="I15" s="13"/>
    </row>
    <row r="16" customFormat="false" ht="19.5" hidden="false" customHeight="true" outlineLevel="0" collapsed="false">
      <c r="A16" s="49" t="s">
        <v>1010</v>
      </c>
      <c r="B16" s="50" t="n">
        <v>46248</v>
      </c>
      <c r="C16" s="49" t="s">
        <v>991</v>
      </c>
      <c r="D16" s="13" t="s">
        <v>1011</v>
      </c>
      <c r="E16" s="15" t="n">
        <v>13776</v>
      </c>
      <c r="F16" s="51" t="s">
        <v>979</v>
      </c>
      <c r="G16" s="13" t="s">
        <v>517</v>
      </c>
      <c r="H16" s="52" t="s">
        <v>30</v>
      </c>
      <c r="I16" s="13"/>
    </row>
    <row r="17" customFormat="false" ht="19.5" hidden="false" customHeight="true" outlineLevel="0" collapsed="false">
      <c r="A17" s="49" t="s">
        <v>1012</v>
      </c>
      <c r="B17" s="50" t="n">
        <v>46248</v>
      </c>
      <c r="C17" s="49" t="s">
        <v>991</v>
      </c>
      <c r="D17" s="13" t="s">
        <v>1013</v>
      </c>
      <c r="E17" s="15" t="n">
        <v>3508</v>
      </c>
      <c r="F17" s="51" t="s">
        <v>979</v>
      </c>
      <c r="G17" s="13" t="s">
        <v>517</v>
      </c>
      <c r="H17" s="52" t="s">
        <v>30</v>
      </c>
      <c r="I17" s="13"/>
    </row>
    <row r="18" customFormat="false" ht="19.5" hidden="false" customHeight="true" outlineLevel="0" collapsed="false">
      <c r="A18" s="49" t="s">
        <v>1014</v>
      </c>
      <c r="B18" s="50" t="n">
        <v>46259</v>
      </c>
      <c r="C18" s="49" t="s">
        <v>45</v>
      </c>
      <c r="D18" s="13" t="s">
        <v>1015</v>
      </c>
      <c r="E18" s="15" t="n">
        <v>42443</v>
      </c>
      <c r="F18" s="51" t="s">
        <v>979</v>
      </c>
      <c r="G18" s="13" t="s">
        <v>517</v>
      </c>
      <c r="H18" s="52" t="s">
        <v>30</v>
      </c>
      <c r="I18" s="13"/>
    </row>
    <row r="19" customFormat="false" ht="19.5" hidden="false" customHeight="true" outlineLevel="0" collapsed="false">
      <c r="A19" s="49" t="s">
        <v>1016</v>
      </c>
      <c r="B19" s="50" t="n">
        <v>46259</v>
      </c>
      <c r="C19" s="49" t="s">
        <v>1002</v>
      </c>
      <c r="D19" s="13" t="s">
        <v>1017</v>
      </c>
      <c r="E19" s="15" t="n">
        <v>1357</v>
      </c>
      <c r="F19" s="51" t="s">
        <v>979</v>
      </c>
      <c r="G19" s="13" t="s">
        <v>517</v>
      </c>
      <c r="H19" s="52" t="s">
        <v>30</v>
      </c>
      <c r="I19" s="13"/>
    </row>
    <row r="20" customFormat="false" ht="19.5" hidden="false" customHeight="true" outlineLevel="0" collapsed="false">
      <c r="A20" s="49" t="s">
        <v>1018</v>
      </c>
      <c r="B20" s="50" t="n">
        <v>46259</v>
      </c>
      <c r="C20" s="49" t="s">
        <v>1002</v>
      </c>
      <c r="D20" s="13" t="s">
        <v>1019</v>
      </c>
      <c r="E20" s="15" t="n">
        <v>3774</v>
      </c>
      <c r="F20" s="51" t="s">
        <v>979</v>
      </c>
      <c r="G20" s="13" t="s">
        <v>517</v>
      </c>
      <c r="H20" s="52" t="s">
        <v>30</v>
      </c>
      <c r="I20" s="13"/>
    </row>
    <row r="21" customFormat="false" ht="19.5" hidden="false" customHeight="true" outlineLevel="0" collapsed="false">
      <c r="A21" s="49" t="s">
        <v>1020</v>
      </c>
      <c r="B21" s="50" t="n">
        <v>46259</v>
      </c>
      <c r="C21" s="49" t="s">
        <v>1002</v>
      </c>
      <c r="D21" s="13" t="s">
        <v>1021</v>
      </c>
      <c r="E21" s="15" t="n">
        <v>12778</v>
      </c>
      <c r="F21" s="51" t="s">
        <v>979</v>
      </c>
      <c r="G21" s="13" t="s">
        <v>517</v>
      </c>
      <c r="H21" s="52" t="s">
        <v>30</v>
      </c>
      <c r="I21" s="13"/>
    </row>
    <row r="22" customFormat="false" ht="19.5" hidden="false" customHeight="true" outlineLevel="0" collapsed="false">
      <c r="A22" s="49" t="s">
        <v>1022</v>
      </c>
      <c r="B22" s="50" t="n">
        <v>46268</v>
      </c>
      <c r="C22" s="49" t="s">
        <v>1002</v>
      </c>
      <c r="D22" s="13" t="s">
        <v>1023</v>
      </c>
      <c r="E22" s="15" t="n">
        <v>5138</v>
      </c>
      <c r="F22" s="51" t="s">
        <v>979</v>
      </c>
      <c r="G22" s="13" t="s">
        <v>517</v>
      </c>
      <c r="H22" s="52" t="s">
        <v>30</v>
      </c>
      <c r="I22" s="13"/>
    </row>
    <row r="23" customFormat="false" ht="19.5" hidden="false" customHeight="true" outlineLevel="0" collapsed="false">
      <c r="A23" s="49" t="s">
        <v>1024</v>
      </c>
      <c r="B23" s="50" t="n">
        <v>46277</v>
      </c>
      <c r="C23" s="49" t="s">
        <v>47</v>
      </c>
      <c r="D23" s="13" t="s">
        <v>1025</v>
      </c>
      <c r="E23" s="15" t="n">
        <v>43456</v>
      </c>
      <c r="F23" s="51" t="s">
        <v>979</v>
      </c>
      <c r="G23" s="13" t="s">
        <v>517</v>
      </c>
      <c r="H23" s="52" t="s">
        <v>30</v>
      </c>
      <c r="I23" s="13"/>
    </row>
    <row r="24" customFormat="false" ht="19.5" hidden="false" customHeight="true" outlineLevel="0" collapsed="false">
      <c r="A24" s="49" t="s">
        <v>1026</v>
      </c>
      <c r="B24" s="50" t="n">
        <v>46277</v>
      </c>
      <c r="C24" s="49" t="s">
        <v>47</v>
      </c>
      <c r="D24" s="13" t="s">
        <v>1027</v>
      </c>
      <c r="E24" s="15" t="n">
        <v>44345</v>
      </c>
      <c r="F24" s="51" t="s">
        <v>979</v>
      </c>
      <c r="G24" s="13" t="s">
        <v>517</v>
      </c>
      <c r="H24" s="52" t="s">
        <v>30</v>
      </c>
      <c r="I24" s="13"/>
    </row>
    <row r="25" customFormat="false" ht="19.5" hidden="false" customHeight="true" outlineLevel="0" collapsed="false">
      <c r="A25" s="49" t="s">
        <v>1028</v>
      </c>
      <c r="B25" s="50" t="n">
        <v>46209</v>
      </c>
      <c r="C25" s="49" t="s">
        <v>1029</v>
      </c>
      <c r="D25" s="13" t="s">
        <v>1030</v>
      </c>
      <c r="E25" s="15" t="n">
        <v>40936</v>
      </c>
      <c r="F25" s="51" t="s">
        <v>979</v>
      </c>
      <c r="G25" s="13" t="s">
        <v>517</v>
      </c>
      <c r="H25" s="52" t="s">
        <v>30</v>
      </c>
      <c r="I25" s="13"/>
    </row>
    <row r="26" customFormat="false" ht="19.5" hidden="false" customHeight="true" outlineLevel="0" collapsed="false">
      <c r="A26" s="49" t="s">
        <v>1031</v>
      </c>
      <c r="B26" s="50" t="n">
        <v>46240</v>
      </c>
      <c r="C26" s="49" t="s">
        <v>50</v>
      </c>
      <c r="D26" s="13" t="s">
        <v>1032</v>
      </c>
      <c r="E26" s="15" t="n">
        <v>1364500</v>
      </c>
      <c r="F26" s="51" t="s">
        <v>979</v>
      </c>
      <c r="G26" s="13" t="s">
        <v>517</v>
      </c>
      <c r="H26" s="52" t="s">
        <v>30</v>
      </c>
      <c r="I26" s="13"/>
    </row>
    <row r="27" customFormat="false" ht="19.5" hidden="false" customHeight="true" outlineLevel="0" collapsed="false">
      <c r="A27" s="49" t="s">
        <v>1033</v>
      </c>
      <c r="B27" s="50" t="n">
        <v>46246</v>
      </c>
      <c r="C27" s="49" t="s">
        <v>45</v>
      </c>
      <c r="D27" s="13" t="s">
        <v>1034</v>
      </c>
      <c r="E27" s="15" t="n">
        <v>95160</v>
      </c>
      <c r="F27" s="51" t="s">
        <v>979</v>
      </c>
      <c r="G27" s="13" t="s">
        <v>517</v>
      </c>
      <c r="H27" s="52" t="s">
        <v>30</v>
      </c>
      <c r="I27" s="13"/>
    </row>
    <row r="28" customFormat="false" ht="19.5" hidden="false" customHeight="true" outlineLevel="0" collapsed="false">
      <c r="A28" s="49" t="s">
        <v>1035</v>
      </c>
      <c r="B28" s="50" t="n">
        <v>46255</v>
      </c>
      <c r="C28" s="49" t="s">
        <v>1002</v>
      </c>
      <c r="D28" s="13" t="s">
        <v>1036</v>
      </c>
      <c r="E28" s="15" t="n">
        <v>55000</v>
      </c>
      <c r="F28" s="51" t="s">
        <v>979</v>
      </c>
      <c r="G28" s="13" t="s">
        <v>517</v>
      </c>
      <c r="H28" s="52" t="s">
        <v>30</v>
      </c>
      <c r="I28" s="13"/>
    </row>
    <row r="29" customFormat="false" ht="19.5" hidden="false" customHeight="true" outlineLevel="0" collapsed="false">
      <c r="A29" s="49" t="s">
        <v>1037</v>
      </c>
      <c r="B29" s="50" t="n">
        <v>46255</v>
      </c>
      <c r="C29" s="49" t="s">
        <v>1002</v>
      </c>
      <c r="D29" s="13" t="s">
        <v>1038</v>
      </c>
      <c r="E29" s="15" t="n">
        <v>52000</v>
      </c>
      <c r="F29" s="51" t="s">
        <v>979</v>
      </c>
      <c r="G29" s="13" t="s">
        <v>517</v>
      </c>
      <c r="H29" s="52" t="s">
        <v>30</v>
      </c>
      <c r="I29" s="13"/>
    </row>
    <row r="30" customFormat="false" ht="19.5" hidden="false" customHeight="true" outlineLevel="0" collapsed="false">
      <c r="A30" s="49" t="s">
        <v>1039</v>
      </c>
      <c r="B30" s="50" t="n">
        <v>46256</v>
      </c>
      <c r="C30" s="49" t="s">
        <v>45</v>
      </c>
      <c r="D30" s="13" t="s">
        <v>1040</v>
      </c>
      <c r="E30" s="15" t="n">
        <v>3400</v>
      </c>
      <c r="F30" s="51" t="s">
        <v>979</v>
      </c>
      <c r="G30" s="13" t="s">
        <v>517</v>
      </c>
      <c r="H30" s="52" t="s">
        <v>30</v>
      </c>
      <c r="I30" s="13"/>
    </row>
    <row r="31" customFormat="false" ht="19.5" hidden="false" customHeight="true" outlineLevel="0" collapsed="false">
      <c r="A31" s="49" t="s">
        <v>1041</v>
      </c>
      <c r="B31" s="50" t="n">
        <v>46256</v>
      </c>
      <c r="C31" s="49" t="s">
        <v>1002</v>
      </c>
      <c r="D31" s="13" t="s">
        <v>1042</v>
      </c>
      <c r="E31" s="15" t="n">
        <v>61500</v>
      </c>
      <c r="F31" s="51" t="s">
        <v>979</v>
      </c>
      <c r="G31" s="13" t="s">
        <v>517</v>
      </c>
      <c r="H31" s="52" t="s">
        <v>30</v>
      </c>
      <c r="I31" s="13"/>
    </row>
    <row r="32" customFormat="false" ht="19.5" hidden="false" customHeight="true" outlineLevel="0" collapsed="false">
      <c r="A32" s="49" t="s">
        <v>1043</v>
      </c>
      <c r="B32" s="50" t="n">
        <v>46256</v>
      </c>
      <c r="C32" s="49" t="s">
        <v>1002</v>
      </c>
      <c r="D32" s="13" t="s">
        <v>1044</v>
      </c>
      <c r="E32" s="15" t="n">
        <v>71000</v>
      </c>
      <c r="F32" s="51" t="s">
        <v>979</v>
      </c>
      <c r="G32" s="13" t="s">
        <v>517</v>
      </c>
      <c r="H32" s="52" t="s">
        <v>30</v>
      </c>
      <c r="I32" s="13"/>
    </row>
    <row r="33" customFormat="false" ht="19.5" hidden="false" customHeight="true" outlineLevel="0" collapsed="false">
      <c r="A33" s="49" t="s">
        <v>1045</v>
      </c>
      <c r="B33" s="50" t="n">
        <v>46256</v>
      </c>
      <c r="C33" s="49" t="s">
        <v>1002</v>
      </c>
      <c r="D33" s="13" t="s">
        <v>1046</v>
      </c>
      <c r="E33" s="15" t="n">
        <v>257000</v>
      </c>
      <c r="F33" s="51" t="s">
        <v>979</v>
      </c>
      <c r="G33" s="13" t="s">
        <v>517</v>
      </c>
      <c r="H33" s="52" t="s">
        <v>30</v>
      </c>
      <c r="I33" s="13"/>
    </row>
    <row r="34" customFormat="false" ht="19.5" hidden="false" customHeight="true" outlineLevel="0" collapsed="false">
      <c r="A34" s="49" t="s">
        <v>1047</v>
      </c>
      <c r="B34" s="50" t="n">
        <v>46256</v>
      </c>
      <c r="C34" s="49" t="s">
        <v>1002</v>
      </c>
      <c r="D34" s="13" t="s">
        <v>1048</v>
      </c>
      <c r="E34" s="15" t="n">
        <v>20000</v>
      </c>
      <c r="F34" s="51" t="s">
        <v>979</v>
      </c>
      <c r="G34" s="13" t="s">
        <v>517</v>
      </c>
      <c r="H34" s="52" t="s">
        <v>30</v>
      </c>
      <c r="I34" s="13"/>
    </row>
    <row r="35" customFormat="false" ht="19.5" hidden="false" customHeight="true" outlineLevel="0" collapsed="false">
      <c r="A35" s="49" t="s">
        <v>1049</v>
      </c>
      <c r="B35" s="50" t="n">
        <v>46256</v>
      </c>
      <c r="C35" s="49" t="s">
        <v>1002</v>
      </c>
      <c r="D35" s="13" t="s">
        <v>1050</v>
      </c>
      <c r="E35" s="15" t="n">
        <v>56000</v>
      </c>
      <c r="F35" s="51" t="s">
        <v>979</v>
      </c>
      <c r="G35" s="13" t="s">
        <v>517</v>
      </c>
      <c r="H35" s="52" t="s">
        <v>30</v>
      </c>
      <c r="I35" s="13"/>
    </row>
    <row r="36" customFormat="false" ht="19.5" hidden="false" customHeight="true" outlineLevel="0" collapsed="false">
      <c r="A36" s="49" t="s">
        <v>1051</v>
      </c>
      <c r="B36" s="50" t="n">
        <v>46258</v>
      </c>
      <c r="C36" s="49" t="s">
        <v>1002</v>
      </c>
      <c r="D36" s="13" t="s">
        <v>1044</v>
      </c>
      <c r="E36" s="15" t="n">
        <v>28000</v>
      </c>
      <c r="F36" s="51" t="s">
        <v>979</v>
      </c>
      <c r="G36" s="13" t="s">
        <v>517</v>
      </c>
      <c r="H36" s="52" t="s">
        <v>30</v>
      </c>
      <c r="I36" s="13"/>
    </row>
    <row r="37" customFormat="false" ht="19.5" hidden="false" customHeight="true" outlineLevel="0" collapsed="false">
      <c r="A37" s="49" t="s">
        <v>1052</v>
      </c>
      <c r="B37" s="50" t="n">
        <v>46258</v>
      </c>
      <c r="C37" s="49" t="s">
        <v>991</v>
      </c>
      <c r="D37" s="13" t="s">
        <v>1053</v>
      </c>
      <c r="E37" s="15" t="n">
        <v>50000</v>
      </c>
      <c r="F37" s="51" t="s">
        <v>979</v>
      </c>
      <c r="G37" s="13" t="s">
        <v>517</v>
      </c>
      <c r="H37" s="52" t="s">
        <v>30</v>
      </c>
      <c r="I37" s="13"/>
    </row>
    <row r="38" customFormat="false" ht="19.5" hidden="false" customHeight="true" outlineLevel="0" collapsed="false">
      <c r="A38" s="49" t="s">
        <v>1054</v>
      </c>
      <c r="B38" s="50" t="n">
        <v>46258</v>
      </c>
      <c r="C38" s="49" t="s">
        <v>45</v>
      </c>
      <c r="D38" s="13" t="s">
        <v>1055</v>
      </c>
      <c r="E38" s="15" t="n">
        <v>150000</v>
      </c>
      <c r="F38" s="51" t="s">
        <v>979</v>
      </c>
      <c r="G38" s="13" t="s">
        <v>517</v>
      </c>
      <c r="H38" s="52" t="s">
        <v>30</v>
      </c>
      <c r="I38" s="13"/>
    </row>
    <row r="39" customFormat="false" ht="19.5" hidden="false" customHeight="true" outlineLevel="0" collapsed="false">
      <c r="A39" s="49" t="s">
        <v>1056</v>
      </c>
      <c r="B39" s="50" t="n">
        <v>46259</v>
      </c>
      <c r="C39" s="49" t="s">
        <v>1057</v>
      </c>
      <c r="D39" s="13" t="s">
        <v>1058</v>
      </c>
      <c r="E39" s="15" t="n">
        <v>130900</v>
      </c>
      <c r="F39" s="51" t="s">
        <v>979</v>
      </c>
      <c r="G39" s="13" t="s">
        <v>517</v>
      </c>
      <c r="H39" s="52" t="s">
        <v>30</v>
      </c>
      <c r="I39" s="13"/>
    </row>
    <row r="40" customFormat="false" ht="19.5" hidden="false" customHeight="true" outlineLevel="0" collapsed="false">
      <c r="A40" s="49" t="s">
        <v>1059</v>
      </c>
      <c r="B40" s="50" t="n">
        <v>46259</v>
      </c>
      <c r="C40" s="49" t="s">
        <v>1002</v>
      </c>
      <c r="D40" s="13" t="s">
        <v>1046</v>
      </c>
      <c r="E40" s="15" t="n">
        <v>43500</v>
      </c>
      <c r="F40" s="51" t="s">
        <v>979</v>
      </c>
      <c r="G40" s="13" t="s">
        <v>517</v>
      </c>
      <c r="H40" s="52" t="s">
        <v>30</v>
      </c>
      <c r="I40" s="13"/>
    </row>
    <row r="41" customFormat="false" ht="19.5" hidden="false" customHeight="true" outlineLevel="0" collapsed="false">
      <c r="A41" s="49" t="s">
        <v>1060</v>
      </c>
      <c r="B41" s="50" t="n">
        <v>46259</v>
      </c>
      <c r="C41" s="49" t="s">
        <v>1002</v>
      </c>
      <c r="D41" s="13" t="s">
        <v>1046</v>
      </c>
      <c r="E41" s="15" t="n">
        <v>1200</v>
      </c>
      <c r="F41" s="51" t="s">
        <v>979</v>
      </c>
      <c r="G41" s="13" t="s">
        <v>517</v>
      </c>
      <c r="H41" s="52" t="s">
        <v>30</v>
      </c>
      <c r="I41" s="13"/>
    </row>
    <row r="42" customFormat="false" ht="19.5" hidden="false" customHeight="true" outlineLevel="0" collapsed="false">
      <c r="A42" s="49" t="s">
        <v>1061</v>
      </c>
      <c r="B42" s="50" t="n">
        <v>46259</v>
      </c>
      <c r="C42" s="49" t="s">
        <v>1002</v>
      </c>
      <c r="D42" s="13" t="s">
        <v>1046</v>
      </c>
      <c r="E42" s="15" t="n">
        <v>7000</v>
      </c>
      <c r="F42" s="51" t="s">
        <v>979</v>
      </c>
      <c r="G42" s="13" t="s">
        <v>517</v>
      </c>
      <c r="H42" s="52" t="s">
        <v>30</v>
      </c>
      <c r="I42" s="13"/>
    </row>
    <row r="43" customFormat="false" ht="19.5" hidden="false" customHeight="true" outlineLevel="0" collapsed="false">
      <c r="A43" s="49" t="s">
        <v>1062</v>
      </c>
      <c r="B43" s="50" t="n">
        <v>46262</v>
      </c>
      <c r="C43" s="49" t="s">
        <v>1029</v>
      </c>
      <c r="D43" s="13" t="s">
        <v>1063</v>
      </c>
      <c r="E43" s="15" t="n">
        <v>11000</v>
      </c>
      <c r="F43" s="51" t="s">
        <v>979</v>
      </c>
      <c r="G43" s="13" t="s">
        <v>517</v>
      </c>
      <c r="H43" s="52" t="s">
        <v>30</v>
      </c>
      <c r="I43" s="13"/>
    </row>
    <row r="44" customFormat="false" ht="19.5" hidden="false" customHeight="true" outlineLevel="0" collapsed="false">
      <c r="A44" s="49" t="s">
        <v>1064</v>
      </c>
      <c r="B44" s="50" t="n">
        <v>46262</v>
      </c>
      <c r="C44" s="49" t="s">
        <v>45</v>
      </c>
      <c r="D44" s="13" t="s">
        <v>1065</v>
      </c>
      <c r="E44" s="15" t="n">
        <v>18500</v>
      </c>
      <c r="F44" s="51" t="s">
        <v>979</v>
      </c>
      <c r="G44" s="13" t="s">
        <v>517</v>
      </c>
      <c r="H44" s="52" t="s">
        <v>30</v>
      </c>
      <c r="I44" s="13"/>
    </row>
    <row r="45" customFormat="false" ht="19.5" hidden="false" customHeight="true" outlineLevel="0" collapsed="false">
      <c r="A45" s="49" t="s">
        <v>1066</v>
      </c>
      <c r="B45" s="50" t="n">
        <v>46262</v>
      </c>
      <c r="C45" s="49" t="s">
        <v>1002</v>
      </c>
      <c r="D45" s="13" t="s">
        <v>1046</v>
      </c>
      <c r="E45" s="15" t="n">
        <v>16500</v>
      </c>
      <c r="F45" s="51" t="s">
        <v>979</v>
      </c>
      <c r="G45" s="13" t="s">
        <v>517</v>
      </c>
      <c r="H45" s="52" t="s">
        <v>30</v>
      </c>
      <c r="I45" s="13"/>
    </row>
    <row r="46" customFormat="false" ht="19.5" hidden="false" customHeight="true" outlineLevel="0" collapsed="false">
      <c r="A46" s="49" t="s">
        <v>1067</v>
      </c>
      <c r="B46" s="50" t="n">
        <v>46262</v>
      </c>
      <c r="C46" s="49" t="s">
        <v>1057</v>
      </c>
      <c r="D46" s="13" t="s">
        <v>1068</v>
      </c>
      <c r="E46" s="15"/>
      <c r="F46" s="51" t="s">
        <v>979</v>
      </c>
      <c r="G46" s="13" t="s">
        <v>517</v>
      </c>
      <c r="H46" s="52" t="s">
        <v>30</v>
      </c>
      <c r="I46" s="13" t="s">
        <v>1069</v>
      </c>
    </row>
    <row r="47" customFormat="false" ht="19.5" hidden="false" customHeight="true" outlineLevel="0" collapsed="false">
      <c r="A47" s="49" t="s">
        <v>1070</v>
      </c>
      <c r="B47" s="50" t="n">
        <v>46260</v>
      </c>
      <c r="C47" s="49" t="s">
        <v>47</v>
      </c>
      <c r="D47" s="13" t="s">
        <v>1071</v>
      </c>
      <c r="E47" s="15" t="n">
        <v>400000</v>
      </c>
      <c r="F47" s="51" t="s">
        <v>979</v>
      </c>
      <c r="G47" s="13" t="s">
        <v>517</v>
      </c>
      <c r="H47" s="52" t="s">
        <v>30</v>
      </c>
      <c r="I47" s="13"/>
    </row>
    <row r="48" customFormat="false" ht="19.5" hidden="false" customHeight="true" outlineLevel="0" collapsed="false">
      <c r="A48" s="49" t="s">
        <v>1072</v>
      </c>
      <c r="B48" s="50" t="n">
        <v>46261</v>
      </c>
      <c r="C48" s="49" t="s">
        <v>1002</v>
      </c>
      <c r="D48" s="13" t="s">
        <v>1044</v>
      </c>
      <c r="E48" s="15" t="n">
        <v>4500</v>
      </c>
      <c r="F48" s="51" t="s">
        <v>979</v>
      </c>
      <c r="G48" s="13" t="s">
        <v>517</v>
      </c>
      <c r="H48" s="52" t="s">
        <v>30</v>
      </c>
      <c r="I48" s="13"/>
    </row>
    <row r="49" customFormat="false" ht="19.5" hidden="false" customHeight="true" outlineLevel="0" collapsed="false">
      <c r="A49" s="49" t="s">
        <v>1073</v>
      </c>
      <c r="B49" s="50" t="n">
        <v>46261</v>
      </c>
      <c r="C49" s="49" t="s">
        <v>1002</v>
      </c>
      <c r="D49" s="13" t="s">
        <v>1074</v>
      </c>
      <c r="E49" s="15" t="n">
        <v>300000</v>
      </c>
      <c r="F49" s="51" t="s">
        <v>979</v>
      </c>
      <c r="G49" s="13" t="s">
        <v>517</v>
      </c>
      <c r="H49" s="52" t="s">
        <v>30</v>
      </c>
      <c r="I49" s="13"/>
    </row>
    <row r="50" customFormat="false" ht="19.5" hidden="false" customHeight="true" outlineLevel="0" collapsed="false">
      <c r="A50" s="49" t="s">
        <v>1075</v>
      </c>
      <c r="B50" s="50" t="n">
        <v>46263</v>
      </c>
      <c r="C50" s="49" t="s">
        <v>1057</v>
      </c>
      <c r="D50" s="13" t="s">
        <v>1076</v>
      </c>
      <c r="E50" s="15" t="n">
        <v>5700</v>
      </c>
      <c r="F50" s="51" t="s">
        <v>979</v>
      </c>
      <c r="G50" s="13" t="s">
        <v>517</v>
      </c>
      <c r="H50" s="52" t="s">
        <v>30</v>
      </c>
      <c r="I50" s="13" t="s">
        <v>1077</v>
      </c>
    </row>
    <row r="51" customFormat="false" ht="19.5" hidden="false" customHeight="true" outlineLevel="0" collapsed="false">
      <c r="A51" s="49" t="s">
        <v>1078</v>
      </c>
      <c r="B51" s="50" t="n">
        <v>46263</v>
      </c>
      <c r="C51" s="49" t="s">
        <v>1002</v>
      </c>
      <c r="D51" s="13" t="s">
        <v>1079</v>
      </c>
      <c r="E51" s="15" t="n">
        <v>9500</v>
      </c>
      <c r="F51" s="51" t="s">
        <v>979</v>
      </c>
      <c r="G51" s="13" t="s">
        <v>517</v>
      </c>
      <c r="H51" s="52" t="s">
        <v>30</v>
      </c>
      <c r="I51" s="13"/>
    </row>
    <row r="52" customFormat="false" ht="19.5" hidden="false" customHeight="true" outlineLevel="0" collapsed="false">
      <c r="A52" s="49" t="s">
        <v>1080</v>
      </c>
      <c r="B52" s="50" t="n">
        <v>46263</v>
      </c>
      <c r="C52" s="49" t="s">
        <v>1002</v>
      </c>
      <c r="D52" s="13" t="s">
        <v>1044</v>
      </c>
      <c r="E52" s="15" t="n">
        <v>4500</v>
      </c>
      <c r="F52" s="51" t="s">
        <v>979</v>
      </c>
      <c r="G52" s="13" t="s">
        <v>517</v>
      </c>
      <c r="H52" s="52" t="s">
        <v>30</v>
      </c>
      <c r="I52" s="13"/>
    </row>
    <row r="53" customFormat="false" ht="19.5" hidden="false" customHeight="true" outlineLevel="0" collapsed="false">
      <c r="A53" s="49" t="s">
        <v>1081</v>
      </c>
      <c r="B53" s="50" t="n">
        <v>46263</v>
      </c>
      <c r="C53" s="49" t="s">
        <v>1057</v>
      </c>
      <c r="D53" s="13" t="s">
        <v>1082</v>
      </c>
      <c r="E53" s="15" t="n">
        <v>19800</v>
      </c>
      <c r="F53" s="51" t="s">
        <v>979</v>
      </c>
      <c r="G53" s="13" t="s">
        <v>517</v>
      </c>
      <c r="H53" s="52" t="s">
        <v>30</v>
      </c>
      <c r="I53" s="13" t="s">
        <v>1077</v>
      </c>
    </row>
    <row r="54" customFormat="false" ht="19.5" hidden="false" customHeight="true" outlineLevel="0" collapsed="false">
      <c r="A54" s="49" t="s">
        <v>1083</v>
      </c>
      <c r="B54" s="50" t="n">
        <v>46265</v>
      </c>
      <c r="C54" s="49" t="s">
        <v>45</v>
      </c>
      <c r="D54" s="13" t="s">
        <v>1084</v>
      </c>
      <c r="E54" s="15" t="n">
        <v>20900</v>
      </c>
      <c r="F54" s="51" t="s">
        <v>979</v>
      </c>
      <c r="G54" s="13" t="s">
        <v>517</v>
      </c>
      <c r="H54" s="52" t="s">
        <v>30</v>
      </c>
      <c r="I54" s="13"/>
    </row>
    <row r="55" customFormat="false" ht="19.5" hidden="false" customHeight="true" outlineLevel="0" collapsed="false">
      <c r="A55" s="49" t="s">
        <v>1085</v>
      </c>
      <c r="B55" s="50" t="n">
        <v>46266</v>
      </c>
      <c r="C55" s="49" t="s">
        <v>1057</v>
      </c>
      <c r="D55" s="13" t="s">
        <v>1086</v>
      </c>
      <c r="E55" s="15" t="n">
        <v>16100</v>
      </c>
      <c r="F55" s="51" t="s">
        <v>979</v>
      </c>
      <c r="G55" s="13" t="s">
        <v>517</v>
      </c>
      <c r="H55" s="52" t="s">
        <v>30</v>
      </c>
      <c r="I55" s="13" t="s">
        <v>1069</v>
      </c>
    </row>
    <row r="56" customFormat="false" ht="19.5" hidden="false" customHeight="true" outlineLevel="0" collapsed="false">
      <c r="A56" s="49" t="s">
        <v>1037</v>
      </c>
      <c r="B56" s="50" t="n">
        <v>46274</v>
      </c>
      <c r="C56" s="49" t="s">
        <v>43</v>
      </c>
      <c r="D56" s="13" t="s">
        <v>1087</v>
      </c>
      <c r="E56" s="15" t="n">
        <v>35850</v>
      </c>
      <c r="F56" s="51" t="s">
        <v>979</v>
      </c>
      <c r="G56" s="13" t="s">
        <v>517</v>
      </c>
      <c r="H56" s="52" t="s">
        <v>30</v>
      </c>
      <c r="I56" s="13"/>
    </row>
    <row r="57" customFormat="false" ht="19.5" hidden="false" customHeight="true" outlineLevel="0" collapsed="false">
      <c r="A57" s="49" t="s">
        <v>1039</v>
      </c>
      <c r="B57" s="50" t="n">
        <v>46281</v>
      </c>
      <c r="C57" s="49" t="s">
        <v>991</v>
      </c>
      <c r="D57" s="13" t="s">
        <v>1088</v>
      </c>
      <c r="E57" s="15" t="n">
        <v>28100</v>
      </c>
      <c r="F57" s="51" t="s">
        <v>979</v>
      </c>
      <c r="G57" s="13" t="s">
        <v>517</v>
      </c>
      <c r="H57" s="52" t="s">
        <v>30</v>
      </c>
      <c r="I57" s="13"/>
    </row>
    <row r="58" customFormat="false" ht="19.5" hidden="false" customHeight="true" outlineLevel="0" collapsed="false">
      <c r="A58" s="49" t="s">
        <v>1041</v>
      </c>
      <c r="B58" s="50" t="n">
        <v>46281</v>
      </c>
      <c r="C58" s="49" t="s">
        <v>45</v>
      </c>
      <c r="D58" s="13" t="s">
        <v>1089</v>
      </c>
      <c r="E58" s="15" t="n">
        <v>8000</v>
      </c>
      <c r="F58" s="51" t="s">
        <v>979</v>
      </c>
      <c r="G58" s="13" t="s">
        <v>517</v>
      </c>
      <c r="H58" s="52" t="s">
        <v>30</v>
      </c>
      <c r="I58" s="13"/>
    </row>
    <row r="59" customFormat="false" ht="19.5" hidden="false" customHeight="true" outlineLevel="0" collapsed="false">
      <c r="A59" s="49" t="s">
        <v>1060</v>
      </c>
      <c r="B59" s="50" t="n">
        <v>46244</v>
      </c>
      <c r="C59" s="49" t="s">
        <v>42</v>
      </c>
      <c r="D59" s="13" t="s">
        <v>1090</v>
      </c>
      <c r="E59" s="15" t="n">
        <v>1650000</v>
      </c>
      <c r="F59" s="51" t="s">
        <v>979</v>
      </c>
      <c r="G59" s="13" t="s">
        <v>517</v>
      </c>
      <c r="H59" s="52" t="s">
        <v>30</v>
      </c>
      <c r="I59" s="13"/>
    </row>
    <row r="60" customFormat="false" ht="19.5" hidden="false" customHeight="true" outlineLevel="0" collapsed="false">
      <c r="A60" s="49" t="s">
        <v>1061</v>
      </c>
      <c r="B60" s="50" t="n">
        <v>46266</v>
      </c>
      <c r="C60" s="49" t="s">
        <v>42</v>
      </c>
      <c r="D60" s="13"/>
      <c r="E60" s="15" t="n">
        <v>2300000</v>
      </c>
      <c r="F60" s="51" t="s">
        <v>1091</v>
      </c>
      <c r="G60" s="13" t="s">
        <v>517</v>
      </c>
      <c r="H60" s="52" t="s">
        <v>30</v>
      </c>
      <c r="I60" s="13"/>
    </row>
    <row r="61" customFormat="false" ht="19.5" hidden="false" customHeight="true" outlineLevel="0" collapsed="false">
      <c r="A61" s="49" t="s">
        <v>1062</v>
      </c>
      <c r="B61" s="50" t="n">
        <v>46274</v>
      </c>
      <c r="C61" s="49" t="s">
        <v>1002</v>
      </c>
      <c r="D61" s="13" t="s">
        <v>1092</v>
      </c>
      <c r="E61" s="15" t="n">
        <v>475000</v>
      </c>
      <c r="F61" s="51" t="s">
        <v>979</v>
      </c>
      <c r="G61" s="13" t="s">
        <v>517</v>
      </c>
      <c r="H61" s="52" t="s">
        <v>30</v>
      </c>
      <c r="I61" s="13"/>
    </row>
    <row r="62" customFormat="false" ht="19.5" hidden="false" customHeight="true" outlineLevel="0" collapsed="false">
      <c r="A62" s="49" t="s">
        <v>1064</v>
      </c>
      <c r="B62" s="50" t="n">
        <v>46275</v>
      </c>
      <c r="C62" s="49" t="s">
        <v>45</v>
      </c>
      <c r="D62" s="13" t="s">
        <v>1093</v>
      </c>
      <c r="E62" s="15" t="n">
        <v>60000</v>
      </c>
      <c r="F62" s="51" t="s">
        <v>979</v>
      </c>
      <c r="G62" s="13" t="s">
        <v>517</v>
      </c>
      <c r="H62" s="52" t="s">
        <v>30</v>
      </c>
      <c r="I62" s="13"/>
    </row>
    <row r="63" customFormat="false" ht="19.5" hidden="false" customHeight="true" outlineLevel="0" collapsed="false">
      <c r="A63" s="49" t="s">
        <v>1066</v>
      </c>
      <c r="B63" s="50" t="n">
        <v>46280</v>
      </c>
      <c r="C63" s="49" t="s">
        <v>44</v>
      </c>
      <c r="D63" s="13" t="s">
        <v>1094</v>
      </c>
      <c r="E63" s="15" t="n">
        <v>906000</v>
      </c>
      <c r="F63" s="51" t="s">
        <v>1095</v>
      </c>
      <c r="G63" s="13" t="s">
        <v>517</v>
      </c>
      <c r="H63" s="52" t="s">
        <v>30</v>
      </c>
      <c r="I63" s="13"/>
    </row>
    <row r="64" customFormat="false" ht="19.5" hidden="false" customHeight="true" outlineLevel="0" collapsed="false">
      <c r="A64" s="49" t="s">
        <v>1067</v>
      </c>
      <c r="B64" s="50"/>
      <c r="C64" s="49"/>
      <c r="D64" s="13"/>
      <c r="E64" s="15"/>
      <c r="F64" s="51"/>
      <c r="G64" s="13"/>
      <c r="H64" s="52"/>
      <c r="I64" s="13"/>
    </row>
    <row r="65" customFormat="false" ht="19.5" hidden="false" customHeight="true" outlineLevel="0" collapsed="false">
      <c r="A65" s="49" t="s">
        <v>1070</v>
      </c>
      <c r="B65" s="50"/>
      <c r="C65" s="49"/>
      <c r="D65" s="13"/>
      <c r="E65" s="15"/>
      <c r="F65" s="51"/>
      <c r="G65" s="13"/>
      <c r="H65" s="52"/>
      <c r="I65" s="13"/>
    </row>
    <row r="66" customFormat="false" ht="19.5" hidden="false" customHeight="true" outlineLevel="0" collapsed="false">
      <c r="A66" s="20"/>
      <c r="B66" s="53"/>
      <c r="C66" s="54"/>
      <c r="D66" s="20"/>
      <c r="E66" s="22" t="n">
        <f aca="false">SUM(E2:E65)</f>
        <v>14256280</v>
      </c>
      <c r="F66" s="22"/>
      <c r="G66" s="20"/>
      <c r="H66" s="20"/>
      <c r="I66" s="20"/>
    </row>
    <row r="67" customFormat="false" ht="14.25" hidden="false" customHeight="true" outlineLevel="0" collapsed="false">
      <c r="E67" s="55"/>
      <c r="F67" s="55"/>
    </row>
    <row r="68" customFormat="false" ht="14.25" hidden="false" customHeight="true" outlineLevel="0" collapsed="false">
      <c r="E68" s="56"/>
      <c r="F68" s="56"/>
    </row>
    <row r="69" customFormat="false" ht="14.25" hidden="false" customHeight="true" outlineLevel="0" collapsed="false">
      <c r="A69" s="38" t="s">
        <v>1096</v>
      </c>
      <c r="B69" s="38"/>
      <c r="C69" s="38"/>
      <c r="D69" s="38"/>
      <c r="E69" s="38"/>
      <c r="F69" s="38"/>
      <c r="G69" s="38"/>
      <c r="H69" s="38"/>
      <c r="I69" s="38"/>
    </row>
    <row r="70" customFormat="false" ht="14.25" hidden="false" customHeight="true" outlineLevel="0" collapsed="false">
      <c r="E70" s="57"/>
      <c r="F70" s="57"/>
    </row>
    <row r="71" customFormat="false" ht="14.25" hidden="false" customHeight="true" outlineLevel="0" collapsed="false">
      <c r="E71" s="57"/>
      <c r="F71" s="57"/>
    </row>
  </sheetData>
  <autoFilter ref="A1:I66"/>
  <mergeCells count="1">
    <mergeCell ref="A69:I69"/>
  </mergeCells>
  <dataValidations count="4">
    <dataValidation allowBlank="true" error="Ese valor no está en la lista de ⚙️ Configuración. ¿Lo dejas así?" errorStyle="warning" errorTitle="Categoría" operator="between" showDropDown="false" showErrorMessage="true" showInputMessage="false" sqref="C2:C400" type="list">
      <formula1>lista_categorias_gasto</formula1>
      <formula2>0</formula2>
    </dataValidation>
    <dataValidation allowBlank="true" error="Ese valor no está en la lista de ⚙️ Configuración. ¿Lo dejas así?" errorStyle="warning" errorTitle="Clasificación" operator="between" showDropDown="false" showErrorMessage="true" showInputMessage="false" sqref="F2:F400" type="list">
      <formula1>lista_clasif_contable</formula1>
      <formula2>0</formula2>
    </dataValidation>
    <dataValidation allowBlank="true" error="Ese valor no está en la lista de ⚙️ Configuración. ¿Lo dejas así?" errorStyle="warning" errorTitle="Registrado Por" operator="between" showDropDown="false" showErrorMessage="true" showInputMessage="false" sqref="G2:G400" type="list">
      <formula1>lista_registrado</formula1>
      <formula2>0</formula2>
    </dataValidation>
    <dataValidation allowBlank="true" error="Ese valor no está en la lista de ⚙️ Configuración. ¿Lo dejas así?" errorStyle="warning" errorTitle="Método de Pago" operator="between" showDropDown="false" showErrorMessage="true" showInputMessage="false" sqref="H2:H400" type="list">
      <formula1>lista_metodos_pago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00"/>
  <sheetViews>
    <sheetView showFormulas="false" showGridLines="true" showRowColHeaders="true" showZeros="true" rightToLeft="false" tabSelected="false" showOutlineSymbols="true" defaultGridColor="true" view="normal" topLeftCell="G1" colorId="64" zoomScale="100" zoomScaleNormal="100" zoomScalePageLayoutView="100" workbookViewId="0">
      <pane xSplit="0" ySplit="1" topLeftCell="A2" activePane="bottomLeft" state="frozen"/>
      <selection pane="topLeft" activeCell="G1" activeCellId="0" sqref="G1"/>
      <selection pane="bottomLeft" activeCell="G51" activeCellId="0" sqref="G51"/>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58" width="13"/>
    <col collapsed="false" customWidth="true" hidden="false" outlineLevel="0" max="3" min="3" style="1" width="14"/>
    <col collapsed="false" customWidth="true" hidden="false" outlineLevel="0" max="4" min="4" style="1" width="47.54"/>
    <col collapsed="false" customWidth="true" hidden="false" outlineLevel="0" max="5" min="5" style="1" width="9"/>
    <col collapsed="false" customWidth="true" hidden="false" outlineLevel="0" max="6" min="6" style="1" width="11"/>
    <col collapsed="false" customWidth="true" hidden="false" outlineLevel="0" max="7" min="7" style="1" width="12"/>
    <col collapsed="false" customWidth="true" hidden="false" outlineLevel="0" max="8" min="8" style="1" width="14"/>
    <col collapsed="false" customWidth="true" hidden="false" outlineLevel="0" max="9" min="9" style="1" width="19.63"/>
    <col collapsed="false" customWidth="true" hidden="false" outlineLevel="0" max="10" min="10" style="1" width="14"/>
    <col collapsed="false" customWidth="true" hidden="false" outlineLevel="0" max="11" min="11" style="57" width="15.73"/>
    <col collapsed="false" customWidth="true" hidden="false" outlineLevel="0" max="12" min="12" style="1" width="24"/>
    <col collapsed="false" customWidth="true" hidden="false" outlineLevel="0" max="13" min="13" style="1" width="20"/>
  </cols>
  <sheetData>
    <row r="1" customFormat="false" ht="27.75" hidden="false" customHeight="true" outlineLevel="0" collapsed="false">
      <c r="A1" s="12" t="s">
        <v>1097</v>
      </c>
      <c r="B1" s="47" t="s">
        <v>498</v>
      </c>
      <c r="C1" s="12" t="s">
        <v>1098</v>
      </c>
      <c r="D1" s="12" t="s">
        <v>504</v>
      </c>
      <c r="E1" s="12" t="s">
        <v>1099</v>
      </c>
      <c r="F1" s="12" t="s">
        <v>54</v>
      </c>
      <c r="G1" s="12" t="s">
        <v>1100</v>
      </c>
      <c r="H1" s="12" t="s">
        <v>1101</v>
      </c>
      <c r="I1" s="12" t="s">
        <v>1102</v>
      </c>
      <c r="J1" s="12" t="s">
        <v>1103</v>
      </c>
      <c r="K1" s="59" t="s">
        <v>1104</v>
      </c>
      <c r="L1" s="12" t="s">
        <v>1105</v>
      </c>
      <c r="M1" s="60" t="s">
        <v>1106</v>
      </c>
    </row>
    <row r="2" customFormat="false" ht="19.5" hidden="false" customHeight="true" outlineLevel="0" collapsed="false">
      <c r="A2" s="49" t="s">
        <v>1107</v>
      </c>
      <c r="B2" s="50" t="n">
        <v>46216</v>
      </c>
      <c r="C2" s="49" t="s">
        <v>3</v>
      </c>
      <c r="D2" s="13" t="s">
        <v>1108</v>
      </c>
      <c r="E2" s="49" t="str">
        <f aca="false">MID(C2,2,LEN(C2))</f>
        <v>M</v>
      </c>
      <c r="F2" s="49" t="s">
        <v>55</v>
      </c>
      <c r="G2" s="14" t="n">
        <v>1</v>
      </c>
      <c r="H2" s="49" t="s">
        <v>1109</v>
      </c>
      <c r="I2" s="15" t="n">
        <v>13727</v>
      </c>
      <c r="J2" s="15" t="n">
        <f aca="false">IF(OR(G2="",I2=""),"",G2*I2)</f>
        <v>13727</v>
      </c>
      <c r="K2" s="15" t="n">
        <f aca="false">I2*2</f>
        <v>27454</v>
      </c>
      <c r="L2" s="13"/>
      <c r="M2" s="61" t="s">
        <v>1091</v>
      </c>
    </row>
    <row r="3" customFormat="false" ht="19.5" hidden="false" customHeight="true" outlineLevel="0" collapsed="false">
      <c r="A3" s="49" t="s">
        <v>1110</v>
      </c>
      <c r="B3" s="50" t="n">
        <v>46216</v>
      </c>
      <c r="C3" s="49" t="s">
        <v>1111</v>
      </c>
      <c r="D3" s="13" t="s">
        <v>1112</v>
      </c>
      <c r="E3" s="49" t="str">
        <f aca="false">MID(C3,2,LEN(C3))</f>
        <v>S</v>
      </c>
      <c r="F3" s="49" t="s">
        <v>55</v>
      </c>
      <c r="G3" s="14" t="n">
        <v>1</v>
      </c>
      <c r="H3" s="49" t="s">
        <v>1109</v>
      </c>
      <c r="I3" s="15" t="n">
        <v>13856</v>
      </c>
      <c r="J3" s="15" t="n">
        <f aca="false">IF(OR(G3="",I3=""),"",G3*I3)</f>
        <v>13856</v>
      </c>
      <c r="K3" s="15" t="n">
        <f aca="false">I3*2</f>
        <v>27712</v>
      </c>
      <c r="L3" s="13"/>
      <c r="M3" s="61" t="s">
        <v>1091</v>
      </c>
    </row>
    <row r="4" customFormat="false" ht="19.5" hidden="false" customHeight="true" outlineLevel="0" collapsed="false">
      <c r="A4" s="49" t="s">
        <v>1113</v>
      </c>
      <c r="B4" s="50" t="n">
        <v>46216</v>
      </c>
      <c r="C4" s="49" t="s">
        <v>1114</v>
      </c>
      <c r="D4" s="13" t="s">
        <v>1115</v>
      </c>
      <c r="E4" s="49" t="str">
        <f aca="false">MID(C4,2,LEN(C4))</f>
        <v>S</v>
      </c>
      <c r="F4" s="49" t="s">
        <v>60</v>
      </c>
      <c r="G4" s="14" t="n">
        <v>1</v>
      </c>
      <c r="H4" s="49" t="s">
        <v>1109</v>
      </c>
      <c r="I4" s="15" t="n">
        <v>13424</v>
      </c>
      <c r="J4" s="15" t="n">
        <f aca="false">IF(OR(G4="",I4=""),"",G4*I4)</f>
        <v>13424</v>
      </c>
      <c r="K4" s="15" t="n">
        <f aca="false">I4*2</f>
        <v>26848</v>
      </c>
      <c r="L4" s="13"/>
      <c r="M4" s="61" t="s">
        <v>1091</v>
      </c>
    </row>
    <row r="5" customFormat="false" ht="19.5" hidden="false" customHeight="true" outlineLevel="0" collapsed="false">
      <c r="A5" s="49" t="s">
        <v>1116</v>
      </c>
      <c r="B5" s="50" t="n">
        <v>46229</v>
      </c>
      <c r="C5" s="49" t="s">
        <v>1117</v>
      </c>
      <c r="D5" s="13" t="s">
        <v>1118</v>
      </c>
      <c r="E5" s="49" t="str">
        <f aca="false">MID(C5,2,LEN(C5))</f>
        <v>S</v>
      </c>
      <c r="F5" s="49" t="s">
        <v>55</v>
      </c>
      <c r="G5" s="14" t="n">
        <v>2</v>
      </c>
      <c r="H5" s="49" t="s">
        <v>1119</v>
      </c>
      <c r="I5" s="15" t="n">
        <v>8659</v>
      </c>
      <c r="J5" s="15" t="n">
        <f aca="false">IF(OR(G5="",I5=""),"",G5*I5)</f>
        <v>17318</v>
      </c>
      <c r="K5" s="15" t="n">
        <f aca="false">I5*2</f>
        <v>17318</v>
      </c>
      <c r="L5" s="13"/>
      <c r="M5" s="61" t="s">
        <v>1091</v>
      </c>
    </row>
    <row r="6" customFormat="false" ht="19.5" hidden="false" customHeight="true" outlineLevel="0" collapsed="false">
      <c r="A6" s="49" t="s">
        <v>1120</v>
      </c>
      <c r="B6" s="50" t="n">
        <v>46216</v>
      </c>
      <c r="C6" s="49" t="s">
        <v>1121</v>
      </c>
      <c r="D6" s="13" t="s">
        <v>1122</v>
      </c>
      <c r="E6" s="49" t="str">
        <f aca="false">MID(C6,2,LEN(C6))</f>
        <v>M</v>
      </c>
      <c r="F6" s="49" t="s">
        <v>1123</v>
      </c>
      <c r="G6" s="14" t="n">
        <v>1</v>
      </c>
      <c r="H6" s="49" t="s">
        <v>1109</v>
      </c>
      <c r="I6" s="15" t="n">
        <v>9977</v>
      </c>
      <c r="J6" s="15" t="n">
        <f aca="false">IF(OR(G6="",I6=""),"",G6*I6)</f>
        <v>9977</v>
      </c>
      <c r="K6" s="15" t="n">
        <f aca="false">I6*2</f>
        <v>19954</v>
      </c>
      <c r="L6" s="13"/>
      <c r="M6" s="61" t="s">
        <v>1091</v>
      </c>
    </row>
    <row r="7" customFormat="false" ht="19.5" hidden="false" customHeight="true" outlineLevel="0" collapsed="false">
      <c r="A7" s="49" t="s">
        <v>1124</v>
      </c>
      <c r="B7" s="50" t="n">
        <v>46226</v>
      </c>
      <c r="C7" s="49" t="s">
        <v>3</v>
      </c>
      <c r="D7" s="13" t="s">
        <v>1125</v>
      </c>
      <c r="E7" s="49" t="str">
        <f aca="false">MID(C7,2,LEN(C7))</f>
        <v>M</v>
      </c>
      <c r="F7" s="49" t="s">
        <v>56</v>
      </c>
      <c r="G7" s="14" t="n">
        <v>1</v>
      </c>
      <c r="H7" s="49" t="s">
        <v>1109</v>
      </c>
      <c r="I7" s="15" t="n">
        <v>8622</v>
      </c>
      <c r="J7" s="15" t="n">
        <f aca="false">IF(OR(G7="",I7=""),"",G7*I7)</f>
        <v>8622</v>
      </c>
      <c r="K7" s="15" t="n">
        <f aca="false">I7*2</f>
        <v>17244</v>
      </c>
      <c r="L7" s="13"/>
      <c r="M7" s="61" t="s">
        <v>1091</v>
      </c>
    </row>
    <row r="8" customFormat="false" ht="19.5" hidden="false" customHeight="true" outlineLevel="0" collapsed="false">
      <c r="A8" s="49" t="s">
        <v>1126</v>
      </c>
      <c r="B8" s="50" t="n">
        <v>46226</v>
      </c>
      <c r="C8" s="49" t="s">
        <v>1114</v>
      </c>
      <c r="D8" s="13" t="s">
        <v>1127</v>
      </c>
      <c r="E8" s="49" t="str">
        <f aca="false">MID(C8,2,LEN(C8))</f>
        <v>S</v>
      </c>
      <c r="F8" s="49" t="s">
        <v>55</v>
      </c>
      <c r="G8" s="14" t="n">
        <v>1</v>
      </c>
      <c r="H8" s="49" t="s">
        <v>1109</v>
      </c>
      <c r="I8" s="15" t="n">
        <v>7501</v>
      </c>
      <c r="J8" s="15" t="n">
        <f aca="false">IF(OR(G8="",I8=""),"",G8*I8)</f>
        <v>7501</v>
      </c>
      <c r="K8" s="15" t="n">
        <f aca="false">I8*2</f>
        <v>15002</v>
      </c>
      <c r="L8" s="13"/>
      <c r="M8" s="61" t="s">
        <v>1091</v>
      </c>
    </row>
    <row r="9" customFormat="false" ht="19.5" hidden="false" customHeight="true" outlineLevel="0" collapsed="false">
      <c r="A9" s="49" t="s">
        <v>1128</v>
      </c>
      <c r="B9" s="50" t="n">
        <v>46226</v>
      </c>
      <c r="C9" s="49" t="s">
        <v>1121</v>
      </c>
      <c r="D9" s="13" t="s">
        <v>1129</v>
      </c>
      <c r="E9" s="49" t="str">
        <f aca="false">MID(C9,2,LEN(C9))</f>
        <v>M</v>
      </c>
      <c r="F9" s="49" t="s">
        <v>1130</v>
      </c>
      <c r="G9" s="14" t="n">
        <v>3</v>
      </c>
      <c r="H9" s="49" t="s">
        <v>1109</v>
      </c>
      <c r="I9" s="15" t="n">
        <v>5672</v>
      </c>
      <c r="J9" s="15" t="n">
        <f aca="false">IF(OR(G9="",I9=""),"",G9*I9)</f>
        <v>17016</v>
      </c>
      <c r="K9" s="15" t="n">
        <f aca="false">I9*2</f>
        <v>11344</v>
      </c>
      <c r="L9" s="13"/>
      <c r="M9" s="61" t="s">
        <v>1091</v>
      </c>
    </row>
    <row r="10" customFormat="false" ht="19.5" hidden="false" customHeight="true" outlineLevel="0" collapsed="false">
      <c r="A10" s="49" t="s">
        <v>1131</v>
      </c>
      <c r="B10" s="50" t="n">
        <v>46226</v>
      </c>
      <c r="C10" s="49" t="s">
        <v>1111</v>
      </c>
      <c r="D10" s="13" t="s">
        <v>1132</v>
      </c>
      <c r="E10" s="49" t="str">
        <f aca="false">MID(C10,2,LEN(C10))</f>
        <v>S</v>
      </c>
      <c r="F10" s="49" t="s">
        <v>55</v>
      </c>
      <c r="G10" s="14" t="n">
        <v>1</v>
      </c>
      <c r="H10" s="49" t="s">
        <v>1109</v>
      </c>
      <c r="I10" s="15" t="n">
        <v>13779</v>
      </c>
      <c r="J10" s="15" t="n">
        <f aca="false">IF(OR(G10="",I10=""),"",G10*I10)</f>
        <v>13779</v>
      </c>
      <c r="K10" s="15" t="n">
        <f aca="false">I10*2</f>
        <v>27558</v>
      </c>
      <c r="L10" s="13"/>
      <c r="M10" s="61" t="s">
        <v>1091</v>
      </c>
    </row>
    <row r="11" customFormat="false" ht="19.5" hidden="false" customHeight="true" outlineLevel="0" collapsed="false">
      <c r="A11" s="49" t="s">
        <v>1133</v>
      </c>
      <c r="B11" s="50" t="n">
        <v>46226</v>
      </c>
      <c r="C11" s="49" t="s">
        <v>1134</v>
      </c>
      <c r="D11" s="13" t="s">
        <v>1118</v>
      </c>
      <c r="E11" s="49" t="str">
        <f aca="false">MID(C11,2,LEN(C11))</f>
        <v>M</v>
      </c>
      <c r="F11" s="49" t="s">
        <v>55</v>
      </c>
      <c r="G11" s="14" t="n">
        <v>2</v>
      </c>
      <c r="H11" s="49" t="s">
        <v>1119</v>
      </c>
      <c r="I11" s="15" t="n">
        <v>9762</v>
      </c>
      <c r="J11" s="15" t="n">
        <f aca="false">IF(OR(G11="",I11=""),"",G11*I11)</f>
        <v>19524</v>
      </c>
      <c r="K11" s="15" t="n">
        <f aca="false">I11*2</f>
        <v>19524</v>
      </c>
      <c r="L11" s="13"/>
      <c r="M11" s="61" t="s">
        <v>1091</v>
      </c>
    </row>
    <row r="12" customFormat="false" ht="19.5" hidden="false" customHeight="true" outlineLevel="0" collapsed="false">
      <c r="A12" s="49" t="s">
        <v>1135</v>
      </c>
      <c r="B12" s="50" t="n">
        <v>46248</v>
      </c>
      <c r="C12" s="49" t="s">
        <v>1136</v>
      </c>
      <c r="D12" s="13" t="s">
        <v>1137</v>
      </c>
      <c r="E12" s="49" t="str">
        <f aca="false">MID(C12,2,LEN(C12))</f>
        <v>L</v>
      </c>
      <c r="F12" s="49" t="s">
        <v>1138</v>
      </c>
      <c r="G12" s="14" t="n">
        <v>1</v>
      </c>
      <c r="H12" s="49" t="s">
        <v>1109</v>
      </c>
      <c r="I12" s="15" t="n">
        <v>5420</v>
      </c>
      <c r="J12" s="15" t="n">
        <f aca="false">IF(OR(G12="",I12=""),"",G12*I12)</f>
        <v>5420</v>
      </c>
      <c r="K12" s="15" t="n">
        <f aca="false">I12*2</f>
        <v>10840</v>
      </c>
      <c r="L12" s="13"/>
      <c r="M12" s="61" t="s">
        <v>1091</v>
      </c>
    </row>
    <row r="13" customFormat="false" ht="19.5" hidden="false" customHeight="true" outlineLevel="0" collapsed="false">
      <c r="A13" s="49" t="s">
        <v>1139</v>
      </c>
      <c r="B13" s="50" t="n">
        <v>46248</v>
      </c>
      <c r="C13" s="49" t="s">
        <v>1140</v>
      </c>
      <c r="D13" s="13" t="s">
        <v>1141</v>
      </c>
      <c r="E13" s="49" t="str">
        <f aca="false">MID(C13,2,LEN(C13))</f>
        <v>XL</v>
      </c>
      <c r="F13" s="49" t="s">
        <v>55</v>
      </c>
      <c r="G13" s="14" t="n">
        <v>1</v>
      </c>
      <c r="H13" s="49" t="s">
        <v>1109</v>
      </c>
      <c r="I13" s="15" t="n">
        <v>10074</v>
      </c>
      <c r="J13" s="15" t="n">
        <f aca="false">IF(OR(G13="",I13=""),"",G13*I13)</f>
        <v>10074</v>
      </c>
      <c r="K13" s="15" t="n">
        <f aca="false">I13*2</f>
        <v>20148</v>
      </c>
      <c r="L13" s="13"/>
      <c r="M13" s="61" t="s">
        <v>1091</v>
      </c>
    </row>
    <row r="14" customFormat="false" ht="19.5" hidden="false" customHeight="true" outlineLevel="0" collapsed="false">
      <c r="A14" s="49" t="s">
        <v>1142</v>
      </c>
      <c r="B14" s="50" t="n">
        <v>46248</v>
      </c>
      <c r="C14" s="49" t="s">
        <v>1143</v>
      </c>
      <c r="D14" s="13" t="s">
        <v>1144</v>
      </c>
      <c r="E14" s="49" t="str">
        <f aca="false">MID(C14,2,LEN(C14))</f>
        <v>L</v>
      </c>
      <c r="F14" s="49" t="s">
        <v>1138</v>
      </c>
      <c r="G14" s="14" t="n">
        <v>1</v>
      </c>
      <c r="H14" s="49" t="s">
        <v>1109</v>
      </c>
      <c r="I14" s="15" t="n">
        <v>9360</v>
      </c>
      <c r="J14" s="15" t="n">
        <f aca="false">IF(OR(G14="",I14=""),"",G14*I14)</f>
        <v>9360</v>
      </c>
      <c r="K14" s="15" t="n">
        <f aca="false">I14*2</f>
        <v>18720</v>
      </c>
      <c r="L14" s="13"/>
      <c r="M14" s="61" t="s">
        <v>1091</v>
      </c>
    </row>
    <row r="15" customFormat="false" ht="19.5" hidden="false" customHeight="true" outlineLevel="0" collapsed="false">
      <c r="A15" s="49" t="s">
        <v>1145</v>
      </c>
      <c r="B15" s="50" t="n">
        <v>46248</v>
      </c>
      <c r="C15" s="49" t="s">
        <v>1146</v>
      </c>
      <c r="D15" s="13" t="s">
        <v>1147</v>
      </c>
      <c r="E15" s="49" t="str">
        <f aca="false">MID(C15,2,LEN(C15))</f>
        <v>XL</v>
      </c>
      <c r="F15" s="49" t="s">
        <v>55</v>
      </c>
      <c r="G15" s="14" t="n">
        <v>1</v>
      </c>
      <c r="H15" s="49" t="s">
        <v>1109</v>
      </c>
      <c r="I15" s="15" t="n">
        <v>6031</v>
      </c>
      <c r="J15" s="15" t="n">
        <f aca="false">IF(OR(G15="",I15=""),"",G15*I15)</f>
        <v>6031</v>
      </c>
      <c r="K15" s="15" t="n">
        <f aca="false">I15*2</f>
        <v>12062</v>
      </c>
      <c r="L15" s="13"/>
      <c r="M15" s="61" t="s">
        <v>1091</v>
      </c>
    </row>
    <row r="16" customFormat="false" ht="19.5" hidden="false" customHeight="true" outlineLevel="0" collapsed="false">
      <c r="A16" s="49" t="s">
        <v>1148</v>
      </c>
      <c r="B16" s="50" t="n">
        <v>46268</v>
      </c>
      <c r="C16" s="49" t="s">
        <v>1121</v>
      </c>
      <c r="D16" s="13" t="s">
        <v>1149</v>
      </c>
      <c r="E16" s="49" t="str">
        <f aca="false">MID(C16,2,LEN(C16))</f>
        <v>M</v>
      </c>
      <c r="F16" s="49" t="s">
        <v>56</v>
      </c>
      <c r="G16" s="14" t="n">
        <v>1</v>
      </c>
      <c r="H16" s="49" t="s">
        <v>1109</v>
      </c>
      <c r="I16" s="15" t="n">
        <v>12504</v>
      </c>
      <c r="J16" s="15" t="n">
        <f aca="false">IF(OR(G16="",I16=""),"",G16*I16)</f>
        <v>12504</v>
      </c>
      <c r="K16" s="15" t="n">
        <f aca="false">I16*2</f>
        <v>25008</v>
      </c>
      <c r="L16" s="13"/>
      <c r="M16" s="61" t="s">
        <v>1091</v>
      </c>
    </row>
    <row r="17" customFormat="false" ht="19.5" hidden="false" customHeight="true" outlineLevel="0" collapsed="false">
      <c r="A17" s="49" t="s">
        <v>1150</v>
      </c>
      <c r="B17" s="50" t="n">
        <v>46268</v>
      </c>
      <c r="C17" s="49" t="s">
        <v>1151</v>
      </c>
      <c r="D17" s="13" t="s">
        <v>1152</v>
      </c>
      <c r="E17" s="49" t="str">
        <f aca="false">MID(C17,2,LEN(C17))</f>
        <v>S</v>
      </c>
      <c r="F17" s="49" t="s">
        <v>1123</v>
      </c>
      <c r="G17" s="14" t="n">
        <v>1</v>
      </c>
      <c r="H17" s="49" t="s">
        <v>1109</v>
      </c>
      <c r="I17" s="15" t="n">
        <v>14979</v>
      </c>
      <c r="J17" s="15" t="n">
        <f aca="false">IF(OR(G17="",I17=""),"",G17*I17)</f>
        <v>14979</v>
      </c>
      <c r="K17" s="15" t="n">
        <f aca="false">I17*2</f>
        <v>29958</v>
      </c>
      <c r="L17" s="13"/>
      <c r="M17" s="61" t="s">
        <v>1091</v>
      </c>
    </row>
    <row r="18" customFormat="false" ht="19.5" hidden="false" customHeight="true" outlineLevel="0" collapsed="false">
      <c r="A18" s="49" t="s">
        <v>1153</v>
      </c>
      <c r="B18" s="50" t="n">
        <v>46268</v>
      </c>
      <c r="C18" s="49" t="s">
        <v>1154</v>
      </c>
      <c r="D18" s="13" t="s">
        <v>1155</v>
      </c>
      <c r="E18" s="49" t="str">
        <f aca="false">MID(C18,2,LEN(C18))</f>
        <v>U</v>
      </c>
      <c r="F18" s="49" t="s">
        <v>1130</v>
      </c>
      <c r="G18" s="14" t="n">
        <v>6</v>
      </c>
      <c r="H18" s="49" t="s">
        <v>1109</v>
      </c>
      <c r="I18" s="15" t="n">
        <v>2832</v>
      </c>
      <c r="J18" s="15" t="n">
        <f aca="false">IF(OR(G18="",I18=""),"",G18*I18)</f>
        <v>16992</v>
      </c>
      <c r="K18" s="15" t="n">
        <v>10000</v>
      </c>
      <c r="L18" s="13"/>
      <c r="M18" s="61" t="s">
        <v>1091</v>
      </c>
    </row>
    <row r="19" customFormat="false" ht="19.5" hidden="false" customHeight="true" outlineLevel="0" collapsed="false">
      <c r="A19" s="49" t="s">
        <v>1156</v>
      </c>
      <c r="B19" s="50" t="n">
        <v>46268</v>
      </c>
      <c r="C19" s="49" t="s">
        <v>1114</v>
      </c>
      <c r="D19" s="13" t="s">
        <v>1157</v>
      </c>
      <c r="E19" s="49" t="str">
        <f aca="false">MID(C19,2,LEN(C19))</f>
        <v>S</v>
      </c>
      <c r="F19" s="49" t="s">
        <v>1123</v>
      </c>
      <c r="G19" s="14" t="n">
        <v>1</v>
      </c>
      <c r="H19" s="49" t="s">
        <v>1109</v>
      </c>
      <c r="I19" s="15" t="n">
        <v>10038</v>
      </c>
      <c r="J19" s="15" t="n">
        <f aca="false">IF(OR(G19="",I19=""),"",G19*I19)</f>
        <v>10038</v>
      </c>
      <c r="K19" s="15" t="n">
        <f aca="false">I19*2</f>
        <v>20076</v>
      </c>
      <c r="L19" s="13"/>
      <c r="M19" s="61" t="s">
        <v>1091</v>
      </c>
    </row>
    <row r="20" customFormat="false" ht="19.5" hidden="false" customHeight="true" outlineLevel="0" collapsed="false">
      <c r="A20" s="49" t="s">
        <v>1158</v>
      </c>
      <c r="B20" s="50" t="n">
        <v>46268</v>
      </c>
      <c r="C20" s="49" t="s">
        <v>1159</v>
      </c>
      <c r="D20" s="13" t="s">
        <v>1160</v>
      </c>
      <c r="E20" s="49" t="str">
        <f aca="false">MID(C20,2,LEN(C20))</f>
        <v/>
      </c>
      <c r="F20" s="49" t="s">
        <v>1123</v>
      </c>
      <c r="G20" s="14" t="n">
        <v>1</v>
      </c>
      <c r="H20" s="49" t="s">
        <v>1109</v>
      </c>
      <c r="I20" s="15" t="n">
        <v>8078</v>
      </c>
      <c r="J20" s="15" t="n">
        <f aca="false">IF(OR(G20="",I20=""),"",G20*I20)</f>
        <v>8078</v>
      </c>
      <c r="K20" s="15" t="n">
        <f aca="false">I20*2</f>
        <v>16156</v>
      </c>
      <c r="L20" s="13"/>
      <c r="M20" s="61" t="s">
        <v>1091</v>
      </c>
    </row>
    <row r="21" customFormat="false" ht="19.5" hidden="false" customHeight="true" outlineLevel="0" collapsed="false">
      <c r="A21" s="49" t="s">
        <v>1161</v>
      </c>
      <c r="B21" s="50" t="n">
        <v>46268</v>
      </c>
      <c r="C21" s="49" t="s">
        <v>1114</v>
      </c>
      <c r="D21" s="13" t="s">
        <v>1162</v>
      </c>
      <c r="E21" s="49" t="str">
        <f aca="false">MID(C21,2,LEN(C21))</f>
        <v>S</v>
      </c>
      <c r="F21" s="49" t="s">
        <v>1123</v>
      </c>
      <c r="G21" s="14" t="n">
        <v>1</v>
      </c>
      <c r="H21" s="49" t="s">
        <v>1109</v>
      </c>
      <c r="I21" s="15" t="n">
        <v>6759</v>
      </c>
      <c r="J21" s="15" t="n">
        <f aca="false">IF(OR(G21="",I21=""),"",G21*I21)</f>
        <v>6759</v>
      </c>
      <c r="K21" s="15" t="n">
        <v>15000</v>
      </c>
      <c r="L21" s="13"/>
      <c r="M21" s="61" t="s">
        <v>1091</v>
      </c>
    </row>
    <row r="22" customFormat="false" ht="19.5" hidden="false" customHeight="true" outlineLevel="0" collapsed="false">
      <c r="A22" s="49" t="s">
        <v>1163</v>
      </c>
      <c r="B22" s="50" t="n">
        <v>46268</v>
      </c>
      <c r="C22" s="49" t="s">
        <v>1159</v>
      </c>
      <c r="D22" s="13" t="s">
        <v>1164</v>
      </c>
      <c r="E22" s="49" t="str">
        <f aca="false">MID(C22,2,LEN(C22))</f>
        <v/>
      </c>
      <c r="F22" s="49" t="s">
        <v>55</v>
      </c>
      <c r="G22" s="14" t="n">
        <v>1</v>
      </c>
      <c r="H22" s="49" t="s">
        <v>1119</v>
      </c>
      <c r="I22" s="15" t="n">
        <v>4719</v>
      </c>
      <c r="J22" s="15" t="n">
        <f aca="false">IF(OR(G22="",I22=""),"",G22*I22)</f>
        <v>4719</v>
      </c>
      <c r="K22" s="15" t="n">
        <f aca="false">I22*2</f>
        <v>9438</v>
      </c>
      <c r="L22" s="13"/>
      <c r="M22" s="61" t="s">
        <v>1091</v>
      </c>
    </row>
    <row r="23" customFormat="false" ht="19.5" hidden="false" customHeight="true" outlineLevel="0" collapsed="false">
      <c r="A23" s="49" t="s">
        <v>1165</v>
      </c>
      <c r="B23" s="50" t="n">
        <v>46268</v>
      </c>
      <c r="C23" s="49" t="s">
        <v>1159</v>
      </c>
      <c r="D23" s="13" t="s">
        <v>1166</v>
      </c>
      <c r="E23" s="49" t="str">
        <f aca="false">MID(C23,2,LEN(C23))</f>
        <v/>
      </c>
      <c r="F23" s="49" t="s">
        <v>55</v>
      </c>
      <c r="G23" s="14" t="n">
        <v>1</v>
      </c>
      <c r="H23" s="49" t="s">
        <v>1109</v>
      </c>
      <c r="I23" s="15" t="n">
        <v>5206</v>
      </c>
      <c r="J23" s="15" t="n">
        <f aca="false">IF(OR(G23="",I23=""),"",G23*I23)</f>
        <v>5206</v>
      </c>
      <c r="K23" s="15" t="n">
        <f aca="false">I23*2</f>
        <v>10412</v>
      </c>
      <c r="L23" s="13"/>
      <c r="M23" s="61" t="s">
        <v>1091</v>
      </c>
    </row>
    <row r="24" customFormat="false" ht="19.5" hidden="false" customHeight="true" outlineLevel="0" collapsed="false">
      <c r="A24" s="49" t="s">
        <v>1167</v>
      </c>
      <c r="B24" s="50" t="n">
        <v>46268</v>
      </c>
      <c r="C24" s="49" t="s">
        <v>1159</v>
      </c>
      <c r="D24" s="13" t="s">
        <v>1168</v>
      </c>
      <c r="E24" s="49" t="str">
        <f aca="false">MID(C24,2,LEN(C24))</f>
        <v/>
      </c>
      <c r="F24" s="49" t="s">
        <v>55</v>
      </c>
      <c r="G24" s="14" t="n">
        <v>1</v>
      </c>
      <c r="H24" s="49" t="s">
        <v>1109</v>
      </c>
      <c r="I24" s="15" t="n">
        <v>7600</v>
      </c>
      <c r="J24" s="15" t="n">
        <f aca="false">IF(OR(G24="",I24=""),"",G24*I24)</f>
        <v>7600</v>
      </c>
      <c r="K24" s="15" t="n">
        <f aca="false">I24*2</f>
        <v>15200</v>
      </c>
      <c r="L24" s="13"/>
      <c r="M24" s="61" t="s">
        <v>1091</v>
      </c>
    </row>
    <row r="25" customFormat="false" ht="19.5" hidden="false" customHeight="true" outlineLevel="0" collapsed="false">
      <c r="A25" s="49" t="s">
        <v>1169</v>
      </c>
      <c r="B25" s="50" t="n">
        <v>46268</v>
      </c>
      <c r="C25" s="49" t="s">
        <v>1159</v>
      </c>
      <c r="D25" s="13" t="s">
        <v>1170</v>
      </c>
      <c r="E25" s="49" t="str">
        <f aca="false">MID(C25,2,LEN(C25))</f>
        <v/>
      </c>
      <c r="F25" s="49" t="s">
        <v>55</v>
      </c>
      <c r="G25" s="14" t="n">
        <v>1</v>
      </c>
      <c r="H25" s="49" t="s">
        <v>1109</v>
      </c>
      <c r="I25" s="15" t="n">
        <v>5498</v>
      </c>
      <c r="J25" s="15" t="n">
        <f aca="false">IF(OR(G25="",I25=""),"",G25*I25)</f>
        <v>5498</v>
      </c>
      <c r="K25" s="15" t="n">
        <f aca="false">I25*2</f>
        <v>10996</v>
      </c>
      <c r="L25" s="13"/>
      <c r="M25" s="61" t="s">
        <v>1091</v>
      </c>
    </row>
    <row r="26" customFormat="false" ht="19.5" hidden="false" customHeight="true" outlineLevel="0" collapsed="false">
      <c r="A26" s="49" t="s">
        <v>1171</v>
      </c>
      <c r="B26" s="50" t="n">
        <v>46268</v>
      </c>
      <c r="C26" s="49" t="s">
        <v>1159</v>
      </c>
      <c r="D26" s="13" t="s">
        <v>1172</v>
      </c>
      <c r="E26" s="49" t="str">
        <f aca="false">MID(C26,2,LEN(C26))</f>
        <v/>
      </c>
      <c r="F26" s="49" t="s">
        <v>56</v>
      </c>
      <c r="G26" s="14" t="n">
        <v>1</v>
      </c>
      <c r="H26" s="49" t="s">
        <v>1109</v>
      </c>
      <c r="I26" s="15" t="n">
        <v>10995</v>
      </c>
      <c r="J26" s="15" t="n">
        <f aca="false">IF(OR(G26="",I26=""),"",G26*I26)</f>
        <v>10995</v>
      </c>
      <c r="K26" s="15" t="n">
        <f aca="false">I26*2</f>
        <v>21990</v>
      </c>
      <c r="L26" s="13"/>
      <c r="M26" s="61" t="s">
        <v>1091</v>
      </c>
    </row>
    <row r="27" customFormat="false" ht="19.5" hidden="false" customHeight="true" outlineLevel="0" collapsed="false">
      <c r="A27" s="49" t="s">
        <v>1173</v>
      </c>
      <c r="B27" s="50" t="n">
        <v>46268</v>
      </c>
      <c r="C27" s="49" t="s">
        <v>1111</v>
      </c>
      <c r="D27" s="13" t="s">
        <v>1174</v>
      </c>
      <c r="E27" s="49" t="str">
        <f aca="false">MID(C27,2,LEN(C27))</f>
        <v>S</v>
      </c>
      <c r="F27" s="49" t="s">
        <v>1175</v>
      </c>
      <c r="G27" s="14" t="n">
        <v>1</v>
      </c>
      <c r="H27" s="49" t="s">
        <v>1109</v>
      </c>
      <c r="I27" s="15" t="n">
        <v>12479</v>
      </c>
      <c r="J27" s="15" t="n">
        <f aca="false">IF(OR(G27="",I27=""),"",G27*I27)</f>
        <v>12479</v>
      </c>
      <c r="K27" s="15" t="n">
        <f aca="false">I27*2</f>
        <v>24958</v>
      </c>
      <c r="L27" s="13"/>
      <c r="M27" s="61" t="s">
        <v>1091</v>
      </c>
    </row>
    <row r="28" customFormat="false" ht="19.5" hidden="false" customHeight="true" outlineLevel="0" collapsed="false">
      <c r="A28" s="49" t="s">
        <v>1176</v>
      </c>
      <c r="B28" s="50" t="n">
        <v>46268</v>
      </c>
      <c r="C28" s="49" t="s">
        <v>1136</v>
      </c>
      <c r="D28" s="13" t="s">
        <v>1132</v>
      </c>
      <c r="E28" s="49" t="str">
        <f aca="false">MID(C28,2,LEN(C28))</f>
        <v>L</v>
      </c>
      <c r="F28" s="49" t="s">
        <v>55</v>
      </c>
      <c r="G28" s="14" t="n">
        <v>1</v>
      </c>
      <c r="H28" s="49" t="s">
        <v>1109</v>
      </c>
      <c r="I28" s="15" t="n">
        <v>9069</v>
      </c>
      <c r="J28" s="15" t="n">
        <f aca="false">IF(OR(G28="",I28=""),"",G28*I28)</f>
        <v>9069</v>
      </c>
      <c r="K28" s="15" t="n">
        <f aca="false">I28*2</f>
        <v>18138</v>
      </c>
      <c r="L28" s="13"/>
      <c r="M28" s="61" t="s">
        <v>1091</v>
      </c>
    </row>
    <row r="29" customFormat="false" ht="19.5" hidden="false" customHeight="true" outlineLevel="0" collapsed="false">
      <c r="A29" s="49" t="s">
        <v>1177</v>
      </c>
      <c r="B29" s="50" t="n">
        <v>46268</v>
      </c>
      <c r="C29" s="49" t="s">
        <v>1143</v>
      </c>
      <c r="D29" s="13" t="s">
        <v>1178</v>
      </c>
      <c r="E29" s="49" t="str">
        <f aca="false">MID(C29,2,LEN(C29))</f>
        <v>L</v>
      </c>
      <c r="F29" s="49" t="s">
        <v>57</v>
      </c>
      <c r="G29" s="14" t="n">
        <v>1</v>
      </c>
      <c r="H29" s="49" t="s">
        <v>1109</v>
      </c>
      <c r="I29" s="15" t="n">
        <v>8141</v>
      </c>
      <c r="J29" s="15" t="n">
        <f aca="false">IF(OR(G29="",I29=""),"",G29*I29)</f>
        <v>8141</v>
      </c>
      <c r="K29" s="15" t="n">
        <f aca="false">I29*2</f>
        <v>16282</v>
      </c>
      <c r="L29" s="13"/>
      <c r="M29" s="61" t="s">
        <v>1091</v>
      </c>
    </row>
    <row r="30" customFormat="false" ht="19.5" hidden="false" customHeight="true" outlineLevel="0" collapsed="false">
      <c r="A30" s="49" t="s">
        <v>1179</v>
      </c>
      <c r="B30" s="50" t="n">
        <v>46268</v>
      </c>
      <c r="C30" s="49" t="s">
        <v>3</v>
      </c>
      <c r="D30" s="13" t="s">
        <v>1180</v>
      </c>
      <c r="E30" s="49" t="str">
        <f aca="false">MID(C30,2,LEN(C30))</f>
        <v>M</v>
      </c>
      <c r="F30" s="49" t="s">
        <v>1181</v>
      </c>
      <c r="G30" s="14" t="n">
        <v>1</v>
      </c>
      <c r="H30" s="49" t="s">
        <v>1109</v>
      </c>
      <c r="I30" s="15" t="n">
        <v>9400</v>
      </c>
      <c r="J30" s="15" t="n">
        <f aca="false">IF(OR(G30="",I30=""),"",G30*I30)</f>
        <v>9400</v>
      </c>
      <c r="K30" s="15" t="n">
        <f aca="false">I30*2</f>
        <v>18800</v>
      </c>
      <c r="L30" s="13"/>
      <c r="M30" s="61" t="s">
        <v>1091</v>
      </c>
    </row>
    <row r="31" customFormat="false" ht="19.5" hidden="false" customHeight="true" outlineLevel="0" collapsed="false">
      <c r="A31" s="49" t="s">
        <v>1182</v>
      </c>
      <c r="B31" s="50" t="n">
        <v>46268</v>
      </c>
      <c r="C31" s="49" t="s">
        <v>1143</v>
      </c>
      <c r="D31" s="13" t="s">
        <v>1183</v>
      </c>
      <c r="E31" s="49" t="str">
        <f aca="false">MID(C31,2,LEN(C31))</f>
        <v>L</v>
      </c>
      <c r="F31" s="49" t="s">
        <v>1181</v>
      </c>
      <c r="G31" s="14" t="n">
        <v>1</v>
      </c>
      <c r="H31" s="49" t="s">
        <v>1109</v>
      </c>
      <c r="I31" s="15" t="n">
        <v>8608</v>
      </c>
      <c r="J31" s="15" t="n">
        <f aca="false">IF(OR(G31="",I31=""),"",G31*I31)</f>
        <v>8608</v>
      </c>
      <c r="K31" s="15" t="n">
        <f aca="false">I31*2</f>
        <v>17216</v>
      </c>
      <c r="L31" s="13"/>
      <c r="M31" s="61" t="s">
        <v>1091</v>
      </c>
    </row>
    <row r="32" customFormat="false" ht="14.25" hidden="false" customHeight="true" outlineLevel="0" collapsed="false">
      <c r="A32" s="49" t="s">
        <v>1184</v>
      </c>
      <c r="B32" s="50" t="n">
        <v>46268</v>
      </c>
      <c r="C32" s="49" t="s">
        <v>1114</v>
      </c>
      <c r="D32" s="13" t="s">
        <v>1183</v>
      </c>
      <c r="E32" s="62" t="str">
        <f aca="false">MID(C32,2,LEN(C32))</f>
        <v>S</v>
      </c>
      <c r="F32" s="49" t="s">
        <v>60</v>
      </c>
      <c r="G32" s="14" t="n">
        <v>1</v>
      </c>
      <c r="H32" s="49" t="s">
        <v>1109</v>
      </c>
      <c r="I32" s="63" t="n">
        <v>8358</v>
      </c>
      <c r="J32" s="63" t="n">
        <f aca="false">IF(OR(G32="",I32=""),"",G32*I32)</f>
        <v>8358</v>
      </c>
      <c r="K32" s="57" t="n">
        <f aca="false">I32*2</f>
        <v>16716</v>
      </c>
      <c r="M32" s="61" t="s">
        <v>1091</v>
      </c>
    </row>
    <row r="33" customFormat="false" ht="14.25" hidden="false" customHeight="true" outlineLevel="0" collapsed="false">
      <c r="A33" s="49" t="s">
        <v>1185</v>
      </c>
      <c r="B33" s="50" t="n">
        <v>46268</v>
      </c>
      <c r="C33" s="49" t="s">
        <v>1146</v>
      </c>
      <c r="D33" s="13" t="s">
        <v>1186</v>
      </c>
      <c r="E33" s="62" t="str">
        <f aca="false">MID(C33,2,LEN(C33))</f>
        <v>XL</v>
      </c>
      <c r="F33" s="49" t="s">
        <v>1123</v>
      </c>
      <c r="G33" s="14" t="n">
        <v>1</v>
      </c>
      <c r="H33" s="49" t="s">
        <v>1109</v>
      </c>
      <c r="I33" s="63" t="n">
        <v>7825</v>
      </c>
      <c r="J33" s="63" t="n">
        <f aca="false">IF(OR(G33="",I33=""),"",G33*I33)</f>
        <v>7825</v>
      </c>
      <c r="K33" s="57" t="n">
        <f aca="false">I33*2</f>
        <v>15650</v>
      </c>
      <c r="M33" s="61" t="s">
        <v>1091</v>
      </c>
    </row>
    <row r="34" customFormat="false" ht="14.25" hidden="false" customHeight="true" outlineLevel="0" collapsed="false">
      <c r="A34" s="49" t="s">
        <v>1187</v>
      </c>
      <c r="B34" s="50" t="n">
        <v>46268</v>
      </c>
      <c r="C34" s="49" t="s">
        <v>3</v>
      </c>
      <c r="D34" s="13" t="s">
        <v>1188</v>
      </c>
      <c r="E34" s="62" t="str">
        <f aca="false">MID(C34,2,LEN(C34))</f>
        <v>M</v>
      </c>
      <c r="F34" s="49" t="s">
        <v>55</v>
      </c>
      <c r="G34" s="14" t="n">
        <v>1</v>
      </c>
      <c r="H34" s="49" t="s">
        <v>1109</v>
      </c>
      <c r="I34" s="63" t="n">
        <v>7421</v>
      </c>
      <c r="J34" s="63" t="n">
        <f aca="false">IF(OR(G34="",I34=""),"",G34*I34)</f>
        <v>7421</v>
      </c>
      <c r="K34" s="57" t="n">
        <f aca="false">I34*2</f>
        <v>14842</v>
      </c>
      <c r="M34" s="61" t="s">
        <v>1091</v>
      </c>
    </row>
    <row r="35" customFormat="false" ht="14.25" hidden="false" customHeight="true" outlineLevel="0" collapsed="false">
      <c r="A35" s="49" t="s">
        <v>1189</v>
      </c>
      <c r="B35" s="50" t="n">
        <v>46268</v>
      </c>
      <c r="C35" s="49" t="s">
        <v>3</v>
      </c>
      <c r="D35" s="13" t="s">
        <v>1127</v>
      </c>
      <c r="E35" s="62" t="str">
        <f aca="false">MID(C35,2,LEN(C35))</f>
        <v>M</v>
      </c>
      <c r="F35" s="49" t="s">
        <v>55</v>
      </c>
      <c r="G35" s="14" t="n">
        <v>1</v>
      </c>
      <c r="H35" s="49" t="s">
        <v>1109</v>
      </c>
      <c r="I35" s="63" t="n">
        <v>6818</v>
      </c>
      <c r="J35" s="63" t="n">
        <f aca="false">IF(OR(G35="",I35=""),"",G35*I35)</f>
        <v>6818</v>
      </c>
      <c r="K35" s="57" t="n">
        <f aca="false">I35*2</f>
        <v>13636</v>
      </c>
      <c r="M35" s="61" t="s">
        <v>1091</v>
      </c>
    </row>
    <row r="36" customFormat="false" ht="14.25" hidden="false" customHeight="true" outlineLevel="0" collapsed="false">
      <c r="A36" s="49" t="s">
        <v>1190</v>
      </c>
      <c r="B36" s="50" t="n">
        <v>46268</v>
      </c>
      <c r="C36" s="49" t="s">
        <v>1143</v>
      </c>
      <c r="D36" s="64" t="s">
        <v>1191</v>
      </c>
      <c r="E36" s="62" t="str">
        <f aca="false">MID(C36,2,LEN(C36))</f>
        <v>L</v>
      </c>
      <c r="F36" s="49" t="s">
        <v>57</v>
      </c>
      <c r="G36" s="14" t="n">
        <v>1</v>
      </c>
      <c r="H36" s="49" t="s">
        <v>1109</v>
      </c>
      <c r="I36" s="63" t="n">
        <v>11400</v>
      </c>
      <c r="J36" s="63" t="n">
        <f aca="false">IF(OR(G36="",I36=""),"",G36*I36)</f>
        <v>11400</v>
      </c>
      <c r="K36" s="57" t="n">
        <f aca="false">I36*2</f>
        <v>22800</v>
      </c>
      <c r="M36" s="61" t="s">
        <v>1091</v>
      </c>
    </row>
    <row r="37" customFormat="false" ht="14.25" hidden="false" customHeight="true" outlineLevel="0" collapsed="false">
      <c r="A37" s="49" t="s">
        <v>1192</v>
      </c>
      <c r="B37" s="50" t="n">
        <v>46268</v>
      </c>
      <c r="C37" s="49" t="s">
        <v>1193</v>
      </c>
      <c r="D37" s="64" t="s">
        <v>1194</v>
      </c>
      <c r="E37" s="62" t="str">
        <f aca="false">MID(C37,2,LEN(C37))</f>
        <v>XXL</v>
      </c>
      <c r="F37" s="49" t="s">
        <v>55</v>
      </c>
      <c r="G37" s="14" t="n">
        <v>1</v>
      </c>
      <c r="H37" s="49" t="s">
        <v>1109</v>
      </c>
      <c r="I37" s="63" t="n">
        <v>11295</v>
      </c>
      <c r="J37" s="63" t="n">
        <f aca="false">IF(OR(G37="",I37=""),"",G37*I37)</f>
        <v>11295</v>
      </c>
      <c r="K37" s="57" t="n">
        <f aca="false">I37*2</f>
        <v>22590</v>
      </c>
      <c r="M37" s="61" t="s">
        <v>1091</v>
      </c>
    </row>
    <row r="38" customFormat="false" ht="14.25" hidden="false" customHeight="true" outlineLevel="0" collapsed="false">
      <c r="A38" s="49" t="s">
        <v>1195</v>
      </c>
      <c r="B38" s="50" t="n">
        <v>46268</v>
      </c>
      <c r="C38" s="49" t="s">
        <v>1196</v>
      </c>
      <c r="D38" s="64" t="s">
        <v>1197</v>
      </c>
      <c r="E38" s="62" t="str">
        <f aca="false">MID(C38,2,LEN(C38))</f>
        <v>U</v>
      </c>
      <c r="F38" s="49" t="s">
        <v>55</v>
      </c>
      <c r="G38" s="14" t="n">
        <v>1</v>
      </c>
      <c r="H38" s="49" t="s">
        <v>1109</v>
      </c>
      <c r="I38" s="63" t="n">
        <v>4908</v>
      </c>
      <c r="J38" s="63" t="n">
        <f aca="false">IF(OR(G38="",I38=""),"",G38*I38)</f>
        <v>4908</v>
      </c>
      <c r="K38" s="57" t="n">
        <f aca="false">I38*2</f>
        <v>9816</v>
      </c>
      <c r="M38" s="61" t="s">
        <v>1091</v>
      </c>
    </row>
    <row r="39" customFormat="false" ht="14.25" hidden="false" customHeight="true" outlineLevel="0" collapsed="false">
      <c r="A39" s="49" t="s">
        <v>1198</v>
      </c>
      <c r="B39" s="50" t="n">
        <v>46268</v>
      </c>
      <c r="C39" s="49" t="s">
        <v>1154</v>
      </c>
      <c r="D39" s="64" t="s">
        <v>1199</v>
      </c>
      <c r="E39" s="62" t="str">
        <f aca="false">MID(C39,2,LEN(C39))</f>
        <v>U</v>
      </c>
      <c r="F39" s="49" t="s">
        <v>55</v>
      </c>
      <c r="G39" s="14" t="n">
        <v>8</v>
      </c>
      <c r="H39" s="49" t="s">
        <v>1109</v>
      </c>
      <c r="I39" s="63" t="n">
        <v>2365</v>
      </c>
      <c r="J39" s="63" t="n">
        <f aca="false">IF(OR(G39="",I39=""),"",G39*I39)</f>
        <v>18920</v>
      </c>
      <c r="K39" s="57" t="n">
        <f aca="false">I39*2</f>
        <v>4730</v>
      </c>
      <c r="M39" s="61" t="s">
        <v>1091</v>
      </c>
    </row>
    <row r="40" customFormat="false" ht="14.25" hidden="false" customHeight="true" outlineLevel="0" collapsed="false">
      <c r="A40" s="49" t="s">
        <v>1200</v>
      </c>
      <c r="B40" s="50" t="n">
        <v>46268</v>
      </c>
      <c r="C40" s="49"/>
      <c r="D40" s="64" t="s">
        <v>1201</v>
      </c>
      <c r="E40" s="62" t="str">
        <f aca="false">MID(C40,2,LEN(C40))</f>
        <v/>
      </c>
      <c r="F40" s="49" t="s">
        <v>60</v>
      </c>
      <c r="G40" s="14" t="n">
        <v>1</v>
      </c>
      <c r="H40" s="49" t="s">
        <v>1109</v>
      </c>
      <c r="I40" s="63" t="n">
        <v>10362</v>
      </c>
      <c r="J40" s="63" t="n">
        <f aca="false">IF(OR(G40="",I40=""),"",G40*I40)</f>
        <v>10362</v>
      </c>
      <c r="K40" s="57" t="n">
        <f aca="false">I40*2</f>
        <v>20724</v>
      </c>
      <c r="M40" s="61" t="s">
        <v>1091</v>
      </c>
    </row>
    <row r="41" customFormat="false" ht="14.25" hidden="false" customHeight="true" outlineLevel="0" collapsed="false">
      <c r="A41" s="49" t="s">
        <v>1202</v>
      </c>
      <c r="B41" s="50" t="n">
        <v>46268</v>
      </c>
      <c r="C41" s="49" t="s">
        <v>1136</v>
      </c>
      <c r="D41" s="64" t="s">
        <v>1203</v>
      </c>
      <c r="E41" s="62" t="str">
        <f aca="false">MID(C41,2,LEN(C41))</f>
        <v>L</v>
      </c>
      <c r="F41" s="49" t="s">
        <v>55</v>
      </c>
      <c r="G41" s="14" t="n">
        <v>1</v>
      </c>
      <c r="H41" s="49" t="s">
        <v>1109</v>
      </c>
      <c r="I41" s="63" t="n">
        <v>9918</v>
      </c>
      <c r="J41" s="63" t="n">
        <f aca="false">IF(OR(G41="",I41=""),"",G41*I41)</f>
        <v>9918</v>
      </c>
      <c r="K41" s="57" t="n">
        <f aca="false">I41*2</f>
        <v>19836</v>
      </c>
      <c r="M41" s="61" t="s">
        <v>1091</v>
      </c>
    </row>
    <row r="42" customFormat="false" ht="14.25" hidden="false" customHeight="true" outlineLevel="0" collapsed="false">
      <c r="A42" s="49" t="s">
        <v>1204</v>
      </c>
      <c r="B42" s="50" t="n">
        <v>46268</v>
      </c>
      <c r="C42" s="49" t="s">
        <v>1121</v>
      </c>
      <c r="D42" s="64" t="s">
        <v>1205</v>
      </c>
      <c r="E42" s="62" t="str">
        <f aca="false">MID(C42,2,LEN(C42))</f>
        <v>M</v>
      </c>
      <c r="F42" s="49" t="s">
        <v>55</v>
      </c>
      <c r="G42" s="14" t="n">
        <v>1</v>
      </c>
      <c r="H42" s="49" t="s">
        <v>1109</v>
      </c>
      <c r="I42" s="63" t="n">
        <v>9666</v>
      </c>
      <c r="J42" s="63" t="n">
        <f aca="false">IF(OR(G42="",I42=""),"",G42*I42)</f>
        <v>9666</v>
      </c>
      <c r="K42" s="57" t="n">
        <f aca="false">I42*2</f>
        <v>19332</v>
      </c>
      <c r="M42" s="61" t="s">
        <v>1091</v>
      </c>
    </row>
    <row r="43" customFormat="false" ht="14.25" hidden="false" customHeight="true" outlineLevel="0" collapsed="false">
      <c r="A43" s="49" t="s">
        <v>1206</v>
      </c>
      <c r="B43" s="50" t="n">
        <v>46268</v>
      </c>
      <c r="C43" s="49" t="s">
        <v>1207</v>
      </c>
      <c r="D43" s="64" t="s">
        <v>1208</v>
      </c>
      <c r="E43" s="62" t="str">
        <f aca="false">MID(C43,2,LEN(C43))</f>
        <v>U</v>
      </c>
      <c r="F43" s="49" t="s">
        <v>55</v>
      </c>
      <c r="G43" s="14" t="n">
        <v>1</v>
      </c>
      <c r="H43" s="49" t="s">
        <v>1109</v>
      </c>
      <c r="I43" s="63" t="n">
        <v>7992</v>
      </c>
      <c r="J43" s="63" t="n">
        <f aca="false">IF(OR(G43="",I43=""),"",G43*I43)</f>
        <v>7992</v>
      </c>
      <c r="K43" s="57" t="n">
        <f aca="false">I43*2</f>
        <v>15984</v>
      </c>
      <c r="M43" s="61" t="s">
        <v>1091</v>
      </c>
    </row>
    <row r="44" customFormat="false" ht="14.25" hidden="false" customHeight="true" outlineLevel="0" collapsed="false">
      <c r="A44" s="49" t="s">
        <v>1209</v>
      </c>
      <c r="B44" s="50" t="n">
        <v>46268</v>
      </c>
      <c r="C44" s="49"/>
      <c r="D44" s="64" t="s">
        <v>1210</v>
      </c>
      <c r="E44" s="62" t="str">
        <f aca="false">MID(C44,2,LEN(C44))</f>
        <v/>
      </c>
      <c r="F44" s="49" t="s">
        <v>1211</v>
      </c>
      <c r="G44" s="14" t="n">
        <v>1</v>
      </c>
      <c r="H44" s="49" t="s">
        <v>1109</v>
      </c>
      <c r="I44" s="63" t="n">
        <v>1998</v>
      </c>
      <c r="J44" s="63" t="n">
        <f aca="false">IF(OR(G44="",I44=""),"",G44*I44)</f>
        <v>1998</v>
      </c>
      <c r="K44" s="57" t="n">
        <f aca="false">I44*2</f>
        <v>3996</v>
      </c>
      <c r="M44" s="61" t="s">
        <v>1091</v>
      </c>
    </row>
    <row r="45" customFormat="false" ht="14.25" hidden="false" customHeight="true" outlineLevel="0" collapsed="false">
      <c r="A45" s="49" t="s">
        <v>1212</v>
      </c>
      <c r="B45" s="58" t="n">
        <v>46262</v>
      </c>
      <c r="C45" s="49"/>
      <c r="D45" s="64" t="s">
        <v>1213</v>
      </c>
      <c r="E45" s="62" t="str">
        <f aca="false">MID(C45,2,LEN(C45))</f>
        <v/>
      </c>
      <c r="F45" s="49"/>
      <c r="G45" s="14" t="n">
        <v>6</v>
      </c>
      <c r="H45" s="49" t="s">
        <v>1109</v>
      </c>
      <c r="I45" s="63" t="n">
        <v>70000</v>
      </c>
      <c r="J45" s="63" t="n">
        <f aca="false">IF(OR(G45="",I45=""),"",G45*I45)</f>
        <v>420000</v>
      </c>
      <c r="K45" s="57" t="n">
        <v>100000</v>
      </c>
      <c r="M45" s="61" t="s">
        <v>1091</v>
      </c>
    </row>
    <row r="46" customFormat="false" ht="14.25" hidden="false" customHeight="true" outlineLevel="0" collapsed="false">
      <c r="A46" s="49" t="s">
        <v>1214</v>
      </c>
      <c r="B46" s="58" t="n">
        <v>46262</v>
      </c>
      <c r="C46" s="49"/>
      <c r="D46" s="64" t="s">
        <v>1215</v>
      </c>
      <c r="E46" s="62" t="str">
        <f aca="false">MID(C46,2,LEN(C46))</f>
        <v/>
      </c>
      <c r="F46" s="49"/>
      <c r="G46" s="14" t="n">
        <v>6</v>
      </c>
      <c r="H46" s="49" t="s">
        <v>1109</v>
      </c>
      <c r="I46" s="63" t="n">
        <v>90000</v>
      </c>
      <c r="J46" s="63" t="n">
        <f aca="false">IF(OR(G46="",I46=""),"",G46*I46)</f>
        <v>540000</v>
      </c>
      <c r="K46" s="57" t="n">
        <v>120000</v>
      </c>
      <c r="M46" s="61" t="s">
        <v>1091</v>
      </c>
    </row>
    <row r="47" customFormat="false" ht="14.25" hidden="false" customHeight="true" outlineLevel="0" collapsed="false">
      <c r="A47" s="49" t="s">
        <v>1216</v>
      </c>
      <c r="C47" s="49"/>
      <c r="E47" s="62" t="str">
        <f aca="false">MID(C47,2,LEN(C47))</f>
        <v/>
      </c>
      <c r="F47" s="49"/>
      <c r="G47" s="14"/>
      <c r="H47" s="49"/>
      <c r="J47" s="63"/>
      <c r="M47" s="61"/>
    </row>
    <row r="48" customFormat="false" ht="14.25" hidden="false" customHeight="true" outlineLevel="0" collapsed="false">
      <c r="A48" s="49" t="s">
        <v>1217</v>
      </c>
      <c r="C48" s="49"/>
      <c r="E48" s="62" t="str">
        <f aca="false">MID(C48,2,LEN(C48))</f>
        <v/>
      </c>
      <c r="F48" s="49"/>
      <c r="G48" s="14"/>
      <c r="H48" s="49"/>
      <c r="J48" s="63"/>
      <c r="M48" s="61"/>
    </row>
    <row r="49" customFormat="false" ht="14.25" hidden="false" customHeight="true" outlineLevel="0" collapsed="false">
      <c r="M49" s="61"/>
    </row>
    <row r="50" customFormat="false" ht="14.25" hidden="false" customHeight="true" outlineLevel="0" collapsed="false">
      <c r="M50" s="61"/>
    </row>
    <row r="51" customFormat="false" ht="14.25" hidden="false" customHeight="true" outlineLevel="0" collapsed="false">
      <c r="H51" s="65" t="s">
        <v>1218</v>
      </c>
      <c r="I51" s="66" t="n">
        <f aca="false">SUM(I2:I50)</f>
        <v>533095</v>
      </c>
      <c r="J51" s="57" t="n">
        <f aca="false">SUM(J2:J50)</f>
        <v>1393575</v>
      </c>
      <c r="M51" s="61"/>
    </row>
    <row r="52" customFormat="false" ht="14.25" hidden="false" customHeight="true" outlineLevel="0" collapsed="false">
      <c r="M52" s="61"/>
    </row>
    <row r="53" customFormat="false" ht="14.25" hidden="false" customHeight="true" outlineLevel="0" collapsed="false">
      <c r="M53" s="61"/>
    </row>
    <row r="54" customFormat="false" ht="14.25" hidden="false" customHeight="true" outlineLevel="0" collapsed="false">
      <c r="A54" s="38" t="s">
        <v>1219</v>
      </c>
      <c r="B54" s="38"/>
      <c r="C54" s="38"/>
      <c r="D54" s="38"/>
      <c r="E54" s="38"/>
      <c r="F54" s="38"/>
      <c r="G54" s="38"/>
      <c r="H54" s="38"/>
      <c r="I54" s="38"/>
      <c r="J54" s="38"/>
      <c r="K54" s="38"/>
      <c r="L54" s="38"/>
      <c r="M54" s="61"/>
    </row>
    <row r="55" customFormat="false" ht="14.25" hidden="false" customHeight="true" outlineLevel="0" collapsed="false">
      <c r="M55" s="61"/>
    </row>
    <row r="56" customFormat="false" ht="14.25" hidden="false" customHeight="true" outlineLevel="0" collapsed="false">
      <c r="M56" s="61"/>
    </row>
    <row r="57" customFormat="false" ht="14.25" hidden="false" customHeight="true" outlineLevel="0" collapsed="false">
      <c r="M57" s="61"/>
    </row>
    <row r="58" customFormat="false" ht="14.25" hidden="false" customHeight="true" outlineLevel="0" collapsed="false">
      <c r="M58" s="61"/>
    </row>
    <row r="59" customFormat="false" ht="14.25" hidden="false" customHeight="true" outlineLevel="0" collapsed="false">
      <c r="M59" s="61"/>
    </row>
    <row r="60" customFormat="false" ht="14.25" hidden="false" customHeight="true" outlineLevel="0" collapsed="false">
      <c r="M60" s="61"/>
    </row>
    <row r="61" customFormat="false" ht="14.25" hidden="false" customHeight="true" outlineLevel="0" collapsed="false">
      <c r="M61" s="61"/>
    </row>
    <row r="62" customFormat="false" ht="14.25" hidden="false" customHeight="true" outlineLevel="0" collapsed="false">
      <c r="M62" s="61"/>
    </row>
    <row r="63" customFormat="false" ht="14.25" hidden="false" customHeight="true" outlineLevel="0" collapsed="false">
      <c r="M63" s="61"/>
    </row>
    <row r="64" customFormat="false" ht="14.25" hidden="false" customHeight="true" outlineLevel="0" collapsed="false">
      <c r="M64" s="61"/>
    </row>
    <row r="65" customFormat="false" ht="14.25" hidden="false" customHeight="true" outlineLevel="0" collapsed="false">
      <c r="M65" s="61"/>
    </row>
    <row r="66" customFormat="false" ht="14.25" hidden="false" customHeight="true" outlineLevel="0" collapsed="false">
      <c r="M66" s="61"/>
    </row>
    <row r="67" customFormat="false" ht="14.25" hidden="false" customHeight="true" outlineLevel="0" collapsed="false">
      <c r="M67" s="61"/>
    </row>
    <row r="68" customFormat="false" ht="14.25" hidden="false" customHeight="true" outlineLevel="0" collapsed="false">
      <c r="M68" s="61"/>
    </row>
    <row r="69" customFormat="false" ht="14.25" hidden="false" customHeight="true" outlineLevel="0" collapsed="false">
      <c r="M69" s="61"/>
    </row>
    <row r="70" customFormat="false" ht="14.25" hidden="false" customHeight="true" outlineLevel="0" collapsed="false">
      <c r="M70" s="61"/>
    </row>
    <row r="71" customFormat="false" ht="14.25" hidden="false" customHeight="true" outlineLevel="0" collapsed="false">
      <c r="M71" s="61"/>
    </row>
    <row r="72" customFormat="false" ht="14.25" hidden="false" customHeight="true" outlineLevel="0" collapsed="false">
      <c r="M72" s="61"/>
    </row>
    <row r="73" customFormat="false" ht="14.25" hidden="false" customHeight="true" outlineLevel="0" collapsed="false">
      <c r="M73" s="61"/>
    </row>
    <row r="74" customFormat="false" ht="14.25" hidden="false" customHeight="true" outlineLevel="0" collapsed="false">
      <c r="M74" s="61"/>
    </row>
    <row r="75" customFormat="false" ht="14.25" hidden="false" customHeight="true" outlineLevel="0" collapsed="false">
      <c r="M75" s="61"/>
    </row>
    <row r="76" customFormat="false" ht="14.25" hidden="false" customHeight="true" outlineLevel="0" collapsed="false">
      <c r="M76" s="61"/>
    </row>
    <row r="77" customFormat="false" ht="14.25" hidden="false" customHeight="true" outlineLevel="0" collapsed="false">
      <c r="M77" s="61"/>
    </row>
    <row r="78" customFormat="false" ht="14.25" hidden="false" customHeight="true" outlineLevel="0" collapsed="false">
      <c r="M78" s="61"/>
    </row>
    <row r="79" customFormat="false" ht="14.25" hidden="false" customHeight="true" outlineLevel="0" collapsed="false">
      <c r="M79" s="61"/>
    </row>
    <row r="80" customFormat="false" ht="14.25" hidden="false" customHeight="true" outlineLevel="0" collapsed="false">
      <c r="M80" s="61"/>
    </row>
    <row r="81" customFormat="false" ht="14.25" hidden="false" customHeight="true" outlineLevel="0" collapsed="false">
      <c r="M81" s="61"/>
    </row>
    <row r="82" customFormat="false" ht="14.25" hidden="false" customHeight="true" outlineLevel="0" collapsed="false">
      <c r="M82" s="61"/>
    </row>
    <row r="83" customFormat="false" ht="14.25" hidden="false" customHeight="true" outlineLevel="0" collapsed="false">
      <c r="M83" s="61"/>
    </row>
    <row r="84" customFormat="false" ht="14.25" hidden="false" customHeight="true" outlineLevel="0" collapsed="false">
      <c r="M84" s="61"/>
    </row>
    <row r="85" customFormat="false" ht="14.25" hidden="false" customHeight="true" outlineLevel="0" collapsed="false">
      <c r="M85" s="61"/>
    </row>
    <row r="86" customFormat="false" ht="14.25" hidden="false" customHeight="true" outlineLevel="0" collapsed="false">
      <c r="M86" s="61"/>
    </row>
    <row r="87" customFormat="false" ht="14.25" hidden="false" customHeight="true" outlineLevel="0" collapsed="false">
      <c r="M87" s="61"/>
    </row>
    <row r="88" customFormat="false" ht="14.25" hidden="false" customHeight="true" outlineLevel="0" collapsed="false">
      <c r="M88" s="61"/>
    </row>
    <row r="89" customFormat="false" ht="14.25" hidden="false" customHeight="true" outlineLevel="0" collapsed="false">
      <c r="M89" s="61"/>
    </row>
    <row r="90" customFormat="false" ht="14.25" hidden="false" customHeight="true" outlineLevel="0" collapsed="false">
      <c r="M90" s="61"/>
    </row>
    <row r="91" customFormat="false" ht="14.25" hidden="false" customHeight="true" outlineLevel="0" collapsed="false">
      <c r="M91" s="61"/>
    </row>
    <row r="92" customFormat="false" ht="14.25" hidden="false" customHeight="true" outlineLevel="0" collapsed="false">
      <c r="M92" s="61"/>
    </row>
    <row r="93" customFormat="false" ht="14.25" hidden="false" customHeight="true" outlineLevel="0" collapsed="false">
      <c r="M93" s="61"/>
    </row>
    <row r="94" customFormat="false" ht="14.25" hidden="false" customHeight="true" outlineLevel="0" collapsed="false">
      <c r="M94" s="61"/>
    </row>
    <row r="95" customFormat="false" ht="14.25" hidden="false" customHeight="true" outlineLevel="0" collapsed="false">
      <c r="M95" s="61"/>
    </row>
    <row r="96" customFormat="false" ht="14.25" hidden="false" customHeight="true" outlineLevel="0" collapsed="false">
      <c r="M96" s="61"/>
    </row>
    <row r="97" customFormat="false" ht="14.25" hidden="false" customHeight="true" outlineLevel="0" collapsed="false">
      <c r="M97" s="61"/>
    </row>
    <row r="98" customFormat="false" ht="14.25" hidden="false" customHeight="true" outlineLevel="0" collapsed="false">
      <c r="M98" s="61"/>
    </row>
    <row r="99" customFormat="false" ht="14.25" hidden="false" customHeight="true" outlineLevel="0" collapsed="false">
      <c r="M99" s="61"/>
    </row>
    <row r="100" customFormat="false" ht="14.25" hidden="false" customHeight="true" outlineLevel="0" collapsed="false">
      <c r="M100" s="61"/>
    </row>
    <row r="101" customFormat="false" ht="14.25" hidden="false" customHeight="true" outlineLevel="0" collapsed="false">
      <c r="M101" s="61"/>
    </row>
    <row r="102" customFormat="false" ht="14.25" hidden="false" customHeight="true" outlineLevel="0" collapsed="false">
      <c r="M102" s="61"/>
    </row>
    <row r="103" customFormat="false" ht="14.25" hidden="false" customHeight="true" outlineLevel="0" collapsed="false">
      <c r="M103" s="61"/>
    </row>
    <row r="104" customFormat="false" ht="14.25" hidden="false" customHeight="true" outlineLevel="0" collapsed="false">
      <c r="M104" s="61"/>
    </row>
    <row r="105" customFormat="false" ht="14.25" hidden="false" customHeight="true" outlineLevel="0" collapsed="false">
      <c r="M105" s="61"/>
    </row>
    <row r="106" customFormat="false" ht="14.25" hidden="false" customHeight="true" outlineLevel="0" collapsed="false">
      <c r="M106" s="61"/>
    </row>
    <row r="107" customFormat="false" ht="14.25" hidden="false" customHeight="true" outlineLevel="0" collapsed="false">
      <c r="M107" s="61"/>
    </row>
    <row r="108" customFormat="false" ht="14.25" hidden="false" customHeight="true" outlineLevel="0" collapsed="false">
      <c r="M108" s="61"/>
    </row>
    <row r="109" customFormat="false" ht="14.25" hidden="false" customHeight="true" outlineLevel="0" collapsed="false">
      <c r="M109" s="61"/>
    </row>
    <row r="110" customFormat="false" ht="14.25" hidden="false" customHeight="true" outlineLevel="0" collapsed="false">
      <c r="M110" s="61"/>
    </row>
    <row r="111" customFormat="false" ht="14.25" hidden="false" customHeight="true" outlineLevel="0" collapsed="false">
      <c r="M111" s="61"/>
    </row>
    <row r="112" customFormat="false" ht="14.25" hidden="false" customHeight="true" outlineLevel="0" collapsed="false">
      <c r="M112" s="61"/>
    </row>
    <row r="113" customFormat="false" ht="14.25" hidden="false" customHeight="true" outlineLevel="0" collapsed="false">
      <c r="M113" s="61"/>
    </row>
    <row r="114" customFormat="false" ht="14.25" hidden="false" customHeight="true" outlineLevel="0" collapsed="false">
      <c r="M114" s="61"/>
    </row>
    <row r="115" customFormat="false" ht="14.25" hidden="false" customHeight="true" outlineLevel="0" collapsed="false">
      <c r="M115" s="61"/>
    </row>
    <row r="116" customFormat="false" ht="14.25" hidden="false" customHeight="true" outlineLevel="0" collapsed="false">
      <c r="M116" s="61"/>
    </row>
    <row r="117" customFormat="false" ht="14.25" hidden="false" customHeight="true" outlineLevel="0" collapsed="false">
      <c r="M117" s="61"/>
    </row>
    <row r="118" customFormat="false" ht="14.25" hidden="false" customHeight="true" outlineLevel="0" collapsed="false">
      <c r="M118" s="61"/>
    </row>
    <row r="119" customFormat="false" ht="14.25" hidden="false" customHeight="true" outlineLevel="0" collapsed="false">
      <c r="M119" s="61"/>
    </row>
    <row r="120" customFormat="false" ht="14.25" hidden="false" customHeight="true" outlineLevel="0" collapsed="false">
      <c r="M120" s="61"/>
    </row>
    <row r="121" customFormat="false" ht="14.25" hidden="false" customHeight="true" outlineLevel="0" collapsed="false">
      <c r="M121" s="61"/>
    </row>
    <row r="122" customFormat="false" ht="14.25" hidden="false" customHeight="true" outlineLevel="0" collapsed="false">
      <c r="M122" s="61"/>
    </row>
    <row r="123" customFormat="false" ht="14.25" hidden="false" customHeight="true" outlineLevel="0" collapsed="false">
      <c r="M123" s="61"/>
    </row>
    <row r="124" customFormat="false" ht="14.25" hidden="false" customHeight="true" outlineLevel="0" collapsed="false">
      <c r="M124" s="61"/>
    </row>
    <row r="125" customFormat="false" ht="14.25" hidden="false" customHeight="true" outlineLevel="0" collapsed="false">
      <c r="M125" s="61"/>
    </row>
    <row r="126" customFormat="false" ht="14.25" hidden="false" customHeight="true" outlineLevel="0" collapsed="false">
      <c r="M126" s="61"/>
    </row>
    <row r="127" customFormat="false" ht="14.25" hidden="false" customHeight="true" outlineLevel="0" collapsed="false">
      <c r="M127" s="61"/>
    </row>
    <row r="128" customFormat="false" ht="14.25" hidden="false" customHeight="true" outlineLevel="0" collapsed="false">
      <c r="M128" s="61"/>
    </row>
    <row r="129" customFormat="false" ht="14.25" hidden="false" customHeight="true" outlineLevel="0" collapsed="false">
      <c r="M129" s="61"/>
    </row>
    <row r="130" customFormat="false" ht="14.25" hidden="false" customHeight="true" outlineLevel="0" collapsed="false">
      <c r="M130" s="61"/>
    </row>
    <row r="131" customFormat="false" ht="14.25" hidden="false" customHeight="true" outlineLevel="0" collapsed="false">
      <c r="M131" s="61"/>
    </row>
    <row r="132" customFormat="false" ht="14.25" hidden="false" customHeight="true" outlineLevel="0" collapsed="false">
      <c r="M132" s="61"/>
    </row>
    <row r="133" customFormat="false" ht="14.25" hidden="false" customHeight="true" outlineLevel="0" collapsed="false">
      <c r="M133" s="61"/>
    </row>
    <row r="134" customFormat="false" ht="14.25" hidden="false" customHeight="true" outlineLevel="0" collapsed="false">
      <c r="M134" s="61"/>
    </row>
    <row r="135" customFormat="false" ht="14.25" hidden="false" customHeight="true" outlineLevel="0" collapsed="false">
      <c r="M135" s="61"/>
    </row>
    <row r="136" customFormat="false" ht="14.25" hidden="false" customHeight="true" outlineLevel="0" collapsed="false">
      <c r="M136" s="61"/>
    </row>
    <row r="137" customFormat="false" ht="14.25" hidden="false" customHeight="true" outlineLevel="0" collapsed="false">
      <c r="M137" s="61"/>
    </row>
    <row r="138" customFormat="false" ht="14.25" hidden="false" customHeight="true" outlineLevel="0" collapsed="false">
      <c r="M138" s="61"/>
    </row>
    <row r="139" customFormat="false" ht="14.25" hidden="false" customHeight="true" outlineLevel="0" collapsed="false">
      <c r="M139" s="61"/>
    </row>
    <row r="140" customFormat="false" ht="14.25" hidden="false" customHeight="true" outlineLevel="0" collapsed="false">
      <c r="M140" s="61"/>
    </row>
    <row r="141" customFormat="false" ht="14.25" hidden="false" customHeight="true" outlineLevel="0" collapsed="false">
      <c r="M141" s="61"/>
    </row>
    <row r="142" customFormat="false" ht="14.25" hidden="false" customHeight="true" outlineLevel="0" collapsed="false">
      <c r="M142" s="61"/>
    </row>
    <row r="143" customFormat="false" ht="14.25" hidden="false" customHeight="true" outlineLevel="0" collapsed="false">
      <c r="M143" s="61"/>
    </row>
    <row r="144" customFormat="false" ht="14.25" hidden="false" customHeight="true" outlineLevel="0" collapsed="false">
      <c r="M144" s="61"/>
    </row>
    <row r="145" customFormat="false" ht="14.25" hidden="false" customHeight="true" outlineLevel="0" collapsed="false">
      <c r="M145" s="61"/>
    </row>
    <row r="146" customFormat="false" ht="14.25" hidden="false" customHeight="true" outlineLevel="0" collapsed="false">
      <c r="M146" s="61"/>
    </row>
    <row r="147" customFormat="false" ht="14.25" hidden="false" customHeight="true" outlineLevel="0" collapsed="false">
      <c r="M147" s="61"/>
    </row>
    <row r="148" customFormat="false" ht="14.25" hidden="false" customHeight="true" outlineLevel="0" collapsed="false">
      <c r="M148" s="61"/>
    </row>
    <row r="149" customFormat="false" ht="14.25" hidden="false" customHeight="true" outlineLevel="0" collapsed="false">
      <c r="M149" s="61"/>
    </row>
    <row r="150" customFormat="false" ht="14.25" hidden="false" customHeight="true" outlineLevel="0" collapsed="false">
      <c r="M150" s="61"/>
    </row>
    <row r="151" customFormat="false" ht="14.25" hidden="false" customHeight="true" outlineLevel="0" collapsed="false">
      <c r="M151" s="61"/>
    </row>
    <row r="152" customFormat="false" ht="14.25" hidden="false" customHeight="true" outlineLevel="0" collapsed="false">
      <c r="M152" s="61"/>
    </row>
    <row r="153" customFormat="false" ht="14.25" hidden="false" customHeight="true" outlineLevel="0" collapsed="false">
      <c r="M153" s="61"/>
    </row>
    <row r="154" customFormat="false" ht="14.25" hidden="false" customHeight="true" outlineLevel="0" collapsed="false">
      <c r="M154" s="61"/>
    </row>
    <row r="155" customFormat="false" ht="14.25" hidden="false" customHeight="true" outlineLevel="0" collapsed="false">
      <c r="M155" s="61"/>
    </row>
    <row r="156" customFormat="false" ht="14.25" hidden="false" customHeight="true" outlineLevel="0" collapsed="false">
      <c r="M156" s="61"/>
    </row>
    <row r="157" customFormat="false" ht="14.25" hidden="false" customHeight="true" outlineLevel="0" collapsed="false">
      <c r="M157" s="61"/>
    </row>
    <row r="158" customFormat="false" ht="14.25" hidden="false" customHeight="true" outlineLevel="0" collapsed="false">
      <c r="M158" s="61"/>
    </row>
    <row r="159" customFormat="false" ht="14.25" hidden="false" customHeight="true" outlineLevel="0" collapsed="false">
      <c r="M159" s="61"/>
    </row>
    <row r="160" customFormat="false" ht="14.25" hidden="false" customHeight="true" outlineLevel="0" collapsed="false">
      <c r="M160" s="61"/>
    </row>
    <row r="161" customFormat="false" ht="14.25" hidden="false" customHeight="true" outlineLevel="0" collapsed="false">
      <c r="M161" s="61"/>
    </row>
    <row r="162" customFormat="false" ht="14.25" hidden="false" customHeight="true" outlineLevel="0" collapsed="false">
      <c r="M162" s="61"/>
    </row>
    <row r="163" customFormat="false" ht="14.25" hidden="false" customHeight="true" outlineLevel="0" collapsed="false">
      <c r="M163" s="61"/>
    </row>
    <row r="164" customFormat="false" ht="14.25" hidden="false" customHeight="true" outlineLevel="0" collapsed="false">
      <c r="M164" s="61"/>
    </row>
    <row r="165" customFormat="false" ht="14.25" hidden="false" customHeight="true" outlineLevel="0" collapsed="false">
      <c r="M165" s="61"/>
    </row>
    <row r="166" customFormat="false" ht="14.25" hidden="false" customHeight="true" outlineLevel="0" collapsed="false">
      <c r="M166" s="61"/>
    </row>
    <row r="167" customFormat="false" ht="14.25" hidden="false" customHeight="true" outlineLevel="0" collapsed="false">
      <c r="M167" s="61"/>
    </row>
    <row r="168" customFormat="false" ht="14.25" hidden="false" customHeight="true" outlineLevel="0" collapsed="false">
      <c r="M168" s="61"/>
    </row>
    <row r="169" customFormat="false" ht="14.25" hidden="false" customHeight="true" outlineLevel="0" collapsed="false">
      <c r="M169" s="61"/>
    </row>
    <row r="170" customFormat="false" ht="14.25" hidden="false" customHeight="true" outlineLevel="0" collapsed="false">
      <c r="M170" s="61"/>
    </row>
    <row r="171" customFormat="false" ht="14.25" hidden="false" customHeight="true" outlineLevel="0" collapsed="false">
      <c r="M171" s="61"/>
    </row>
    <row r="172" customFormat="false" ht="14.25" hidden="false" customHeight="true" outlineLevel="0" collapsed="false">
      <c r="M172" s="61"/>
    </row>
    <row r="173" customFormat="false" ht="14.25" hidden="false" customHeight="true" outlineLevel="0" collapsed="false">
      <c r="M173" s="61"/>
    </row>
    <row r="174" customFormat="false" ht="14.25" hidden="false" customHeight="true" outlineLevel="0" collapsed="false">
      <c r="M174" s="61"/>
    </row>
    <row r="175" customFormat="false" ht="14.25" hidden="false" customHeight="true" outlineLevel="0" collapsed="false">
      <c r="M175" s="61"/>
    </row>
    <row r="176" customFormat="false" ht="14.25" hidden="false" customHeight="true" outlineLevel="0" collapsed="false">
      <c r="M176" s="61"/>
    </row>
    <row r="177" customFormat="false" ht="14.25" hidden="false" customHeight="true" outlineLevel="0" collapsed="false">
      <c r="M177" s="61"/>
    </row>
    <row r="178" customFormat="false" ht="14.25" hidden="false" customHeight="true" outlineLevel="0" collapsed="false">
      <c r="M178" s="61"/>
    </row>
    <row r="179" customFormat="false" ht="14.25" hidden="false" customHeight="true" outlineLevel="0" collapsed="false">
      <c r="M179" s="61"/>
    </row>
    <row r="180" customFormat="false" ht="14.25" hidden="false" customHeight="true" outlineLevel="0" collapsed="false">
      <c r="M180" s="61"/>
    </row>
    <row r="181" customFormat="false" ht="14.25" hidden="false" customHeight="true" outlineLevel="0" collapsed="false">
      <c r="M181" s="61"/>
    </row>
    <row r="182" customFormat="false" ht="14.25" hidden="false" customHeight="true" outlineLevel="0" collapsed="false">
      <c r="M182" s="61"/>
    </row>
    <row r="183" customFormat="false" ht="14.25" hidden="false" customHeight="true" outlineLevel="0" collapsed="false">
      <c r="M183" s="61"/>
    </row>
    <row r="184" customFormat="false" ht="14.25" hidden="false" customHeight="true" outlineLevel="0" collapsed="false">
      <c r="M184" s="61"/>
    </row>
    <row r="185" customFormat="false" ht="14.25" hidden="false" customHeight="true" outlineLevel="0" collapsed="false">
      <c r="M185" s="61"/>
    </row>
    <row r="186" customFormat="false" ht="14.25" hidden="false" customHeight="true" outlineLevel="0" collapsed="false">
      <c r="M186" s="61"/>
    </row>
    <row r="187" customFormat="false" ht="14.25" hidden="false" customHeight="true" outlineLevel="0" collapsed="false">
      <c r="M187" s="61"/>
    </row>
    <row r="188" customFormat="false" ht="14.25" hidden="false" customHeight="true" outlineLevel="0" collapsed="false">
      <c r="M188" s="61"/>
    </row>
    <row r="189" customFormat="false" ht="14.25" hidden="false" customHeight="true" outlineLevel="0" collapsed="false">
      <c r="M189" s="61"/>
    </row>
    <row r="190" customFormat="false" ht="14.25" hidden="false" customHeight="true" outlineLevel="0" collapsed="false">
      <c r="M190" s="61"/>
    </row>
    <row r="191" customFormat="false" ht="14.25" hidden="false" customHeight="true" outlineLevel="0" collapsed="false">
      <c r="M191" s="61"/>
    </row>
    <row r="192" customFormat="false" ht="14.25" hidden="false" customHeight="true" outlineLevel="0" collapsed="false">
      <c r="M192" s="61"/>
    </row>
    <row r="193" customFormat="false" ht="14.25" hidden="false" customHeight="true" outlineLevel="0" collapsed="false">
      <c r="M193" s="61"/>
    </row>
    <row r="194" customFormat="false" ht="14.25" hidden="false" customHeight="true" outlineLevel="0" collapsed="false">
      <c r="M194" s="61"/>
    </row>
    <row r="195" customFormat="false" ht="14.25" hidden="false" customHeight="true" outlineLevel="0" collapsed="false">
      <c r="M195" s="61"/>
    </row>
    <row r="196" customFormat="false" ht="14.25" hidden="false" customHeight="true" outlineLevel="0" collapsed="false">
      <c r="M196" s="61"/>
    </row>
    <row r="197" customFormat="false" ht="14.25" hidden="false" customHeight="true" outlineLevel="0" collapsed="false">
      <c r="M197" s="61"/>
    </row>
    <row r="198" customFormat="false" ht="14.25" hidden="false" customHeight="true" outlineLevel="0" collapsed="false">
      <c r="M198" s="61"/>
    </row>
    <row r="199" customFormat="false" ht="14.25" hidden="false" customHeight="true" outlineLevel="0" collapsed="false">
      <c r="M199" s="61"/>
    </row>
    <row r="200" customFormat="false" ht="14.25" hidden="false" customHeight="true" outlineLevel="0" collapsed="false">
      <c r="M200" s="61"/>
    </row>
    <row r="201" customFormat="false" ht="14.25" hidden="false" customHeight="true" outlineLevel="0" collapsed="false">
      <c r="M201" s="61"/>
    </row>
    <row r="202" customFormat="false" ht="14.25" hidden="false" customHeight="true" outlineLevel="0" collapsed="false">
      <c r="M202" s="61"/>
    </row>
    <row r="203" customFormat="false" ht="14.25" hidden="false" customHeight="true" outlineLevel="0" collapsed="false">
      <c r="M203" s="61"/>
    </row>
    <row r="204" customFormat="false" ht="14.25" hidden="false" customHeight="true" outlineLevel="0" collapsed="false">
      <c r="M204" s="61"/>
    </row>
    <row r="205" customFormat="false" ht="14.25" hidden="false" customHeight="true" outlineLevel="0" collapsed="false">
      <c r="M205" s="61"/>
    </row>
    <row r="206" customFormat="false" ht="14.25" hidden="false" customHeight="true" outlineLevel="0" collapsed="false">
      <c r="M206" s="61"/>
    </row>
    <row r="207" customFormat="false" ht="14.25" hidden="false" customHeight="true" outlineLevel="0" collapsed="false">
      <c r="M207" s="61"/>
    </row>
    <row r="208" customFormat="false" ht="14.25" hidden="false" customHeight="true" outlineLevel="0" collapsed="false">
      <c r="M208" s="61"/>
    </row>
    <row r="209" customFormat="false" ht="14.25" hidden="false" customHeight="true" outlineLevel="0" collapsed="false">
      <c r="M209" s="61"/>
    </row>
    <row r="210" customFormat="false" ht="14.25" hidden="false" customHeight="true" outlineLevel="0" collapsed="false">
      <c r="M210" s="61"/>
    </row>
    <row r="211" customFormat="false" ht="14.25" hidden="false" customHeight="true" outlineLevel="0" collapsed="false">
      <c r="M211" s="61"/>
    </row>
    <row r="212" customFormat="false" ht="14.25" hidden="false" customHeight="true" outlineLevel="0" collapsed="false">
      <c r="M212" s="61"/>
    </row>
    <row r="213" customFormat="false" ht="14.25" hidden="false" customHeight="true" outlineLevel="0" collapsed="false">
      <c r="M213" s="61"/>
    </row>
    <row r="214" customFormat="false" ht="14.25" hidden="false" customHeight="true" outlineLevel="0" collapsed="false">
      <c r="M214" s="61"/>
    </row>
    <row r="215" customFormat="false" ht="14.25" hidden="false" customHeight="true" outlineLevel="0" collapsed="false">
      <c r="M215" s="61"/>
    </row>
    <row r="216" customFormat="false" ht="14.25" hidden="false" customHeight="true" outlineLevel="0" collapsed="false">
      <c r="M216" s="61"/>
    </row>
    <row r="217" customFormat="false" ht="14.25" hidden="false" customHeight="true" outlineLevel="0" collapsed="false">
      <c r="M217" s="61"/>
    </row>
    <row r="218" customFormat="false" ht="14.25" hidden="false" customHeight="true" outlineLevel="0" collapsed="false">
      <c r="M218" s="61"/>
    </row>
    <row r="219" customFormat="false" ht="14.25" hidden="false" customHeight="true" outlineLevel="0" collapsed="false">
      <c r="M219" s="61"/>
    </row>
    <row r="220" customFormat="false" ht="14.25" hidden="false" customHeight="true" outlineLevel="0" collapsed="false">
      <c r="M220" s="61"/>
    </row>
    <row r="221" customFormat="false" ht="14.25" hidden="false" customHeight="true" outlineLevel="0" collapsed="false">
      <c r="M221" s="61"/>
    </row>
    <row r="222" customFormat="false" ht="14.25" hidden="false" customHeight="true" outlineLevel="0" collapsed="false">
      <c r="M222" s="61"/>
    </row>
    <row r="223" customFormat="false" ht="14.25" hidden="false" customHeight="true" outlineLevel="0" collapsed="false">
      <c r="M223" s="61"/>
    </row>
    <row r="224" customFormat="false" ht="14.25" hidden="false" customHeight="true" outlineLevel="0" collapsed="false">
      <c r="M224" s="61"/>
    </row>
    <row r="225" customFormat="false" ht="14.25" hidden="false" customHeight="true" outlineLevel="0" collapsed="false">
      <c r="M225" s="61"/>
    </row>
    <row r="226" customFormat="false" ht="14.25" hidden="false" customHeight="true" outlineLevel="0" collapsed="false">
      <c r="M226" s="61"/>
    </row>
    <row r="227" customFormat="false" ht="14.25" hidden="false" customHeight="true" outlineLevel="0" collapsed="false">
      <c r="M227" s="61"/>
    </row>
    <row r="228" customFormat="false" ht="14.25" hidden="false" customHeight="true" outlineLevel="0" collapsed="false">
      <c r="M228" s="61"/>
    </row>
    <row r="229" customFormat="false" ht="14.25" hidden="false" customHeight="true" outlineLevel="0" collapsed="false">
      <c r="M229" s="61"/>
    </row>
    <row r="230" customFormat="false" ht="14.25" hidden="false" customHeight="true" outlineLevel="0" collapsed="false">
      <c r="M230" s="61"/>
    </row>
    <row r="231" customFormat="false" ht="14.25" hidden="false" customHeight="true" outlineLevel="0" collapsed="false">
      <c r="M231" s="61"/>
    </row>
    <row r="232" customFormat="false" ht="14.25" hidden="false" customHeight="true" outlineLevel="0" collapsed="false">
      <c r="M232" s="61"/>
    </row>
    <row r="233" customFormat="false" ht="14.25" hidden="false" customHeight="true" outlineLevel="0" collapsed="false">
      <c r="M233" s="61"/>
    </row>
    <row r="234" customFormat="false" ht="14.25" hidden="false" customHeight="true" outlineLevel="0" collapsed="false">
      <c r="M234" s="61"/>
    </row>
    <row r="235" customFormat="false" ht="14.25" hidden="false" customHeight="true" outlineLevel="0" collapsed="false">
      <c r="M235" s="61"/>
    </row>
    <row r="236" customFormat="false" ht="14.25" hidden="false" customHeight="true" outlineLevel="0" collapsed="false">
      <c r="M236" s="61"/>
    </row>
    <row r="237" customFormat="false" ht="14.25" hidden="false" customHeight="true" outlineLevel="0" collapsed="false">
      <c r="M237" s="61"/>
    </row>
    <row r="238" customFormat="false" ht="14.25" hidden="false" customHeight="true" outlineLevel="0" collapsed="false">
      <c r="M238" s="61"/>
    </row>
    <row r="239" customFormat="false" ht="14.25" hidden="false" customHeight="true" outlineLevel="0" collapsed="false">
      <c r="M239" s="61"/>
    </row>
    <row r="240" customFormat="false" ht="14.25" hidden="false" customHeight="true" outlineLevel="0" collapsed="false">
      <c r="M240" s="61"/>
    </row>
    <row r="241" customFormat="false" ht="14.25" hidden="false" customHeight="true" outlineLevel="0" collapsed="false">
      <c r="M241" s="61"/>
    </row>
    <row r="242" customFormat="false" ht="14.25" hidden="false" customHeight="true" outlineLevel="0" collapsed="false">
      <c r="M242" s="61"/>
    </row>
    <row r="243" customFormat="false" ht="14.25" hidden="false" customHeight="true" outlineLevel="0" collapsed="false">
      <c r="M243" s="61"/>
    </row>
    <row r="244" customFormat="false" ht="14.25" hidden="false" customHeight="true" outlineLevel="0" collapsed="false">
      <c r="M244" s="61"/>
    </row>
    <row r="245" customFormat="false" ht="14.25" hidden="false" customHeight="true" outlineLevel="0" collapsed="false">
      <c r="M245" s="61"/>
    </row>
    <row r="246" customFormat="false" ht="14.25" hidden="false" customHeight="true" outlineLevel="0" collapsed="false">
      <c r="M246" s="61"/>
    </row>
    <row r="247" customFormat="false" ht="14.25" hidden="false" customHeight="true" outlineLevel="0" collapsed="false">
      <c r="M247" s="61"/>
    </row>
    <row r="248" customFormat="false" ht="14.25" hidden="false" customHeight="true" outlineLevel="0" collapsed="false">
      <c r="M248" s="61"/>
    </row>
    <row r="249" customFormat="false" ht="14.25" hidden="false" customHeight="true" outlineLevel="0" collapsed="false">
      <c r="M249" s="61"/>
    </row>
    <row r="250" customFormat="false" ht="14.25" hidden="false" customHeight="true" outlineLevel="0" collapsed="false">
      <c r="M250" s="61"/>
    </row>
    <row r="251" customFormat="false" ht="14.25" hidden="false" customHeight="true" outlineLevel="0" collapsed="false">
      <c r="M251" s="61"/>
    </row>
    <row r="252" customFormat="false" ht="14.25" hidden="false" customHeight="true" outlineLevel="0" collapsed="false">
      <c r="M252" s="61"/>
    </row>
    <row r="253" customFormat="false" ht="14.25" hidden="false" customHeight="true" outlineLevel="0" collapsed="false">
      <c r="M253" s="61"/>
    </row>
    <row r="254" customFormat="false" ht="14.25" hidden="false" customHeight="true" outlineLevel="0" collapsed="false">
      <c r="M254" s="61"/>
    </row>
    <row r="255" customFormat="false" ht="14.25" hidden="false" customHeight="true" outlineLevel="0" collapsed="false">
      <c r="M255" s="61"/>
    </row>
    <row r="256" customFormat="false" ht="14.25" hidden="false" customHeight="true" outlineLevel="0" collapsed="false">
      <c r="M256" s="61"/>
    </row>
    <row r="257" customFormat="false" ht="14.25" hidden="false" customHeight="true" outlineLevel="0" collapsed="false">
      <c r="M257" s="61"/>
    </row>
    <row r="258" customFormat="false" ht="14.25" hidden="false" customHeight="true" outlineLevel="0" collapsed="false">
      <c r="M258" s="61"/>
    </row>
    <row r="259" customFormat="false" ht="14.25" hidden="false" customHeight="true" outlineLevel="0" collapsed="false">
      <c r="M259" s="61"/>
    </row>
    <row r="260" customFormat="false" ht="14.25" hidden="false" customHeight="true" outlineLevel="0" collapsed="false">
      <c r="M260" s="61"/>
    </row>
    <row r="261" customFormat="false" ht="14.25" hidden="false" customHeight="true" outlineLevel="0" collapsed="false">
      <c r="M261" s="61"/>
    </row>
    <row r="262" customFormat="false" ht="14.25" hidden="false" customHeight="true" outlineLevel="0" collapsed="false">
      <c r="M262" s="61"/>
    </row>
    <row r="263" customFormat="false" ht="14.25" hidden="false" customHeight="true" outlineLevel="0" collapsed="false">
      <c r="M263" s="61"/>
    </row>
    <row r="264" customFormat="false" ht="14.25" hidden="false" customHeight="true" outlineLevel="0" collapsed="false">
      <c r="M264" s="61"/>
    </row>
    <row r="265" customFormat="false" ht="14.25" hidden="false" customHeight="true" outlineLevel="0" collapsed="false">
      <c r="M265" s="61"/>
    </row>
    <row r="266" customFormat="false" ht="14.25" hidden="false" customHeight="true" outlineLevel="0" collapsed="false">
      <c r="M266" s="61"/>
    </row>
    <row r="267" customFormat="false" ht="14.25" hidden="false" customHeight="true" outlineLevel="0" collapsed="false">
      <c r="M267" s="61"/>
    </row>
    <row r="268" customFormat="false" ht="14.25" hidden="false" customHeight="true" outlineLevel="0" collapsed="false">
      <c r="M268" s="61"/>
    </row>
    <row r="269" customFormat="false" ht="14.25" hidden="false" customHeight="true" outlineLevel="0" collapsed="false">
      <c r="M269" s="61"/>
    </row>
    <row r="270" customFormat="false" ht="14.25" hidden="false" customHeight="true" outlineLevel="0" collapsed="false">
      <c r="M270" s="61"/>
    </row>
    <row r="271" customFormat="false" ht="14.25" hidden="false" customHeight="true" outlineLevel="0" collapsed="false">
      <c r="M271" s="61"/>
    </row>
    <row r="272" customFormat="false" ht="14.25" hidden="false" customHeight="true" outlineLevel="0" collapsed="false">
      <c r="M272" s="61"/>
    </row>
    <row r="273" customFormat="false" ht="14.25" hidden="false" customHeight="true" outlineLevel="0" collapsed="false">
      <c r="M273" s="61"/>
    </row>
    <row r="274" customFormat="false" ht="14.25" hidden="false" customHeight="true" outlineLevel="0" collapsed="false">
      <c r="M274" s="61"/>
    </row>
    <row r="275" customFormat="false" ht="14.25" hidden="false" customHeight="true" outlineLevel="0" collapsed="false">
      <c r="M275" s="61"/>
    </row>
    <row r="276" customFormat="false" ht="14.25" hidden="false" customHeight="true" outlineLevel="0" collapsed="false">
      <c r="M276" s="61"/>
    </row>
    <row r="277" customFormat="false" ht="14.25" hidden="false" customHeight="true" outlineLevel="0" collapsed="false">
      <c r="M277" s="61"/>
    </row>
    <row r="278" customFormat="false" ht="14.25" hidden="false" customHeight="true" outlineLevel="0" collapsed="false">
      <c r="M278" s="61"/>
    </row>
    <row r="279" customFormat="false" ht="14.25" hidden="false" customHeight="true" outlineLevel="0" collapsed="false">
      <c r="M279" s="61"/>
    </row>
    <row r="280" customFormat="false" ht="14.25" hidden="false" customHeight="true" outlineLevel="0" collapsed="false">
      <c r="M280" s="61"/>
    </row>
    <row r="281" customFormat="false" ht="14.25" hidden="false" customHeight="true" outlineLevel="0" collapsed="false">
      <c r="M281" s="61"/>
    </row>
    <row r="282" customFormat="false" ht="14.25" hidden="false" customHeight="true" outlineLevel="0" collapsed="false">
      <c r="M282" s="61"/>
    </row>
    <row r="283" customFormat="false" ht="14.25" hidden="false" customHeight="true" outlineLevel="0" collapsed="false">
      <c r="M283" s="61"/>
    </row>
    <row r="284" customFormat="false" ht="14.25" hidden="false" customHeight="true" outlineLevel="0" collapsed="false">
      <c r="M284" s="61"/>
    </row>
    <row r="285" customFormat="false" ht="14.25" hidden="false" customHeight="true" outlineLevel="0" collapsed="false">
      <c r="M285" s="61"/>
    </row>
    <row r="286" customFormat="false" ht="14.25" hidden="false" customHeight="true" outlineLevel="0" collapsed="false">
      <c r="M286" s="61"/>
    </row>
    <row r="287" customFormat="false" ht="14.25" hidden="false" customHeight="true" outlineLevel="0" collapsed="false">
      <c r="M287" s="61"/>
    </row>
    <row r="288" customFormat="false" ht="14.25" hidden="false" customHeight="true" outlineLevel="0" collapsed="false">
      <c r="M288" s="61"/>
    </row>
    <row r="289" customFormat="false" ht="14.25" hidden="false" customHeight="true" outlineLevel="0" collapsed="false">
      <c r="M289" s="61"/>
    </row>
    <row r="290" customFormat="false" ht="14.25" hidden="false" customHeight="true" outlineLevel="0" collapsed="false">
      <c r="M290" s="61"/>
    </row>
    <row r="291" customFormat="false" ht="14.25" hidden="false" customHeight="true" outlineLevel="0" collapsed="false">
      <c r="M291" s="61"/>
    </row>
    <row r="292" customFormat="false" ht="14.25" hidden="false" customHeight="true" outlineLevel="0" collapsed="false">
      <c r="M292" s="61"/>
    </row>
    <row r="293" customFormat="false" ht="14.25" hidden="false" customHeight="true" outlineLevel="0" collapsed="false">
      <c r="M293" s="61"/>
    </row>
    <row r="294" customFormat="false" ht="14.25" hidden="false" customHeight="true" outlineLevel="0" collapsed="false">
      <c r="M294" s="61"/>
    </row>
    <row r="295" customFormat="false" ht="14.25" hidden="false" customHeight="true" outlineLevel="0" collapsed="false">
      <c r="M295" s="61"/>
    </row>
    <row r="296" customFormat="false" ht="14.25" hidden="false" customHeight="true" outlineLevel="0" collapsed="false">
      <c r="M296" s="61"/>
    </row>
    <row r="297" customFormat="false" ht="14.25" hidden="false" customHeight="true" outlineLevel="0" collapsed="false">
      <c r="M297" s="61"/>
    </row>
    <row r="298" customFormat="false" ht="14.25" hidden="false" customHeight="true" outlineLevel="0" collapsed="false">
      <c r="M298" s="61"/>
    </row>
    <row r="299" customFormat="false" ht="14.25" hidden="false" customHeight="true" outlineLevel="0" collapsed="false">
      <c r="M299" s="61"/>
    </row>
    <row r="300" customFormat="false" ht="14.25" hidden="false" customHeight="true" outlineLevel="0" collapsed="false">
      <c r="M300" s="61"/>
    </row>
    <row r="301" customFormat="false" ht="14.25" hidden="false" customHeight="true" outlineLevel="0" collapsed="false">
      <c r="M301" s="61"/>
    </row>
    <row r="302" customFormat="false" ht="14.25" hidden="false" customHeight="true" outlineLevel="0" collapsed="false">
      <c r="M302" s="61"/>
    </row>
    <row r="303" customFormat="false" ht="14.25" hidden="false" customHeight="true" outlineLevel="0" collapsed="false">
      <c r="M303" s="61"/>
    </row>
    <row r="304" customFormat="false" ht="14.25" hidden="false" customHeight="true" outlineLevel="0" collapsed="false">
      <c r="M304" s="61"/>
    </row>
    <row r="305" customFormat="false" ht="14.25" hidden="false" customHeight="true" outlineLevel="0" collapsed="false">
      <c r="M305" s="61"/>
    </row>
    <row r="306" customFormat="false" ht="14.25" hidden="false" customHeight="true" outlineLevel="0" collapsed="false">
      <c r="M306" s="61"/>
    </row>
    <row r="307" customFormat="false" ht="14.25" hidden="false" customHeight="true" outlineLevel="0" collapsed="false">
      <c r="M307" s="61"/>
    </row>
    <row r="308" customFormat="false" ht="14.25" hidden="false" customHeight="true" outlineLevel="0" collapsed="false">
      <c r="M308" s="61"/>
    </row>
    <row r="309" customFormat="false" ht="14.25" hidden="false" customHeight="true" outlineLevel="0" collapsed="false">
      <c r="M309" s="61"/>
    </row>
    <row r="310" customFormat="false" ht="14.25" hidden="false" customHeight="true" outlineLevel="0" collapsed="false">
      <c r="M310" s="61"/>
    </row>
    <row r="311" customFormat="false" ht="14.25" hidden="false" customHeight="true" outlineLevel="0" collapsed="false">
      <c r="M311" s="61"/>
    </row>
    <row r="312" customFormat="false" ht="14.25" hidden="false" customHeight="true" outlineLevel="0" collapsed="false">
      <c r="M312" s="61"/>
    </row>
    <row r="313" customFormat="false" ht="14.25" hidden="false" customHeight="true" outlineLevel="0" collapsed="false">
      <c r="M313" s="61"/>
    </row>
    <row r="314" customFormat="false" ht="14.25" hidden="false" customHeight="true" outlineLevel="0" collapsed="false">
      <c r="M314" s="61"/>
    </row>
    <row r="315" customFormat="false" ht="14.25" hidden="false" customHeight="true" outlineLevel="0" collapsed="false">
      <c r="M315" s="61"/>
    </row>
    <row r="316" customFormat="false" ht="14.25" hidden="false" customHeight="true" outlineLevel="0" collapsed="false">
      <c r="M316" s="61"/>
    </row>
    <row r="317" customFormat="false" ht="14.25" hidden="false" customHeight="true" outlineLevel="0" collapsed="false">
      <c r="M317" s="61"/>
    </row>
    <row r="318" customFormat="false" ht="14.25" hidden="false" customHeight="true" outlineLevel="0" collapsed="false">
      <c r="M318" s="61"/>
    </row>
    <row r="319" customFormat="false" ht="14.25" hidden="false" customHeight="true" outlineLevel="0" collapsed="false">
      <c r="M319" s="61"/>
    </row>
    <row r="320" customFormat="false" ht="14.25" hidden="false" customHeight="true" outlineLevel="0" collapsed="false">
      <c r="M320" s="61"/>
    </row>
    <row r="321" customFormat="false" ht="14.25" hidden="false" customHeight="true" outlineLevel="0" collapsed="false">
      <c r="M321" s="61"/>
    </row>
    <row r="322" customFormat="false" ht="14.25" hidden="false" customHeight="true" outlineLevel="0" collapsed="false">
      <c r="M322" s="61"/>
    </row>
    <row r="323" customFormat="false" ht="14.25" hidden="false" customHeight="true" outlineLevel="0" collapsed="false">
      <c r="M323" s="61"/>
    </row>
    <row r="324" customFormat="false" ht="14.25" hidden="false" customHeight="true" outlineLevel="0" collapsed="false">
      <c r="M324" s="61"/>
    </row>
    <row r="325" customFormat="false" ht="14.25" hidden="false" customHeight="true" outlineLevel="0" collapsed="false">
      <c r="M325" s="61"/>
    </row>
    <row r="326" customFormat="false" ht="14.25" hidden="false" customHeight="true" outlineLevel="0" collapsed="false">
      <c r="M326" s="61"/>
    </row>
    <row r="327" customFormat="false" ht="14.25" hidden="false" customHeight="true" outlineLevel="0" collapsed="false">
      <c r="M327" s="61"/>
    </row>
    <row r="328" customFormat="false" ht="14.25" hidden="false" customHeight="true" outlineLevel="0" collapsed="false">
      <c r="M328" s="61"/>
    </row>
    <row r="329" customFormat="false" ht="14.25" hidden="false" customHeight="true" outlineLevel="0" collapsed="false">
      <c r="M329" s="61"/>
    </row>
    <row r="330" customFormat="false" ht="14.25" hidden="false" customHeight="true" outlineLevel="0" collapsed="false">
      <c r="M330" s="61"/>
    </row>
    <row r="331" customFormat="false" ht="14.25" hidden="false" customHeight="true" outlineLevel="0" collapsed="false">
      <c r="M331" s="61"/>
    </row>
    <row r="332" customFormat="false" ht="14.25" hidden="false" customHeight="true" outlineLevel="0" collapsed="false">
      <c r="M332" s="61"/>
    </row>
    <row r="333" customFormat="false" ht="14.25" hidden="false" customHeight="true" outlineLevel="0" collapsed="false">
      <c r="M333" s="61"/>
    </row>
    <row r="334" customFormat="false" ht="14.25" hidden="false" customHeight="true" outlineLevel="0" collapsed="false">
      <c r="M334" s="61"/>
    </row>
    <row r="335" customFormat="false" ht="14.25" hidden="false" customHeight="true" outlineLevel="0" collapsed="false">
      <c r="M335" s="61"/>
    </row>
    <row r="336" customFormat="false" ht="14.25" hidden="false" customHeight="true" outlineLevel="0" collapsed="false">
      <c r="M336" s="61"/>
    </row>
    <row r="337" customFormat="false" ht="14.25" hidden="false" customHeight="true" outlineLevel="0" collapsed="false">
      <c r="M337" s="61"/>
    </row>
    <row r="338" customFormat="false" ht="14.25" hidden="false" customHeight="true" outlineLevel="0" collapsed="false">
      <c r="M338" s="61"/>
    </row>
    <row r="339" customFormat="false" ht="14.25" hidden="false" customHeight="true" outlineLevel="0" collapsed="false">
      <c r="M339" s="61"/>
    </row>
    <row r="340" customFormat="false" ht="14.25" hidden="false" customHeight="true" outlineLevel="0" collapsed="false">
      <c r="M340" s="61"/>
    </row>
    <row r="341" customFormat="false" ht="14.25" hidden="false" customHeight="true" outlineLevel="0" collapsed="false">
      <c r="M341" s="61"/>
    </row>
    <row r="342" customFormat="false" ht="14.25" hidden="false" customHeight="true" outlineLevel="0" collapsed="false">
      <c r="M342" s="61"/>
    </row>
    <row r="343" customFormat="false" ht="14.25" hidden="false" customHeight="true" outlineLevel="0" collapsed="false">
      <c r="M343" s="61"/>
    </row>
    <row r="344" customFormat="false" ht="14.25" hidden="false" customHeight="true" outlineLevel="0" collapsed="false">
      <c r="M344" s="61"/>
    </row>
    <row r="345" customFormat="false" ht="14.25" hidden="false" customHeight="true" outlineLevel="0" collapsed="false">
      <c r="M345" s="61"/>
    </row>
    <row r="346" customFormat="false" ht="14.25" hidden="false" customHeight="true" outlineLevel="0" collapsed="false">
      <c r="M346" s="61"/>
    </row>
    <row r="347" customFormat="false" ht="14.25" hidden="false" customHeight="true" outlineLevel="0" collapsed="false">
      <c r="M347" s="61"/>
    </row>
    <row r="348" customFormat="false" ht="14.25" hidden="false" customHeight="true" outlineLevel="0" collapsed="false">
      <c r="M348" s="61"/>
    </row>
    <row r="349" customFormat="false" ht="14.25" hidden="false" customHeight="true" outlineLevel="0" collapsed="false">
      <c r="M349" s="61"/>
    </row>
    <row r="350" customFormat="false" ht="14.25" hidden="false" customHeight="true" outlineLevel="0" collapsed="false">
      <c r="M350" s="61"/>
    </row>
    <row r="351" customFormat="false" ht="14.25" hidden="false" customHeight="true" outlineLevel="0" collapsed="false">
      <c r="M351" s="61"/>
    </row>
    <row r="352" customFormat="false" ht="14.25" hidden="false" customHeight="true" outlineLevel="0" collapsed="false">
      <c r="M352" s="61"/>
    </row>
    <row r="353" customFormat="false" ht="14.25" hidden="false" customHeight="true" outlineLevel="0" collapsed="false">
      <c r="M353" s="61"/>
    </row>
    <row r="354" customFormat="false" ht="14.25" hidden="false" customHeight="true" outlineLevel="0" collapsed="false">
      <c r="M354" s="61"/>
    </row>
    <row r="355" customFormat="false" ht="14.25" hidden="false" customHeight="true" outlineLevel="0" collapsed="false">
      <c r="M355" s="61"/>
    </row>
    <row r="356" customFormat="false" ht="14.25" hidden="false" customHeight="true" outlineLevel="0" collapsed="false">
      <c r="M356" s="61"/>
    </row>
    <row r="357" customFormat="false" ht="14.25" hidden="false" customHeight="true" outlineLevel="0" collapsed="false">
      <c r="M357" s="61"/>
    </row>
    <row r="358" customFormat="false" ht="14.25" hidden="false" customHeight="true" outlineLevel="0" collapsed="false">
      <c r="M358" s="61"/>
    </row>
    <row r="359" customFormat="false" ht="14.25" hidden="false" customHeight="true" outlineLevel="0" collapsed="false">
      <c r="M359" s="61"/>
    </row>
    <row r="360" customFormat="false" ht="14.25" hidden="false" customHeight="true" outlineLevel="0" collapsed="false">
      <c r="M360" s="61"/>
    </row>
    <row r="361" customFormat="false" ht="14.25" hidden="false" customHeight="true" outlineLevel="0" collapsed="false">
      <c r="M361" s="61"/>
    </row>
    <row r="362" customFormat="false" ht="14.25" hidden="false" customHeight="true" outlineLevel="0" collapsed="false">
      <c r="M362" s="61"/>
    </row>
    <row r="363" customFormat="false" ht="14.25" hidden="false" customHeight="true" outlineLevel="0" collapsed="false">
      <c r="M363" s="61"/>
    </row>
    <row r="364" customFormat="false" ht="14.25" hidden="false" customHeight="true" outlineLevel="0" collapsed="false">
      <c r="M364" s="61"/>
    </row>
    <row r="365" customFormat="false" ht="14.25" hidden="false" customHeight="true" outlineLevel="0" collapsed="false">
      <c r="M365" s="61"/>
    </row>
    <row r="366" customFormat="false" ht="14.25" hidden="false" customHeight="true" outlineLevel="0" collapsed="false">
      <c r="M366" s="61"/>
    </row>
    <row r="367" customFormat="false" ht="14.25" hidden="false" customHeight="true" outlineLevel="0" collapsed="false">
      <c r="M367" s="61"/>
    </row>
    <row r="368" customFormat="false" ht="14.25" hidden="false" customHeight="true" outlineLevel="0" collapsed="false">
      <c r="M368" s="61"/>
    </row>
    <row r="369" customFormat="false" ht="14.25" hidden="false" customHeight="true" outlineLevel="0" collapsed="false">
      <c r="M369" s="61"/>
    </row>
    <row r="370" customFormat="false" ht="14.25" hidden="false" customHeight="true" outlineLevel="0" collapsed="false">
      <c r="M370" s="61"/>
    </row>
    <row r="371" customFormat="false" ht="14.25" hidden="false" customHeight="true" outlineLevel="0" collapsed="false">
      <c r="M371" s="61"/>
    </row>
    <row r="372" customFormat="false" ht="14.25" hidden="false" customHeight="true" outlineLevel="0" collapsed="false">
      <c r="M372" s="61"/>
    </row>
    <row r="373" customFormat="false" ht="14.25" hidden="false" customHeight="true" outlineLevel="0" collapsed="false">
      <c r="M373" s="61"/>
    </row>
    <row r="374" customFormat="false" ht="14.25" hidden="false" customHeight="true" outlineLevel="0" collapsed="false">
      <c r="M374" s="61"/>
    </row>
    <row r="375" customFormat="false" ht="14.25" hidden="false" customHeight="true" outlineLevel="0" collapsed="false">
      <c r="M375" s="61"/>
    </row>
    <row r="376" customFormat="false" ht="14.25" hidden="false" customHeight="true" outlineLevel="0" collapsed="false">
      <c r="M376" s="61"/>
    </row>
    <row r="377" customFormat="false" ht="14.25" hidden="false" customHeight="true" outlineLevel="0" collapsed="false">
      <c r="M377" s="61"/>
    </row>
    <row r="378" customFormat="false" ht="14.25" hidden="false" customHeight="true" outlineLevel="0" collapsed="false">
      <c r="M378" s="61"/>
    </row>
    <row r="379" customFormat="false" ht="14.25" hidden="false" customHeight="true" outlineLevel="0" collapsed="false">
      <c r="M379" s="61"/>
    </row>
    <row r="380" customFormat="false" ht="14.25" hidden="false" customHeight="true" outlineLevel="0" collapsed="false">
      <c r="M380" s="61"/>
    </row>
    <row r="381" customFormat="false" ht="14.25" hidden="false" customHeight="true" outlineLevel="0" collapsed="false">
      <c r="M381" s="61"/>
    </row>
    <row r="382" customFormat="false" ht="14.25" hidden="false" customHeight="true" outlineLevel="0" collapsed="false">
      <c r="M382" s="61"/>
    </row>
    <row r="383" customFormat="false" ht="14.25" hidden="false" customHeight="true" outlineLevel="0" collapsed="false">
      <c r="M383" s="61"/>
    </row>
    <row r="384" customFormat="false" ht="14.25" hidden="false" customHeight="true" outlineLevel="0" collapsed="false">
      <c r="M384" s="61"/>
    </row>
    <row r="385" customFormat="false" ht="14.25" hidden="false" customHeight="true" outlineLevel="0" collapsed="false">
      <c r="M385" s="61"/>
    </row>
    <row r="386" customFormat="false" ht="14.25" hidden="false" customHeight="true" outlineLevel="0" collapsed="false">
      <c r="M386" s="61"/>
    </row>
    <row r="387" customFormat="false" ht="14.25" hidden="false" customHeight="true" outlineLevel="0" collapsed="false">
      <c r="M387" s="61"/>
    </row>
    <row r="388" customFormat="false" ht="14.25" hidden="false" customHeight="true" outlineLevel="0" collapsed="false">
      <c r="M388" s="61"/>
    </row>
    <row r="389" customFormat="false" ht="14.25" hidden="false" customHeight="true" outlineLevel="0" collapsed="false">
      <c r="M389" s="61"/>
    </row>
    <row r="390" customFormat="false" ht="14.25" hidden="false" customHeight="true" outlineLevel="0" collapsed="false">
      <c r="M390" s="61"/>
    </row>
    <row r="391" customFormat="false" ht="14.25" hidden="false" customHeight="true" outlineLevel="0" collapsed="false">
      <c r="M391" s="61"/>
    </row>
    <row r="392" customFormat="false" ht="14.25" hidden="false" customHeight="true" outlineLevel="0" collapsed="false">
      <c r="M392" s="61"/>
    </row>
    <row r="393" customFormat="false" ht="14.25" hidden="false" customHeight="true" outlineLevel="0" collapsed="false">
      <c r="M393" s="61"/>
    </row>
    <row r="394" customFormat="false" ht="14.25" hidden="false" customHeight="true" outlineLevel="0" collapsed="false">
      <c r="M394" s="61"/>
    </row>
    <row r="395" customFormat="false" ht="14.25" hidden="false" customHeight="true" outlineLevel="0" collapsed="false">
      <c r="M395" s="61"/>
    </row>
    <row r="396" customFormat="false" ht="14.25" hidden="false" customHeight="true" outlineLevel="0" collapsed="false">
      <c r="M396" s="61"/>
    </row>
    <row r="397" customFormat="false" ht="14.25" hidden="false" customHeight="true" outlineLevel="0" collapsed="false">
      <c r="M397" s="61"/>
    </row>
    <row r="398" customFormat="false" ht="14.25" hidden="false" customHeight="true" outlineLevel="0" collapsed="false">
      <c r="M398" s="61"/>
    </row>
    <row r="399" customFormat="false" ht="14.25" hidden="false" customHeight="true" outlineLevel="0" collapsed="false">
      <c r="M399" s="61"/>
    </row>
    <row r="400" customFormat="false" ht="14.25" hidden="false" customHeight="true" outlineLevel="0" collapsed="false">
      <c r="M400" s="61"/>
    </row>
  </sheetData>
  <autoFilter ref="A1:L48"/>
  <mergeCells count="1">
    <mergeCell ref="A54:L54"/>
  </mergeCells>
  <dataValidations count="4">
    <dataValidation allowBlank="true" error="Ese valor no está en la lista de ⚙️ Configuración. ¿Lo dejas así?" errorStyle="warning" errorTitle="Código" operator="between" showDropDown="false" showErrorMessage="true" showInputMessage="false" sqref="C2:C400" type="list">
      <formula1>lista_codigos</formula1>
      <formula2>0</formula2>
    </dataValidation>
    <dataValidation allowBlank="true" error="Ese valor no está en la lista de ⚙️ Configuración. ¿Lo dejas así?" errorStyle="warning" errorTitle="Color" operator="between" showDropDown="false" showErrorMessage="true" showInputMessage="false" sqref="F2:F400" type="list">
      <formula1>lista_colores</formula1>
      <formula2>0</formula2>
    </dataValidation>
    <dataValidation allowBlank="true" error="Ese valor no está en la lista de ⚙️ Configuración. ¿Lo dejas así?" errorStyle="warning" errorTitle="Unidad" operator="between" showDropDown="false" showErrorMessage="true" showInputMessage="false" sqref="H2:H400" type="list">
      <formula1>lista_unidades</formula1>
      <formula2>0</formula2>
    </dataValidation>
    <dataValidation allowBlank="true" error="Ese valor no está en la lista de ⚙️ Configuración. ¿Lo dejas así?" errorStyle="warning" errorTitle="Clasificación" operator="between" showDropDown="false" showErrorMessage="true" showInputMessage="false" sqref="M2:M400" type="list">
      <formula1>lista_clasif_mercancia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3" activeCellId="0" sqref="A23"/>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43.18"/>
    <col collapsed="false" customWidth="true" hidden="false" outlineLevel="0" max="3" min="3" style="1" width="20"/>
    <col collapsed="false" customWidth="true" hidden="false" outlineLevel="0" max="4" min="4" style="1" width="18"/>
    <col collapsed="false" customWidth="true" hidden="false" outlineLevel="0" max="5" min="5" style="1" width="10"/>
    <col collapsed="false" customWidth="true" hidden="false" outlineLevel="0" max="6" min="6" style="1" width="20"/>
    <col collapsed="false" customWidth="true" hidden="false" outlineLevel="0" max="8" min="7" style="1" width="16"/>
    <col collapsed="false" customWidth="true" hidden="false" outlineLevel="0" max="9" min="9" style="46" width="31.54"/>
    <col collapsed="false" customWidth="true" hidden="false" outlineLevel="0" max="10" min="10" style="1" width="31.91"/>
    <col collapsed="false" customWidth="true" hidden="false" outlineLevel="0" max="11" min="11" style="1" width="20"/>
  </cols>
  <sheetData>
    <row r="1" customFormat="false" ht="27.75" hidden="false" customHeight="true" outlineLevel="0" collapsed="false">
      <c r="A1" s="12" t="s">
        <v>1220</v>
      </c>
      <c r="B1" s="12" t="s">
        <v>1221</v>
      </c>
      <c r="C1" s="12" t="s">
        <v>40</v>
      </c>
      <c r="D1" s="12" t="s">
        <v>1222</v>
      </c>
      <c r="E1" s="12" t="s">
        <v>505</v>
      </c>
      <c r="F1" s="12" t="s">
        <v>74</v>
      </c>
      <c r="G1" s="12" t="s">
        <v>1223</v>
      </c>
      <c r="H1" s="12" t="s">
        <v>1224</v>
      </c>
      <c r="I1" s="47" t="s">
        <v>1225</v>
      </c>
      <c r="J1" s="12" t="s">
        <v>1226</v>
      </c>
      <c r="K1" s="60" t="s">
        <v>1106</v>
      </c>
    </row>
    <row r="2" customFormat="false" ht="19.5" hidden="false" customHeight="true" outlineLevel="0" collapsed="false">
      <c r="A2" s="49" t="s">
        <v>1227</v>
      </c>
      <c r="B2" s="13" t="s">
        <v>1228</v>
      </c>
      <c r="C2" s="49" t="s">
        <v>1229</v>
      </c>
      <c r="D2" s="49" t="s">
        <v>1230</v>
      </c>
      <c r="E2" s="14" t="n">
        <v>2</v>
      </c>
      <c r="F2" s="49" t="s">
        <v>1231</v>
      </c>
      <c r="G2" s="67" t="n">
        <v>2850000</v>
      </c>
      <c r="H2" s="15" t="n">
        <f aca="false">IF(OR(E2="",G2=""),"",E2*G2)</f>
        <v>5700000</v>
      </c>
      <c r="I2" s="68" t="n">
        <v>46274</v>
      </c>
      <c r="J2" s="13" t="s">
        <v>1232</v>
      </c>
      <c r="K2" s="61" t="s">
        <v>1091</v>
      </c>
    </row>
    <row r="3" customFormat="false" ht="19.5" hidden="false" customHeight="true" outlineLevel="0" collapsed="false">
      <c r="A3" s="49" t="s">
        <v>1233</v>
      </c>
      <c r="B3" s="13" t="s">
        <v>1234</v>
      </c>
      <c r="C3" s="49" t="s">
        <v>1229</v>
      </c>
      <c r="D3" s="49" t="s">
        <v>1230</v>
      </c>
      <c r="E3" s="14" t="n">
        <v>3</v>
      </c>
      <c r="F3" s="49" t="s">
        <v>1231</v>
      </c>
      <c r="G3" s="67" t="n">
        <v>2000000</v>
      </c>
      <c r="H3" s="15" t="n">
        <f aca="false">IF(OR(E3="",G3=""),"",E3*G3)</f>
        <v>6000000</v>
      </c>
      <c r="I3" s="68" t="n">
        <v>46274</v>
      </c>
      <c r="J3" s="13" t="s">
        <v>1235</v>
      </c>
      <c r="K3" s="61" t="s">
        <v>1091</v>
      </c>
    </row>
    <row r="4" customFormat="false" ht="19.5" hidden="false" customHeight="true" outlineLevel="0" collapsed="false">
      <c r="A4" s="49" t="s">
        <v>1236</v>
      </c>
      <c r="B4" s="13" t="s">
        <v>1237</v>
      </c>
      <c r="C4" s="49" t="s">
        <v>1238</v>
      </c>
      <c r="D4" s="49" t="s">
        <v>1239</v>
      </c>
      <c r="E4" s="14" t="n">
        <v>2</v>
      </c>
      <c r="F4" s="49" t="s">
        <v>1231</v>
      </c>
      <c r="G4" s="67" t="n">
        <v>750000</v>
      </c>
      <c r="H4" s="15" t="n">
        <f aca="false">IF(OR(E4="",G4=""),"",E4*G4)</f>
        <v>1500000</v>
      </c>
      <c r="I4" s="68" t="n">
        <v>46280</v>
      </c>
      <c r="J4" s="13" t="s">
        <v>1240</v>
      </c>
      <c r="K4" s="61" t="s">
        <v>1091</v>
      </c>
    </row>
    <row r="5" customFormat="false" ht="19.5" hidden="false" customHeight="true" outlineLevel="0" collapsed="false">
      <c r="A5" s="49" t="s">
        <v>1241</v>
      </c>
      <c r="B5" s="13" t="s">
        <v>1242</v>
      </c>
      <c r="C5" s="49" t="s">
        <v>1229</v>
      </c>
      <c r="D5" s="49" t="s">
        <v>1230</v>
      </c>
      <c r="E5" s="14" t="n">
        <v>1</v>
      </c>
      <c r="F5" s="49" t="s">
        <v>1231</v>
      </c>
      <c r="G5" s="67" t="n">
        <v>895000</v>
      </c>
      <c r="H5" s="15" t="n">
        <f aca="false">IF(OR(E5="",G5=""),"",E5*G5)</f>
        <v>895000</v>
      </c>
      <c r="I5" s="68" t="n">
        <v>46249</v>
      </c>
      <c r="J5" s="13" t="s">
        <v>1243</v>
      </c>
      <c r="K5" s="61" t="s">
        <v>1091</v>
      </c>
    </row>
    <row r="6" customFormat="false" ht="19.5" hidden="false" customHeight="true" outlineLevel="0" collapsed="false">
      <c r="A6" s="49" t="s">
        <v>1244</v>
      </c>
      <c r="B6" s="13" t="s">
        <v>1245</v>
      </c>
      <c r="C6" s="49" t="s">
        <v>1229</v>
      </c>
      <c r="D6" s="49" t="s">
        <v>1230</v>
      </c>
      <c r="E6" s="14" t="n">
        <v>1</v>
      </c>
      <c r="F6" s="49" t="s">
        <v>1231</v>
      </c>
      <c r="G6" s="67" t="n">
        <v>1180000</v>
      </c>
      <c r="H6" s="15" t="n">
        <f aca="false">IF(OR(E6="",G6=""),"",E6*G6)</f>
        <v>1180000</v>
      </c>
      <c r="I6" s="68" t="n">
        <v>46249</v>
      </c>
      <c r="J6" s="13" t="s">
        <v>1246</v>
      </c>
      <c r="K6" s="61" t="s">
        <v>1091</v>
      </c>
    </row>
    <row r="7" customFormat="false" ht="19.5" hidden="false" customHeight="true" outlineLevel="0" collapsed="false">
      <c r="A7" s="49" t="s">
        <v>1247</v>
      </c>
      <c r="B7" s="13" t="s">
        <v>1248</v>
      </c>
      <c r="C7" s="49" t="s">
        <v>1249</v>
      </c>
      <c r="D7" s="49" t="s">
        <v>1250</v>
      </c>
      <c r="E7" s="14" t="n">
        <v>1</v>
      </c>
      <c r="F7" s="49" t="s">
        <v>1251</v>
      </c>
      <c r="G7" s="67" t="n">
        <v>5048</v>
      </c>
      <c r="H7" s="15" t="n">
        <f aca="false">IF(OR(E7="",G7=""),"",E7*G7)</f>
        <v>5048</v>
      </c>
      <c r="I7" s="68" t="n">
        <v>46249</v>
      </c>
      <c r="J7" s="13" t="s">
        <v>1252</v>
      </c>
      <c r="K7" s="61" t="s">
        <v>1091</v>
      </c>
    </row>
    <row r="8" customFormat="false" ht="19.5" hidden="false" customHeight="true" outlineLevel="0" collapsed="false">
      <c r="A8" s="49" t="s">
        <v>1253</v>
      </c>
      <c r="B8" s="13" t="s">
        <v>1254</v>
      </c>
      <c r="C8" s="49" t="s">
        <v>1249</v>
      </c>
      <c r="D8" s="49" t="s">
        <v>1250</v>
      </c>
      <c r="E8" s="14" t="n">
        <v>1</v>
      </c>
      <c r="F8" s="49" t="s">
        <v>1231</v>
      </c>
      <c r="G8" s="67" t="n">
        <v>6939</v>
      </c>
      <c r="H8" s="15" t="n">
        <f aca="false">IF(OR(E8="",G8=""),"",E8*G8)</f>
        <v>6939</v>
      </c>
      <c r="I8" s="68" t="n">
        <v>46249</v>
      </c>
      <c r="J8" s="13" t="s">
        <v>1255</v>
      </c>
      <c r="K8" s="61" t="s">
        <v>1091</v>
      </c>
    </row>
    <row r="9" customFormat="false" ht="19.5" hidden="false" customHeight="true" outlineLevel="0" collapsed="false">
      <c r="A9" s="49" t="s">
        <v>1256</v>
      </c>
      <c r="B9" s="13" t="s">
        <v>1257</v>
      </c>
      <c r="C9" s="49" t="s">
        <v>1249</v>
      </c>
      <c r="D9" s="49" t="s">
        <v>1250</v>
      </c>
      <c r="E9" s="14" t="n">
        <v>1</v>
      </c>
      <c r="F9" s="49" t="s">
        <v>1231</v>
      </c>
      <c r="G9" s="67" t="n">
        <v>4950</v>
      </c>
      <c r="H9" s="15" t="n">
        <f aca="false">IF(OR(E9="",G9=""),"",E9*G9)</f>
        <v>4950</v>
      </c>
      <c r="I9" s="68" t="n">
        <v>46249</v>
      </c>
      <c r="J9" s="13" t="s">
        <v>1255</v>
      </c>
      <c r="K9" s="61" t="s">
        <v>1091</v>
      </c>
    </row>
    <row r="10" customFormat="false" ht="19.5" hidden="false" customHeight="true" outlineLevel="0" collapsed="false">
      <c r="A10" s="49" t="s">
        <v>1258</v>
      </c>
      <c r="B10" s="13" t="s">
        <v>1259</v>
      </c>
      <c r="C10" s="49" t="s">
        <v>1238</v>
      </c>
      <c r="D10" s="49" t="s">
        <v>1260</v>
      </c>
      <c r="E10" s="14" t="n">
        <v>6</v>
      </c>
      <c r="F10" s="49" t="s">
        <v>1231</v>
      </c>
      <c r="G10" s="67" t="n">
        <v>8232</v>
      </c>
      <c r="H10" s="15" t="n">
        <f aca="false">IF(OR(E10="",G10=""),"",E10*G10)</f>
        <v>49392</v>
      </c>
      <c r="I10" s="68" t="n">
        <v>46249</v>
      </c>
      <c r="J10" s="13" t="s">
        <v>1261</v>
      </c>
      <c r="K10" s="61" t="s">
        <v>1091</v>
      </c>
    </row>
    <row r="11" customFormat="false" ht="19.5" hidden="false" customHeight="true" outlineLevel="0" collapsed="false">
      <c r="A11" s="49" t="s">
        <v>1262</v>
      </c>
      <c r="B11" s="13" t="s">
        <v>1263</v>
      </c>
      <c r="C11" s="49" t="s">
        <v>1264</v>
      </c>
      <c r="D11" s="49" t="s">
        <v>1230</v>
      </c>
      <c r="E11" s="14" t="n">
        <v>1</v>
      </c>
      <c r="F11" s="49" t="s">
        <v>1231</v>
      </c>
      <c r="G11" s="67" t="n">
        <v>590000</v>
      </c>
      <c r="H11" s="15" t="n">
        <f aca="false">IF(OR(E11="",G11=""),"",E11*G11)</f>
        <v>590000</v>
      </c>
      <c r="I11" s="68" t="n">
        <v>46249</v>
      </c>
      <c r="J11" s="13" t="s">
        <v>1265</v>
      </c>
      <c r="K11" s="61" t="s">
        <v>1091</v>
      </c>
    </row>
    <row r="12" customFormat="false" ht="19.5" hidden="false" customHeight="true" outlineLevel="0" collapsed="false">
      <c r="A12" s="49" t="s">
        <v>1266</v>
      </c>
      <c r="B12" s="13" t="s">
        <v>1267</v>
      </c>
      <c r="C12" s="49" t="s">
        <v>1229</v>
      </c>
      <c r="D12" s="49" t="s">
        <v>1230</v>
      </c>
      <c r="E12" s="14" t="n">
        <v>4</v>
      </c>
      <c r="F12" s="49" t="s">
        <v>1231</v>
      </c>
      <c r="G12" s="67" t="n">
        <v>13856</v>
      </c>
      <c r="H12" s="15" t="n">
        <f aca="false">IF(OR(E12="",G12=""),"",E12*G12)</f>
        <v>55424</v>
      </c>
      <c r="I12" s="68" t="n">
        <v>46249</v>
      </c>
      <c r="J12" s="13" t="s">
        <v>1268</v>
      </c>
      <c r="K12" s="61" t="s">
        <v>1091</v>
      </c>
    </row>
    <row r="13" customFormat="false" ht="19.5" hidden="false" customHeight="true" outlineLevel="0" collapsed="false">
      <c r="A13" s="49" t="s">
        <v>1269</v>
      </c>
      <c r="B13" s="13" t="s">
        <v>1270</v>
      </c>
      <c r="C13" s="49" t="s">
        <v>1229</v>
      </c>
      <c r="D13" s="49" t="s">
        <v>1230</v>
      </c>
      <c r="E13" s="14" t="n">
        <v>1</v>
      </c>
      <c r="F13" s="49" t="s">
        <v>1231</v>
      </c>
      <c r="G13" s="67" t="n">
        <v>13220</v>
      </c>
      <c r="H13" s="15" t="n">
        <f aca="false">IF(OR(E13="",G13=""),"",E13*G13)</f>
        <v>13220</v>
      </c>
      <c r="I13" s="68" t="n">
        <v>46249</v>
      </c>
      <c r="J13" s="13"/>
      <c r="K13" s="61" t="s">
        <v>1091</v>
      </c>
    </row>
    <row r="14" customFormat="false" ht="19.5" hidden="false" customHeight="true" outlineLevel="0" collapsed="false">
      <c r="A14" s="49" t="s">
        <v>1271</v>
      </c>
      <c r="B14" s="13" t="s">
        <v>1272</v>
      </c>
      <c r="C14" s="49" t="s">
        <v>1229</v>
      </c>
      <c r="D14" s="49" t="s">
        <v>1230</v>
      </c>
      <c r="E14" s="14" t="n">
        <v>10</v>
      </c>
      <c r="F14" s="49" t="s">
        <v>1231</v>
      </c>
      <c r="G14" s="67" t="n">
        <v>1666</v>
      </c>
      <c r="H14" s="15" t="n">
        <f aca="false">IF(OR(E14="",G14=""),"",E14*G14)</f>
        <v>16660</v>
      </c>
      <c r="I14" s="68" t="n">
        <v>46249</v>
      </c>
      <c r="J14" s="13"/>
      <c r="K14" s="61" t="s">
        <v>1091</v>
      </c>
    </row>
    <row r="15" customFormat="false" ht="19.5" hidden="false" customHeight="true" outlineLevel="0" collapsed="false">
      <c r="A15" s="49" t="s">
        <v>1273</v>
      </c>
      <c r="B15" s="13" t="s">
        <v>1274</v>
      </c>
      <c r="C15" s="49" t="s">
        <v>1238</v>
      </c>
      <c r="D15" s="49" t="s">
        <v>1230</v>
      </c>
      <c r="E15" s="14" t="n">
        <v>2</v>
      </c>
      <c r="F15" s="49" t="s">
        <v>1231</v>
      </c>
      <c r="G15" s="67" t="n">
        <v>1703</v>
      </c>
      <c r="H15" s="15" t="n">
        <f aca="false">IF(OR(E15="",G15=""),"",E15*G15)</f>
        <v>3406</v>
      </c>
      <c r="I15" s="68" t="n">
        <v>46249</v>
      </c>
      <c r="J15" s="13"/>
      <c r="K15" s="61" t="s">
        <v>1091</v>
      </c>
    </row>
    <row r="16" customFormat="false" ht="19.5" hidden="false" customHeight="true" outlineLevel="0" collapsed="false">
      <c r="A16" s="49" t="s">
        <v>1275</v>
      </c>
      <c r="B16" s="13" t="s">
        <v>1276</v>
      </c>
      <c r="C16" s="49" t="s">
        <v>1249</v>
      </c>
      <c r="D16" s="49" t="s">
        <v>1230</v>
      </c>
      <c r="E16" s="14" t="n">
        <v>6</v>
      </c>
      <c r="F16" s="49" t="s">
        <v>1231</v>
      </c>
      <c r="G16" s="67" t="n">
        <v>1486</v>
      </c>
      <c r="H16" s="15" t="n">
        <f aca="false">IF(OR(E16="",G16=""),"",E16*G16)</f>
        <v>8916</v>
      </c>
      <c r="I16" s="68" t="n">
        <v>46216</v>
      </c>
      <c r="J16" s="13"/>
      <c r="K16" s="61" t="s">
        <v>1091</v>
      </c>
    </row>
    <row r="17" customFormat="false" ht="19.5" hidden="false" customHeight="true" outlineLevel="0" collapsed="false">
      <c r="A17" s="49" t="s">
        <v>1277</v>
      </c>
      <c r="B17" s="13" t="s">
        <v>1278</v>
      </c>
      <c r="C17" s="49" t="s">
        <v>1238</v>
      </c>
      <c r="D17" s="49" t="s">
        <v>1239</v>
      </c>
      <c r="E17" s="14" t="n">
        <v>1</v>
      </c>
      <c r="F17" s="49" t="s">
        <v>1231</v>
      </c>
      <c r="G17" s="67" t="n">
        <v>17921</v>
      </c>
      <c r="H17" s="15" t="n">
        <f aca="false">IF(OR(E17="",G17=""),"",E17*G17)</f>
        <v>17921</v>
      </c>
      <c r="I17" s="68" t="n">
        <v>46249</v>
      </c>
      <c r="J17" s="13"/>
      <c r="K17" s="61" t="s">
        <v>1091</v>
      </c>
    </row>
    <row r="18" customFormat="false" ht="19.5" hidden="false" customHeight="true" outlineLevel="0" collapsed="false">
      <c r="A18" s="49" t="s">
        <v>1279</v>
      </c>
      <c r="B18" s="13" t="s">
        <v>1280</v>
      </c>
      <c r="C18" s="49" t="s">
        <v>1281</v>
      </c>
      <c r="D18" s="49" t="s">
        <v>1239</v>
      </c>
      <c r="E18" s="14" t="n">
        <v>1</v>
      </c>
      <c r="F18" s="49" t="s">
        <v>1231</v>
      </c>
      <c r="G18" s="67" t="n">
        <v>13929</v>
      </c>
      <c r="H18" s="15" t="n">
        <f aca="false">IF(OR(E18="",G18=""),"",E18*G18)</f>
        <v>13929</v>
      </c>
      <c r="I18" s="68" t="n">
        <v>46249</v>
      </c>
      <c r="J18" s="13"/>
      <c r="K18" s="61" t="s">
        <v>1091</v>
      </c>
    </row>
    <row r="19" customFormat="false" ht="19.5" hidden="false" customHeight="true" outlineLevel="0" collapsed="false">
      <c r="A19" s="49" t="s">
        <v>1282</v>
      </c>
      <c r="B19" s="13" t="s">
        <v>1283</v>
      </c>
      <c r="C19" s="49" t="s">
        <v>1281</v>
      </c>
      <c r="D19" s="49" t="s">
        <v>1239</v>
      </c>
      <c r="E19" s="14" t="n">
        <v>1</v>
      </c>
      <c r="F19" s="49" t="s">
        <v>1231</v>
      </c>
      <c r="G19" s="67" t="n">
        <v>11662</v>
      </c>
      <c r="H19" s="15" t="n">
        <f aca="false">IF(OR(E19="",G19=""),"",E19*G19)</f>
        <v>11662</v>
      </c>
      <c r="I19" s="68" t="n">
        <v>46249</v>
      </c>
      <c r="J19" s="13"/>
      <c r="K19" s="61" t="s">
        <v>1091</v>
      </c>
    </row>
    <row r="20" customFormat="false" ht="19.5" hidden="false" customHeight="true" outlineLevel="0" collapsed="false">
      <c r="A20" s="49" t="s">
        <v>1284</v>
      </c>
      <c r="B20" s="13" t="s">
        <v>1285</v>
      </c>
      <c r="C20" s="49" t="s">
        <v>1281</v>
      </c>
      <c r="D20" s="49" t="s">
        <v>1239</v>
      </c>
      <c r="E20" s="14" t="n">
        <v>1</v>
      </c>
      <c r="F20" s="49" t="s">
        <v>1231</v>
      </c>
      <c r="G20" s="67" t="n">
        <v>10994</v>
      </c>
      <c r="H20" s="15" t="n">
        <f aca="false">IF(OR(E20="",G20=""),"",E20*G20)</f>
        <v>10994</v>
      </c>
      <c r="I20" s="68" t="n">
        <v>46249</v>
      </c>
      <c r="J20" s="13"/>
      <c r="K20" s="61" t="s">
        <v>1091</v>
      </c>
    </row>
    <row r="21" customFormat="false" ht="19.5" hidden="false" customHeight="true" outlineLevel="0" collapsed="false">
      <c r="A21" s="49" t="s">
        <v>1286</v>
      </c>
      <c r="B21" s="13" t="s">
        <v>1287</v>
      </c>
      <c r="C21" s="49" t="s">
        <v>1238</v>
      </c>
      <c r="D21" s="49" t="s">
        <v>1239</v>
      </c>
      <c r="E21" s="14" t="n">
        <v>20</v>
      </c>
      <c r="F21" s="49" t="s">
        <v>1231</v>
      </c>
      <c r="G21" s="15" t="n">
        <v>924</v>
      </c>
      <c r="H21" s="15" t="n">
        <f aca="false">IF(OR(E21="",G21=""),"",E21*G21)</f>
        <v>18480</v>
      </c>
      <c r="I21" s="68" t="n">
        <v>46249</v>
      </c>
      <c r="J21" s="13"/>
      <c r="K21" s="61" t="s">
        <v>1091</v>
      </c>
    </row>
    <row r="22" customFormat="false" ht="19.5" hidden="false" customHeight="true" outlineLevel="0" collapsed="false">
      <c r="A22" s="49" t="s">
        <v>1288</v>
      </c>
      <c r="B22" s="13" t="s">
        <v>1289</v>
      </c>
      <c r="C22" s="49" t="s">
        <v>1238</v>
      </c>
      <c r="D22" s="49" t="s">
        <v>1239</v>
      </c>
      <c r="E22" s="14" t="n">
        <v>1</v>
      </c>
      <c r="F22" s="49" t="s">
        <v>1231</v>
      </c>
      <c r="G22" s="15" t="n">
        <v>17108</v>
      </c>
      <c r="H22" s="15" t="n">
        <f aca="false">IF(OR(E22="",G22=""),"",E22*G22)</f>
        <v>17108</v>
      </c>
      <c r="I22" s="68" t="n">
        <v>46249</v>
      </c>
      <c r="J22" s="13"/>
      <c r="K22" s="61" t="s">
        <v>1091</v>
      </c>
    </row>
    <row r="23" customFormat="false" ht="19.5" hidden="false" customHeight="true" outlineLevel="0" collapsed="false">
      <c r="A23" s="49" t="s">
        <v>1290</v>
      </c>
      <c r="B23" s="13" t="s">
        <v>1291</v>
      </c>
      <c r="C23" s="49" t="s">
        <v>1229</v>
      </c>
      <c r="D23" s="49" t="s">
        <v>1239</v>
      </c>
      <c r="E23" s="14" t="n">
        <v>1</v>
      </c>
      <c r="F23" s="49" t="s">
        <v>1231</v>
      </c>
      <c r="G23" s="15" t="n">
        <v>9583</v>
      </c>
      <c r="H23" s="15" t="n">
        <f aca="false">IF(OR(E23="",G23=""),"",E23*G23)</f>
        <v>9583</v>
      </c>
      <c r="I23" s="68" t="n">
        <v>46249</v>
      </c>
      <c r="J23" s="13"/>
      <c r="K23" s="61" t="s">
        <v>1091</v>
      </c>
    </row>
    <row r="24" customFormat="false" ht="19.5" hidden="false" customHeight="true" outlineLevel="0" collapsed="false">
      <c r="A24" s="49" t="s">
        <v>1292</v>
      </c>
      <c r="B24" s="13" t="s">
        <v>1293</v>
      </c>
      <c r="C24" s="49" t="s">
        <v>1264</v>
      </c>
      <c r="D24" s="49" t="s">
        <v>1230</v>
      </c>
      <c r="E24" s="14" t="n">
        <v>1</v>
      </c>
      <c r="F24" s="49" t="s">
        <v>1231</v>
      </c>
      <c r="G24" s="15" t="n">
        <v>8842</v>
      </c>
      <c r="H24" s="15" t="n">
        <f aca="false">IF(OR(E24="",G24=""),"",E24*G24)</f>
        <v>8842</v>
      </c>
      <c r="I24" s="68" t="n">
        <v>46259</v>
      </c>
      <c r="J24" s="13"/>
      <c r="K24" s="61" t="s">
        <v>1091</v>
      </c>
    </row>
    <row r="25" customFormat="false" ht="19.5" hidden="false" customHeight="true" outlineLevel="0" collapsed="false">
      <c r="A25" s="49" t="s">
        <v>1294</v>
      </c>
      <c r="B25" s="13" t="s">
        <v>1295</v>
      </c>
      <c r="C25" s="49" t="s">
        <v>1264</v>
      </c>
      <c r="D25" s="49" t="s">
        <v>1230</v>
      </c>
      <c r="E25" s="14" t="n">
        <v>1</v>
      </c>
      <c r="F25" s="49" t="s">
        <v>1231</v>
      </c>
      <c r="G25" s="15" t="n">
        <v>11575</v>
      </c>
      <c r="H25" s="15" t="n">
        <f aca="false">IF(OR(E25="",G25=""),"",E25*G25)</f>
        <v>11575</v>
      </c>
      <c r="I25" s="68" t="n">
        <v>46259</v>
      </c>
      <c r="J25" s="13"/>
      <c r="K25" s="61" t="s">
        <v>1091</v>
      </c>
    </row>
    <row r="26" customFormat="false" ht="19.5" hidden="false" customHeight="true" outlineLevel="0" collapsed="false">
      <c r="A26" s="49" t="s">
        <v>1296</v>
      </c>
      <c r="B26" s="13" t="s">
        <v>1297</v>
      </c>
      <c r="C26" s="49" t="s">
        <v>1238</v>
      </c>
      <c r="D26" s="49" t="s">
        <v>1230</v>
      </c>
      <c r="E26" s="14" t="n">
        <v>1</v>
      </c>
      <c r="F26" s="49" t="s">
        <v>1231</v>
      </c>
      <c r="G26" s="15" t="n">
        <v>12846</v>
      </c>
      <c r="H26" s="15" t="n">
        <f aca="false">IF(OR(E26="",G26=""),"",E26*G26)</f>
        <v>12846</v>
      </c>
      <c r="I26" s="68" t="n">
        <v>46259</v>
      </c>
      <c r="J26" s="13"/>
      <c r="K26" s="61" t="s">
        <v>1091</v>
      </c>
    </row>
    <row r="27" customFormat="false" ht="19.5" hidden="false" customHeight="true" outlineLevel="0" collapsed="false">
      <c r="A27" s="49" t="s">
        <v>1298</v>
      </c>
      <c r="B27" s="13" t="s">
        <v>1299</v>
      </c>
      <c r="C27" s="49" t="s">
        <v>1238</v>
      </c>
      <c r="D27" s="49" t="s">
        <v>1230</v>
      </c>
      <c r="E27" s="14" t="n">
        <v>1</v>
      </c>
      <c r="F27" s="49" t="s">
        <v>1231</v>
      </c>
      <c r="G27" s="15" t="n">
        <v>5029</v>
      </c>
      <c r="H27" s="15" t="n">
        <f aca="false">IF(OR(E27="",G27=""),"",E27*G27)</f>
        <v>5029</v>
      </c>
      <c r="I27" s="68" t="n">
        <v>46259</v>
      </c>
      <c r="J27" s="13"/>
      <c r="K27" s="61" t="s">
        <v>1091</v>
      </c>
    </row>
    <row r="28" customFormat="false" ht="19.5" hidden="false" customHeight="true" outlineLevel="0" collapsed="false">
      <c r="A28" s="49" t="s">
        <v>1300</v>
      </c>
      <c r="B28" s="13" t="s">
        <v>1301</v>
      </c>
      <c r="C28" s="49" t="s">
        <v>1238</v>
      </c>
      <c r="D28" s="49" t="s">
        <v>1230</v>
      </c>
      <c r="E28" s="14" t="n">
        <v>1</v>
      </c>
      <c r="F28" s="49" t="s">
        <v>1231</v>
      </c>
      <c r="G28" s="15" t="n">
        <v>8621</v>
      </c>
      <c r="H28" s="15" t="n">
        <f aca="false">IF(OR(E28="",G28=""),"",E28*G28)</f>
        <v>8621</v>
      </c>
      <c r="I28" s="68" t="n">
        <v>46259</v>
      </c>
      <c r="J28" s="13"/>
      <c r="K28" s="61" t="s">
        <v>1091</v>
      </c>
    </row>
    <row r="29" customFormat="false" ht="19.5" hidden="false" customHeight="true" outlineLevel="0" collapsed="false">
      <c r="A29" s="49" t="s">
        <v>1302</v>
      </c>
      <c r="B29" s="13" t="s">
        <v>1303</v>
      </c>
      <c r="C29" s="49" t="s">
        <v>1238</v>
      </c>
      <c r="D29" s="49" t="s">
        <v>1230</v>
      </c>
      <c r="E29" s="14" t="n">
        <v>1</v>
      </c>
      <c r="F29" s="49" t="s">
        <v>1231</v>
      </c>
      <c r="G29" s="15" t="n">
        <v>12509</v>
      </c>
      <c r="H29" s="15" t="n">
        <f aca="false">IF(OR(E29="",G29=""),"",E29*G29)</f>
        <v>12509</v>
      </c>
      <c r="I29" s="68" t="n">
        <v>46259</v>
      </c>
      <c r="J29" s="13"/>
      <c r="K29" s="61" t="s">
        <v>1091</v>
      </c>
    </row>
    <row r="30" customFormat="false" ht="19.5" hidden="false" customHeight="true" outlineLevel="0" collapsed="false">
      <c r="A30" s="49" t="s">
        <v>1304</v>
      </c>
      <c r="B30" s="13" t="s">
        <v>1305</v>
      </c>
      <c r="C30" s="49" t="s">
        <v>1238</v>
      </c>
      <c r="D30" s="49" t="s">
        <v>1230</v>
      </c>
      <c r="E30" s="14" t="n">
        <v>1</v>
      </c>
      <c r="F30" s="49" t="s">
        <v>1231</v>
      </c>
      <c r="G30" s="15" t="n">
        <v>6371</v>
      </c>
      <c r="H30" s="15" t="n">
        <f aca="false">IF(OR(E30="",G30=""),"",E30*G30)</f>
        <v>6371</v>
      </c>
      <c r="I30" s="68" t="n">
        <v>46259</v>
      </c>
      <c r="J30" s="13"/>
      <c r="K30" s="61" t="s">
        <v>1091</v>
      </c>
    </row>
    <row r="31" customFormat="false" ht="19.5" hidden="false" customHeight="true" outlineLevel="0" collapsed="false">
      <c r="A31" s="49" t="s">
        <v>1306</v>
      </c>
      <c r="B31" s="13" t="s">
        <v>1307</v>
      </c>
      <c r="C31" s="49" t="s">
        <v>1238</v>
      </c>
      <c r="D31" s="49" t="s">
        <v>1230</v>
      </c>
      <c r="E31" s="14" t="n">
        <v>1</v>
      </c>
      <c r="F31" s="49" t="s">
        <v>1231</v>
      </c>
      <c r="G31" s="15" t="n">
        <v>7784</v>
      </c>
      <c r="H31" s="15" t="n">
        <f aca="false">IF(OR(E31="",G31=""),"",E31*G31)</f>
        <v>7784</v>
      </c>
      <c r="I31" s="68" t="n">
        <v>46259</v>
      </c>
      <c r="J31" s="13"/>
      <c r="K31" s="61" t="s">
        <v>1091</v>
      </c>
    </row>
    <row r="32" customFormat="false" ht="19.5" hidden="false" customHeight="true" outlineLevel="0" collapsed="false">
      <c r="A32" s="49" t="s">
        <v>1308</v>
      </c>
      <c r="B32" s="13" t="s">
        <v>1309</v>
      </c>
      <c r="C32" s="49" t="s">
        <v>1238</v>
      </c>
      <c r="D32" s="49" t="s">
        <v>1230</v>
      </c>
      <c r="E32" s="14" t="n">
        <v>1</v>
      </c>
      <c r="F32" s="49" t="s">
        <v>1231</v>
      </c>
      <c r="G32" s="15" t="n">
        <v>8074</v>
      </c>
      <c r="H32" s="15" t="n">
        <f aca="false">IF(OR(E32="",G32=""),"",E32*G32)</f>
        <v>8074</v>
      </c>
      <c r="I32" s="68" t="n">
        <v>46268</v>
      </c>
      <c r="J32" s="13"/>
      <c r="K32" s="61" t="s">
        <v>1091</v>
      </c>
    </row>
    <row r="33" customFormat="false" ht="19.5" hidden="false" customHeight="true" outlineLevel="0" collapsed="false">
      <c r="A33" s="49" t="s">
        <v>1310</v>
      </c>
      <c r="B33" s="13" t="s">
        <v>1311</v>
      </c>
      <c r="C33" s="49" t="s">
        <v>1249</v>
      </c>
      <c r="D33" s="49" t="s">
        <v>1230</v>
      </c>
      <c r="E33" s="14" t="n">
        <v>2</v>
      </c>
      <c r="F33" s="49" t="s">
        <v>1231</v>
      </c>
      <c r="G33" s="15" t="n">
        <v>5165</v>
      </c>
      <c r="H33" s="15" t="n">
        <f aca="false">IF(OR(E33="",G33=""),"",E33*G33)</f>
        <v>10330</v>
      </c>
      <c r="I33" s="68" t="n">
        <v>46268</v>
      </c>
      <c r="J33" s="13"/>
      <c r="K33" s="61" t="s">
        <v>1091</v>
      </c>
    </row>
    <row r="34" customFormat="false" ht="19.5" hidden="false" customHeight="true" outlineLevel="0" collapsed="false">
      <c r="A34" s="49" t="s">
        <v>1312</v>
      </c>
      <c r="B34" s="13" t="s">
        <v>1313</v>
      </c>
      <c r="C34" s="49" t="s">
        <v>1249</v>
      </c>
      <c r="D34" s="49" t="s">
        <v>1230</v>
      </c>
      <c r="E34" s="14" t="n">
        <v>2</v>
      </c>
      <c r="F34" s="49" t="s">
        <v>1231</v>
      </c>
      <c r="G34" s="15" t="n">
        <v>4647</v>
      </c>
      <c r="H34" s="15" t="n">
        <f aca="false">IF(OR(E34="",G34=""),"",E34*G34)</f>
        <v>9294</v>
      </c>
      <c r="I34" s="68" t="n">
        <v>46268</v>
      </c>
      <c r="J34" s="13"/>
      <c r="K34" s="61" t="s">
        <v>1091</v>
      </c>
    </row>
    <row r="35" customFormat="false" ht="19.5" hidden="false" customHeight="true" outlineLevel="0" collapsed="false">
      <c r="A35" s="49" t="s">
        <v>1314</v>
      </c>
      <c r="B35" s="13" t="s">
        <v>1315</v>
      </c>
      <c r="C35" s="49" t="s">
        <v>1229</v>
      </c>
      <c r="D35" s="49" t="s">
        <v>1230</v>
      </c>
      <c r="E35" s="14" t="n">
        <v>11</v>
      </c>
      <c r="F35" s="49" t="s">
        <v>1231</v>
      </c>
      <c r="G35" s="15" t="n">
        <v>7518</v>
      </c>
      <c r="H35" s="15" t="n">
        <f aca="false">IF(OR(E35="",G35=""),"",E35*G35)</f>
        <v>82698</v>
      </c>
      <c r="I35" s="68" t="n">
        <v>46268</v>
      </c>
      <c r="J35" s="13"/>
      <c r="K35" s="61" t="s">
        <v>1091</v>
      </c>
    </row>
    <row r="36" customFormat="false" ht="19.5" hidden="false" customHeight="true" outlineLevel="0" collapsed="false">
      <c r="A36" s="49" t="s">
        <v>1316</v>
      </c>
      <c r="B36" s="13" t="s">
        <v>1317</v>
      </c>
      <c r="C36" s="49" t="s">
        <v>1249</v>
      </c>
      <c r="D36" s="49" t="s">
        <v>1230</v>
      </c>
      <c r="E36" s="14" t="n">
        <v>22</v>
      </c>
      <c r="F36" s="49" t="s">
        <v>1231</v>
      </c>
      <c r="G36" s="15" t="n">
        <v>541</v>
      </c>
      <c r="H36" s="15" t="n">
        <f aca="false">IF(OR(E36="",G36=""),"",E36*G36)</f>
        <v>11902</v>
      </c>
      <c r="I36" s="68" t="n">
        <v>46277</v>
      </c>
      <c r="J36" s="13"/>
      <c r="K36" s="61" t="s">
        <v>1091</v>
      </c>
    </row>
    <row r="37" customFormat="false" ht="19.5" hidden="false" customHeight="true" outlineLevel="0" collapsed="false">
      <c r="A37" s="49" t="s">
        <v>1318</v>
      </c>
      <c r="B37" s="13" t="s">
        <v>1319</v>
      </c>
      <c r="C37" s="49" t="s">
        <v>1229</v>
      </c>
      <c r="D37" s="49" t="s">
        <v>1230</v>
      </c>
      <c r="E37" s="14"/>
      <c r="F37" s="49" t="s">
        <v>1231</v>
      </c>
      <c r="G37" s="15" t="n">
        <v>25000</v>
      </c>
      <c r="H37" s="15" t="str">
        <f aca="false">IF(OR(E37="",G37=""),"",E37*G37)</f>
        <v/>
      </c>
      <c r="I37" s="68" t="n">
        <v>46253</v>
      </c>
      <c r="J37" s="13"/>
      <c r="K37" s="61" t="s">
        <v>1091</v>
      </c>
    </row>
    <row r="38" customFormat="false" ht="19.5" hidden="false" customHeight="true" outlineLevel="0" collapsed="false">
      <c r="A38" s="49" t="s">
        <v>1320</v>
      </c>
      <c r="B38" s="13" t="s">
        <v>1321</v>
      </c>
      <c r="C38" s="49" t="s">
        <v>1229</v>
      </c>
      <c r="D38" s="49" t="s">
        <v>1230</v>
      </c>
      <c r="E38" s="14" t="n">
        <v>1</v>
      </c>
      <c r="F38" s="49" t="s">
        <v>1231</v>
      </c>
      <c r="G38" s="15" t="n">
        <v>1300000</v>
      </c>
      <c r="H38" s="15" t="n">
        <f aca="false">IF(OR(E38="",G38=""),"",E38*G38)</f>
        <v>1300000</v>
      </c>
      <c r="I38" s="68" t="n">
        <v>46260</v>
      </c>
      <c r="J38" s="13"/>
      <c r="K38" s="61" t="s">
        <v>1091</v>
      </c>
    </row>
    <row r="39" customFormat="false" ht="19.5" hidden="false" customHeight="true" outlineLevel="0" collapsed="false">
      <c r="A39" s="49" t="s">
        <v>1322</v>
      </c>
      <c r="B39" s="13" t="s">
        <v>1323</v>
      </c>
      <c r="C39" s="49" t="s">
        <v>1238</v>
      </c>
      <c r="D39" s="49" t="s">
        <v>1230</v>
      </c>
      <c r="E39" s="14" t="n">
        <v>1</v>
      </c>
      <c r="F39" s="49" t="s">
        <v>1231</v>
      </c>
      <c r="G39" s="15" t="n">
        <v>380000</v>
      </c>
      <c r="H39" s="15" t="n">
        <f aca="false">IF(OR(E39="",G39=""),"",E39*G39)</f>
        <v>380000</v>
      </c>
      <c r="I39" s="68" t="n">
        <v>46260</v>
      </c>
      <c r="J39" s="13"/>
      <c r="K39" s="61" t="s">
        <v>1091</v>
      </c>
    </row>
    <row r="40" customFormat="false" ht="19.5" hidden="false" customHeight="true" outlineLevel="0" collapsed="false">
      <c r="A40" s="49" t="s">
        <v>1324</v>
      </c>
      <c r="B40" s="13" t="s">
        <v>1325</v>
      </c>
      <c r="C40" s="49" t="s">
        <v>1238</v>
      </c>
      <c r="D40" s="49" t="s">
        <v>1326</v>
      </c>
      <c r="E40" s="14" t="n">
        <v>1</v>
      </c>
      <c r="F40" s="49" t="s">
        <v>1231</v>
      </c>
      <c r="G40" s="15" t="n">
        <v>1030000</v>
      </c>
      <c r="H40" s="15" t="n">
        <f aca="false">IF(OR(E40="",G40=""),"",E40*G40)</f>
        <v>1030000</v>
      </c>
      <c r="I40" s="68" t="n">
        <v>46260</v>
      </c>
      <c r="J40" s="13"/>
      <c r="K40" s="61" t="s">
        <v>1091</v>
      </c>
    </row>
    <row r="41" customFormat="false" ht="19.5" hidden="false" customHeight="true" outlineLevel="0" collapsed="false">
      <c r="A41" s="49" t="s">
        <v>1327</v>
      </c>
      <c r="B41" s="13" t="s">
        <v>1328</v>
      </c>
      <c r="C41" s="49" t="s">
        <v>1229</v>
      </c>
      <c r="D41" s="49" t="s">
        <v>1230</v>
      </c>
      <c r="E41" s="14" t="n">
        <v>1</v>
      </c>
      <c r="F41" s="49" t="s">
        <v>1231</v>
      </c>
      <c r="G41" s="15" t="n">
        <v>1550000</v>
      </c>
      <c r="H41" s="15" t="n">
        <f aca="false">IF(OR(E41="",G41=""),"",E41*G41)</f>
        <v>1550000</v>
      </c>
      <c r="I41" s="68" t="n">
        <v>46255</v>
      </c>
      <c r="J41" s="13"/>
      <c r="K41" s="61" t="s">
        <v>1091</v>
      </c>
    </row>
    <row r="42" customFormat="false" ht="19.5" hidden="false" customHeight="true" outlineLevel="0" collapsed="false">
      <c r="A42" s="49" t="s">
        <v>1329</v>
      </c>
      <c r="B42" s="13" t="s">
        <v>1330</v>
      </c>
      <c r="C42" s="49" t="s">
        <v>1249</v>
      </c>
      <c r="D42" s="49" t="s">
        <v>1239</v>
      </c>
      <c r="E42" s="14" t="n">
        <v>1</v>
      </c>
      <c r="F42" s="49" t="s">
        <v>1231</v>
      </c>
      <c r="G42" s="15" t="n">
        <v>12500</v>
      </c>
      <c r="H42" s="15" t="n">
        <f aca="false">IF(OR(E42="",G42=""),"",E42*G42)</f>
        <v>12500</v>
      </c>
      <c r="I42" s="68" t="n">
        <v>46268</v>
      </c>
      <c r="J42" s="13"/>
      <c r="K42" s="61" t="s">
        <v>1091</v>
      </c>
    </row>
    <row r="43" customFormat="false" ht="19.5" hidden="false" customHeight="true" outlineLevel="0" collapsed="false">
      <c r="A43" s="49" t="s">
        <v>1331</v>
      </c>
      <c r="B43" s="13" t="s">
        <v>1332</v>
      </c>
      <c r="C43" s="49" t="s">
        <v>1264</v>
      </c>
      <c r="D43" s="49" t="s">
        <v>1333</v>
      </c>
      <c r="E43" s="49" t="n">
        <v>1</v>
      </c>
      <c r="F43" s="49" t="s">
        <v>1231</v>
      </c>
      <c r="G43" s="15" t="n">
        <v>10000</v>
      </c>
      <c r="H43" s="15" t="n">
        <f aca="false">IF(OR(E43="",G43=""),"",E43*G43)</f>
        <v>10000</v>
      </c>
      <c r="I43" s="68" t="n">
        <v>46281</v>
      </c>
      <c r="J43" s="13"/>
      <c r="K43" s="61" t="s">
        <v>1091</v>
      </c>
    </row>
    <row r="44" customFormat="false" ht="19.5" hidden="false" customHeight="true" outlineLevel="0" collapsed="false">
      <c r="A44" s="49" t="s">
        <v>1334</v>
      </c>
      <c r="B44" s="13" t="s">
        <v>1335</v>
      </c>
      <c r="C44" s="49" t="s">
        <v>1229</v>
      </c>
      <c r="D44" s="49" t="s">
        <v>1230</v>
      </c>
      <c r="E44" s="49" t="n">
        <v>5</v>
      </c>
      <c r="F44" s="49" t="s">
        <v>1231</v>
      </c>
      <c r="G44" s="15" t="n">
        <v>50000</v>
      </c>
      <c r="H44" s="15" t="n">
        <f aca="false">IF(OR(E44="",G44=""),"",E44*G44)</f>
        <v>250000</v>
      </c>
      <c r="I44" s="68" t="n">
        <v>46274</v>
      </c>
      <c r="J44" s="13"/>
      <c r="K44" s="61" t="s">
        <v>1091</v>
      </c>
    </row>
    <row r="45" customFormat="false" ht="19.5" hidden="false" customHeight="true" outlineLevel="0" collapsed="false">
      <c r="A45" s="49"/>
      <c r="B45" s="13"/>
      <c r="C45" s="49"/>
      <c r="D45" s="49"/>
      <c r="E45" s="14"/>
      <c r="F45" s="49"/>
      <c r="G45" s="15"/>
      <c r="H45" s="15"/>
      <c r="I45" s="68"/>
      <c r="J45" s="13"/>
      <c r="K45" s="61"/>
    </row>
    <row r="46" customFormat="false" ht="19.5" hidden="false" customHeight="true" outlineLevel="0" collapsed="false">
      <c r="A46" s="49"/>
      <c r="B46" s="13"/>
      <c r="C46" s="49"/>
      <c r="D46" s="49"/>
      <c r="E46" s="14"/>
      <c r="F46" s="49"/>
      <c r="G46" s="15"/>
      <c r="H46" s="15"/>
      <c r="I46" s="68"/>
      <c r="J46" s="13"/>
      <c r="K46" s="61"/>
    </row>
    <row r="47" customFormat="false" ht="19.5" hidden="false" customHeight="true" outlineLevel="0" collapsed="false">
      <c r="A47" s="49" t="s">
        <v>1320</v>
      </c>
      <c r="B47" s="13"/>
      <c r="C47" s="49"/>
      <c r="D47" s="49"/>
      <c r="E47" s="14"/>
      <c r="F47" s="49"/>
      <c r="G47" s="15"/>
      <c r="H47" s="15" t="str">
        <f aca="false">IF(OR(E47="",G47=""),"",E47*G47)</f>
        <v/>
      </c>
      <c r="I47" s="50"/>
      <c r="J47" s="13"/>
      <c r="K47" s="61" t="s">
        <v>1091</v>
      </c>
    </row>
    <row r="48" customFormat="false" ht="19.5" hidden="false" customHeight="true" outlineLevel="0" collapsed="false">
      <c r="A48" s="20"/>
      <c r="B48" s="20"/>
      <c r="C48" s="20"/>
      <c r="D48" s="54" t="s">
        <v>1336</v>
      </c>
      <c r="E48" s="17" t="n">
        <f aca="false">SUM(E2:E47)</f>
        <v>125</v>
      </c>
      <c r="F48" s="20"/>
      <c r="G48" s="20"/>
      <c r="H48" s="22" t="n">
        <f aca="false">SUM(H2:H47)</f>
        <v>20857007</v>
      </c>
      <c r="I48" s="53"/>
      <c r="J48" s="20"/>
      <c r="K48" s="61"/>
    </row>
    <row r="49" customFormat="false" ht="14.25" hidden="false" customHeight="true" outlineLevel="0" collapsed="false">
      <c r="K49" s="61"/>
    </row>
    <row r="50" customFormat="false" ht="14.25" hidden="false" customHeight="true" outlineLevel="0" collapsed="false">
      <c r="A50" s="38" t="s">
        <v>1337</v>
      </c>
      <c r="B50" s="38"/>
      <c r="C50" s="38"/>
      <c r="D50" s="38"/>
      <c r="E50" s="38"/>
      <c r="F50" s="38"/>
      <c r="G50" s="38"/>
      <c r="H50" s="38"/>
      <c r="I50" s="38"/>
      <c r="J50" s="38"/>
      <c r="K50" s="61"/>
    </row>
    <row r="51" customFormat="false" ht="14.25" hidden="false" customHeight="true" outlineLevel="0" collapsed="false">
      <c r="K51" s="61"/>
    </row>
    <row r="52" customFormat="false" ht="14.25" hidden="false" customHeight="true" outlineLevel="0" collapsed="false">
      <c r="K52" s="61"/>
    </row>
    <row r="53" customFormat="false" ht="14.25" hidden="false" customHeight="true" outlineLevel="0" collapsed="false">
      <c r="K53" s="61"/>
    </row>
    <row r="54" customFormat="false" ht="14.25" hidden="false" customHeight="true" outlineLevel="0" collapsed="false">
      <c r="K54" s="61"/>
    </row>
    <row r="55" customFormat="false" ht="14.25" hidden="false" customHeight="true" outlineLevel="0" collapsed="false">
      <c r="K55" s="61"/>
    </row>
    <row r="56" customFormat="false" ht="14.25" hidden="false" customHeight="true" outlineLevel="0" collapsed="false">
      <c r="K56" s="61"/>
    </row>
    <row r="57" customFormat="false" ht="14.25" hidden="false" customHeight="true" outlineLevel="0" collapsed="false">
      <c r="K57" s="61"/>
    </row>
    <row r="58" customFormat="false" ht="14.25" hidden="false" customHeight="true" outlineLevel="0" collapsed="false">
      <c r="K58" s="61"/>
    </row>
    <row r="59" customFormat="false" ht="14.25" hidden="false" customHeight="true" outlineLevel="0" collapsed="false">
      <c r="K59" s="61"/>
    </row>
    <row r="60" customFormat="false" ht="14.25" hidden="false" customHeight="true" outlineLevel="0" collapsed="false">
      <c r="K60" s="61"/>
    </row>
    <row r="61" customFormat="false" ht="14.25" hidden="false" customHeight="true" outlineLevel="0" collapsed="false">
      <c r="K61" s="61"/>
    </row>
    <row r="62" customFormat="false" ht="14.25" hidden="false" customHeight="true" outlineLevel="0" collapsed="false">
      <c r="K62" s="61"/>
    </row>
    <row r="63" customFormat="false" ht="14.25" hidden="false" customHeight="true" outlineLevel="0" collapsed="false">
      <c r="K63" s="61"/>
    </row>
    <row r="64" customFormat="false" ht="14.25" hidden="false" customHeight="true" outlineLevel="0" collapsed="false">
      <c r="K64" s="61"/>
    </row>
    <row r="65" customFormat="false" ht="14.25" hidden="false" customHeight="true" outlineLevel="0" collapsed="false">
      <c r="K65" s="61"/>
    </row>
    <row r="66" customFormat="false" ht="14.25" hidden="false" customHeight="true" outlineLevel="0" collapsed="false">
      <c r="K66" s="61"/>
    </row>
    <row r="67" customFormat="false" ht="14.25" hidden="false" customHeight="true" outlineLevel="0" collapsed="false">
      <c r="K67" s="61"/>
    </row>
    <row r="68" customFormat="false" ht="14.25" hidden="false" customHeight="true" outlineLevel="0" collapsed="false">
      <c r="K68" s="61"/>
    </row>
    <row r="69" customFormat="false" ht="14.25" hidden="false" customHeight="true" outlineLevel="0" collapsed="false">
      <c r="K69" s="61"/>
    </row>
    <row r="70" customFormat="false" ht="14.25" hidden="false" customHeight="true" outlineLevel="0" collapsed="false">
      <c r="K70" s="61"/>
    </row>
    <row r="71" customFormat="false" ht="14.25" hidden="false" customHeight="true" outlineLevel="0" collapsed="false">
      <c r="K71" s="61"/>
    </row>
    <row r="72" customFormat="false" ht="14.25" hidden="false" customHeight="true" outlineLevel="0" collapsed="false">
      <c r="K72" s="61"/>
    </row>
    <row r="73" customFormat="false" ht="14.25" hidden="false" customHeight="true" outlineLevel="0" collapsed="false">
      <c r="K73" s="61"/>
    </row>
    <row r="74" customFormat="false" ht="14.25" hidden="false" customHeight="true" outlineLevel="0" collapsed="false">
      <c r="K74" s="61"/>
    </row>
    <row r="75" customFormat="false" ht="14.25" hidden="false" customHeight="true" outlineLevel="0" collapsed="false">
      <c r="K75" s="61"/>
    </row>
    <row r="76" customFormat="false" ht="14.25" hidden="false" customHeight="true" outlineLevel="0" collapsed="false">
      <c r="K76" s="61"/>
    </row>
    <row r="77" customFormat="false" ht="14.25" hidden="false" customHeight="true" outlineLevel="0" collapsed="false">
      <c r="K77" s="61"/>
    </row>
    <row r="78" customFormat="false" ht="14.25" hidden="false" customHeight="true" outlineLevel="0" collapsed="false">
      <c r="K78" s="61"/>
    </row>
    <row r="79" customFormat="false" ht="14.25" hidden="false" customHeight="true" outlineLevel="0" collapsed="false">
      <c r="K79" s="61"/>
    </row>
    <row r="80" customFormat="false" ht="14.25" hidden="false" customHeight="true" outlineLevel="0" collapsed="false">
      <c r="K80" s="61"/>
    </row>
    <row r="81" customFormat="false" ht="14.25" hidden="false" customHeight="true" outlineLevel="0" collapsed="false">
      <c r="K81" s="61"/>
    </row>
    <row r="82" customFormat="false" ht="14.25" hidden="false" customHeight="true" outlineLevel="0" collapsed="false">
      <c r="K82" s="61"/>
    </row>
    <row r="83" customFormat="false" ht="14.25" hidden="false" customHeight="true" outlineLevel="0" collapsed="false">
      <c r="K83" s="61"/>
    </row>
    <row r="84" customFormat="false" ht="14.25" hidden="false" customHeight="true" outlineLevel="0" collapsed="false">
      <c r="K84" s="61"/>
    </row>
    <row r="85" customFormat="false" ht="14.25" hidden="false" customHeight="true" outlineLevel="0" collapsed="false">
      <c r="K85" s="61"/>
    </row>
    <row r="86" customFormat="false" ht="14.25" hidden="false" customHeight="true" outlineLevel="0" collapsed="false">
      <c r="K86" s="61"/>
    </row>
    <row r="87" customFormat="false" ht="14.25" hidden="false" customHeight="true" outlineLevel="0" collapsed="false">
      <c r="K87" s="61"/>
    </row>
    <row r="88" customFormat="false" ht="14.25" hidden="false" customHeight="true" outlineLevel="0" collapsed="false">
      <c r="K88" s="61"/>
    </row>
    <row r="89" customFormat="false" ht="14.25" hidden="false" customHeight="true" outlineLevel="0" collapsed="false">
      <c r="K89" s="61"/>
    </row>
    <row r="90" customFormat="false" ht="14.25" hidden="false" customHeight="true" outlineLevel="0" collapsed="false">
      <c r="K90" s="61"/>
    </row>
    <row r="91" customFormat="false" ht="14.25" hidden="false" customHeight="true" outlineLevel="0" collapsed="false">
      <c r="K91" s="61"/>
    </row>
    <row r="92" customFormat="false" ht="14.25" hidden="false" customHeight="true" outlineLevel="0" collapsed="false">
      <c r="K92" s="61"/>
    </row>
    <row r="93" customFormat="false" ht="14.25" hidden="false" customHeight="true" outlineLevel="0" collapsed="false">
      <c r="K93" s="61"/>
    </row>
    <row r="94" customFormat="false" ht="14.25" hidden="false" customHeight="true" outlineLevel="0" collapsed="false">
      <c r="K94" s="61"/>
    </row>
    <row r="95" customFormat="false" ht="14.25" hidden="false" customHeight="true" outlineLevel="0" collapsed="false">
      <c r="K95" s="61"/>
    </row>
    <row r="96" customFormat="false" ht="14.25" hidden="false" customHeight="true" outlineLevel="0" collapsed="false">
      <c r="K96" s="61"/>
    </row>
    <row r="97" customFormat="false" ht="14.25" hidden="false" customHeight="true" outlineLevel="0" collapsed="false">
      <c r="K97" s="61"/>
    </row>
    <row r="98" customFormat="false" ht="14.25" hidden="false" customHeight="true" outlineLevel="0" collapsed="false">
      <c r="K98" s="61"/>
    </row>
    <row r="99" customFormat="false" ht="14.25" hidden="false" customHeight="true" outlineLevel="0" collapsed="false">
      <c r="K99" s="61"/>
    </row>
    <row r="100" customFormat="false" ht="14.25" hidden="false" customHeight="true" outlineLevel="0" collapsed="false">
      <c r="K100" s="61"/>
    </row>
    <row r="101" customFormat="false" ht="14.25" hidden="false" customHeight="true" outlineLevel="0" collapsed="false">
      <c r="K101" s="61"/>
    </row>
    <row r="102" customFormat="false" ht="14.25" hidden="false" customHeight="true" outlineLevel="0" collapsed="false">
      <c r="K102" s="61"/>
    </row>
    <row r="103" customFormat="false" ht="14.25" hidden="false" customHeight="true" outlineLevel="0" collapsed="false">
      <c r="K103" s="61"/>
    </row>
    <row r="104" customFormat="false" ht="14.25" hidden="false" customHeight="true" outlineLevel="0" collapsed="false">
      <c r="K104" s="61"/>
    </row>
    <row r="105" customFormat="false" ht="14.25" hidden="false" customHeight="true" outlineLevel="0" collapsed="false">
      <c r="K105" s="61"/>
    </row>
    <row r="106" customFormat="false" ht="14.25" hidden="false" customHeight="true" outlineLevel="0" collapsed="false">
      <c r="K106" s="61"/>
    </row>
    <row r="107" customFormat="false" ht="14.25" hidden="false" customHeight="true" outlineLevel="0" collapsed="false">
      <c r="K107" s="61"/>
    </row>
    <row r="108" customFormat="false" ht="14.25" hidden="false" customHeight="true" outlineLevel="0" collapsed="false">
      <c r="K108" s="61"/>
    </row>
    <row r="109" customFormat="false" ht="14.25" hidden="false" customHeight="true" outlineLevel="0" collapsed="false">
      <c r="K109" s="61"/>
    </row>
    <row r="110" customFormat="false" ht="14.25" hidden="false" customHeight="true" outlineLevel="0" collapsed="false">
      <c r="K110" s="61"/>
    </row>
    <row r="111" customFormat="false" ht="14.25" hidden="false" customHeight="true" outlineLevel="0" collapsed="false">
      <c r="K111" s="61"/>
    </row>
    <row r="112" customFormat="false" ht="14.25" hidden="false" customHeight="true" outlineLevel="0" collapsed="false">
      <c r="K112" s="61"/>
    </row>
    <row r="113" customFormat="false" ht="14.25" hidden="false" customHeight="true" outlineLevel="0" collapsed="false">
      <c r="K113" s="61"/>
    </row>
    <row r="114" customFormat="false" ht="14.25" hidden="false" customHeight="true" outlineLevel="0" collapsed="false">
      <c r="K114" s="61"/>
    </row>
    <row r="115" customFormat="false" ht="14.25" hidden="false" customHeight="true" outlineLevel="0" collapsed="false">
      <c r="K115" s="61"/>
    </row>
    <row r="116" customFormat="false" ht="14.25" hidden="false" customHeight="true" outlineLevel="0" collapsed="false">
      <c r="K116" s="61"/>
    </row>
    <row r="117" customFormat="false" ht="14.25" hidden="false" customHeight="true" outlineLevel="0" collapsed="false">
      <c r="K117" s="61"/>
    </row>
    <row r="118" customFormat="false" ht="14.25" hidden="false" customHeight="true" outlineLevel="0" collapsed="false">
      <c r="K118" s="61"/>
    </row>
    <row r="119" customFormat="false" ht="14.25" hidden="false" customHeight="true" outlineLevel="0" collapsed="false">
      <c r="K119" s="61"/>
    </row>
    <row r="120" customFormat="false" ht="14.25" hidden="false" customHeight="true" outlineLevel="0" collapsed="false">
      <c r="K120" s="61"/>
    </row>
    <row r="121" customFormat="false" ht="14.25" hidden="false" customHeight="true" outlineLevel="0" collapsed="false">
      <c r="K121" s="61"/>
    </row>
    <row r="122" customFormat="false" ht="14.25" hidden="false" customHeight="true" outlineLevel="0" collapsed="false">
      <c r="K122" s="61"/>
    </row>
    <row r="123" customFormat="false" ht="14.25" hidden="false" customHeight="true" outlineLevel="0" collapsed="false">
      <c r="K123" s="61"/>
    </row>
    <row r="124" customFormat="false" ht="14.25" hidden="false" customHeight="true" outlineLevel="0" collapsed="false">
      <c r="K124" s="61"/>
    </row>
    <row r="125" customFormat="false" ht="14.25" hidden="false" customHeight="true" outlineLevel="0" collapsed="false">
      <c r="K125" s="61"/>
    </row>
    <row r="126" customFormat="false" ht="14.25" hidden="false" customHeight="true" outlineLevel="0" collapsed="false">
      <c r="K126" s="61"/>
    </row>
    <row r="127" customFormat="false" ht="14.25" hidden="false" customHeight="true" outlineLevel="0" collapsed="false">
      <c r="K127" s="61"/>
    </row>
    <row r="128" customFormat="false" ht="14.25" hidden="false" customHeight="true" outlineLevel="0" collapsed="false">
      <c r="K128" s="61"/>
    </row>
    <row r="129" customFormat="false" ht="14.25" hidden="false" customHeight="true" outlineLevel="0" collapsed="false">
      <c r="K129" s="61"/>
    </row>
    <row r="130" customFormat="false" ht="14.25" hidden="false" customHeight="true" outlineLevel="0" collapsed="false">
      <c r="K130" s="61"/>
    </row>
    <row r="131" customFormat="false" ht="14.25" hidden="false" customHeight="true" outlineLevel="0" collapsed="false">
      <c r="K131" s="61"/>
    </row>
    <row r="132" customFormat="false" ht="14.25" hidden="false" customHeight="true" outlineLevel="0" collapsed="false">
      <c r="K132" s="61"/>
    </row>
    <row r="133" customFormat="false" ht="14.25" hidden="false" customHeight="true" outlineLevel="0" collapsed="false">
      <c r="K133" s="61"/>
    </row>
    <row r="134" customFormat="false" ht="14.25" hidden="false" customHeight="true" outlineLevel="0" collapsed="false">
      <c r="K134" s="61"/>
    </row>
    <row r="135" customFormat="false" ht="14.25" hidden="false" customHeight="true" outlineLevel="0" collapsed="false">
      <c r="K135" s="61"/>
    </row>
    <row r="136" customFormat="false" ht="14.25" hidden="false" customHeight="true" outlineLevel="0" collapsed="false">
      <c r="K136" s="61"/>
    </row>
    <row r="137" customFormat="false" ht="14.25" hidden="false" customHeight="true" outlineLevel="0" collapsed="false">
      <c r="K137" s="61"/>
    </row>
    <row r="138" customFormat="false" ht="14.25" hidden="false" customHeight="true" outlineLevel="0" collapsed="false">
      <c r="K138" s="61"/>
    </row>
    <row r="139" customFormat="false" ht="14.25" hidden="false" customHeight="true" outlineLevel="0" collapsed="false">
      <c r="K139" s="61"/>
    </row>
    <row r="140" customFormat="false" ht="14.25" hidden="false" customHeight="true" outlineLevel="0" collapsed="false">
      <c r="K140" s="61"/>
    </row>
    <row r="141" customFormat="false" ht="14.25" hidden="false" customHeight="true" outlineLevel="0" collapsed="false">
      <c r="K141" s="61"/>
    </row>
    <row r="142" customFormat="false" ht="14.25" hidden="false" customHeight="true" outlineLevel="0" collapsed="false">
      <c r="K142" s="61"/>
    </row>
    <row r="143" customFormat="false" ht="14.25" hidden="false" customHeight="true" outlineLevel="0" collapsed="false">
      <c r="K143" s="61"/>
    </row>
    <row r="144" customFormat="false" ht="14.25" hidden="false" customHeight="true" outlineLevel="0" collapsed="false">
      <c r="K144" s="61"/>
    </row>
    <row r="145" customFormat="false" ht="14.25" hidden="false" customHeight="true" outlineLevel="0" collapsed="false">
      <c r="K145" s="61"/>
    </row>
    <row r="146" customFormat="false" ht="14.25" hidden="false" customHeight="true" outlineLevel="0" collapsed="false">
      <c r="K146" s="61"/>
    </row>
    <row r="147" customFormat="false" ht="14.25" hidden="false" customHeight="true" outlineLevel="0" collapsed="false">
      <c r="K147" s="61"/>
    </row>
    <row r="148" customFormat="false" ht="14.25" hidden="false" customHeight="true" outlineLevel="0" collapsed="false">
      <c r="K148" s="61"/>
    </row>
    <row r="149" customFormat="false" ht="14.25" hidden="false" customHeight="true" outlineLevel="0" collapsed="false">
      <c r="K149" s="61"/>
    </row>
    <row r="150" customFormat="false" ht="14.25" hidden="false" customHeight="true" outlineLevel="0" collapsed="false">
      <c r="K150" s="61"/>
    </row>
    <row r="151" customFormat="false" ht="14.25" hidden="false" customHeight="true" outlineLevel="0" collapsed="false">
      <c r="K151" s="61"/>
    </row>
    <row r="152" customFormat="false" ht="14.25" hidden="false" customHeight="true" outlineLevel="0" collapsed="false">
      <c r="K152" s="61"/>
    </row>
    <row r="153" customFormat="false" ht="14.25" hidden="false" customHeight="true" outlineLevel="0" collapsed="false">
      <c r="K153" s="61"/>
    </row>
    <row r="154" customFormat="false" ht="14.25" hidden="false" customHeight="true" outlineLevel="0" collapsed="false">
      <c r="K154" s="61"/>
    </row>
    <row r="155" customFormat="false" ht="14.25" hidden="false" customHeight="true" outlineLevel="0" collapsed="false">
      <c r="K155" s="61"/>
    </row>
    <row r="156" customFormat="false" ht="14.25" hidden="false" customHeight="true" outlineLevel="0" collapsed="false">
      <c r="K156" s="61"/>
    </row>
    <row r="157" customFormat="false" ht="14.25" hidden="false" customHeight="true" outlineLevel="0" collapsed="false">
      <c r="K157" s="61"/>
    </row>
    <row r="158" customFormat="false" ht="14.25" hidden="false" customHeight="true" outlineLevel="0" collapsed="false">
      <c r="K158" s="61"/>
    </row>
    <row r="159" customFormat="false" ht="14.25" hidden="false" customHeight="true" outlineLevel="0" collapsed="false">
      <c r="K159" s="61"/>
    </row>
    <row r="160" customFormat="false" ht="14.25" hidden="false" customHeight="true" outlineLevel="0" collapsed="false">
      <c r="K160" s="61"/>
    </row>
    <row r="161" customFormat="false" ht="14.25" hidden="false" customHeight="true" outlineLevel="0" collapsed="false">
      <c r="K161" s="61"/>
    </row>
    <row r="162" customFormat="false" ht="14.25" hidden="false" customHeight="true" outlineLevel="0" collapsed="false">
      <c r="K162" s="61"/>
    </row>
    <row r="163" customFormat="false" ht="14.25" hidden="false" customHeight="true" outlineLevel="0" collapsed="false">
      <c r="K163" s="61"/>
    </row>
    <row r="164" customFormat="false" ht="14.25" hidden="false" customHeight="true" outlineLevel="0" collapsed="false">
      <c r="K164" s="61"/>
    </row>
    <row r="165" customFormat="false" ht="14.25" hidden="false" customHeight="true" outlineLevel="0" collapsed="false">
      <c r="K165" s="61"/>
    </row>
    <row r="166" customFormat="false" ht="14.25" hidden="false" customHeight="true" outlineLevel="0" collapsed="false">
      <c r="K166" s="61"/>
    </row>
    <row r="167" customFormat="false" ht="14.25" hidden="false" customHeight="true" outlineLevel="0" collapsed="false">
      <c r="K167" s="61"/>
    </row>
    <row r="168" customFormat="false" ht="14.25" hidden="false" customHeight="true" outlineLevel="0" collapsed="false">
      <c r="K168" s="61"/>
    </row>
    <row r="169" customFormat="false" ht="14.25" hidden="false" customHeight="true" outlineLevel="0" collapsed="false">
      <c r="K169" s="61"/>
    </row>
    <row r="170" customFormat="false" ht="14.25" hidden="false" customHeight="true" outlineLevel="0" collapsed="false">
      <c r="K170" s="61"/>
    </row>
    <row r="171" customFormat="false" ht="14.25" hidden="false" customHeight="true" outlineLevel="0" collapsed="false">
      <c r="K171" s="61"/>
    </row>
    <row r="172" customFormat="false" ht="14.25" hidden="false" customHeight="true" outlineLevel="0" collapsed="false">
      <c r="K172" s="61"/>
    </row>
    <row r="173" customFormat="false" ht="14.25" hidden="false" customHeight="true" outlineLevel="0" collapsed="false">
      <c r="K173" s="61"/>
    </row>
    <row r="174" customFormat="false" ht="14.25" hidden="false" customHeight="true" outlineLevel="0" collapsed="false">
      <c r="K174" s="61"/>
    </row>
    <row r="175" customFormat="false" ht="14.25" hidden="false" customHeight="true" outlineLevel="0" collapsed="false">
      <c r="K175" s="61"/>
    </row>
    <row r="176" customFormat="false" ht="14.25" hidden="false" customHeight="true" outlineLevel="0" collapsed="false">
      <c r="K176" s="61"/>
    </row>
    <row r="177" customFormat="false" ht="14.25" hidden="false" customHeight="true" outlineLevel="0" collapsed="false">
      <c r="K177" s="61"/>
    </row>
    <row r="178" customFormat="false" ht="14.25" hidden="false" customHeight="true" outlineLevel="0" collapsed="false">
      <c r="K178" s="61"/>
    </row>
    <row r="179" customFormat="false" ht="14.25" hidden="false" customHeight="true" outlineLevel="0" collapsed="false">
      <c r="K179" s="61"/>
    </row>
    <row r="180" customFormat="false" ht="14.25" hidden="false" customHeight="true" outlineLevel="0" collapsed="false">
      <c r="K180" s="61"/>
    </row>
    <row r="181" customFormat="false" ht="14.25" hidden="false" customHeight="true" outlineLevel="0" collapsed="false">
      <c r="K181" s="61"/>
    </row>
    <row r="182" customFormat="false" ht="14.25" hidden="false" customHeight="true" outlineLevel="0" collapsed="false">
      <c r="K182" s="61"/>
    </row>
    <row r="183" customFormat="false" ht="14.25" hidden="false" customHeight="true" outlineLevel="0" collapsed="false">
      <c r="K183" s="61"/>
    </row>
    <row r="184" customFormat="false" ht="14.25" hidden="false" customHeight="true" outlineLevel="0" collapsed="false">
      <c r="K184" s="61"/>
    </row>
    <row r="185" customFormat="false" ht="14.25" hidden="false" customHeight="true" outlineLevel="0" collapsed="false">
      <c r="K185" s="61"/>
    </row>
    <row r="186" customFormat="false" ht="14.25" hidden="false" customHeight="true" outlineLevel="0" collapsed="false">
      <c r="K186" s="61"/>
    </row>
    <row r="187" customFormat="false" ht="14.25" hidden="false" customHeight="true" outlineLevel="0" collapsed="false">
      <c r="K187" s="61"/>
    </row>
    <row r="188" customFormat="false" ht="14.25" hidden="false" customHeight="true" outlineLevel="0" collapsed="false">
      <c r="K188" s="61"/>
    </row>
    <row r="189" customFormat="false" ht="14.25" hidden="false" customHeight="true" outlineLevel="0" collapsed="false">
      <c r="K189" s="61"/>
    </row>
    <row r="190" customFormat="false" ht="14.25" hidden="false" customHeight="true" outlineLevel="0" collapsed="false">
      <c r="K190" s="61"/>
    </row>
    <row r="191" customFormat="false" ht="14.25" hidden="false" customHeight="true" outlineLevel="0" collapsed="false">
      <c r="K191" s="61"/>
    </row>
    <row r="192" customFormat="false" ht="14.25" hidden="false" customHeight="true" outlineLevel="0" collapsed="false">
      <c r="K192" s="61"/>
    </row>
    <row r="193" customFormat="false" ht="14.25" hidden="false" customHeight="true" outlineLevel="0" collapsed="false">
      <c r="K193" s="61"/>
    </row>
    <row r="194" customFormat="false" ht="14.25" hidden="false" customHeight="true" outlineLevel="0" collapsed="false">
      <c r="K194" s="61"/>
    </row>
    <row r="195" customFormat="false" ht="14.25" hidden="false" customHeight="true" outlineLevel="0" collapsed="false">
      <c r="K195" s="61"/>
    </row>
    <row r="196" customFormat="false" ht="14.25" hidden="false" customHeight="true" outlineLevel="0" collapsed="false">
      <c r="K196" s="61"/>
    </row>
    <row r="197" customFormat="false" ht="14.25" hidden="false" customHeight="true" outlineLevel="0" collapsed="false">
      <c r="K197" s="61"/>
    </row>
    <row r="198" customFormat="false" ht="14.25" hidden="false" customHeight="true" outlineLevel="0" collapsed="false">
      <c r="K198" s="61"/>
    </row>
    <row r="199" customFormat="false" ht="14.25" hidden="false" customHeight="true" outlineLevel="0" collapsed="false">
      <c r="K199" s="61"/>
    </row>
    <row r="200" customFormat="false" ht="14.25" hidden="false" customHeight="true" outlineLevel="0" collapsed="false">
      <c r="K200" s="61"/>
    </row>
    <row r="201" customFormat="false" ht="14.25" hidden="false" customHeight="true" outlineLevel="0" collapsed="false">
      <c r="K201" s="61"/>
    </row>
    <row r="202" customFormat="false" ht="14.25" hidden="false" customHeight="true" outlineLevel="0" collapsed="false">
      <c r="K202" s="61"/>
    </row>
    <row r="203" customFormat="false" ht="14.25" hidden="false" customHeight="true" outlineLevel="0" collapsed="false">
      <c r="K203" s="61"/>
    </row>
    <row r="204" customFormat="false" ht="14.25" hidden="false" customHeight="true" outlineLevel="0" collapsed="false">
      <c r="K204" s="61"/>
    </row>
    <row r="205" customFormat="false" ht="14.25" hidden="false" customHeight="true" outlineLevel="0" collapsed="false">
      <c r="K205" s="61"/>
    </row>
    <row r="206" customFormat="false" ht="14.25" hidden="false" customHeight="true" outlineLevel="0" collapsed="false">
      <c r="K206" s="61"/>
    </row>
    <row r="207" customFormat="false" ht="14.25" hidden="false" customHeight="true" outlineLevel="0" collapsed="false">
      <c r="K207" s="61"/>
    </row>
    <row r="208" customFormat="false" ht="14.25" hidden="false" customHeight="true" outlineLevel="0" collapsed="false">
      <c r="K208" s="61"/>
    </row>
    <row r="209" customFormat="false" ht="14.25" hidden="false" customHeight="true" outlineLevel="0" collapsed="false">
      <c r="K209" s="61"/>
    </row>
    <row r="210" customFormat="false" ht="14.25" hidden="false" customHeight="true" outlineLevel="0" collapsed="false">
      <c r="K210" s="61"/>
    </row>
    <row r="211" customFormat="false" ht="14.25" hidden="false" customHeight="true" outlineLevel="0" collapsed="false">
      <c r="K211" s="61"/>
    </row>
    <row r="212" customFormat="false" ht="14.25" hidden="false" customHeight="true" outlineLevel="0" collapsed="false">
      <c r="K212" s="61"/>
    </row>
    <row r="213" customFormat="false" ht="14.25" hidden="false" customHeight="true" outlineLevel="0" collapsed="false">
      <c r="K213" s="61"/>
    </row>
    <row r="214" customFormat="false" ht="14.25" hidden="false" customHeight="true" outlineLevel="0" collapsed="false">
      <c r="K214" s="61"/>
    </row>
    <row r="215" customFormat="false" ht="14.25" hidden="false" customHeight="true" outlineLevel="0" collapsed="false">
      <c r="K215" s="61"/>
    </row>
    <row r="216" customFormat="false" ht="14.25" hidden="false" customHeight="true" outlineLevel="0" collapsed="false">
      <c r="K216" s="61"/>
    </row>
    <row r="217" customFormat="false" ht="14.25" hidden="false" customHeight="true" outlineLevel="0" collapsed="false">
      <c r="K217" s="61"/>
    </row>
    <row r="218" customFormat="false" ht="14.25" hidden="false" customHeight="true" outlineLevel="0" collapsed="false">
      <c r="K218" s="61"/>
    </row>
    <row r="219" customFormat="false" ht="14.25" hidden="false" customHeight="true" outlineLevel="0" collapsed="false">
      <c r="K219" s="61"/>
    </row>
    <row r="220" customFormat="false" ht="14.25" hidden="false" customHeight="true" outlineLevel="0" collapsed="false">
      <c r="K220" s="61"/>
    </row>
    <row r="221" customFormat="false" ht="14.25" hidden="false" customHeight="true" outlineLevel="0" collapsed="false">
      <c r="K221" s="61"/>
    </row>
    <row r="222" customFormat="false" ht="14.25" hidden="false" customHeight="true" outlineLevel="0" collapsed="false">
      <c r="K222" s="61"/>
    </row>
    <row r="223" customFormat="false" ht="14.25" hidden="false" customHeight="true" outlineLevel="0" collapsed="false">
      <c r="K223" s="61"/>
    </row>
    <row r="224" customFormat="false" ht="14.25" hidden="false" customHeight="true" outlineLevel="0" collapsed="false">
      <c r="K224" s="61"/>
    </row>
    <row r="225" customFormat="false" ht="14.25" hidden="false" customHeight="true" outlineLevel="0" collapsed="false">
      <c r="K225" s="61"/>
    </row>
    <row r="226" customFormat="false" ht="14.25" hidden="false" customHeight="true" outlineLevel="0" collapsed="false">
      <c r="K226" s="61"/>
    </row>
    <row r="227" customFormat="false" ht="14.25" hidden="false" customHeight="true" outlineLevel="0" collapsed="false">
      <c r="K227" s="61"/>
    </row>
    <row r="228" customFormat="false" ht="14.25" hidden="false" customHeight="true" outlineLevel="0" collapsed="false">
      <c r="K228" s="61"/>
    </row>
    <row r="229" customFormat="false" ht="14.25" hidden="false" customHeight="true" outlineLevel="0" collapsed="false">
      <c r="K229" s="61"/>
    </row>
    <row r="230" customFormat="false" ht="14.25" hidden="false" customHeight="true" outlineLevel="0" collapsed="false">
      <c r="K230" s="61"/>
    </row>
    <row r="231" customFormat="false" ht="14.25" hidden="false" customHeight="true" outlineLevel="0" collapsed="false">
      <c r="K231" s="61"/>
    </row>
    <row r="232" customFormat="false" ht="14.25" hidden="false" customHeight="true" outlineLevel="0" collapsed="false">
      <c r="K232" s="61"/>
    </row>
    <row r="233" customFormat="false" ht="14.25" hidden="false" customHeight="true" outlineLevel="0" collapsed="false">
      <c r="K233" s="61"/>
    </row>
    <row r="234" customFormat="false" ht="14.25" hidden="false" customHeight="true" outlineLevel="0" collapsed="false">
      <c r="K234" s="61"/>
    </row>
    <row r="235" customFormat="false" ht="14.25" hidden="false" customHeight="true" outlineLevel="0" collapsed="false">
      <c r="K235" s="61"/>
    </row>
    <row r="236" customFormat="false" ht="14.25" hidden="false" customHeight="true" outlineLevel="0" collapsed="false">
      <c r="K236" s="61"/>
    </row>
    <row r="237" customFormat="false" ht="14.25" hidden="false" customHeight="true" outlineLevel="0" collapsed="false">
      <c r="K237" s="61"/>
    </row>
    <row r="238" customFormat="false" ht="14.25" hidden="false" customHeight="true" outlineLevel="0" collapsed="false">
      <c r="K238" s="61"/>
    </row>
    <row r="239" customFormat="false" ht="14.25" hidden="false" customHeight="true" outlineLevel="0" collapsed="false">
      <c r="K239" s="61"/>
    </row>
    <row r="240" customFormat="false" ht="14.25" hidden="false" customHeight="true" outlineLevel="0" collapsed="false">
      <c r="K240" s="61"/>
    </row>
    <row r="241" customFormat="false" ht="14.25" hidden="false" customHeight="true" outlineLevel="0" collapsed="false">
      <c r="K241" s="61"/>
    </row>
    <row r="242" customFormat="false" ht="14.25" hidden="false" customHeight="true" outlineLevel="0" collapsed="false">
      <c r="K242" s="61"/>
    </row>
    <row r="243" customFormat="false" ht="14.25" hidden="false" customHeight="true" outlineLevel="0" collapsed="false">
      <c r="K243" s="61"/>
    </row>
    <row r="244" customFormat="false" ht="14.25" hidden="false" customHeight="true" outlineLevel="0" collapsed="false">
      <c r="K244" s="61"/>
    </row>
    <row r="245" customFormat="false" ht="14.25" hidden="false" customHeight="true" outlineLevel="0" collapsed="false">
      <c r="K245" s="61"/>
    </row>
    <row r="246" customFormat="false" ht="14.25" hidden="false" customHeight="true" outlineLevel="0" collapsed="false">
      <c r="K246" s="61"/>
    </row>
    <row r="247" customFormat="false" ht="14.25" hidden="false" customHeight="true" outlineLevel="0" collapsed="false">
      <c r="K247" s="61"/>
    </row>
    <row r="248" customFormat="false" ht="14.25" hidden="false" customHeight="true" outlineLevel="0" collapsed="false">
      <c r="K248" s="61"/>
    </row>
    <row r="249" customFormat="false" ht="14.25" hidden="false" customHeight="true" outlineLevel="0" collapsed="false">
      <c r="K249" s="61"/>
    </row>
    <row r="250" customFormat="false" ht="14.25" hidden="false" customHeight="true" outlineLevel="0" collapsed="false">
      <c r="K250" s="61"/>
    </row>
    <row r="251" customFormat="false" ht="14.25" hidden="false" customHeight="true" outlineLevel="0" collapsed="false">
      <c r="K251" s="61"/>
    </row>
    <row r="252" customFormat="false" ht="14.25" hidden="false" customHeight="true" outlineLevel="0" collapsed="false">
      <c r="K252" s="61"/>
    </row>
    <row r="253" customFormat="false" ht="14.25" hidden="false" customHeight="true" outlineLevel="0" collapsed="false">
      <c r="K253" s="61"/>
    </row>
    <row r="254" customFormat="false" ht="14.25" hidden="false" customHeight="true" outlineLevel="0" collapsed="false">
      <c r="K254" s="61"/>
    </row>
    <row r="255" customFormat="false" ht="14.25" hidden="false" customHeight="true" outlineLevel="0" collapsed="false">
      <c r="K255" s="61"/>
    </row>
    <row r="256" customFormat="false" ht="14.25" hidden="false" customHeight="true" outlineLevel="0" collapsed="false">
      <c r="K256" s="61"/>
    </row>
    <row r="257" customFormat="false" ht="14.25" hidden="false" customHeight="true" outlineLevel="0" collapsed="false">
      <c r="K257" s="61"/>
    </row>
    <row r="258" customFormat="false" ht="14.25" hidden="false" customHeight="true" outlineLevel="0" collapsed="false">
      <c r="K258" s="61"/>
    </row>
    <row r="259" customFormat="false" ht="14.25" hidden="false" customHeight="true" outlineLevel="0" collapsed="false">
      <c r="K259" s="61"/>
    </row>
    <row r="260" customFormat="false" ht="14.25" hidden="false" customHeight="true" outlineLevel="0" collapsed="false">
      <c r="K260" s="61"/>
    </row>
    <row r="261" customFormat="false" ht="14.25" hidden="false" customHeight="true" outlineLevel="0" collapsed="false">
      <c r="K261" s="61"/>
    </row>
    <row r="262" customFormat="false" ht="14.25" hidden="false" customHeight="true" outlineLevel="0" collapsed="false">
      <c r="K262" s="61"/>
    </row>
    <row r="263" customFormat="false" ht="14.25" hidden="false" customHeight="true" outlineLevel="0" collapsed="false">
      <c r="K263" s="61"/>
    </row>
    <row r="264" customFormat="false" ht="14.25" hidden="false" customHeight="true" outlineLevel="0" collapsed="false">
      <c r="K264" s="61"/>
    </row>
    <row r="265" customFormat="false" ht="14.25" hidden="false" customHeight="true" outlineLevel="0" collapsed="false">
      <c r="K265" s="61"/>
    </row>
    <row r="266" customFormat="false" ht="14.25" hidden="false" customHeight="true" outlineLevel="0" collapsed="false">
      <c r="K266" s="61"/>
    </row>
    <row r="267" customFormat="false" ht="14.25" hidden="false" customHeight="true" outlineLevel="0" collapsed="false">
      <c r="K267" s="61"/>
    </row>
    <row r="268" customFormat="false" ht="14.25" hidden="false" customHeight="true" outlineLevel="0" collapsed="false">
      <c r="K268" s="61"/>
    </row>
    <row r="269" customFormat="false" ht="14.25" hidden="false" customHeight="true" outlineLevel="0" collapsed="false">
      <c r="K269" s="61"/>
    </row>
    <row r="270" customFormat="false" ht="14.25" hidden="false" customHeight="true" outlineLevel="0" collapsed="false">
      <c r="K270" s="61"/>
    </row>
    <row r="271" customFormat="false" ht="14.25" hidden="false" customHeight="true" outlineLevel="0" collapsed="false">
      <c r="K271" s="61"/>
    </row>
    <row r="272" customFormat="false" ht="14.25" hidden="false" customHeight="true" outlineLevel="0" collapsed="false">
      <c r="K272" s="61"/>
    </row>
    <row r="273" customFormat="false" ht="14.25" hidden="false" customHeight="true" outlineLevel="0" collapsed="false">
      <c r="K273" s="61"/>
    </row>
    <row r="274" customFormat="false" ht="14.25" hidden="false" customHeight="true" outlineLevel="0" collapsed="false">
      <c r="K274" s="61"/>
    </row>
    <row r="275" customFormat="false" ht="14.25" hidden="false" customHeight="true" outlineLevel="0" collapsed="false">
      <c r="K275" s="61"/>
    </row>
    <row r="276" customFormat="false" ht="14.25" hidden="false" customHeight="true" outlineLevel="0" collapsed="false">
      <c r="K276" s="61"/>
    </row>
    <row r="277" customFormat="false" ht="14.25" hidden="false" customHeight="true" outlineLevel="0" collapsed="false">
      <c r="K277" s="61"/>
    </row>
    <row r="278" customFormat="false" ht="14.25" hidden="false" customHeight="true" outlineLevel="0" collapsed="false">
      <c r="K278" s="61"/>
    </row>
    <row r="279" customFormat="false" ht="14.25" hidden="false" customHeight="true" outlineLevel="0" collapsed="false">
      <c r="K279" s="61"/>
    </row>
    <row r="280" customFormat="false" ht="14.25" hidden="false" customHeight="true" outlineLevel="0" collapsed="false">
      <c r="K280" s="61"/>
    </row>
    <row r="281" customFormat="false" ht="14.25" hidden="false" customHeight="true" outlineLevel="0" collapsed="false">
      <c r="K281" s="61"/>
    </row>
    <row r="282" customFormat="false" ht="14.25" hidden="false" customHeight="true" outlineLevel="0" collapsed="false">
      <c r="K282" s="61"/>
    </row>
    <row r="283" customFormat="false" ht="14.25" hidden="false" customHeight="true" outlineLevel="0" collapsed="false">
      <c r="K283" s="61"/>
    </row>
    <row r="284" customFormat="false" ht="14.25" hidden="false" customHeight="true" outlineLevel="0" collapsed="false">
      <c r="K284" s="61"/>
    </row>
    <row r="285" customFormat="false" ht="14.25" hidden="false" customHeight="true" outlineLevel="0" collapsed="false">
      <c r="K285" s="61"/>
    </row>
    <row r="286" customFormat="false" ht="14.25" hidden="false" customHeight="true" outlineLevel="0" collapsed="false">
      <c r="K286" s="61"/>
    </row>
    <row r="287" customFormat="false" ht="14.25" hidden="false" customHeight="true" outlineLevel="0" collapsed="false">
      <c r="K287" s="61"/>
    </row>
    <row r="288" customFormat="false" ht="14.25" hidden="false" customHeight="true" outlineLevel="0" collapsed="false">
      <c r="K288" s="61"/>
    </row>
    <row r="289" customFormat="false" ht="14.25" hidden="false" customHeight="true" outlineLevel="0" collapsed="false">
      <c r="K289" s="61"/>
    </row>
    <row r="290" customFormat="false" ht="14.25" hidden="false" customHeight="true" outlineLevel="0" collapsed="false">
      <c r="K290" s="61"/>
    </row>
    <row r="291" customFormat="false" ht="14.25" hidden="false" customHeight="true" outlineLevel="0" collapsed="false">
      <c r="K291" s="61"/>
    </row>
    <row r="292" customFormat="false" ht="14.25" hidden="false" customHeight="true" outlineLevel="0" collapsed="false">
      <c r="K292" s="61"/>
    </row>
    <row r="293" customFormat="false" ht="14.25" hidden="false" customHeight="true" outlineLevel="0" collapsed="false">
      <c r="K293" s="61"/>
    </row>
    <row r="294" customFormat="false" ht="14.25" hidden="false" customHeight="true" outlineLevel="0" collapsed="false">
      <c r="K294" s="61"/>
    </row>
    <row r="295" customFormat="false" ht="14.25" hidden="false" customHeight="true" outlineLevel="0" collapsed="false">
      <c r="K295" s="61"/>
    </row>
    <row r="296" customFormat="false" ht="14.25" hidden="false" customHeight="true" outlineLevel="0" collapsed="false">
      <c r="K296" s="61"/>
    </row>
    <row r="297" customFormat="false" ht="14.25" hidden="false" customHeight="true" outlineLevel="0" collapsed="false">
      <c r="K297" s="61"/>
    </row>
    <row r="298" customFormat="false" ht="14.25" hidden="false" customHeight="true" outlineLevel="0" collapsed="false">
      <c r="K298" s="61"/>
    </row>
    <row r="299" customFormat="false" ht="14.25" hidden="false" customHeight="true" outlineLevel="0" collapsed="false">
      <c r="K299" s="61"/>
    </row>
    <row r="300" customFormat="false" ht="14.25" hidden="false" customHeight="true" outlineLevel="0" collapsed="false">
      <c r="K300" s="61"/>
    </row>
    <row r="301" customFormat="false" ht="14.25" hidden="false" customHeight="true" outlineLevel="0" collapsed="false">
      <c r="K301" s="61"/>
    </row>
    <row r="302" customFormat="false" ht="14.25" hidden="false" customHeight="true" outlineLevel="0" collapsed="false">
      <c r="K302" s="61"/>
    </row>
    <row r="303" customFormat="false" ht="14.25" hidden="false" customHeight="true" outlineLevel="0" collapsed="false">
      <c r="K303" s="61"/>
    </row>
    <row r="304" customFormat="false" ht="14.25" hidden="false" customHeight="true" outlineLevel="0" collapsed="false">
      <c r="K304" s="61"/>
    </row>
    <row r="305" customFormat="false" ht="14.25" hidden="false" customHeight="true" outlineLevel="0" collapsed="false">
      <c r="K305" s="61"/>
    </row>
    <row r="306" customFormat="false" ht="14.25" hidden="false" customHeight="true" outlineLevel="0" collapsed="false">
      <c r="K306" s="61"/>
    </row>
    <row r="307" customFormat="false" ht="14.25" hidden="false" customHeight="true" outlineLevel="0" collapsed="false">
      <c r="K307" s="61"/>
    </row>
    <row r="308" customFormat="false" ht="14.25" hidden="false" customHeight="true" outlineLevel="0" collapsed="false">
      <c r="K308" s="61"/>
    </row>
    <row r="309" customFormat="false" ht="14.25" hidden="false" customHeight="true" outlineLevel="0" collapsed="false">
      <c r="K309" s="61"/>
    </row>
    <row r="310" customFormat="false" ht="14.25" hidden="false" customHeight="true" outlineLevel="0" collapsed="false">
      <c r="K310" s="61"/>
    </row>
    <row r="311" customFormat="false" ht="14.25" hidden="false" customHeight="true" outlineLevel="0" collapsed="false">
      <c r="K311" s="61"/>
    </row>
    <row r="312" customFormat="false" ht="14.25" hidden="false" customHeight="true" outlineLevel="0" collapsed="false">
      <c r="K312" s="61"/>
    </row>
    <row r="313" customFormat="false" ht="14.25" hidden="false" customHeight="true" outlineLevel="0" collapsed="false">
      <c r="K313" s="61"/>
    </row>
    <row r="314" customFormat="false" ht="14.25" hidden="false" customHeight="true" outlineLevel="0" collapsed="false">
      <c r="K314" s="61"/>
    </row>
    <row r="315" customFormat="false" ht="14.25" hidden="false" customHeight="true" outlineLevel="0" collapsed="false">
      <c r="K315" s="61"/>
    </row>
    <row r="316" customFormat="false" ht="14.25" hidden="false" customHeight="true" outlineLevel="0" collapsed="false">
      <c r="K316" s="61"/>
    </row>
    <row r="317" customFormat="false" ht="14.25" hidden="false" customHeight="true" outlineLevel="0" collapsed="false">
      <c r="K317" s="61"/>
    </row>
    <row r="318" customFormat="false" ht="14.25" hidden="false" customHeight="true" outlineLevel="0" collapsed="false">
      <c r="K318" s="61"/>
    </row>
    <row r="319" customFormat="false" ht="14.25" hidden="false" customHeight="true" outlineLevel="0" collapsed="false">
      <c r="K319" s="61"/>
    </row>
    <row r="320" customFormat="false" ht="14.25" hidden="false" customHeight="true" outlineLevel="0" collapsed="false">
      <c r="K320" s="61"/>
    </row>
    <row r="321" customFormat="false" ht="14.25" hidden="false" customHeight="true" outlineLevel="0" collapsed="false">
      <c r="K321" s="61"/>
    </row>
    <row r="322" customFormat="false" ht="14.25" hidden="false" customHeight="true" outlineLevel="0" collapsed="false">
      <c r="K322" s="61"/>
    </row>
    <row r="323" customFormat="false" ht="14.25" hidden="false" customHeight="true" outlineLevel="0" collapsed="false">
      <c r="K323" s="61"/>
    </row>
    <row r="324" customFormat="false" ht="14.25" hidden="false" customHeight="true" outlineLevel="0" collapsed="false">
      <c r="K324" s="61"/>
    </row>
    <row r="325" customFormat="false" ht="14.25" hidden="false" customHeight="true" outlineLevel="0" collapsed="false">
      <c r="K325" s="61"/>
    </row>
    <row r="326" customFormat="false" ht="14.25" hidden="false" customHeight="true" outlineLevel="0" collapsed="false">
      <c r="K326" s="61"/>
    </row>
    <row r="327" customFormat="false" ht="14.25" hidden="false" customHeight="true" outlineLevel="0" collapsed="false">
      <c r="K327" s="61"/>
    </row>
    <row r="328" customFormat="false" ht="14.25" hidden="false" customHeight="true" outlineLevel="0" collapsed="false">
      <c r="K328" s="61"/>
    </row>
    <row r="329" customFormat="false" ht="14.25" hidden="false" customHeight="true" outlineLevel="0" collapsed="false">
      <c r="K329" s="61"/>
    </row>
    <row r="330" customFormat="false" ht="14.25" hidden="false" customHeight="true" outlineLevel="0" collapsed="false">
      <c r="K330" s="61"/>
    </row>
    <row r="331" customFormat="false" ht="14.25" hidden="false" customHeight="true" outlineLevel="0" collapsed="false">
      <c r="K331" s="61"/>
    </row>
    <row r="332" customFormat="false" ht="14.25" hidden="false" customHeight="true" outlineLevel="0" collapsed="false">
      <c r="K332" s="61"/>
    </row>
    <row r="333" customFormat="false" ht="14.25" hidden="false" customHeight="true" outlineLevel="0" collapsed="false">
      <c r="K333" s="61"/>
    </row>
    <row r="334" customFormat="false" ht="14.25" hidden="false" customHeight="true" outlineLevel="0" collapsed="false">
      <c r="K334" s="61"/>
    </row>
    <row r="335" customFormat="false" ht="14.25" hidden="false" customHeight="true" outlineLevel="0" collapsed="false">
      <c r="K335" s="61"/>
    </row>
    <row r="336" customFormat="false" ht="14.25" hidden="false" customHeight="true" outlineLevel="0" collapsed="false">
      <c r="K336" s="61"/>
    </row>
    <row r="337" customFormat="false" ht="14.25" hidden="false" customHeight="true" outlineLevel="0" collapsed="false">
      <c r="K337" s="61"/>
    </row>
    <row r="338" customFormat="false" ht="14.25" hidden="false" customHeight="true" outlineLevel="0" collapsed="false">
      <c r="K338" s="61"/>
    </row>
    <row r="339" customFormat="false" ht="14.25" hidden="false" customHeight="true" outlineLevel="0" collapsed="false">
      <c r="K339" s="61"/>
    </row>
    <row r="340" customFormat="false" ht="14.25" hidden="false" customHeight="true" outlineLevel="0" collapsed="false">
      <c r="K340" s="61"/>
    </row>
    <row r="341" customFormat="false" ht="14.25" hidden="false" customHeight="true" outlineLevel="0" collapsed="false">
      <c r="K341" s="61"/>
    </row>
    <row r="342" customFormat="false" ht="14.25" hidden="false" customHeight="true" outlineLevel="0" collapsed="false">
      <c r="K342" s="61"/>
    </row>
    <row r="343" customFormat="false" ht="14.25" hidden="false" customHeight="true" outlineLevel="0" collapsed="false">
      <c r="K343" s="61"/>
    </row>
    <row r="344" customFormat="false" ht="14.25" hidden="false" customHeight="true" outlineLevel="0" collapsed="false">
      <c r="K344" s="61"/>
    </row>
    <row r="345" customFormat="false" ht="14.25" hidden="false" customHeight="true" outlineLevel="0" collapsed="false">
      <c r="K345" s="61"/>
    </row>
    <row r="346" customFormat="false" ht="14.25" hidden="false" customHeight="true" outlineLevel="0" collapsed="false">
      <c r="K346" s="61"/>
    </row>
    <row r="347" customFormat="false" ht="14.25" hidden="false" customHeight="true" outlineLevel="0" collapsed="false">
      <c r="K347" s="61"/>
    </row>
    <row r="348" customFormat="false" ht="14.25" hidden="false" customHeight="true" outlineLevel="0" collapsed="false">
      <c r="K348" s="61"/>
    </row>
    <row r="349" customFormat="false" ht="14.25" hidden="false" customHeight="true" outlineLevel="0" collapsed="false">
      <c r="K349" s="61"/>
    </row>
    <row r="350" customFormat="false" ht="14.25" hidden="false" customHeight="true" outlineLevel="0" collapsed="false">
      <c r="K350" s="61"/>
    </row>
    <row r="351" customFormat="false" ht="14.25" hidden="false" customHeight="true" outlineLevel="0" collapsed="false">
      <c r="K351" s="61"/>
    </row>
    <row r="352" customFormat="false" ht="14.25" hidden="false" customHeight="true" outlineLevel="0" collapsed="false">
      <c r="K352" s="61"/>
    </row>
    <row r="353" customFormat="false" ht="14.25" hidden="false" customHeight="true" outlineLevel="0" collapsed="false">
      <c r="K353" s="61"/>
    </row>
    <row r="354" customFormat="false" ht="14.25" hidden="false" customHeight="true" outlineLevel="0" collapsed="false">
      <c r="K354" s="61"/>
    </row>
    <row r="355" customFormat="false" ht="14.25" hidden="false" customHeight="true" outlineLevel="0" collapsed="false">
      <c r="K355" s="61"/>
    </row>
    <row r="356" customFormat="false" ht="14.25" hidden="false" customHeight="true" outlineLevel="0" collapsed="false">
      <c r="K356" s="61"/>
    </row>
    <row r="357" customFormat="false" ht="14.25" hidden="false" customHeight="true" outlineLevel="0" collapsed="false">
      <c r="K357" s="61"/>
    </row>
    <row r="358" customFormat="false" ht="14.25" hidden="false" customHeight="true" outlineLevel="0" collapsed="false">
      <c r="K358" s="61"/>
    </row>
    <row r="359" customFormat="false" ht="14.25" hidden="false" customHeight="true" outlineLevel="0" collapsed="false">
      <c r="K359" s="61"/>
    </row>
    <row r="360" customFormat="false" ht="14.25" hidden="false" customHeight="true" outlineLevel="0" collapsed="false">
      <c r="K360" s="61"/>
    </row>
    <row r="361" customFormat="false" ht="14.25" hidden="false" customHeight="true" outlineLevel="0" collapsed="false">
      <c r="K361" s="61"/>
    </row>
    <row r="362" customFormat="false" ht="14.25" hidden="false" customHeight="true" outlineLevel="0" collapsed="false">
      <c r="K362" s="61"/>
    </row>
    <row r="363" customFormat="false" ht="14.25" hidden="false" customHeight="true" outlineLevel="0" collapsed="false">
      <c r="K363" s="61"/>
    </row>
    <row r="364" customFormat="false" ht="14.25" hidden="false" customHeight="true" outlineLevel="0" collapsed="false">
      <c r="K364" s="61"/>
    </row>
    <row r="365" customFormat="false" ht="14.25" hidden="false" customHeight="true" outlineLevel="0" collapsed="false">
      <c r="K365" s="61"/>
    </row>
    <row r="366" customFormat="false" ht="14.25" hidden="false" customHeight="true" outlineLevel="0" collapsed="false">
      <c r="K366" s="61"/>
    </row>
    <row r="367" customFormat="false" ht="14.25" hidden="false" customHeight="true" outlineLevel="0" collapsed="false">
      <c r="K367" s="61"/>
    </row>
    <row r="368" customFormat="false" ht="14.25" hidden="false" customHeight="true" outlineLevel="0" collapsed="false">
      <c r="K368" s="61"/>
    </row>
    <row r="369" customFormat="false" ht="14.25" hidden="false" customHeight="true" outlineLevel="0" collapsed="false">
      <c r="K369" s="61"/>
    </row>
    <row r="370" customFormat="false" ht="14.25" hidden="false" customHeight="true" outlineLevel="0" collapsed="false">
      <c r="K370" s="61"/>
    </row>
    <row r="371" customFormat="false" ht="14.25" hidden="false" customHeight="true" outlineLevel="0" collapsed="false">
      <c r="K371" s="61"/>
    </row>
    <row r="372" customFormat="false" ht="14.25" hidden="false" customHeight="true" outlineLevel="0" collapsed="false">
      <c r="K372" s="61"/>
    </row>
    <row r="373" customFormat="false" ht="14.25" hidden="false" customHeight="true" outlineLevel="0" collapsed="false">
      <c r="K373" s="61"/>
    </row>
    <row r="374" customFormat="false" ht="14.25" hidden="false" customHeight="true" outlineLevel="0" collapsed="false">
      <c r="K374" s="61"/>
    </row>
    <row r="375" customFormat="false" ht="14.25" hidden="false" customHeight="true" outlineLevel="0" collapsed="false">
      <c r="K375" s="61"/>
    </row>
    <row r="376" customFormat="false" ht="14.25" hidden="false" customHeight="true" outlineLevel="0" collapsed="false">
      <c r="K376" s="61"/>
    </row>
    <row r="377" customFormat="false" ht="14.25" hidden="false" customHeight="true" outlineLevel="0" collapsed="false">
      <c r="K377" s="61"/>
    </row>
    <row r="378" customFormat="false" ht="14.25" hidden="false" customHeight="true" outlineLevel="0" collapsed="false">
      <c r="K378" s="61"/>
    </row>
    <row r="379" customFormat="false" ht="14.25" hidden="false" customHeight="true" outlineLevel="0" collapsed="false">
      <c r="K379" s="61"/>
    </row>
    <row r="380" customFormat="false" ht="14.25" hidden="false" customHeight="true" outlineLevel="0" collapsed="false">
      <c r="K380" s="61"/>
    </row>
    <row r="381" customFormat="false" ht="14.25" hidden="false" customHeight="true" outlineLevel="0" collapsed="false">
      <c r="K381" s="61"/>
    </row>
    <row r="382" customFormat="false" ht="14.25" hidden="false" customHeight="true" outlineLevel="0" collapsed="false">
      <c r="K382" s="61"/>
    </row>
    <row r="383" customFormat="false" ht="14.25" hidden="false" customHeight="true" outlineLevel="0" collapsed="false">
      <c r="K383" s="61"/>
    </row>
    <row r="384" customFormat="false" ht="14.25" hidden="false" customHeight="true" outlineLevel="0" collapsed="false">
      <c r="K384" s="61"/>
    </row>
    <row r="385" customFormat="false" ht="14.25" hidden="false" customHeight="true" outlineLevel="0" collapsed="false">
      <c r="K385" s="61"/>
    </row>
    <row r="386" customFormat="false" ht="14.25" hidden="false" customHeight="true" outlineLevel="0" collapsed="false">
      <c r="K386" s="61"/>
    </row>
    <row r="387" customFormat="false" ht="14.25" hidden="false" customHeight="true" outlineLevel="0" collapsed="false">
      <c r="K387" s="61"/>
    </row>
    <row r="388" customFormat="false" ht="14.25" hidden="false" customHeight="true" outlineLevel="0" collapsed="false">
      <c r="K388" s="61"/>
    </row>
    <row r="389" customFormat="false" ht="14.25" hidden="false" customHeight="true" outlineLevel="0" collapsed="false">
      <c r="K389" s="61"/>
    </row>
    <row r="390" customFormat="false" ht="14.25" hidden="false" customHeight="true" outlineLevel="0" collapsed="false">
      <c r="K390" s="61"/>
    </row>
    <row r="391" customFormat="false" ht="14.25" hidden="false" customHeight="true" outlineLevel="0" collapsed="false">
      <c r="K391" s="61"/>
    </row>
    <row r="392" customFormat="false" ht="14.25" hidden="false" customHeight="true" outlineLevel="0" collapsed="false">
      <c r="K392" s="61"/>
    </row>
    <row r="393" customFormat="false" ht="14.25" hidden="false" customHeight="true" outlineLevel="0" collapsed="false">
      <c r="K393" s="61"/>
    </row>
    <row r="394" customFormat="false" ht="14.25" hidden="false" customHeight="true" outlineLevel="0" collapsed="false">
      <c r="K394" s="61"/>
    </row>
    <row r="395" customFormat="false" ht="14.25" hidden="false" customHeight="true" outlineLevel="0" collapsed="false">
      <c r="K395" s="61"/>
    </row>
    <row r="396" customFormat="false" ht="14.25" hidden="false" customHeight="true" outlineLevel="0" collapsed="false">
      <c r="K396" s="61"/>
    </row>
    <row r="397" customFormat="false" ht="14.25" hidden="false" customHeight="true" outlineLevel="0" collapsed="false">
      <c r="K397" s="61"/>
    </row>
    <row r="398" customFormat="false" ht="14.25" hidden="false" customHeight="true" outlineLevel="0" collapsed="false">
      <c r="K398" s="61"/>
    </row>
    <row r="399" customFormat="false" ht="14.25" hidden="false" customHeight="true" outlineLevel="0" collapsed="false">
      <c r="K399" s="61"/>
    </row>
    <row r="400" customFormat="false" ht="14.25" hidden="false" customHeight="true" outlineLevel="0" collapsed="false">
      <c r="K400" s="61"/>
    </row>
  </sheetData>
  <autoFilter ref="A1:J47"/>
  <mergeCells count="1">
    <mergeCell ref="A50:J50"/>
  </mergeCells>
  <dataValidations count="3">
    <dataValidation allowBlank="true" error="Ese valor no está en la lista de ⚙️ Configuración. ¿Lo dejas así?" errorStyle="warning" errorTitle="Categoría" operator="between" showDropDown="false" showErrorMessage="true" showInputMessage="false" sqref="C2:C400" type="list">
      <formula1>lista_categorias_activo</formula1>
      <formula2>0</formula2>
    </dataValidation>
    <dataValidation allowBlank="true" error="Ese valor no está en la lista de ⚙️ Configuración. ¿Lo dejas así?" errorStyle="warning" errorTitle="Estado" operator="between" showDropDown="false" showErrorMessage="true" showInputMessage="false" sqref="F2:F400" type="list">
      <formula1>lista_estados_activo</formula1>
      <formula2>0</formula2>
    </dataValidation>
    <dataValidation allowBlank="true" error="Ese valor no está en la lista de ⚙️ Configuración. ¿Lo dejas así?" errorStyle="warning" errorTitle="Clasificación" operator="between" showDropDown="false" showErrorMessage="true" showInputMessage="false" sqref="K2:K400" type="list">
      <formula1>lista_clasif_activo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2" activeCellId="0" sqref="C2"/>
    </sheetView>
  </sheetViews>
  <sheetFormatPr defaultColWidth="8.6328125" defaultRowHeight="14.25" zeroHeight="false" outlineLevelRow="0" outlineLevelCol="0"/>
  <cols>
    <col collapsed="false" customWidth="true" hidden="false" outlineLevel="0" max="1" min="1" style="1" width="14"/>
    <col collapsed="false" customWidth="true" hidden="false" outlineLevel="0" max="2" min="2" style="1" width="13"/>
    <col collapsed="false" customWidth="true" hidden="false" outlineLevel="0" max="3" min="3" style="1" width="14"/>
    <col collapsed="false" customWidth="true" hidden="false" outlineLevel="0" max="4" min="4" style="1" width="24"/>
    <col collapsed="false" customWidth="true" hidden="false" outlineLevel="0" max="5" min="5" style="1" width="9"/>
    <col collapsed="false" customWidth="true" hidden="false" outlineLevel="0" max="6" min="6" style="1" width="11"/>
    <col collapsed="false" customWidth="true" hidden="false" outlineLevel="0" max="8" min="7" style="1" width="13"/>
    <col collapsed="false" customWidth="true" hidden="false" outlineLevel="0" max="9" min="9" style="1" width="14"/>
    <col collapsed="false" customWidth="true" hidden="false" outlineLevel="0" max="10" min="10" style="1" width="22"/>
    <col collapsed="false" customWidth="true" hidden="false" outlineLevel="0" max="11" min="11" style="1" width="16"/>
  </cols>
  <sheetData>
    <row r="1" customFormat="false" ht="27.75" hidden="false" customHeight="true" outlineLevel="0" collapsed="false">
      <c r="A1" s="12" t="s">
        <v>1338</v>
      </c>
      <c r="B1" s="12" t="s">
        <v>498</v>
      </c>
      <c r="C1" s="12" t="s">
        <v>1098</v>
      </c>
      <c r="D1" s="12" t="s">
        <v>504</v>
      </c>
      <c r="E1" s="12" t="s">
        <v>1099</v>
      </c>
      <c r="F1" s="12" t="s">
        <v>54</v>
      </c>
      <c r="G1" s="12" t="s">
        <v>1339</v>
      </c>
      <c r="H1" s="12" t="s">
        <v>1340</v>
      </c>
      <c r="I1" s="12" t="s">
        <v>1341</v>
      </c>
      <c r="J1" s="12" t="s">
        <v>22</v>
      </c>
      <c r="K1" s="12" t="s">
        <v>509</v>
      </c>
    </row>
    <row r="2" customFormat="false" ht="19.5" hidden="false" customHeight="true" outlineLevel="0" collapsed="false">
      <c r="A2" s="49" t="s">
        <v>1342</v>
      </c>
      <c r="B2" s="69" t="n">
        <v>46263</v>
      </c>
      <c r="C2" s="49"/>
      <c r="D2" s="13" t="str">
        <f aca="false">IF(C2="","",IFERROR(INDEX(Marcancia!$D$2:$D$1000,MATCH(C2,Marcancia!$C$2:$C$1000,0)),""))</f>
        <v/>
      </c>
      <c r="E2" s="49" t="str">
        <f aca="false">IF(C2="","",IFERROR(INDEX(Marcancia!$E$2:$E$1000,MATCH(C2,Marcancia!$C$2:$C$1000,0)),""))</f>
        <v/>
      </c>
      <c r="F2" s="49"/>
      <c r="G2" s="14"/>
      <c r="H2" s="15" t="str">
        <f aca="false">IF(C2="","",IFERROR(INDEX(Marcancia!$K$2:$K$1000,MATCH(C2,Marcancia!$C$2:$C$1000,0)),0))</f>
        <v/>
      </c>
      <c r="I2" s="15" t="str">
        <f aca="false">IF(OR(G2="",H2=""),"",G2*H2)</f>
        <v/>
      </c>
      <c r="J2" s="49" t="s">
        <v>26</v>
      </c>
      <c r="K2" s="13" t="s">
        <v>1343</v>
      </c>
    </row>
    <row r="3" customFormat="false" ht="19.5" hidden="false" customHeight="true" outlineLevel="0" collapsed="false">
      <c r="A3" s="49" t="s">
        <v>1344</v>
      </c>
      <c r="B3" s="69"/>
      <c r="C3" s="49"/>
      <c r="D3" s="13" t="str">
        <f aca="false">IF(C3="","",IFERROR(INDEX(Marcancia!$D$2:$D$1000,MATCH(C3,Marcancia!$C$2:$C$1000,0)),""))</f>
        <v/>
      </c>
      <c r="E3" s="49" t="str">
        <f aca="false">IF(C3="","",IFERROR(INDEX(Marcancia!$E$2:$E$1000,MATCH(C3,Marcancia!$C$2:$C$1000,0)),""))</f>
        <v/>
      </c>
      <c r="F3" s="49"/>
      <c r="G3" s="14"/>
      <c r="H3" s="15" t="str">
        <f aca="false">IF(C3="","",IFERROR(INDEX(Marcancia!$K$2:$K$1000,MATCH(C3,Marcancia!$C$2:$C$1000,0)),0))</f>
        <v/>
      </c>
      <c r="I3" s="15" t="str">
        <f aca="false">IF(OR(G3="",H3=""),"",G3*H3)</f>
        <v/>
      </c>
      <c r="J3" s="49"/>
      <c r="K3" s="13"/>
    </row>
    <row r="4" customFormat="false" ht="19.5" hidden="false" customHeight="true" outlineLevel="0" collapsed="false">
      <c r="A4" s="49" t="s">
        <v>1345</v>
      </c>
      <c r="B4" s="69"/>
      <c r="C4" s="49"/>
      <c r="D4" s="13" t="str">
        <f aca="false">IF(C4="","",IFERROR(INDEX(Marcancia!$D$2:$D$1000,MATCH(C4,Marcancia!$C$2:$C$1000,0)),""))</f>
        <v/>
      </c>
      <c r="E4" s="49" t="str">
        <f aca="false">IF(C4="","",IFERROR(INDEX(Marcancia!$E$2:$E$1000,MATCH(C4,Marcancia!$C$2:$C$1000,0)),""))</f>
        <v/>
      </c>
      <c r="F4" s="49"/>
      <c r="G4" s="14"/>
      <c r="H4" s="15" t="str">
        <f aca="false">IF(C4="","",IFERROR(INDEX(Marcancia!$K$2:$K$1000,MATCH(C4,Marcancia!$C$2:$C$1000,0)),0))</f>
        <v/>
      </c>
      <c r="I4" s="15" t="str">
        <f aca="false">IF(OR(G4="",H4=""),"",G4*H4)</f>
        <v/>
      </c>
      <c r="J4" s="49"/>
      <c r="K4" s="13"/>
    </row>
    <row r="5" customFormat="false" ht="19.5" hidden="false" customHeight="true" outlineLevel="0" collapsed="false">
      <c r="A5" s="49" t="s">
        <v>1346</v>
      </c>
      <c r="B5" s="69"/>
      <c r="C5" s="49"/>
      <c r="D5" s="13" t="str">
        <f aca="false">IF(C5="","",IFERROR(INDEX(Marcancia!$D$2:$D$1000,MATCH(C5,Marcancia!$C$2:$C$1000,0)),""))</f>
        <v/>
      </c>
      <c r="E5" s="49" t="str">
        <f aca="false">IF(C5="","",IFERROR(INDEX(Marcancia!$E$2:$E$1000,MATCH(C5,Marcancia!$C$2:$C$1000,0)),""))</f>
        <v/>
      </c>
      <c r="F5" s="49"/>
      <c r="G5" s="14"/>
      <c r="H5" s="15" t="str">
        <f aca="false">IF(C5="","",IFERROR(INDEX(Marcancia!$K$2:$K$1000,MATCH(C5,Marcancia!$C$2:$C$1000,0)),0))</f>
        <v/>
      </c>
      <c r="I5" s="15" t="str">
        <f aca="false">IF(OR(G5="",H5=""),"",G5*H5)</f>
        <v/>
      </c>
      <c r="J5" s="49"/>
      <c r="K5" s="13"/>
    </row>
    <row r="6" customFormat="false" ht="19.5" hidden="false" customHeight="true" outlineLevel="0" collapsed="false">
      <c r="A6" s="49" t="s">
        <v>1347</v>
      </c>
      <c r="B6" s="69"/>
      <c r="C6" s="49"/>
      <c r="D6" s="13" t="str">
        <f aca="false">IF(C6="","",IFERROR(INDEX(Marcancia!$D$2:$D$1000,MATCH(C6,Marcancia!$C$2:$C$1000,0)),""))</f>
        <v/>
      </c>
      <c r="E6" s="49" t="str">
        <f aca="false">IF(C6="","",IFERROR(INDEX(Marcancia!$E$2:$E$1000,MATCH(C6,Marcancia!$C$2:$C$1000,0)),""))</f>
        <v/>
      </c>
      <c r="F6" s="49"/>
      <c r="G6" s="14"/>
      <c r="H6" s="15" t="str">
        <f aca="false">IF(C6="","",IFERROR(INDEX(Marcancia!$K$2:$K$1000,MATCH(C6,Marcancia!$C$2:$C$1000,0)),0))</f>
        <v/>
      </c>
      <c r="I6" s="15" t="str">
        <f aca="false">IF(OR(G6="",H6=""),"",G6*H6)</f>
        <v/>
      </c>
      <c r="J6" s="49"/>
      <c r="K6" s="13"/>
    </row>
    <row r="7" customFormat="false" ht="19.5" hidden="false" customHeight="true" outlineLevel="0" collapsed="false">
      <c r="A7" s="49" t="s">
        <v>1348</v>
      </c>
      <c r="B7" s="69"/>
      <c r="C7" s="49"/>
      <c r="D7" s="13" t="str">
        <f aca="false">IF(C7="","",IFERROR(INDEX(Marcancia!$D$2:$D$1000,MATCH(C7,Marcancia!$C$2:$C$1000,0)),""))</f>
        <v/>
      </c>
      <c r="E7" s="49" t="str">
        <f aca="false">IF(C7="","",IFERROR(INDEX(Marcancia!$E$2:$E$1000,MATCH(C7,Marcancia!$C$2:$C$1000,0)),""))</f>
        <v/>
      </c>
      <c r="F7" s="49"/>
      <c r="G7" s="14"/>
      <c r="H7" s="15" t="str">
        <f aca="false">IF(C7="","",IFERROR(INDEX(Marcancia!$K$2:$K$1000,MATCH(C7,Marcancia!$C$2:$C$1000,0)),0))</f>
        <v/>
      </c>
      <c r="I7" s="15" t="str">
        <f aca="false">IF(OR(G7="",H7=""),"",G7*H7)</f>
        <v/>
      </c>
      <c r="J7" s="49"/>
      <c r="K7" s="13"/>
    </row>
    <row r="8" customFormat="false" ht="19.5" hidden="false" customHeight="true" outlineLevel="0" collapsed="false">
      <c r="A8" s="49" t="s">
        <v>1349</v>
      </c>
      <c r="B8" s="69"/>
      <c r="C8" s="49"/>
      <c r="D8" s="13" t="str">
        <f aca="false">IF(C8="","",IFERROR(INDEX(Marcancia!$D$2:$D$1000,MATCH(C8,Marcancia!$C$2:$C$1000,0)),""))</f>
        <v/>
      </c>
      <c r="E8" s="49" t="str">
        <f aca="false">IF(C8="","",IFERROR(INDEX(Marcancia!$E$2:$E$1000,MATCH(C8,Marcancia!$C$2:$C$1000,0)),""))</f>
        <v/>
      </c>
      <c r="F8" s="49"/>
      <c r="G8" s="14"/>
      <c r="H8" s="15" t="str">
        <f aca="false">IF(C8="","",IFERROR(INDEX(Marcancia!$K$2:$K$1000,MATCH(C8,Marcancia!$C$2:$C$1000,0)),0))</f>
        <v/>
      </c>
      <c r="I8" s="15" t="str">
        <f aca="false">IF(OR(G8="",H8=""),"",G8*H8)</f>
        <v/>
      </c>
      <c r="J8" s="49"/>
      <c r="K8" s="13"/>
    </row>
    <row r="9" customFormat="false" ht="19.5" hidden="false" customHeight="true" outlineLevel="0" collapsed="false">
      <c r="A9" s="49" t="s">
        <v>1350</v>
      </c>
      <c r="B9" s="69"/>
      <c r="C9" s="49"/>
      <c r="D9" s="13" t="str">
        <f aca="false">IF(C9="","",IFERROR(INDEX(Marcancia!$D$2:$D$1000,MATCH(C9,Marcancia!$C$2:$C$1000,0)),""))</f>
        <v/>
      </c>
      <c r="E9" s="49" t="str">
        <f aca="false">IF(C9="","",IFERROR(INDEX(Marcancia!$E$2:$E$1000,MATCH(C9,Marcancia!$C$2:$C$1000,0)),""))</f>
        <v/>
      </c>
      <c r="F9" s="49"/>
      <c r="G9" s="14"/>
      <c r="H9" s="15" t="str">
        <f aca="false">IF(C9="","",IFERROR(INDEX(Marcancia!$K$2:$K$1000,MATCH(C9,Marcancia!$C$2:$C$1000,0)),0))</f>
        <v/>
      </c>
      <c r="I9" s="15" t="str">
        <f aca="false">IF(OR(G9="",H9=""),"",G9*H9)</f>
        <v/>
      </c>
      <c r="J9" s="49"/>
      <c r="K9" s="13"/>
    </row>
    <row r="10" customFormat="false" ht="19.5" hidden="false" customHeight="true" outlineLevel="0" collapsed="false">
      <c r="A10" s="49" t="s">
        <v>1351</v>
      </c>
      <c r="B10" s="69"/>
      <c r="C10" s="49"/>
      <c r="D10" s="13" t="str">
        <f aca="false">IF(C10="","",IFERROR(INDEX(Marcancia!$D$2:$D$1000,MATCH(C10,Marcancia!$C$2:$C$1000,0)),""))</f>
        <v/>
      </c>
      <c r="E10" s="49" t="str">
        <f aca="false">IF(C10="","",IFERROR(INDEX(Marcancia!$E$2:$E$1000,MATCH(C10,Marcancia!$C$2:$C$1000,0)),""))</f>
        <v/>
      </c>
      <c r="F10" s="49"/>
      <c r="G10" s="14"/>
      <c r="H10" s="15" t="str">
        <f aca="false">IF(C10="","",IFERROR(INDEX(Marcancia!$K$2:$K$1000,MATCH(C10,Marcancia!$C$2:$C$1000,0)),0))</f>
        <v/>
      </c>
      <c r="I10" s="15" t="str">
        <f aca="false">IF(OR(G10="",H10=""),"",G10*H10)</f>
        <v/>
      </c>
      <c r="J10" s="49"/>
      <c r="K10" s="13"/>
    </row>
    <row r="11" customFormat="false" ht="19.5" hidden="false" customHeight="true" outlineLevel="0" collapsed="false">
      <c r="A11" s="49" t="s">
        <v>1352</v>
      </c>
      <c r="B11" s="69"/>
      <c r="C11" s="49"/>
      <c r="D11" s="13" t="str">
        <f aca="false">IF(C11="","",IFERROR(INDEX(Marcancia!$D$2:$D$1000,MATCH(C11,Marcancia!$C$2:$C$1000,0)),""))</f>
        <v/>
      </c>
      <c r="E11" s="49" t="str">
        <f aca="false">IF(C11="","",IFERROR(INDEX(Marcancia!$E$2:$E$1000,MATCH(C11,Marcancia!$C$2:$C$1000,0)),""))</f>
        <v/>
      </c>
      <c r="F11" s="49"/>
      <c r="G11" s="14"/>
      <c r="H11" s="15" t="str">
        <f aca="false">IF(C11="","",IFERROR(INDEX(Marcancia!$K$2:$K$1000,MATCH(C11,Marcancia!$C$2:$C$1000,0)),0))</f>
        <v/>
      </c>
      <c r="I11" s="15" t="str">
        <f aca="false">IF(OR(G11="",H11=""),"",G11*H11)</f>
        <v/>
      </c>
      <c r="J11" s="49"/>
      <c r="K11" s="13"/>
    </row>
    <row r="12" customFormat="false" ht="19.5" hidden="false" customHeight="true" outlineLevel="0" collapsed="false">
      <c r="A12" s="49" t="s">
        <v>1353</v>
      </c>
      <c r="B12" s="69"/>
      <c r="C12" s="49"/>
      <c r="D12" s="13" t="str">
        <f aca="false">IF(C12="","",IFERROR(INDEX(Marcancia!$D$2:$D$1000,MATCH(C12,Marcancia!$C$2:$C$1000,0)),""))</f>
        <v/>
      </c>
      <c r="E12" s="49" t="str">
        <f aca="false">IF(C12="","",IFERROR(INDEX(Marcancia!$E$2:$E$1000,MATCH(C12,Marcancia!$C$2:$C$1000,0)),""))</f>
        <v/>
      </c>
      <c r="F12" s="49"/>
      <c r="G12" s="14"/>
      <c r="H12" s="15" t="str">
        <f aca="false">IF(C12="","",IFERROR(INDEX(Marcancia!$K$2:$K$1000,MATCH(C12,Marcancia!$C$2:$C$1000,0)),0))</f>
        <v/>
      </c>
      <c r="I12" s="15" t="str">
        <f aca="false">IF(OR(G12="",H12=""),"",G12*H12)</f>
        <v/>
      </c>
      <c r="J12" s="49"/>
      <c r="K12" s="13"/>
    </row>
    <row r="13" customFormat="false" ht="19.5" hidden="false" customHeight="true" outlineLevel="0" collapsed="false">
      <c r="A13" s="49" t="s">
        <v>1354</v>
      </c>
      <c r="B13" s="69"/>
      <c r="C13" s="49"/>
      <c r="D13" s="13" t="str">
        <f aca="false">IF(C13="","",IFERROR(INDEX(Marcancia!$D$2:$D$1000,MATCH(C13,Marcancia!$C$2:$C$1000,0)),""))</f>
        <v/>
      </c>
      <c r="E13" s="49" t="str">
        <f aca="false">IF(C13="","",IFERROR(INDEX(Marcancia!$E$2:$E$1000,MATCH(C13,Marcancia!$C$2:$C$1000,0)),""))</f>
        <v/>
      </c>
      <c r="F13" s="49"/>
      <c r="G13" s="14"/>
      <c r="H13" s="15" t="str">
        <f aca="false">IF(C13="","",IFERROR(INDEX(Marcancia!$K$2:$K$1000,MATCH(C13,Marcancia!$C$2:$C$1000,0)),0))</f>
        <v/>
      </c>
      <c r="I13" s="15" t="str">
        <f aca="false">IF(OR(G13="",H13=""),"",G13*H13)</f>
        <v/>
      </c>
      <c r="J13" s="49"/>
      <c r="K13" s="13"/>
    </row>
    <row r="14" customFormat="false" ht="19.5" hidden="false" customHeight="true" outlineLevel="0" collapsed="false">
      <c r="A14" s="49" t="s">
        <v>1355</v>
      </c>
      <c r="B14" s="69"/>
      <c r="C14" s="49"/>
      <c r="D14" s="13" t="str">
        <f aca="false">IF(C14="","",IFERROR(INDEX(Marcancia!$D$2:$D$1000,MATCH(C14,Marcancia!$C$2:$C$1000,0)),""))</f>
        <v/>
      </c>
      <c r="E14" s="49" t="str">
        <f aca="false">IF(C14="","",IFERROR(INDEX(Marcancia!$E$2:$E$1000,MATCH(C14,Marcancia!$C$2:$C$1000,0)),""))</f>
        <v/>
      </c>
      <c r="F14" s="49"/>
      <c r="G14" s="14"/>
      <c r="H14" s="15" t="str">
        <f aca="false">IF(C14="","",IFERROR(INDEX(Marcancia!$K$2:$K$1000,MATCH(C14,Marcancia!$C$2:$C$1000,0)),0))</f>
        <v/>
      </c>
      <c r="I14" s="15" t="str">
        <f aca="false">IF(OR(G14="",H14=""),"",G14*H14)</f>
        <v/>
      </c>
      <c r="J14" s="49"/>
      <c r="K14" s="13"/>
    </row>
    <row r="15" customFormat="false" ht="19.5" hidden="false" customHeight="true" outlineLevel="0" collapsed="false">
      <c r="A15" s="49" t="s">
        <v>1356</v>
      </c>
      <c r="B15" s="69"/>
      <c r="C15" s="49"/>
      <c r="D15" s="13" t="str">
        <f aca="false">IF(C15="","",IFERROR(INDEX(Marcancia!$D$2:$D$1000,MATCH(C15,Marcancia!$C$2:$C$1000,0)),""))</f>
        <v/>
      </c>
      <c r="E15" s="49" t="str">
        <f aca="false">IF(C15="","",IFERROR(INDEX(Marcancia!$E$2:$E$1000,MATCH(C15,Marcancia!$C$2:$C$1000,0)),""))</f>
        <v/>
      </c>
      <c r="F15" s="49"/>
      <c r="G15" s="14"/>
      <c r="H15" s="15" t="str">
        <f aca="false">IF(C15="","",IFERROR(INDEX(Marcancia!$K$2:$K$1000,MATCH(C15,Marcancia!$C$2:$C$1000,0)),0))</f>
        <v/>
      </c>
      <c r="I15" s="15" t="str">
        <f aca="false">IF(OR(G15="",H15=""),"",G15*H15)</f>
        <v/>
      </c>
      <c r="J15" s="49"/>
      <c r="K15" s="13"/>
    </row>
    <row r="16" customFormat="false" ht="19.5" hidden="false" customHeight="true" outlineLevel="0" collapsed="false">
      <c r="A16" s="49" t="s">
        <v>1357</v>
      </c>
      <c r="B16" s="69"/>
      <c r="C16" s="49"/>
      <c r="D16" s="13" t="str">
        <f aca="false">IF(C16="","",IFERROR(INDEX(Marcancia!$D$2:$D$1000,MATCH(C16,Marcancia!$C$2:$C$1000,0)),""))</f>
        <v/>
      </c>
      <c r="E16" s="49" t="str">
        <f aca="false">IF(C16="","",IFERROR(INDEX(Marcancia!$E$2:$E$1000,MATCH(C16,Marcancia!$C$2:$C$1000,0)),""))</f>
        <v/>
      </c>
      <c r="F16" s="49"/>
      <c r="G16" s="14"/>
      <c r="H16" s="15" t="str">
        <f aca="false">IF(C16="","",IFERROR(INDEX(Marcancia!$K$2:$K$1000,MATCH(C16,Marcancia!$C$2:$C$1000,0)),0))</f>
        <v/>
      </c>
      <c r="I16" s="15" t="str">
        <f aca="false">IF(OR(G16="",H16=""),"",G16*H16)</f>
        <v/>
      </c>
      <c r="J16" s="49"/>
      <c r="K16" s="13"/>
    </row>
    <row r="17" customFormat="false" ht="19.5" hidden="false" customHeight="true" outlineLevel="0" collapsed="false">
      <c r="A17" s="49" t="s">
        <v>1358</v>
      </c>
      <c r="B17" s="69"/>
      <c r="C17" s="49"/>
      <c r="D17" s="13" t="str">
        <f aca="false">IF(C17="","",IFERROR(INDEX(Marcancia!$D$2:$D$1000,MATCH(C17,Marcancia!$C$2:$C$1000,0)),""))</f>
        <v/>
      </c>
      <c r="E17" s="49" t="str">
        <f aca="false">IF(C17="","",IFERROR(INDEX(Marcancia!$E$2:$E$1000,MATCH(C17,Marcancia!$C$2:$C$1000,0)),""))</f>
        <v/>
      </c>
      <c r="F17" s="49"/>
      <c r="G17" s="14"/>
      <c r="H17" s="15" t="str">
        <f aca="false">IF(C17="","",IFERROR(INDEX(Marcancia!$K$2:$K$1000,MATCH(C17,Marcancia!$C$2:$C$1000,0)),0))</f>
        <v/>
      </c>
      <c r="I17" s="15" t="str">
        <f aca="false">IF(OR(G17="",H17=""),"",G17*H17)</f>
        <v/>
      </c>
      <c r="J17" s="49"/>
      <c r="K17" s="13"/>
    </row>
    <row r="18" customFormat="false" ht="19.5" hidden="false" customHeight="true" outlineLevel="0" collapsed="false">
      <c r="A18" s="49" t="s">
        <v>1359</v>
      </c>
      <c r="B18" s="69"/>
      <c r="C18" s="49"/>
      <c r="D18" s="13" t="str">
        <f aca="false">IF(C18="","",IFERROR(INDEX(Marcancia!$D$2:$D$1000,MATCH(C18,Marcancia!$C$2:$C$1000,0)),""))</f>
        <v/>
      </c>
      <c r="E18" s="49" t="str">
        <f aca="false">IF(C18="","",IFERROR(INDEX(Marcancia!$E$2:$E$1000,MATCH(C18,Marcancia!$C$2:$C$1000,0)),""))</f>
        <v/>
      </c>
      <c r="F18" s="49"/>
      <c r="G18" s="14"/>
      <c r="H18" s="15" t="str">
        <f aca="false">IF(C18="","",IFERROR(INDEX(Marcancia!$K$2:$K$1000,MATCH(C18,Marcancia!$C$2:$C$1000,0)),0))</f>
        <v/>
      </c>
      <c r="I18" s="15" t="str">
        <f aca="false">IF(OR(G18="",H18=""),"",G18*H18)</f>
        <v/>
      </c>
      <c r="J18" s="49"/>
      <c r="K18" s="13"/>
    </row>
    <row r="19" customFormat="false" ht="19.5" hidden="false" customHeight="true" outlineLevel="0" collapsed="false">
      <c r="A19" s="49" t="s">
        <v>1360</v>
      </c>
      <c r="B19" s="69"/>
      <c r="C19" s="49"/>
      <c r="D19" s="13" t="str">
        <f aca="false">IF(C19="","",IFERROR(INDEX(Marcancia!$D$2:$D$1000,MATCH(C19,Marcancia!$C$2:$C$1000,0)),""))</f>
        <v/>
      </c>
      <c r="E19" s="49" t="str">
        <f aca="false">IF(C19="","",IFERROR(INDEX(Marcancia!$E$2:$E$1000,MATCH(C19,Marcancia!$C$2:$C$1000,0)),""))</f>
        <v/>
      </c>
      <c r="F19" s="49"/>
      <c r="G19" s="14"/>
      <c r="H19" s="15" t="str">
        <f aca="false">IF(C19="","",IFERROR(INDEX(Marcancia!$K$2:$K$1000,MATCH(C19,Marcancia!$C$2:$C$1000,0)),0))</f>
        <v/>
      </c>
      <c r="I19" s="15" t="str">
        <f aca="false">IF(OR(G19="",H19=""),"",G19*H19)</f>
        <v/>
      </c>
      <c r="J19" s="49"/>
      <c r="K19" s="13"/>
    </row>
    <row r="20" customFormat="false" ht="19.5" hidden="false" customHeight="true" outlineLevel="0" collapsed="false">
      <c r="A20" s="49" t="s">
        <v>1361</v>
      </c>
      <c r="B20" s="69"/>
      <c r="C20" s="49"/>
      <c r="D20" s="13" t="str">
        <f aca="false">IF(C20="","",IFERROR(INDEX(Marcancia!$D$2:$D$1000,MATCH(C20,Marcancia!$C$2:$C$1000,0)),""))</f>
        <v/>
      </c>
      <c r="E20" s="49" t="str">
        <f aca="false">IF(C20="","",IFERROR(INDEX(Marcancia!$E$2:$E$1000,MATCH(C20,Marcancia!$C$2:$C$1000,0)),""))</f>
        <v/>
      </c>
      <c r="F20" s="49"/>
      <c r="G20" s="14"/>
      <c r="H20" s="15" t="str">
        <f aca="false">IF(C20="","",IFERROR(INDEX(Marcancia!$K$2:$K$1000,MATCH(C20,Marcancia!$C$2:$C$1000,0)),0))</f>
        <v/>
      </c>
      <c r="I20" s="15" t="str">
        <f aca="false">IF(OR(G20="",H20=""),"",G20*H20)</f>
        <v/>
      </c>
      <c r="J20" s="49"/>
      <c r="K20" s="13"/>
    </row>
    <row r="21" customFormat="false" ht="19.5" hidden="false" customHeight="true" outlineLevel="0" collapsed="false">
      <c r="A21" s="49" t="s">
        <v>1362</v>
      </c>
      <c r="B21" s="69"/>
      <c r="C21" s="49"/>
      <c r="D21" s="13" t="str">
        <f aca="false">IF(C21="","",IFERROR(INDEX(Marcancia!$D$2:$D$1000,MATCH(C21,Marcancia!$C$2:$C$1000,0)),""))</f>
        <v/>
      </c>
      <c r="E21" s="49" t="str">
        <f aca="false">IF(C21="","",IFERROR(INDEX(Marcancia!$E$2:$E$1000,MATCH(C21,Marcancia!$C$2:$C$1000,0)),""))</f>
        <v/>
      </c>
      <c r="F21" s="49"/>
      <c r="G21" s="14"/>
      <c r="H21" s="15" t="str">
        <f aca="false">IF(C21="","",IFERROR(INDEX(Marcancia!$K$2:$K$1000,MATCH(C21,Marcancia!$C$2:$C$1000,0)),0))</f>
        <v/>
      </c>
      <c r="I21" s="15" t="str">
        <f aca="false">IF(OR(G21="",H21=""),"",G21*H21)</f>
        <v/>
      </c>
      <c r="J21" s="49"/>
      <c r="K21" s="13"/>
    </row>
    <row r="22" customFormat="false" ht="19.5" hidden="false" customHeight="true" outlineLevel="0" collapsed="false">
      <c r="A22" s="49" t="s">
        <v>1363</v>
      </c>
      <c r="B22" s="69"/>
      <c r="C22" s="49"/>
      <c r="D22" s="13" t="str">
        <f aca="false">IF(C22="","",IFERROR(INDEX(Marcancia!$D$2:$D$1000,MATCH(C22,Marcancia!$C$2:$C$1000,0)),""))</f>
        <v/>
      </c>
      <c r="E22" s="49" t="str">
        <f aca="false">IF(C22="","",IFERROR(INDEX(Marcancia!$E$2:$E$1000,MATCH(C22,Marcancia!$C$2:$C$1000,0)),""))</f>
        <v/>
      </c>
      <c r="F22" s="49"/>
      <c r="G22" s="14"/>
      <c r="H22" s="15" t="str">
        <f aca="false">IF(C22="","",IFERROR(INDEX(Marcancia!$K$2:$K$1000,MATCH(C22,Marcancia!$C$2:$C$1000,0)),0))</f>
        <v/>
      </c>
      <c r="I22" s="15" t="str">
        <f aca="false">IF(OR(G22="",H22=""),"",G22*H22)</f>
        <v/>
      </c>
      <c r="J22" s="49"/>
      <c r="K22" s="13"/>
    </row>
    <row r="23" customFormat="false" ht="19.5" hidden="false" customHeight="true" outlineLevel="0" collapsed="false">
      <c r="A23" s="49" t="s">
        <v>1364</v>
      </c>
      <c r="B23" s="69"/>
      <c r="C23" s="49"/>
      <c r="D23" s="13" t="str">
        <f aca="false">IF(C23="","",IFERROR(INDEX(Marcancia!$D$2:$D$1000,MATCH(C23,Marcancia!$C$2:$C$1000,0)),""))</f>
        <v/>
      </c>
      <c r="E23" s="49" t="str">
        <f aca="false">IF(C23="","",IFERROR(INDEX(Marcancia!$E$2:$E$1000,MATCH(C23,Marcancia!$C$2:$C$1000,0)),""))</f>
        <v/>
      </c>
      <c r="F23" s="49"/>
      <c r="G23" s="14"/>
      <c r="H23" s="15" t="str">
        <f aca="false">IF(C23="","",IFERROR(INDEX(Marcancia!$K$2:$K$1000,MATCH(C23,Marcancia!$C$2:$C$1000,0)),0))</f>
        <v/>
      </c>
      <c r="I23" s="15" t="str">
        <f aca="false">IF(OR(G23="",H23=""),"",G23*H23)</f>
        <v/>
      </c>
      <c r="J23" s="49"/>
      <c r="K23" s="13"/>
    </row>
    <row r="24" customFormat="false" ht="19.5" hidden="false" customHeight="true" outlineLevel="0" collapsed="false">
      <c r="A24" s="49" t="s">
        <v>1365</v>
      </c>
      <c r="B24" s="69"/>
      <c r="C24" s="49"/>
      <c r="D24" s="13" t="str">
        <f aca="false">IF(C24="","",IFERROR(INDEX(Marcancia!$D$2:$D$1000,MATCH(C24,Marcancia!$C$2:$C$1000,0)),""))</f>
        <v/>
      </c>
      <c r="E24" s="49" t="str">
        <f aca="false">IF(C24="","",IFERROR(INDEX(Marcancia!$E$2:$E$1000,MATCH(C24,Marcancia!$C$2:$C$1000,0)),""))</f>
        <v/>
      </c>
      <c r="F24" s="49"/>
      <c r="G24" s="14"/>
      <c r="H24" s="15" t="str">
        <f aca="false">IF(C24="","",IFERROR(INDEX(Marcancia!$K$2:$K$1000,MATCH(C24,Marcancia!$C$2:$C$1000,0)),0))</f>
        <v/>
      </c>
      <c r="I24" s="15" t="str">
        <f aca="false">IF(OR(G24="",H24=""),"",G24*H24)</f>
        <v/>
      </c>
      <c r="J24" s="49"/>
      <c r="K24" s="13"/>
    </row>
    <row r="25" customFormat="false" ht="19.5" hidden="false" customHeight="true" outlineLevel="0" collapsed="false">
      <c r="A25" s="49" t="s">
        <v>1366</v>
      </c>
      <c r="B25" s="69"/>
      <c r="C25" s="49"/>
      <c r="D25" s="13" t="str">
        <f aca="false">IF(C25="","",IFERROR(INDEX(Marcancia!$D$2:$D$1000,MATCH(C25,Marcancia!$C$2:$C$1000,0)),""))</f>
        <v/>
      </c>
      <c r="E25" s="49" t="str">
        <f aca="false">IF(C25="","",IFERROR(INDEX(Marcancia!$E$2:$E$1000,MATCH(C25,Marcancia!$C$2:$C$1000,0)),""))</f>
        <v/>
      </c>
      <c r="F25" s="49"/>
      <c r="G25" s="14"/>
      <c r="H25" s="15" t="str">
        <f aca="false">IF(C25="","",IFERROR(INDEX(Marcancia!$K$2:$K$1000,MATCH(C25,Marcancia!$C$2:$C$1000,0)),0))</f>
        <v/>
      </c>
      <c r="I25" s="15" t="str">
        <f aca="false">IF(OR(G25="",H25=""),"",G25*H25)</f>
        <v/>
      </c>
      <c r="J25" s="49"/>
      <c r="K25" s="13"/>
    </row>
    <row r="26" customFormat="false" ht="19.5" hidden="false" customHeight="true" outlineLevel="0" collapsed="false">
      <c r="A26" s="49" t="s">
        <v>1367</v>
      </c>
      <c r="B26" s="69"/>
      <c r="C26" s="49"/>
      <c r="D26" s="13" t="str">
        <f aca="false">IF(C26="","",IFERROR(INDEX(Marcancia!$D$2:$D$1000,MATCH(C26,Marcancia!$C$2:$C$1000,0)),""))</f>
        <v/>
      </c>
      <c r="E26" s="49" t="str">
        <f aca="false">IF(C26="","",IFERROR(INDEX(Marcancia!$E$2:$E$1000,MATCH(C26,Marcancia!$C$2:$C$1000,0)),""))</f>
        <v/>
      </c>
      <c r="F26" s="49"/>
      <c r="G26" s="14"/>
      <c r="H26" s="15" t="str">
        <f aca="false">IF(C26="","",IFERROR(INDEX(Marcancia!$K$2:$K$1000,MATCH(C26,Marcancia!$C$2:$C$1000,0)),0))</f>
        <v/>
      </c>
      <c r="I26" s="15" t="str">
        <f aca="false">IF(OR(G26="",H26=""),"",G26*H26)</f>
        <v/>
      </c>
      <c r="J26" s="49"/>
      <c r="K26" s="13"/>
    </row>
    <row r="27" customFormat="false" ht="19.5" hidden="false" customHeight="true" outlineLevel="0" collapsed="false">
      <c r="A27" s="49" t="s">
        <v>1368</v>
      </c>
      <c r="B27" s="69"/>
      <c r="C27" s="49"/>
      <c r="D27" s="13" t="str">
        <f aca="false">IF(C27="","",IFERROR(INDEX(Marcancia!$D$2:$D$1000,MATCH(C27,Marcancia!$C$2:$C$1000,0)),""))</f>
        <v/>
      </c>
      <c r="E27" s="49" t="str">
        <f aca="false">IF(C27="","",IFERROR(INDEX(Marcancia!$E$2:$E$1000,MATCH(C27,Marcancia!$C$2:$C$1000,0)),""))</f>
        <v/>
      </c>
      <c r="F27" s="49"/>
      <c r="G27" s="14"/>
      <c r="H27" s="15" t="str">
        <f aca="false">IF(C27="","",IFERROR(INDEX(Marcancia!$K$2:$K$1000,MATCH(C27,Marcancia!$C$2:$C$1000,0)),0))</f>
        <v/>
      </c>
      <c r="I27" s="15" t="str">
        <f aca="false">IF(OR(G27="",H27=""),"",G27*H27)</f>
        <v/>
      </c>
      <c r="J27" s="49"/>
      <c r="K27" s="13"/>
    </row>
    <row r="28" customFormat="false" ht="19.5" hidden="false" customHeight="true" outlineLevel="0" collapsed="false">
      <c r="A28" s="49" t="s">
        <v>1369</v>
      </c>
      <c r="B28" s="69"/>
      <c r="C28" s="49"/>
      <c r="D28" s="13" t="str">
        <f aca="false">IF(C28="","",IFERROR(INDEX(Marcancia!$D$2:$D$1000,MATCH(C28,Marcancia!$C$2:$C$1000,0)),""))</f>
        <v/>
      </c>
      <c r="E28" s="49" t="str">
        <f aca="false">IF(C28="","",IFERROR(INDEX(Marcancia!$E$2:$E$1000,MATCH(C28,Marcancia!$C$2:$C$1000,0)),""))</f>
        <v/>
      </c>
      <c r="F28" s="49"/>
      <c r="G28" s="14"/>
      <c r="H28" s="15" t="str">
        <f aca="false">IF(C28="","",IFERROR(INDEX(Marcancia!$K$2:$K$1000,MATCH(C28,Marcancia!$C$2:$C$1000,0)),0))</f>
        <v/>
      </c>
      <c r="I28" s="15" t="str">
        <f aca="false">IF(OR(G28="",H28=""),"",G28*H28)</f>
        <v/>
      </c>
      <c r="J28" s="49"/>
      <c r="K28" s="13"/>
    </row>
    <row r="29" customFormat="false" ht="19.5" hidden="false" customHeight="true" outlineLevel="0" collapsed="false">
      <c r="A29" s="49" t="s">
        <v>1370</v>
      </c>
      <c r="B29" s="69"/>
      <c r="C29" s="49"/>
      <c r="D29" s="13" t="str">
        <f aca="false">IF(C29="","",IFERROR(INDEX(Marcancia!$D$2:$D$1000,MATCH(C29,Marcancia!$C$2:$C$1000,0)),""))</f>
        <v/>
      </c>
      <c r="E29" s="49" t="str">
        <f aca="false">IF(C29="","",IFERROR(INDEX(Marcancia!$E$2:$E$1000,MATCH(C29,Marcancia!$C$2:$C$1000,0)),""))</f>
        <v/>
      </c>
      <c r="F29" s="49"/>
      <c r="G29" s="14"/>
      <c r="H29" s="15" t="str">
        <f aca="false">IF(C29="","",IFERROR(INDEX(Marcancia!$K$2:$K$1000,MATCH(C29,Marcancia!$C$2:$C$1000,0)),0))</f>
        <v/>
      </c>
      <c r="I29" s="15" t="str">
        <f aca="false">IF(OR(G29="",H29=""),"",G29*H29)</f>
        <v/>
      </c>
      <c r="J29" s="49"/>
      <c r="K29" s="13"/>
    </row>
    <row r="30" customFormat="false" ht="19.5" hidden="false" customHeight="true" outlineLevel="0" collapsed="false">
      <c r="A30" s="49" t="s">
        <v>1371</v>
      </c>
      <c r="B30" s="69"/>
      <c r="C30" s="49"/>
      <c r="D30" s="13" t="str">
        <f aca="false">IF(C30="","",IFERROR(INDEX(Marcancia!$D$2:$D$1000,MATCH(C30,Marcancia!$C$2:$C$1000,0)),""))</f>
        <v/>
      </c>
      <c r="E30" s="49" t="str">
        <f aca="false">IF(C30="","",IFERROR(INDEX(Marcancia!$E$2:$E$1000,MATCH(C30,Marcancia!$C$2:$C$1000,0)),""))</f>
        <v/>
      </c>
      <c r="F30" s="49"/>
      <c r="G30" s="14"/>
      <c r="H30" s="15" t="str">
        <f aca="false">IF(C30="","",IFERROR(INDEX(Marcancia!$K$2:$K$1000,MATCH(C30,Marcancia!$C$2:$C$1000,0)),0))</f>
        <v/>
      </c>
      <c r="I30" s="15" t="str">
        <f aca="false">IF(OR(G30="",H30=""),"",G30*H30)</f>
        <v/>
      </c>
      <c r="J30" s="49"/>
      <c r="K30" s="13"/>
    </row>
    <row r="31" customFormat="false" ht="19.5" hidden="false" customHeight="true" outlineLevel="0" collapsed="false">
      <c r="A31" s="49" t="s">
        <v>1372</v>
      </c>
      <c r="B31" s="69"/>
      <c r="C31" s="49"/>
      <c r="D31" s="13" t="str">
        <f aca="false">IF(C31="","",IFERROR(INDEX(Marcancia!$D$2:$D$1000,MATCH(C31,Marcancia!$C$2:$C$1000,0)),""))</f>
        <v/>
      </c>
      <c r="E31" s="49" t="str">
        <f aca="false">IF(C31="","",IFERROR(INDEX(Marcancia!$E$2:$E$1000,MATCH(C31,Marcancia!$C$2:$C$1000,0)),""))</f>
        <v/>
      </c>
      <c r="F31" s="49"/>
      <c r="G31" s="14"/>
      <c r="H31" s="15" t="str">
        <f aca="false">IF(C31="","",IFERROR(INDEX(Marcancia!$K$2:$K$1000,MATCH(C31,Marcancia!$C$2:$C$1000,0)),0))</f>
        <v/>
      </c>
      <c r="I31" s="15" t="str">
        <f aca="false">IF(OR(G31="",H31=""),"",G31*H31)</f>
        <v/>
      </c>
      <c r="J31" s="49"/>
      <c r="K31" s="13"/>
    </row>
    <row r="32" customFormat="false" ht="19.5" hidden="false" customHeight="true" outlineLevel="0" collapsed="false">
      <c r="A32" s="49" t="s">
        <v>1373</v>
      </c>
      <c r="B32" s="69"/>
      <c r="C32" s="49"/>
      <c r="D32" s="13" t="str">
        <f aca="false">IF(C32="","",IFERROR(INDEX(Marcancia!$D$2:$D$1000,MATCH(C32,Marcancia!$C$2:$C$1000,0)),""))</f>
        <v/>
      </c>
      <c r="E32" s="49" t="str">
        <f aca="false">IF(C32="","",IFERROR(INDEX(Marcancia!$E$2:$E$1000,MATCH(C32,Marcancia!$C$2:$C$1000,0)),""))</f>
        <v/>
      </c>
      <c r="F32" s="49"/>
      <c r="G32" s="14"/>
      <c r="H32" s="15" t="str">
        <f aca="false">IF(C32="","",IFERROR(INDEX(Marcancia!$K$2:$K$1000,MATCH(C32,Marcancia!$C$2:$C$1000,0)),0))</f>
        <v/>
      </c>
      <c r="I32" s="15" t="str">
        <f aca="false">IF(OR(G32="",H32=""),"",G32*H32)</f>
        <v/>
      </c>
      <c r="J32" s="49"/>
      <c r="K32" s="13"/>
    </row>
    <row r="33" customFormat="false" ht="19.5" hidden="false" customHeight="true" outlineLevel="0" collapsed="false">
      <c r="A33" s="49" t="s">
        <v>1374</v>
      </c>
      <c r="B33" s="69"/>
      <c r="C33" s="49"/>
      <c r="D33" s="13" t="str">
        <f aca="false">IF(C33="","",IFERROR(INDEX(Marcancia!$D$2:$D$1000,MATCH(C33,Marcancia!$C$2:$C$1000,0)),""))</f>
        <v/>
      </c>
      <c r="E33" s="49" t="str">
        <f aca="false">IF(C33="","",IFERROR(INDEX(Marcancia!$E$2:$E$1000,MATCH(C33,Marcancia!$C$2:$C$1000,0)),""))</f>
        <v/>
      </c>
      <c r="F33" s="49"/>
      <c r="G33" s="14"/>
      <c r="H33" s="15" t="str">
        <f aca="false">IF(C33="","",IFERROR(INDEX(Marcancia!$K$2:$K$1000,MATCH(C33,Marcancia!$C$2:$C$1000,0)),0))</f>
        <v/>
      </c>
      <c r="I33" s="15" t="str">
        <f aca="false">IF(OR(G33="",H33=""),"",G33*H33)</f>
        <v/>
      </c>
      <c r="J33" s="49"/>
      <c r="K33" s="13"/>
    </row>
    <row r="34" customFormat="false" ht="19.5" hidden="false" customHeight="true" outlineLevel="0" collapsed="false">
      <c r="A34" s="49" t="s">
        <v>1375</v>
      </c>
      <c r="B34" s="69"/>
      <c r="C34" s="49"/>
      <c r="D34" s="13" t="str">
        <f aca="false">IF(C34="","",IFERROR(INDEX(Marcancia!$D$2:$D$1000,MATCH(C34,Marcancia!$C$2:$C$1000,0)),""))</f>
        <v/>
      </c>
      <c r="E34" s="49" t="str">
        <f aca="false">IF(C34="","",IFERROR(INDEX(Marcancia!$E$2:$E$1000,MATCH(C34,Marcancia!$C$2:$C$1000,0)),""))</f>
        <v/>
      </c>
      <c r="F34" s="49"/>
      <c r="G34" s="14"/>
      <c r="H34" s="15" t="str">
        <f aca="false">IF(C34="","",IFERROR(INDEX(Marcancia!$K$2:$K$1000,MATCH(C34,Marcancia!$C$2:$C$1000,0)),0))</f>
        <v/>
      </c>
      <c r="I34" s="15" t="str">
        <f aca="false">IF(OR(G34="",H34=""),"",G34*H34)</f>
        <v/>
      </c>
      <c r="J34" s="49"/>
      <c r="K34" s="13"/>
    </row>
    <row r="35" customFormat="false" ht="19.5" hidden="false" customHeight="true" outlineLevel="0" collapsed="false">
      <c r="A35" s="49" t="s">
        <v>1376</v>
      </c>
      <c r="B35" s="69"/>
      <c r="C35" s="49"/>
      <c r="D35" s="13" t="str">
        <f aca="false">IF(C35="","",IFERROR(INDEX(Marcancia!$D$2:$D$1000,MATCH(C35,Marcancia!$C$2:$C$1000,0)),""))</f>
        <v/>
      </c>
      <c r="E35" s="49" t="str">
        <f aca="false">IF(C35="","",IFERROR(INDEX(Marcancia!$E$2:$E$1000,MATCH(C35,Marcancia!$C$2:$C$1000,0)),""))</f>
        <v/>
      </c>
      <c r="F35" s="49"/>
      <c r="G35" s="14"/>
      <c r="H35" s="15" t="str">
        <f aca="false">IF(C35="","",IFERROR(INDEX(Marcancia!$K$2:$K$1000,MATCH(C35,Marcancia!$C$2:$C$1000,0)),0))</f>
        <v/>
      </c>
      <c r="I35" s="15" t="str">
        <f aca="false">IF(OR(G35="",H35=""),"",G35*H35)</f>
        <v/>
      </c>
      <c r="J35" s="49"/>
      <c r="K35" s="13"/>
    </row>
    <row r="36" customFormat="false" ht="19.5" hidden="false" customHeight="true" outlineLevel="0" collapsed="false">
      <c r="A36" s="49" t="s">
        <v>1377</v>
      </c>
      <c r="B36" s="69"/>
      <c r="C36" s="49"/>
      <c r="D36" s="13" t="str">
        <f aca="false">IF(C36="","",IFERROR(INDEX(Marcancia!$D$2:$D$1000,MATCH(C36,Marcancia!$C$2:$C$1000,0)),""))</f>
        <v/>
      </c>
      <c r="E36" s="49" t="str">
        <f aca="false">IF(C36="","",IFERROR(INDEX(Marcancia!$E$2:$E$1000,MATCH(C36,Marcancia!$C$2:$C$1000,0)),""))</f>
        <v/>
      </c>
      <c r="F36" s="49"/>
      <c r="G36" s="14"/>
      <c r="H36" s="15" t="str">
        <f aca="false">IF(C36="","",IFERROR(INDEX(Marcancia!$K$2:$K$1000,MATCH(C36,Marcancia!$C$2:$C$1000,0)),0))</f>
        <v/>
      </c>
      <c r="I36" s="15" t="str">
        <f aca="false">IF(OR(G36="",H36=""),"",G36*H36)</f>
        <v/>
      </c>
      <c r="J36" s="49"/>
      <c r="K36" s="13"/>
    </row>
    <row r="37" customFormat="false" ht="19.5" hidden="false" customHeight="true" outlineLevel="0" collapsed="false">
      <c r="A37" s="49" t="s">
        <v>1378</v>
      </c>
      <c r="B37" s="69"/>
      <c r="C37" s="49"/>
      <c r="D37" s="13" t="str">
        <f aca="false">IF(C37="","",IFERROR(INDEX(Marcancia!$D$2:$D$1000,MATCH(C37,Marcancia!$C$2:$C$1000,0)),""))</f>
        <v/>
      </c>
      <c r="E37" s="49" t="str">
        <f aca="false">IF(C37="","",IFERROR(INDEX(Marcancia!$E$2:$E$1000,MATCH(C37,Marcancia!$C$2:$C$1000,0)),""))</f>
        <v/>
      </c>
      <c r="F37" s="49"/>
      <c r="G37" s="14"/>
      <c r="H37" s="15" t="str">
        <f aca="false">IF(C37="","",IFERROR(INDEX(Marcancia!$K$2:$K$1000,MATCH(C37,Marcancia!$C$2:$C$1000,0)),0))</f>
        <v/>
      </c>
      <c r="I37" s="15" t="str">
        <f aca="false">IF(OR(G37="",H37=""),"",G37*H37)</f>
        <v/>
      </c>
      <c r="J37" s="49"/>
      <c r="K37" s="13"/>
    </row>
    <row r="38" customFormat="false" ht="19.5" hidden="false" customHeight="true" outlineLevel="0" collapsed="false">
      <c r="A38" s="49" t="s">
        <v>1379</v>
      </c>
      <c r="B38" s="69"/>
      <c r="C38" s="49"/>
      <c r="D38" s="13" t="str">
        <f aca="false">IF(C38="","",IFERROR(INDEX(Marcancia!$D$2:$D$1000,MATCH(C38,Marcancia!$C$2:$C$1000,0)),""))</f>
        <v/>
      </c>
      <c r="E38" s="49" t="str">
        <f aca="false">IF(C38="","",IFERROR(INDEX(Marcancia!$E$2:$E$1000,MATCH(C38,Marcancia!$C$2:$C$1000,0)),""))</f>
        <v/>
      </c>
      <c r="F38" s="49"/>
      <c r="G38" s="14"/>
      <c r="H38" s="15" t="str">
        <f aca="false">IF(C38="","",IFERROR(INDEX(Marcancia!$K$2:$K$1000,MATCH(C38,Marcancia!$C$2:$C$1000,0)),0))</f>
        <v/>
      </c>
      <c r="I38" s="15" t="str">
        <f aca="false">IF(OR(G38="",H38=""),"",G38*H38)</f>
        <v/>
      </c>
      <c r="J38" s="49"/>
      <c r="K38" s="13"/>
    </row>
    <row r="39" customFormat="false" ht="19.5" hidden="false" customHeight="true" outlineLevel="0" collapsed="false">
      <c r="A39" s="49" t="s">
        <v>1380</v>
      </c>
      <c r="B39" s="69"/>
      <c r="C39" s="49"/>
      <c r="D39" s="13" t="str">
        <f aca="false">IF(C39="","",IFERROR(INDEX(Marcancia!$D$2:$D$1000,MATCH(C39,Marcancia!$C$2:$C$1000,0)),""))</f>
        <v/>
      </c>
      <c r="E39" s="49" t="str">
        <f aca="false">IF(C39="","",IFERROR(INDEX(Marcancia!$E$2:$E$1000,MATCH(C39,Marcancia!$C$2:$C$1000,0)),""))</f>
        <v/>
      </c>
      <c r="F39" s="49"/>
      <c r="G39" s="14"/>
      <c r="H39" s="15" t="str">
        <f aca="false">IF(C39="","",IFERROR(INDEX(Marcancia!$K$2:$K$1000,MATCH(C39,Marcancia!$C$2:$C$1000,0)),0))</f>
        <v/>
      </c>
      <c r="I39" s="15" t="str">
        <f aca="false">IF(OR(G39="",H39=""),"",G39*H39)</f>
        <v/>
      </c>
      <c r="J39" s="49"/>
      <c r="K39" s="13"/>
    </row>
    <row r="40" customFormat="false" ht="19.5" hidden="false" customHeight="true" outlineLevel="0" collapsed="false">
      <c r="A40" s="49" t="s">
        <v>1381</v>
      </c>
      <c r="B40" s="69"/>
      <c r="C40" s="49"/>
      <c r="D40" s="13" t="str">
        <f aca="false">IF(C40="","",IFERROR(INDEX(Marcancia!$D$2:$D$1000,MATCH(C40,Marcancia!$C$2:$C$1000,0)),""))</f>
        <v/>
      </c>
      <c r="E40" s="49" t="str">
        <f aca="false">IF(C40="","",IFERROR(INDEX(Marcancia!$E$2:$E$1000,MATCH(C40,Marcancia!$C$2:$C$1000,0)),""))</f>
        <v/>
      </c>
      <c r="F40" s="49"/>
      <c r="G40" s="14"/>
      <c r="H40" s="15" t="str">
        <f aca="false">IF(C40="","",IFERROR(INDEX(Marcancia!$K$2:$K$1000,MATCH(C40,Marcancia!$C$2:$C$1000,0)),0))</f>
        <v/>
      </c>
      <c r="I40" s="15" t="str">
        <f aca="false">IF(OR(G40="",H40=""),"",G40*H40)</f>
        <v/>
      </c>
      <c r="J40" s="49"/>
      <c r="K40" s="13"/>
    </row>
    <row r="41" customFormat="false" ht="19.5" hidden="false" customHeight="true" outlineLevel="0" collapsed="false">
      <c r="A41" s="49" t="s">
        <v>1382</v>
      </c>
      <c r="B41" s="69"/>
      <c r="C41" s="49"/>
      <c r="D41" s="13" t="str">
        <f aca="false">IF(C41="","",IFERROR(INDEX(Marcancia!$D$2:$D$1000,MATCH(C41,Marcancia!$C$2:$C$1000,0)),""))</f>
        <v/>
      </c>
      <c r="E41" s="49" t="str">
        <f aca="false">IF(C41="","",IFERROR(INDEX(Marcancia!$E$2:$E$1000,MATCH(C41,Marcancia!$C$2:$C$1000,0)),""))</f>
        <v/>
      </c>
      <c r="F41" s="49"/>
      <c r="G41" s="14"/>
      <c r="H41" s="15" t="str">
        <f aca="false">IF(C41="","",IFERROR(INDEX(Marcancia!$K$2:$K$1000,MATCH(C41,Marcancia!$C$2:$C$1000,0)),0))</f>
        <v/>
      </c>
      <c r="I41" s="15" t="str">
        <f aca="false">IF(OR(G41="",H41=""),"",G41*H41)</f>
        <v/>
      </c>
      <c r="J41" s="49"/>
      <c r="K41" s="13"/>
    </row>
  </sheetData>
  <autoFilter ref="A1:K41"/>
  <dataValidations count="3">
    <dataValidation allowBlank="true" error="Ese valor no está en la lista de ⚙️ Configuración. ¿Lo dejas así?" errorStyle="warning" errorTitle="Código" operator="between" showDropDown="false" showErrorMessage="true" showInputMessage="false" sqref="C2:C400" type="list">
      <formula1>lista_codigos</formula1>
      <formula2>0</formula2>
    </dataValidation>
    <dataValidation allowBlank="true" error="Ese valor no está en la lista de ⚙️ Configuración. ¿Lo dejas así?" errorStyle="warning" errorTitle="Método Pago" operator="between" showDropDown="false" showErrorMessage="true" showInputMessage="false" sqref="J2:J400" type="list">
      <formula1>lista_metodos_pago</formula1>
      <formula2>0</formula2>
    </dataValidation>
    <dataValidation allowBlank="true" error="Ese valor no está en la lista de ⚙️ Configuración. ¿Lo dejas así?" errorStyle="warning" errorTitle="Registrado Por" operator="between" showDropDown="false" showErrorMessage="true" showInputMessage="false" sqref="K2:K400" type="list">
      <formula1>lista_registrado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00"/>
  <sheetViews>
    <sheetView showFormulas="false" showGridLines="false" showRowColHeaders="true" showZeros="true" rightToLeft="false" tabSelected="false" showOutlineSymbols="true" defaultGridColor="true" view="normal" topLeftCell="U1" colorId="64" zoomScale="100" zoomScaleNormal="100" zoomScalePageLayoutView="100" workbookViewId="0">
      <selection pane="topLeft" activeCell="AA10" activeCellId="0" sqref="AA10"/>
    </sheetView>
  </sheetViews>
  <sheetFormatPr defaultColWidth="8.6328125" defaultRowHeight="14.25" zeroHeight="false" outlineLevelRow="0" outlineLevelCol="0"/>
  <cols>
    <col collapsed="false" customWidth="true" hidden="false" outlineLevel="0" max="1" min="1" style="1" width="22"/>
    <col collapsed="false" customWidth="true" hidden="false" outlineLevel="0" max="2" min="2" style="1" width="4"/>
    <col collapsed="false" customWidth="true" hidden="false" outlineLevel="0" max="3" min="3" style="1" width="10"/>
    <col collapsed="false" customWidth="true" hidden="false" outlineLevel="0" max="4" min="4" style="1" width="4"/>
    <col collapsed="false" customWidth="true" hidden="false" outlineLevel="0" max="5" min="5" style="1" width="24"/>
    <col collapsed="false" customWidth="true" hidden="false" outlineLevel="0" max="6" min="6" style="1" width="4"/>
    <col collapsed="false" customWidth="true" hidden="false" outlineLevel="0" max="7" min="7" style="1" width="24"/>
    <col collapsed="false" customWidth="true" hidden="false" outlineLevel="0" max="8" min="8" style="1" width="4"/>
    <col collapsed="false" customWidth="true" hidden="false" outlineLevel="0" max="9" min="9" style="1" width="22"/>
    <col collapsed="false" customWidth="true" hidden="false" outlineLevel="0" max="10" min="10" style="1" width="4"/>
    <col collapsed="false" customWidth="true" hidden="false" outlineLevel="0" max="11" min="11" style="1" width="26"/>
    <col collapsed="false" customWidth="true" hidden="false" outlineLevel="0" max="12" min="12" style="1" width="4"/>
    <col collapsed="false" customWidth="true" hidden="false" outlineLevel="0" max="13" min="13" style="1" width="12"/>
    <col collapsed="false" customWidth="true" hidden="false" outlineLevel="0" max="14" min="14" style="1" width="4"/>
    <col collapsed="false" customWidth="true" hidden="false" outlineLevel="0" max="15" min="15" style="1" width="14"/>
    <col collapsed="false" customWidth="true" hidden="false" outlineLevel="0" max="16" min="16" style="1" width="4"/>
    <col collapsed="false" customWidth="true" hidden="false" outlineLevel="0" max="19" min="19" style="1" width="20"/>
    <col collapsed="false" customWidth="true" hidden="false" outlineLevel="0" max="21" min="21" style="1" width="20"/>
    <col collapsed="false" customWidth="true" hidden="false" outlineLevel="0" max="23" min="23" style="1" width="20"/>
    <col collapsed="false" customWidth="true" hidden="false" outlineLevel="0" max="25" min="25" style="1" width="22"/>
    <col collapsed="false" customWidth="true" hidden="false" outlineLevel="0" max="27" min="27" style="1" width="53.82"/>
    <col collapsed="false" customWidth="true" hidden="false" outlineLevel="0" max="29" min="29" style="1" width="38"/>
    <col collapsed="false" customWidth="true" hidden="false" outlineLevel="0" max="31" min="31" style="1" width="16"/>
  </cols>
  <sheetData>
    <row r="1" customFormat="false" ht="16.5" hidden="false" customHeight="true" outlineLevel="0" collapsed="false">
      <c r="A1" s="8" t="s">
        <v>1383</v>
      </c>
    </row>
    <row r="2" customFormat="false" ht="14.25" hidden="false" customHeight="true" outlineLevel="0" collapsed="false">
      <c r="A2" s="19" t="s">
        <v>1384</v>
      </c>
    </row>
    <row r="3" customFormat="false" ht="14.25" hidden="false" customHeight="true" outlineLevel="0" collapsed="false">
      <c r="A3" s="12" t="s">
        <v>503</v>
      </c>
      <c r="C3" s="12" t="s">
        <v>1385</v>
      </c>
      <c r="E3" s="12" t="s">
        <v>1386</v>
      </c>
      <c r="G3" s="12" t="s">
        <v>1387</v>
      </c>
      <c r="I3" s="12" t="s">
        <v>1388</v>
      </c>
      <c r="K3" s="12" t="s">
        <v>1389</v>
      </c>
      <c r="M3" s="12" t="s">
        <v>54</v>
      </c>
      <c r="O3" s="12" t="s">
        <v>1390</v>
      </c>
      <c r="Q3" s="12" t="s">
        <v>1391</v>
      </c>
      <c r="S3" s="70" t="s">
        <v>976</v>
      </c>
      <c r="U3" s="70" t="s">
        <v>1392</v>
      </c>
      <c r="W3" s="70" t="s">
        <v>1393</v>
      </c>
      <c r="Y3" s="70" t="s">
        <v>1394</v>
      </c>
      <c r="AA3" s="70" t="s">
        <v>502</v>
      </c>
      <c r="AC3" s="70" t="s">
        <v>1395</v>
      </c>
      <c r="AE3" s="70" t="s">
        <v>509</v>
      </c>
    </row>
    <row r="4" customFormat="false" ht="14.25" hidden="false" customHeight="true" outlineLevel="0" collapsed="false">
      <c r="A4" s="71" t="s">
        <v>1396</v>
      </c>
      <c r="C4" s="71" t="s">
        <v>1397</v>
      </c>
      <c r="E4" s="71" t="s">
        <v>26</v>
      </c>
      <c r="G4" s="71" t="s">
        <v>1231</v>
      </c>
      <c r="I4" s="71" t="s">
        <v>1229</v>
      </c>
      <c r="K4" s="71" t="s">
        <v>42</v>
      </c>
      <c r="M4" s="71" t="s">
        <v>55</v>
      </c>
      <c r="O4" s="71" t="s">
        <v>1109</v>
      </c>
      <c r="Q4" s="1" t="s">
        <v>3</v>
      </c>
      <c r="S4" s="1" t="s">
        <v>1095</v>
      </c>
      <c r="U4" s="1" t="s">
        <v>1398</v>
      </c>
      <c r="W4" s="1" t="s">
        <v>1091</v>
      </c>
      <c r="Y4" s="1" t="s">
        <v>1091</v>
      </c>
      <c r="AA4" s="1" t="s">
        <v>516</v>
      </c>
      <c r="AC4" s="1" t="str">
        <f aca="false">IFERROR(INDEX('🎓 Alumnas'!$P$2:$P$1000,MATCH(1,'🎓 Alumnas'!$R$2:$R$1000,0)),"")</f>
        <v>Aragón González, Martha Yasmin</v>
      </c>
      <c r="AE4" s="1" t="s">
        <v>517</v>
      </c>
    </row>
    <row r="5" customFormat="false" ht="14.25" hidden="false" customHeight="true" outlineLevel="0" collapsed="false">
      <c r="A5" s="71" t="s">
        <v>1399</v>
      </c>
      <c r="C5" s="71" t="s">
        <v>1400</v>
      </c>
      <c r="E5" s="71" t="s">
        <v>28</v>
      </c>
      <c r="G5" s="71" t="s">
        <v>1401</v>
      </c>
      <c r="I5" s="71" t="s">
        <v>1249</v>
      </c>
      <c r="K5" s="71" t="s">
        <v>43</v>
      </c>
      <c r="M5" s="71" t="s">
        <v>56</v>
      </c>
      <c r="O5" s="71" t="s">
        <v>1119</v>
      </c>
      <c r="Q5" s="1" t="s">
        <v>1114</v>
      </c>
      <c r="S5" s="1" t="s">
        <v>979</v>
      </c>
      <c r="U5" s="1" t="s">
        <v>1402</v>
      </c>
      <c r="W5" s="1" t="s">
        <v>1403</v>
      </c>
      <c r="Y5" s="1" t="s">
        <v>1404</v>
      </c>
      <c r="AA5" s="1" t="s">
        <v>520</v>
      </c>
      <c r="AC5" s="1" t="str">
        <f aca="false">IFERROR(INDEX('🎓 Alumnas'!$P$2:$P$1000,MATCH(2,'🎓 Alumnas'!$R$2:$R$1000,0)),"")</f>
        <v>Arias Ospitia, Francya Damaris</v>
      </c>
      <c r="AE5" s="1" t="s">
        <v>521</v>
      </c>
    </row>
    <row r="6" customFormat="false" ht="14.25" hidden="false" customHeight="true" outlineLevel="0" collapsed="false">
      <c r="A6" s="1" t="s">
        <v>1405</v>
      </c>
      <c r="C6" s="71" t="s">
        <v>1406</v>
      </c>
      <c r="E6" s="71" t="s">
        <v>30</v>
      </c>
      <c r="G6" s="71" t="s">
        <v>1407</v>
      </c>
      <c r="I6" s="71" t="s">
        <v>1238</v>
      </c>
      <c r="K6" s="71" t="s">
        <v>44</v>
      </c>
      <c r="M6" s="71" t="s">
        <v>57</v>
      </c>
      <c r="O6" s="71" t="s">
        <v>1408</v>
      </c>
      <c r="Q6" s="1" t="s">
        <v>1143</v>
      </c>
      <c r="S6" s="1" t="s">
        <v>1091</v>
      </c>
      <c r="U6" s="1" t="s">
        <v>1409</v>
      </c>
      <c r="AA6" s="1" t="s">
        <v>1410</v>
      </c>
      <c r="AC6" s="1" t="str">
        <f aca="false">IFERROR(INDEX('🎓 Alumnas'!$P$2:$P$1000,MATCH(3,'🎓 Alumnas'!$R$2:$R$1000,0)),"")</f>
        <v>Arias Ospitia, Karen</v>
      </c>
      <c r="AE6" s="1" t="s">
        <v>1343</v>
      </c>
    </row>
    <row r="7" customFormat="false" ht="14.25" hidden="false" customHeight="true" outlineLevel="0" collapsed="false">
      <c r="A7" s="71" t="s">
        <v>1411</v>
      </c>
      <c r="C7" s="71" t="s">
        <v>1412</v>
      </c>
      <c r="E7" s="71" t="s">
        <v>32</v>
      </c>
      <c r="G7" s="71" t="s">
        <v>1251</v>
      </c>
      <c r="I7" s="71" t="s">
        <v>1281</v>
      </c>
      <c r="K7" s="71" t="s">
        <v>45</v>
      </c>
      <c r="M7" s="71" t="s">
        <v>58</v>
      </c>
      <c r="O7" s="71" t="s">
        <v>1413</v>
      </c>
      <c r="Q7" s="1" t="s">
        <v>1414</v>
      </c>
      <c r="U7" s="1" t="s">
        <v>1415</v>
      </c>
      <c r="AA7" s="1" t="s">
        <v>524</v>
      </c>
      <c r="AC7" s="1" t="str">
        <f aca="false">IFERROR(INDEX('🎓 Alumnas'!$P$2:$P$1000,MATCH(4,'🎓 Alumnas'!$R$2:$R$1000,0)),"")</f>
        <v>Avila Peñuela, Melanie Jankey</v>
      </c>
    </row>
    <row r="8" customFormat="false" ht="14.25" hidden="false" customHeight="true" outlineLevel="0" collapsed="false">
      <c r="A8" s="71" t="s">
        <v>1416</v>
      </c>
      <c r="C8" s="71" t="s">
        <v>1417</v>
      </c>
      <c r="E8" s="71" t="s">
        <v>34</v>
      </c>
      <c r="G8" s="71" t="s">
        <v>1418</v>
      </c>
      <c r="I8" s="71" t="s">
        <v>1264</v>
      </c>
      <c r="K8" s="71" t="s">
        <v>46</v>
      </c>
      <c r="M8" s="71" t="s">
        <v>59</v>
      </c>
      <c r="O8" s="71" t="s">
        <v>1419</v>
      </c>
      <c r="Q8" s="1" t="s">
        <v>1146</v>
      </c>
      <c r="U8" s="1" t="s">
        <v>1420</v>
      </c>
      <c r="AA8" s="1" t="s">
        <v>532</v>
      </c>
      <c r="AC8" s="1" t="str">
        <f aca="false">IFERROR(INDEX('🎓 Alumnas'!$P$2:$P$1000,MATCH(5,'🎓 Alumnas'!$R$2:$R$1000,0)),"")</f>
        <v>Avila, Daniel</v>
      </c>
    </row>
    <row r="9" customFormat="false" ht="14.25" hidden="false" customHeight="true" outlineLevel="0" collapsed="false">
      <c r="A9" s="71" t="s">
        <v>1421</v>
      </c>
      <c r="C9" s="71" t="s">
        <v>1422</v>
      </c>
      <c r="I9" s="71" t="s">
        <v>52</v>
      </c>
      <c r="K9" s="71" t="s">
        <v>47</v>
      </c>
      <c r="M9" s="71" t="s">
        <v>60</v>
      </c>
      <c r="Q9" s="1" t="s">
        <v>1423</v>
      </c>
      <c r="U9" s="1" t="s">
        <v>1424</v>
      </c>
      <c r="AA9" s="1" t="s">
        <v>559</v>
      </c>
      <c r="AC9" s="1" t="str">
        <f aca="false">IFERROR(INDEX('🎓 Alumnas'!$P$2:$P$1000,MATCH(6,'🎓 Alumnas'!$R$2:$R$1000,0)),"")</f>
        <v>Bermúdez Cardona, Diana</v>
      </c>
    </row>
    <row r="10" customFormat="false" ht="14.25" hidden="false" customHeight="true" outlineLevel="0" collapsed="false">
      <c r="C10" s="71" t="s">
        <v>1425</v>
      </c>
      <c r="K10" s="71" t="s">
        <v>49</v>
      </c>
      <c r="M10" s="71" t="s">
        <v>1123</v>
      </c>
      <c r="Q10" s="1" t="s">
        <v>1111</v>
      </c>
      <c r="U10" s="1" t="s">
        <v>1426</v>
      </c>
      <c r="AC10" s="1" t="str">
        <f aca="false">IFERROR(INDEX('🎓 Alumnas'!$P$2:$P$1000,MATCH(7,'🎓 Alumnas'!$R$2:$R$1000,0)),"")</f>
        <v>Bossa, Juliana</v>
      </c>
    </row>
    <row r="11" customFormat="false" ht="14.25" hidden="false" customHeight="true" outlineLevel="0" collapsed="false">
      <c r="K11" s="71" t="s">
        <v>50</v>
      </c>
      <c r="M11" s="71" t="s">
        <v>1130</v>
      </c>
      <c r="Q11" s="1" t="s">
        <v>1427</v>
      </c>
      <c r="AC11" s="1" t="str">
        <f aca="false">IFERROR(INDEX('🎓 Alumnas'!$P$2:$P$1000,MATCH(8,'🎓 Alumnas'!$R$2:$R$1000,0)),"")</f>
        <v>Chavarro Jiménez, Shirley Dayanna</v>
      </c>
    </row>
    <row r="12" customFormat="false" ht="14.25" hidden="false" customHeight="true" outlineLevel="0" collapsed="false">
      <c r="K12" s="71" t="s">
        <v>51</v>
      </c>
      <c r="M12" s="71" t="s">
        <v>1138</v>
      </c>
      <c r="Q12" s="1" t="s">
        <v>1121</v>
      </c>
      <c r="AC12" s="1" t="str">
        <f aca="false">IFERROR(INDEX('🎓 Alumnas'!$P$2:$P$1000,MATCH(9,'🎓 Alumnas'!$R$2:$R$1000,0)),"")</f>
        <v>Cuellar Galvira, Deisy Marcela</v>
      </c>
    </row>
    <row r="13" customFormat="false" ht="14.25" hidden="false" customHeight="true" outlineLevel="0" collapsed="false">
      <c r="K13" s="71" t="s">
        <v>991</v>
      </c>
      <c r="M13" s="71" t="s">
        <v>1175</v>
      </c>
      <c r="Q13" s="1" t="s">
        <v>1136</v>
      </c>
      <c r="AC13" s="1" t="str">
        <f aca="false">IFERROR(INDEX('🎓 Alumnas'!$P$2:$P$1000,MATCH(10,'🎓 Alumnas'!$R$2:$R$1000,0)),"")</f>
        <v>Dugarte Jaimes, Yendi Alejandra</v>
      </c>
    </row>
    <row r="14" customFormat="false" ht="14.25" hidden="false" customHeight="true" outlineLevel="0" collapsed="false">
      <c r="K14" s="71" t="s">
        <v>1002</v>
      </c>
      <c r="M14" s="71" t="s">
        <v>1181</v>
      </c>
      <c r="Q14" s="1" t="s">
        <v>1140</v>
      </c>
      <c r="AC14" s="1" t="str">
        <f aca="false">IFERROR(INDEX('🎓 Alumnas'!$P$2:$P$1000,MATCH(11,'🎓 Alumnas'!$R$2:$R$1000,0)),"")</f>
        <v>García Sanabria, Marcela</v>
      </c>
    </row>
    <row r="15" customFormat="false" ht="14.25" hidden="false" customHeight="true" outlineLevel="0" collapsed="false">
      <c r="K15" s="71" t="s">
        <v>1029</v>
      </c>
      <c r="M15" s="71" t="s">
        <v>1211</v>
      </c>
      <c r="Q15" s="1" t="s">
        <v>1193</v>
      </c>
      <c r="AC15" s="1" t="str">
        <f aca="false">IFERROR(INDEX('🎓 Alumnas'!$P$2:$P$1000,MATCH(12,'🎓 Alumnas'!$R$2:$R$1000,0)),"")</f>
        <v>Guerra Aguilar, Laura Vanessa</v>
      </c>
    </row>
    <row r="16" customFormat="false" ht="14.25" hidden="false" customHeight="true" outlineLevel="0" collapsed="false">
      <c r="K16" s="71" t="s">
        <v>1057</v>
      </c>
      <c r="Q16" s="1" t="s">
        <v>1117</v>
      </c>
      <c r="AC16" s="1" t="str">
        <f aca="false">IFERROR(INDEX('🎓 Alumnas'!$P$2:$P$1000,MATCH(13,'🎓 Alumnas'!$R$2:$R$1000,0)),"")</f>
        <v>Hilarión Abril, Laura Sofia</v>
      </c>
    </row>
    <row r="17" customFormat="false" ht="14.25" hidden="false" customHeight="true" outlineLevel="0" collapsed="false">
      <c r="K17" s="71" t="s">
        <v>52</v>
      </c>
      <c r="Q17" s="1" t="s">
        <v>1134</v>
      </c>
      <c r="AC17" s="1" t="str">
        <f aca="false">IFERROR(INDEX('🎓 Alumnas'!$P$2:$P$1000,MATCH(14,'🎓 Alumnas'!$R$2:$R$1000,0)),"")</f>
        <v>León González, María Paula</v>
      </c>
    </row>
    <row r="18" customFormat="false" ht="14.25" hidden="false" customHeight="true" outlineLevel="0" collapsed="false">
      <c r="Q18" s="1" t="s">
        <v>1428</v>
      </c>
      <c r="AC18" s="1" t="str">
        <f aca="false">IFERROR(INDEX('🎓 Alumnas'!$P$2:$P$1000,MATCH(15,'🎓 Alumnas'!$R$2:$R$1000,0)),"")</f>
        <v>López Galván, Ana Carolina</v>
      </c>
    </row>
    <row r="19" customFormat="false" ht="14.25" hidden="false" customHeight="true" outlineLevel="0" collapsed="false">
      <c r="Q19" s="1" t="s">
        <v>1151</v>
      </c>
      <c r="AC19" s="1" t="str">
        <f aca="false">IFERROR(INDEX('🎓 Alumnas'!$P$2:$P$1000,MATCH(16,'🎓 Alumnas'!$R$2:$R$1000,0)),"")</f>
        <v>Lopez Salamanca, Elizabeth</v>
      </c>
    </row>
    <row r="20" customFormat="false" ht="14.25" hidden="false" customHeight="true" outlineLevel="0" collapsed="false">
      <c r="Q20" s="1" t="s">
        <v>1429</v>
      </c>
      <c r="AC20" s="1" t="str">
        <f aca="false">IFERROR(INDEX('🎓 Alumnas'!$P$2:$P$1000,MATCH(17,'🎓 Alumnas'!$R$2:$R$1000,0)),"")</f>
        <v>Luna Méndez, Natalia Alejandra</v>
      </c>
    </row>
    <row r="21" customFormat="false" ht="14.25" hidden="false" customHeight="true" outlineLevel="0" collapsed="false">
      <c r="Q21" s="1" t="s">
        <v>1430</v>
      </c>
      <c r="AC21" s="1" t="str">
        <f aca="false">IFERROR(INDEX('🎓 Alumnas'!$P$2:$P$1000,MATCH(18,'🎓 Alumnas'!$R$2:$R$1000,0)),"")</f>
        <v>Moyano Merchan, Nidia Marcela</v>
      </c>
    </row>
    <row r="22" customFormat="false" ht="14.25" hidden="false" customHeight="true" outlineLevel="0" collapsed="false">
      <c r="Q22" s="1" t="s">
        <v>1431</v>
      </c>
      <c r="AC22" s="1" t="str">
        <f aca="false">IFERROR(INDEX('🎓 Alumnas'!$P$2:$P$1000,MATCH(19,'🎓 Alumnas'!$R$2:$R$1000,0)),"")</f>
        <v>Ortega Agudelo, María Alejandra</v>
      </c>
    </row>
    <row r="23" customFormat="false" ht="14.25" hidden="false" customHeight="true" outlineLevel="0" collapsed="false">
      <c r="Q23" s="1" t="s">
        <v>1432</v>
      </c>
      <c r="AC23" s="1" t="str">
        <f aca="false">IFERROR(INDEX('🎓 Alumnas'!$P$2:$P$1000,MATCH(20,'🎓 Alumnas'!$R$2:$R$1000,0)),"")</f>
        <v>Osorio Álvarez, Mary Aurora</v>
      </c>
    </row>
    <row r="24" customFormat="false" ht="14.25" hidden="false" customHeight="true" outlineLevel="0" collapsed="false">
      <c r="Q24" s="1" t="s">
        <v>1433</v>
      </c>
      <c r="AC24" s="1" t="str">
        <f aca="false">IFERROR(INDEX('🎓 Alumnas'!$P$2:$P$1000,MATCH(21,'🎓 Alumnas'!$R$2:$R$1000,0)),"")</f>
        <v>Pinzón Ayala, Paula Andrea</v>
      </c>
    </row>
    <row r="25" customFormat="false" ht="14.25" hidden="false" customHeight="true" outlineLevel="0" collapsed="false">
      <c r="Q25" s="1" t="s">
        <v>1154</v>
      </c>
      <c r="AC25" s="1" t="str">
        <f aca="false">IFERROR(INDEX('🎓 Alumnas'!$P$2:$P$1000,MATCH(22,'🎓 Alumnas'!$R$2:$R$1000,0)),"")</f>
        <v>Ramírez Galvis, Laura Camila</v>
      </c>
    </row>
    <row r="26" customFormat="false" ht="14.25" hidden="false" customHeight="true" outlineLevel="0" collapsed="false">
      <c r="Q26" s="1" t="s">
        <v>1159</v>
      </c>
      <c r="AC26" s="1" t="str">
        <f aca="false">IFERROR(INDEX('🎓 Alumnas'!$P$2:$P$1000,MATCH(23,'🎓 Alumnas'!$R$2:$R$1000,0)),"")</f>
        <v>Rojas, Jose Alberto</v>
      </c>
    </row>
    <row r="27" customFormat="false" ht="14.25" hidden="false" customHeight="true" outlineLevel="0" collapsed="false">
      <c r="Q27" s="1" t="s">
        <v>1196</v>
      </c>
      <c r="AC27" s="1" t="str">
        <f aca="false">IFERROR(INDEX('🎓 Alumnas'!$P$2:$P$1000,MATCH(24,'🎓 Alumnas'!$R$2:$R$1000,0)),"")</f>
        <v>Sierra Méndez, Jennifer Xamara</v>
      </c>
    </row>
    <row r="28" customFormat="false" ht="14.25" hidden="false" customHeight="true" outlineLevel="0" collapsed="false">
      <c r="Q28" s="1" t="s">
        <v>1207</v>
      </c>
      <c r="AC28" s="1" t="str">
        <f aca="false">IFERROR(INDEX('🎓 Alumnas'!$P$2:$P$1000,MATCH(25,'🎓 Alumnas'!$R$2:$R$1000,0)),"")</f>
        <v>Sierra, Karol</v>
      </c>
    </row>
    <row r="29" customFormat="false" ht="14.25" hidden="false" customHeight="true" outlineLevel="0" collapsed="false">
      <c r="AC29" s="1" t="str">
        <f aca="false">IFERROR(INDEX('🎓 Alumnas'!$P$2:$P$1000,MATCH(26,'🎓 Alumnas'!$R$2:$R$1000,0)),"")</f>
        <v>Torres Olarte, Jessica</v>
      </c>
    </row>
    <row r="30" customFormat="false" ht="14.25" hidden="false" customHeight="true" outlineLevel="0" collapsed="false">
      <c r="AC30" s="1" t="str">
        <f aca="false">IFERROR(INDEX('🎓 Alumnas'!$P$2:$P$1000,MATCH(27,'🎓 Alumnas'!$R$2:$R$1000,0)),"")</f>
        <v>Umbarila Delgado, Umbarila Delgado</v>
      </c>
    </row>
    <row r="31" customFormat="false" ht="14.25" hidden="false" customHeight="true" outlineLevel="0" collapsed="false">
      <c r="AC31" s="1" t="str">
        <f aca="false">IFERROR(INDEX('🎓 Alumnas'!$P$2:$P$1000,MATCH(28,'🎓 Alumnas'!$R$2:$R$1000,0)),"")</f>
        <v>Vergara Hernández, Maira Alejandra</v>
      </c>
    </row>
    <row r="32" customFormat="false" ht="14.25" hidden="false" customHeight="true" outlineLevel="0" collapsed="false">
      <c r="AC32" s="1" t="str">
        <f aca="false">IFERROR(INDEX('🎓 Alumnas'!$P$2:$P$1000,MATCH(29,'🎓 Alumnas'!$R$2:$R$1000,0)),"")</f>
        <v/>
      </c>
    </row>
    <row r="33" customFormat="false" ht="14.25" hidden="false" customHeight="true" outlineLevel="0" collapsed="false">
      <c r="AC33" s="1" t="str">
        <f aca="false">IFERROR(INDEX('🎓 Alumnas'!$P$2:$P$1000,MATCH(30,'🎓 Alumnas'!$R$2:$R$1000,0)),"")</f>
        <v/>
      </c>
    </row>
    <row r="34" customFormat="false" ht="14.25" hidden="false" customHeight="true" outlineLevel="0" collapsed="false">
      <c r="AC34" s="1" t="str">
        <f aca="false">IFERROR(INDEX('🎓 Alumnas'!$P$2:$P$1000,MATCH(31,'🎓 Alumnas'!$R$2:$R$1000,0)),"")</f>
        <v/>
      </c>
    </row>
    <row r="35" customFormat="false" ht="14.25" hidden="false" customHeight="true" outlineLevel="0" collapsed="false">
      <c r="AC35" s="1" t="str">
        <f aca="false">IFERROR(INDEX('🎓 Alumnas'!$P$2:$P$1000,MATCH(32,'🎓 Alumnas'!$R$2:$R$1000,0)),"")</f>
        <v/>
      </c>
    </row>
    <row r="36" customFormat="false" ht="14.25" hidden="false" customHeight="true" outlineLevel="0" collapsed="false">
      <c r="AC36" s="1" t="str">
        <f aca="false">IFERROR(INDEX('🎓 Alumnas'!$P$2:$P$1000,MATCH(33,'🎓 Alumnas'!$R$2:$R$1000,0)),"")</f>
        <v/>
      </c>
    </row>
    <row r="37" customFormat="false" ht="14.25" hidden="false" customHeight="true" outlineLevel="0" collapsed="false">
      <c r="AC37" s="1" t="str">
        <f aca="false">IFERROR(INDEX('🎓 Alumnas'!$P$2:$P$1000,MATCH(34,'🎓 Alumnas'!$R$2:$R$1000,0)),"")</f>
        <v/>
      </c>
    </row>
    <row r="38" customFormat="false" ht="14.25" hidden="false" customHeight="true" outlineLevel="0" collapsed="false">
      <c r="AC38" s="1" t="str">
        <f aca="false">IFERROR(INDEX('🎓 Alumnas'!$P$2:$P$1000,MATCH(35,'🎓 Alumnas'!$R$2:$R$1000,0)),"")</f>
        <v/>
      </c>
    </row>
    <row r="39" customFormat="false" ht="14.25" hidden="false" customHeight="true" outlineLevel="0" collapsed="false">
      <c r="AC39" s="1" t="str">
        <f aca="false">IFERROR(INDEX('🎓 Alumnas'!$P$2:$P$1000,MATCH(36,'🎓 Alumnas'!$R$2:$R$1000,0)),"")</f>
        <v/>
      </c>
    </row>
    <row r="40" customFormat="false" ht="14.25" hidden="false" customHeight="true" outlineLevel="0" collapsed="false">
      <c r="AC40" s="1" t="str">
        <f aca="false">IFERROR(INDEX('🎓 Alumnas'!$P$2:$P$1000,MATCH(37,'🎓 Alumnas'!$R$2:$R$1000,0)),"")</f>
        <v/>
      </c>
    </row>
    <row r="41" customFormat="false" ht="14.25" hidden="false" customHeight="true" outlineLevel="0" collapsed="false">
      <c r="AC41" s="1" t="str">
        <f aca="false">IFERROR(INDEX('🎓 Alumnas'!$P$2:$P$1000,MATCH(38,'🎓 Alumnas'!$R$2:$R$1000,0)),"")</f>
        <v/>
      </c>
    </row>
    <row r="42" customFormat="false" ht="14.25" hidden="false" customHeight="true" outlineLevel="0" collapsed="false">
      <c r="AC42" s="1" t="str">
        <f aca="false">IFERROR(INDEX('🎓 Alumnas'!$P$2:$P$1000,MATCH(39,'🎓 Alumnas'!$R$2:$R$1000,0)),"")</f>
        <v/>
      </c>
    </row>
    <row r="43" customFormat="false" ht="14.25" hidden="false" customHeight="true" outlineLevel="0" collapsed="false">
      <c r="AC43" s="1" t="str">
        <f aca="false">IFERROR(INDEX('🎓 Alumnas'!$P$2:$P$1000,MATCH(40,'🎓 Alumnas'!$R$2:$R$1000,0)),"")</f>
        <v/>
      </c>
    </row>
    <row r="44" customFormat="false" ht="14.25" hidden="false" customHeight="true" outlineLevel="0" collapsed="false">
      <c r="AC44" s="1" t="str">
        <f aca="false">IFERROR(INDEX('🎓 Alumnas'!$P$2:$P$1000,MATCH(41,'🎓 Alumnas'!$R$2:$R$1000,0)),"")</f>
        <v/>
      </c>
    </row>
    <row r="45" customFormat="false" ht="14.25" hidden="false" customHeight="true" outlineLevel="0" collapsed="false">
      <c r="AC45" s="1" t="str">
        <f aca="false">IFERROR(INDEX('🎓 Alumnas'!$P$2:$P$1000,MATCH(42,'🎓 Alumnas'!$R$2:$R$1000,0)),"")</f>
        <v/>
      </c>
    </row>
    <row r="46" customFormat="false" ht="14.25" hidden="false" customHeight="true" outlineLevel="0" collapsed="false">
      <c r="AC46" s="1" t="str">
        <f aca="false">IFERROR(INDEX('🎓 Alumnas'!$P$2:$P$1000,MATCH(43,'🎓 Alumnas'!$R$2:$R$1000,0)),"")</f>
        <v/>
      </c>
    </row>
    <row r="47" customFormat="false" ht="14.25" hidden="false" customHeight="true" outlineLevel="0" collapsed="false">
      <c r="AC47" s="1" t="str">
        <f aca="false">IFERROR(INDEX('🎓 Alumnas'!$P$2:$P$1000,MATCH(44,'🎓 Alumnas'!$R$2:$R$1000,0)),"")</f>
        <v/>
      </c>
    </row>
    <row r="48" customFormat="false" ht="14.25" hidden="false" customHeight="true" outlineLevel="0" collapsed="false">
      <c r="AC48" s="1" t="str">
        <f aca="false">IFERROR(INDEX('🎓 Alumnas'!$P$2:$P$1000,MATCH(45,'🎓 Alumnas'!$R$2:$R$1000,0)),"")</f>
        <v/>
      </c>
    </row>
    <row r="49" customFormat="false" ht="14.25" hidden="false" customHeight="true" outlineLevel="0" collapsed="false">
      <c r="AC49" s="1" t="str">
        <f aca="false">IFERROR(INDEX('🎓 Alumnas'!$P$2:$P$1000,MATCH(46,'🎓 Alumnas'!$R$2:$R$1000,0)),"")</f>
        <v/>
      </c>
    </row>
    <row r="50" customFormat="false" ht="14.25" hidden="false" customHeight="true" outlineLevel="0" collapsed="false">
      <c r="AC50" s="1" t="str">
        <f aca="false">IFERROR(INDEX('🎓 Alumnas'!$P$2:$P$1000,MATCH(47,'🎓 Alumnas'!$R$2:$R$1000,0)),"")</f>
        <v/>
      </c>
    </row>
    <row r="51" customFormat="false" ht="14.25" hidden="false" customHeight="true" outlineLevel="0" collapsed="false">
      <c r="AC51" s="1" t="str">
        <f aca="false">IFERROR(INDEX('🎓 Alumnas'!$P$2:$P$1000,MATCH(48,'🎓 Alumnas'!$R$2:$R$1000,0)),"")</f>
        <v/>
      </c>
    </row>
    <row r="52" customFormat="false" ht="14.25" hidden="false" customHeight="true" outlineLevel="0" collapsed="false">
      <c r="AC52" s="1" t="str">
        <f aca="false">IFERROR(INDEX('🎓 Alumnas'!$P$2:$P$1000,MATCH(49,'🎓 Alumnas'!$R$2:$R$1000,0)),"")</f>
        <v/>
      </c>
    </row>
    <row r="53" customFormat="false" ht="14.25" hidden="false" customHeight="true" outlineLevel="0" collapsed="false">
      <c r="AC53" s="1" t="str">
        <f aca="false">IFERROR(INDEX('🎓 Alumnas'!$P$2:$P$1000,MATCH(50,'🎓 Alumnas'!$R$2:$R$1000,0)),"")</f>
        <v/>
      </c>
    </row>
    <row r="54" customFormat="false" ht="14.25" hidden="false" customHeight="true" outlineLevel="0" collapsed="false">
      <c r="AC54" s="1" t="str">
        <f aca="false">IFERROR(INDEX('🎓 Alumnas'!$P$2:$P$1000,MATCH(51,'🎓 Alumnas'!$R$2:$R$1000,0)),"")</f>
        <v/>
      </c>
    </row>
    <row r="55" customFormat="false" ht="14.25" hidden="false" customHeight="true" outlineLevel="0" collapsed="false">
      <c r="AC55" s="1" t="str">
        <f aca="false">IFERROR(INDEX('🎓 Alumnas'!$P$2:$P$1000,MATCH(52,'🎓 Alumnas'!$R$2:$R$1000,0)),"")</f>
        <v/>
      </c>
    </row>
    <row r="56" customFormat="false" ht="14.25" hidden="false" customHeight="true" outlineLevel="0" collapsed="false">
      <c r="AC56" s="1" t="str">
        <f aca="false">IFERROR(INDEX('🎓 Alumnas'!$P$2:$P$1000,MATCH(53,'🎓 Alumnas'!$R$2:$R$1000,0)),"")</f>
        <v/>
      </c>
    </row>
    <row r="57" customFormat="false" ht="14.25" hidden="false" customHeight="true" outlineLevel="0" collapsed="false">
      <c r="AC57" s="1" t="str">
        <f aca="false">IFERROR(INDEX('🎓 Alumnas'!$P$2:$P$1000,MATCH(54,'🎓 Alumnas'!$R$2:$R$1000,0)),"")</f>
        <v/>
      </c>
    </row>
    <row r="58" customFormat="false" ht="14.25" hidden="false" customHeight="true" outlineLevel="0" collapsed="false">
      <c r="AC58" s="1" t="str">
        <f aca="false">IFERROR(INDEX('🎓 Alumnas'!$P$2:$P$1000,MATCH(55,'🎓 Alumnas'!$R$2:$R$1000,0)),"")</f>
        <v/>
      </c>
    </row>
    <row r="59" customFormat="false" ht="14.25" hidden="false" customHeight="true" outlineLevel="0" collapsed="false">
      <c r="AC59" s="1" t="str">
        <f aca="false">IFERROR(INDEX('🎓 Alumnas'!$P$2:$P$1000,MATCH(56,'🎓 Alumnas'!$R$2:$R$1000,0)),"")</f>
        <v/>
      </c>
    </row>
    <row r="60" customFormat="false" ht="14.25" hidden="false" customHeight="true" outlineLevel="0" collapsed="false">
      <c r="AC60" s="1" t="str">
        <f aca="false">IFERROR(INDEX('🎓 Alumnas'!$P$2:$P$1000,MATCH(57,'🎓 Alumnas'!$R$2:$R$1000,0)),"")</f>
        <v/>
      </c>
    </row>
    <row r="61" customFormat="false" ht="14.25" hidden="false" customHeight="true" outlineLevel="0" collapsed="false">
      <c r="AC61" s="1" t="str">
        <f aca="false">IFERROR(INDEX('🎓 Alumnas'!$P$2:$P$1000,MATCH(58,'🎓 Alumnas'!$R$2:$R$1000,0)),"")</f>
        <v/>
      </c>
    </row>
    <row r="62" customFormat="false" ht="14.25" hidden="false" customHeight="true" outlineLevel="0" collapsed="false">
      <c r="AC62" s="1" t="str">
        <f aca="false">IFERROR(INDEX('🎓 Alumnas'!$P$2:$P$1000,MATCH(59,'🎓 Alumnas'!$R$2:$R$1000,0)),"")</f>
        <v/>
      </c>
    </row>
    <row r="63" customFormat="false" ht="14.25" hidden="false" customHeight="true" outlineLevel="0" collapsed="false">
      <c r="AC63" s="1" t="str">
        <f aca="false">IFERROR(INDEX('🎓 Alumnas'!$P$2:$P$1000,MATCH(60,'🎓 Alumnas'!$R$2:$R$1000,0)),"")</f>
        <v/>
      </c>
    </row>
    <row r="64" customFormat="false" ht="14.25" hidden="false" customHeight="true" outlineLevel="0" collapsed="false">
      <c r="AC64" s="1" t="str">
        <f aca="false">IFERROR(INDEX('🎓 Alumnas'!$P$2:$P$1000,MATCH(61,'🎓 Alumnas'!$R$2:$R$1000,0)),"")</f>
        <v/>
      </c>
    </row>
    <row r="65" customFormat="false" ht="14.25" hidden="false" customHeight="true" outlineLevel="0" collapsed="false">
      <c r="AC65" s="1" t="str">
        <f aca="false">IFERROR(INDEX('🎓 Alumnas'!$P$2:$P$1000,MATCH(62,'🎓 Alumnas'!$R$2:$R$1000,0)),"")</f>
        <v/>
      </c>
    </row>
    <row r="66" customFormat="false" ht="14.25" hidden="false" customHeight="true" outlineLevel="0" collapsed="false">
      <c r="AC66" s="1" t="str">
        <f aca="false">IFERROR(INDEX('🎓 Alumnas'!$P$2:$P$1000,MATCH(63,'🎓 Alumnas'!$R$2:$R$1000,0)),"")</f>
        <v/>
      </c>
    </row>
    <row r="67" customFormat="false" ht="14.25" hidden="false" customHeight="true" outlineLevel="0" collapsed="false">
      <c r="AC67" s="1" t="str">
        <f aca="false">IFERROR(INDEX('🎓 Alumnas'!$P$2:$P$1000,MATCH(64,'🎓 Alumnas'!$R$2:$R$1000,0)),"")</f>
        <v/>
      </c>
    </row>
    <row r="68" customFormat="false" ht="14.25" hidden="false" customHeight="true" outlineLevel="0" collapsed="false">
      <c r="AC68" s="1" t="str">
        <f aca="false">IFERROR(INDEX('🎓 Alumnas'!$P$2:$P$1000,MATCH(65,'🎓 Alumnas'!$R$2:$R$1000,0)),"")</f>
        <v/>
      </c>
    </row>
    <row r="69" customFormat="false" ht="14.25" hidden="false" customHeight="true" outlineLevel="0" collapsed="false">
      <c r="AC69" s="1" t="str">
        <f aca="false">IFERROR(INDEX('🎓 Alumnas'!$P$2:$P$1000,MATCH(66,'🎓 Alumnas'!$R$2:$R$1000,0)),"")</f>
        <v/>
      </c>
    </row>
    <row r="70" customFormat="false" ht="14.25" hidden="false" customHeight="true" outlineLevel="0" collapsed="false">
      <c r="AC70" s="1" t="str">
        <f aca="false">IFERROR(INDEX('🎓 Alumnas'!$P$2:$P$1000,MATCH(67,'🎓 Alumnas'!$R$2:$R$1000,0)),"")</f>
        <v/>
      </c>
    </row>
    <row r="71" customFormat="false" ht="14.25" hidden="false" customHeight="true" outlineLevel="0" collapsed="false">
      <c r="AC71" s="1" t="str">
        <f aca="false">IFERROR(INDEX('🎓 Alumnas'!$P$2:$P$1000,MATCH(68,'🎓 Alumnas'!$R$2:$R$1000,0)),"")</f>
        <v/>
      </c>
    </row>
    <row r="72" customFormat="false" ht="14.25" hidden="false" customHeight="true" outlineLevel="0" collapsed="false">
      <c r="AC72" s="1" t="str">
        <f aca="false">IFERROR(INDEX('🎓 Alumnas'!$P$2:$P$1000,MATCH(69,'🎓 Alumnas'!$R$2:$R$1000,0)),"")</f>
        <v/>
      </c>
    </row>
    <row r="73" customFormat="false" ht="14.25" hidden="false" customHeight="true" outlineLevel="0" collapsed="false">
      <c r="AC73" s="1" t="str">
        <f aca="false">IFERROR(INDEX('🎓 Alumnas'!$P$2:$P$1000,MATCH(70,'🎓 Alumnas'!$R$2:$R$1000,0)),"")</f>
        <v/>
      </c>
    </row>
    <row r="74" customFormat="false" ht="14.25" hidden="false" customHeight="true" outlineLevel="0" collapsed="false">
      <c r="AC74" s="1" t="str">
        <f aca="false">IFERROR(INDEX('🎓 Alumnas'!$P$2:$P$1000,MATCH(71,'🎓 Alumnas'!$R$2:$R$1000,0)),"")</f>
        <v/>
      </c>
    </row>
    <row r="75" customFormat="false" ht="14.25" hidden="false" customHeight="true" outlineLevel="0" collapsed="false">
      <c r="AC75" s="1" t="str">
        <f aca="false">IFERROR(INDEX('🎓 Alumnas'!$P$2:$P$1000,MATCH(72,'🎓 Alumnas'!$R$2:$R$1000,0)),"")</f>
        <v/>
      </c>
    </row>
    <row r="76" customFormat="false" ht="14.25" hidden="false" customHeight="true" outlineLevel="0" collapsed="false">
      <c r="AC76" s="1" t="str">
        <f aca="false">IFERROR(INDEX('🎓 Alumnas'!$P$2:$P$1000,MATCH(73,'🎓 Alumnas'!$R$2:$R$1000,0)),"")</f>
        <v/>
      </c>
    </row>
    <row r="77" customFormat="false" ht="14.25" hidden="false" customHeight="true" outlineLevel="0" collapsed="false">
      <c r="AC77" s="1" t="str">
        <f aca="false">IFERROR(INDEX('🎓 Alumnas'!$P$2:$P$1000,MATCH(74,'🎓 Alumnas'!$R$2:$R$1000,0)),"")</f>
        <v/>
      </c>
    </row>
    <row r="78" customFormat="false" ht="14.25" hidden="false" customHeight="true" outlineLevel="0" collapsed="false">
      <c r="AC78" s="1" t="str">
        <f aca="false">IFERROR(INDEX('🎓 Alumnas'!$P$2:$P$1000,MATCH(75,'🎓 Alumnas'!$R$2:$R$1000,0)),"")</f>
        <v/>
      </c>
    </row>
    <row r="79" customFormat="false" ht="14.25" hidden="false" customHeight="true" outlineLevel="0" collapsed="false">
      <c r="AC79" s="1" t="str">
        <f aca="false">IFERROR(INDEX('🎓 Alumnas'!$P$2:$P$1000,MATCH(76,'🎓 Alumnas'!$R$2:$R$1000,0)),"")</f>
        <v/>
      </c>
    </row>
    <row r="80" customFormat="false" ht="14.25" hidden="false" customHeight="true" outlineLevel="0" collapsed="false">
      <c r="AC80" s="1" t="str">
        <f aca="false">IFERROR(INDEX('🎓 Alumnas'!$P$2:$P$1000,MATCH(77,'🎓 Alumnas'!$R$2:$R$1000,0)),"")</f>
        <v/>
      </c>
    </row>
    <row r="81" customFormat="false" ht="14.25" hidden="false" customHeight="true" outlineLevel="0" collapsed="false">
      <c r="AC81" s="1" t="str">
        <f aca="false">IFERROR(INDEX('🎓 Alumnas'!$P$2:$P$1000,MATCH(78,'🎓 Alumnas'!$R$2:$R$1000,0)),"")</f>
        <v/>
      </c>
    </row>
    <row r="82" customFormat="false" ht="14.25" hidden="false" customHeight="true" outlineLevel="0" collapsed="false">
      <c r="AC82" s="1" t="str">
        <f aca="false">IFERROR(INDEX('🎓 Alumnas'!$P$2:$P$1000,MATCH(79,'🎓 Alumnas'!$R$2:$R$1000,0)),"")</f>
        <v/>
      </c>
    </row>
    <row r="83" customFormat="false" ht="14.25" hidden="false" customHeight="true" outlineLevel="0" collapsed="false">
      <c r="AC83" s="1" t="str">
        <f aca="false">IFERROR(INDEX('🎓 Alumnas'!$P$2:$P$1000,MATCH(80,'🎓 Alumnas'!$R$2:$R$1000,0)),"")</f>
        <v/>
      </c>
    </row>
    <row r="84" customFormat="false" ht="14.25" hidden="false" customHeight="true" outlineLevel="0" collapsed="false">
      <c r="AC84" s="1" t="str">
        <f aca="false">IFERROR(INDEX('🎓 Alumnas'!$P$2:$P$1000,MATCH(81,'🎓 Alumnas'!$R$2:$R$1000,0)),"")</f>
        <v/>
      </c>
    </row>
    <row r="85" customFormat="false" ht="14.25" hidden="false" customHeight="true" outlineLevel="0" collapsed="false">
      <c r="AC85" s="1" t="str">
        <f aca="false">IFERROR(INDEX('🎓 Alumnas'!$P$2:$P$1000,MATCH(82,'🎓 Alumnas'!$R$2:$R$1000,0)),"")</f>
        <v/>
      </c>
    </row>
    <row r="86" customFormat="false" ht="14.25" hidden="false" customHeight="true" outlineLevel="0" collapsed="false">
      <c r="AC86" s="1" t="str">
        <f aca="false">IFERROR(INDEX('🎓 Alumnas'!$P$2:$P$1000,MATCH(83,'🎓 Alumnas'!$R$2:$R$1000,0)),"")</f>
        <v/>
      </c>
    </row>
    <row r="87" customFormat="false" ht="14.25" hidden="false" customHeight="true" outlineLevel="0" collapsed="false">
      <c r="AC87" s="1" t="str">
        <f aca="false">IFERROR(INDEX('🎓 Alumnas'!$P$2:$P$1000,MATCH(84,'🎓 Alumnas'!$R$2:$R$1000,0)),"")</f>
        <v/>
      </c>
    </row>
    <row r="88" customFormat="false" ht="14.25" hidden="false" customHeight="true" outlineLevel="0" collapsed="false">
      <c r="AC88" s="1" t="str">
        <f aca="false">IFERROR(INDEX('🎓 Alumnas'!$P$2:$P$1000,MATCH(85,'🎓 Alumnas'!$R$2:$R$1000,0)),"")</f>
        <v/>
      </c>
    </row>
    <row r="89" customFormat="false" ht="14.25" hidden="false" customHeight="true" outlineLevel="0" collapsed="false">
      <c r="AC89" s="1" t="str">
        <f aca="false">IFERROR(INDEX('🎓 Alumnas'!$P$2:$P$1000,MATCH(86,'🎓 Alumnas'!$R$2:$R$1000,0)),"")</f>
        <v/>
      </c>
    </row>
    <row r="90" customFormat="false" ht="14.25" hidden="false" customHeight="true" outlineLevel="0" collapsed="false">
      <c r="AC90" s="1" t="str">
        <f aca="false">IFERROR(INDEX('🎓 Alumnas'!$P$2:$P$1000,MATCH(87,'🎓 Alumnas'!$R$2:$R$1000,0)),"")</f>
        <v/>
      </c>
    </row>
    <row r="91" customFormat="false" ht="14.25" hidden="false" customHeight="true" outlineLevel="0" collapsed="false">
      <c r="AC91" s="1" t="str">
        <f aca="false">IFERROR(INDEX('🎓 Alumnas'!$P$2:$P$1000,MATCH(88,'🎓 Alumnas'!$R$2:$R$1000,0)),"")</f>
        <v/>
      </c>
    </row>
    <row r="92" customFormat="false" ht="14.25" hidden="false" customHeight="true" outlineLevel="0" collapsed="false">
      <c r="AC92" s="1" t="str">
        <f aca="false">IFERROR(INDEX('🎓 Alumnas'!$P$2:$P$1000,MATCH(89,'🎓 Alumnas'!$R$2:$R$1000,0)),"")</f>
        <v/>
      </c>
    </row>
    <row r="93" customFormat="false" ht="14.25" hidden="false" customHeight="true" outlineLevel="0" collapsed="false">
      <c r="AC93" s="1" t="str">
        <f aca="false">IFERROR(INDEX('🎓 Alumnas'!$P$2:$P$1000,MATCH(90,'🎓 Alumnas'!$R$2:$R$1000,0)),"")</f>
        <v/>
      </c>
    </row>
    <row r="94" customFormat="false" ht="14.25" hidden="false" customHeight="true" outlineLevel="0" collapsed="false">
      <c r="AC94" s="1" t="str">
        <f aca="false">IFERROR(INDEX('🎓 Alumnas'!$P$2:$P$1000,MATCH(91,'🎓 Alumnas'!$R$2:$R$1000,0)),"")</f>
        <v/>
      </c>
    </row>
    <row r="95" customFormat="false" ht="14.25" hidden="false" customHeight="true" outlineLevel="0" collapsed="false">
      <c r="AC95" s="1" t="str">
        <f aca="false">IFERROR(INDEX('🎓 Alumnas'!$P$2:$P$1000,MATCH(92,'🎓 Alumnas'!$R$2:$R$1000,0)),"")</f>
        <v/>
      </c>
    </row>
    <row r="96" customFormat="false" ht="14.25" hidden="false" customHeight="true" outlineLevel="0" collapsed="false">
      <c r="AC96" s="1" t="str">
        <f aca="false">IFERROR(INDEX('🎓 Alumnas'!$P$2:$P$1000,MATCH(93,'🎓 Alumnas'!$R$2:$R$1000,0)),"")</f>
        <v/>
      </c>
    </row>
    <row r="97" customFormat="false" ht="14.25" hidden="false" customHeight="true" outlineLevel="0" collapsed="false">
      <c r="AC97" s="1" t="str">
        <f aca="false">IFERROR(INDEX('🎓 Alumnas'!$P$2:$P$1000,MATCH(94,'🎓 Alumnas'!$R$2:$R$1000,0)),"")</f>
        <v/>
      </c>
    </row>
    <row r="98" customFormat="false" ht="14.25" hidden="false" customHeight="true" outlineLevel="0" collapsed="false">
      <c r="AC98" s="1" t="str">
        <f aca="false">IFERROR(INDEX('🎓 Alumnas'!$P$2:$P$1000,MATCH(95,'🎓 Alumnas'!$R$2:$R$1000,0)),"")</f>
        <v/>
      </c>
    </row>
    <row r="99" customFormat="false" ht="14.25" hidden="false" customHeight="true" outlineLevel="0" collapsed="false">
      <c r="AC99" s="1" t="str">
        <f aca="false">IFERROR(INDEX('🎓 Alumnas'!$P$2:$P$1000,MATCH(96,'🎓 Alumnas'!$R$2:$R$1000,0)),"")</f>
        <v/>
      </c>
    </row>
    <row r="100" customFormat="false" ht="14.25" hidden="false" customHeight="true" outlineLevel="0" collapsed="false">
      <c r="AC100" s="1" t="str">
        <f aca="false">IFERROR(INDEX('🎓 Alumnas'!$P$2:$P$1000,MATCH(97,'🎓 Alumnas'!$R$2:$R$1000,0)),"")</f>
        <v/>
      </c>
    </row>
    <row r="101" customFormat="false" ht="14.25" hidden="false" customHeight="true" outlineLevel="0" collapsed="false">
      <c r="AC101" s="1" t="str">
        <f aca="false">IFERROR(INDEX('🎓 Alumnas'!$P$2:$P$1000,MATCH(98,'🎓 Alumnas'!$R$2:$R$1000,0)),"")</f>
        <v/>
      </c>
    </row>
    <row r="102" customFormat="false" ht="14.25" hidden="false" customHeight="true" outlineLevel="0" collapsed="false">
      <c r="AC102" s="1" t="str">
        <f aca="false">IFERROR(INDEX('🎓 Alumnas'!$P$2:$P$1000,MATCH(99,'🎓 Alumnas'!$R$2:$R$1000,0)),"")</f>
        <v/>
      </c>
    </row>
    <row r="103" customFormat="false" ht="14.25" hidden="false" customHeight="true" outlineLevel="0" collapsed="false">
      <c r="AC103" s="1" t="str">
        <f aca="false">IFERROR(INDEX('🎓 Alumnas'!$P$2:$P$1000,MATCH(100,'🎓 Alumnas'!$R$2:$R$1000,0)),"")</f>
        <v/>
      </c>
    </row>
    <row r="104" customFormat="false" ht="14.25" hidden="false" customHeight="true" outlineLevel="0" collapsed="false">
      <c r="AC104" s="1" t="str">
        <f aca="false">IFERROR(INDEX('🎓 Alumnas'!$P$2:$P$1000,MATCH(101,'🎓 Alumnas'!$R$2:$R$1000,0)),"")</f>
        <v/>
      </c>
    </row>
    <row r="105" customFormat="false" ht="14.25" hidden="false" customHeight="true" outlineLevel="0" collapsed="false">
      <c r="AC105" s="1" t="str">
        <f aca="false">IFERROR(INDEX('🎓 Alumnas'!$P$2:$P$1000,MATCH(102,'🎓 Alumnas'!$R$2:$R$1000,0)),"")</f>
        <v/>
      </c>
    </row>
    <row r="106" customFormat="false" ht="14.25" hidden="false" customHeight="true" outlineLevel="0" collapsed="false">
      <c r="AC106" s="1" t="str">
        <f aca="false">IFERROR(INDEX('🎓 Alumnas'!$P$2:$P$1000,MATCH(103,'🎓 Alumnas'!$R$2:$R$1000,0)),"")</f>
        <v/>
      </c>
    </row>
    <row r="107" customFormat="false" ht="14.25" hidden="false" customHeight="true" outlineLevel="0" collapsed="false">
      <c r="AC107" s="1" t="str">
        <f aca="false">IFERROR(INDEX('🎓 Alumnas'!$P$2:$P$1000,MATCH(104,'🎓 Alumnas'!$R$2:$R$1000,0)),"")</f>
        <v/>
      </c>
    </row>
    <row r="108" customFormat="false" ht="14.25" hidden="false" customHeight="true" outlineLevel="0" collapsed="false">
      <c r="AC108" s="1" t="str">
        <f aca="false">IFERROR(INDEX('🎓 Alumnas'!$P$2:$P$1000,MATCH(105,'🎓 Alumnas'!$R$2:$R$1000,0)),"")</f>
        <v/>
      </c>
    </row>
    <row r="109" customFormat="false" ht="14.25" hidden="false" customHeight="true" outlineLevel="0" collapsed="false">
      <c r="AC109" s="1" t="str">
        <f aca="false">IFERROR(INDEX('🎓 Alumnas'!$P$2:$P$1000,MATCH(106,'🎓 Alumnas'!$R$2:$R$1000,0)),"")</f>
        <v/>
      </c>
    </row>
    <row r="110" customFormat="false" ht="14.25" hidden="false" customHeight="true" outlineLevel="0" collapsed="false">
      <c r="AC110" s="1" t="str">
        <f aca="false">IFERROR(INDEX('🎓 Alumnas'!$P$2:$P$1000,MATCH(107,'🎓 Alumnas'!$R$2:$R$1000,0)),"")</f>
        <v/>
      </c>
    </row>
    <row r="111" customFormat="false" ht="14.25" hidden="false" customHeight="true" outlineLevel="0" collapsed="false">
      <c r="AC111" s="1" t="str">
        <f aca="false">IFERROR(INDEX('🎓 Alumnas'!$P$2:$P$1000,MATCH(108,'🎓 Alumnas'!$R$2:$R$1000,0)),"")</f>
        <v/>
      </c>
    </row>
    <row r="112" customFormat="false" ht="14.25" hidden="false" customHeight="true" outlineLevel="0" collapsed="false">
      <c r="AC112" s="1" t="str">
        <f aca="false">IFERROR(INDEX('🎓 Alumnas'!$P$2:$P$1000,MATCH(109,'🎓 Alumnas'!$R$2:$R$1000,0)),"")</f>
        <v/>
      </c>
    </row>
    <row r="113" customFormat="false" ht="14.25" hidden="false" customHeight="true" outlineLevel="0" collapsed="false">
      <c r="AC113" s="1" t="str">
        <f aca="false">IFERROR(INDEX('🎓 Alumnas'!$P$2:$P$1000,MATCH(110,'🎓 Alumnas'!$R$2:$R$1000,0)),"")</f>
        <v/>
      </c>
    </row>
    <row r="114" customFormat="false" ht="14.25" hidden="false" customHeight="true" outlineLevel="0" collapsed="false">
      <c r="AC114" s="1" t="str">
        <f aca="false">IFERROR(INDEX('🎓 Alumnas'!$P$2:$P$1000,MATCH(111,'🎓 Alumnas'!$R$2:$R$1000,0)),"")</f>
        <v/>
      </c>
    </row>
    <row r="115" customFormat="false" ht="14.25" hidden="false" customHeight="true" outlineLevel="0" collapsed="false">
      <c r="AC115" s="1" t="str">
        <f aca="false">IFERROR(INDEX('🎓 Alumnas'!$P$2:$P$1000,MATCH(112,'🎓 Alumnas'!$R$2:$R$1000,0)),"")</f>
        <v/>
      </c>
    </row>
    <row r="116" customFormat="false" ht="14.25" hidden="false" customHeight="true" outlineLevel="0" collapsed="false">
      <c r="AC116" s="1" t="str">
        <f aca="false">IFERROR(INDEX('🎓 Alumnas'!$P$2:$P$1000,MATCH(113,'🎓 Alumnas'!$R$2:$R$1000,0)),"")</f>
        <v/>
      </c>
    </row>
    <row r="117" customFormat="false" ht="14.25" hidden="false" customHeight="true" outlineLevel="0" collapsed="false">
      <c r="AC117" s="1" t="str">
        <f aca="false">IFERROR(INDEX('🎓 Alumnas'!$P$2:$P$1000,MATCH(114,'🎓 Alumnas'!$R$2:$R$1000,0)),"")</f>
        <v/>
      </c>
    </row>
    <row r="118" customFormat="false" ht="14.25" hidden="false" customHeight="true" outlineLevel="0" collapsed="false">
      <c r="AC118" s="1" t="str">
        <f aca="false">IFERROR(INDEX('🎓 Alumnas'!$P$2:$P$1000,MATCH(115,'🎓 Alumnas'!$R$2:$R$1000,0)),"")</f>
        <v/>
      </c>
    </row>
    <row r="119" customFormat="false" ht="14.25" hidden="false" customHeight="true" outlineLevel="0" collapsed="false">
      <c r="AC119" s="1" t="str">
        <f aca="false">IFERROR(INDEX('🎓 Alumnas'!$P$2:$P$1000,MATCH(116,'🎓 Alumnas'!$R$2:$R$1000,0)),"")</f>
        <v/>
      </c>
    </row>
    <row r="120" customFormat="false" ht="14.25" hidden="false" customHeight="true" outlineLevel="0" collapsed="false">
      <c r="AC120" s="1" t="str">
        <f aca="false">IFERROR(INDEX('🎓 Alumnas'!$P$2:$P$1000,MATCH(117,'🎓 Alumnas'!$R$2:$R$1000,0)),"")</f>
        <v/>
      </c>
    </row>
    <row r="121" customFormat="false" ht="14.25" hidden="false" customHeight="true" outlineLevel="0" collapsed="false">
      <c r="AC121" s="1" t="str">
        <f aca="false">IFERROR(INDEX('🎓 Alumnas'!$P$2:$P$1000,MATCH(118,'🎓 Alumnas'!$R$2:$R$1000,0)),"")</f>
        <v/>
      </c>
    </row>
    <row r="122" customFormat="false" ht="14.25" hidden="false" customHeight="true" outlineLevel="0" collapsed="false">
      <c r="AC122" s="1" t="str">
        <f aca="false">IFERROR(INDEX('🎓 Alumnas'!$P$2:$P$1000,MATCH(119,'🎓 Alumnas'!$R$2:$R$1000,0)),"")</f>
        <v/>
      </c>
    </row>
    <row r="123" customFormat="false" ht="14.25" hidden="false" customHeight="true" outlineLevel="0" collapsed="false">
      <c r="AC123" s="1" t="str">
        <f aca="false">IFERROR(INDEX('🎓 Alumnas'!$P$2:$P$1000,MATCH(120,'🎓 Alumnas'!$R$2:$R$1000,0)),"")</f>
        <v/>
      </c>
    </row>
    <row r="124" customFormat="false" ht="14.25" hidden="false" customHeight="true" outlineLevel="0" collapsed="false">
      <c r="AC124" s="1" t="str">
        <f aca="false">IFERROR(INDEX('🎓 Alumnas'!$P$2:$P$1000,MATCH(121,'🎓 Alumnas'!$R$2:$R$1000,0)),"")</f>
        <v/>
      </c>
    </row>
    <row r="125" customFormat="false" ht="14.25" hidden="false" customHeight="true" outlineLevel="0" collapsed="false">
      <c r="AC125" s="1" t="str">
        <f aca="false">IFERROR(INDEX('🎓 Alumnas'!$P$2:$P$1000,MATCH(122,'🎓 Alumnas'!$R$2:$R$1000,0)),"")</f>
        <v/>
      </c>
    </row>
    <row r="126" customFormat="false" ht="14.25" hidden="false" customHeight="true" outlineLevel="0" collapsed="false">
      <c r="AC126" s="1" t="str">
        <f aca="false">IFERROR(INDEX('🎓 Alumnas'!$P$2:$P$1000,MATCH(123,'🎓 Alumnas'!$R$2:$R$1000,0)),"")</f>
        <v/>
      </c>
    </row>
    <row r="127" customFormat="false" ht="14.25" hidden="false" customHeight="true" outlineLevel="0" collapsed="false">
      <c r="AC127" s="1" t="str">
        <f aca="false">IFERROR(INDEX('🎓 Alumnas'!$P$2:$P$1000,MATCH(124,'🎓 Alumnas'!$R$2:$R$1000,0)),"")</f>
        <v/>
      </c>
    </row>
    <row r="128" customFormat="false" ht="14.25" hidden="false" customHeight="true" outlineLevel="0" collapsed="false">
      <c r="AC128" s="1" t="str">
        <f aca="false">IFERROR(INDEX('🎓 Alumnas'!$P$2:$P$1000,MATCH(125,'🎓 Alumnas'!$R$2:$R$1000,0)),"")</f>
        <v/>
      </c>
    </row>
    <row r="129" customFormat="false" ht="14.25" hidden="false" customHeight="true" outlineLevel="0" collapsed="false">
      <c r="AC129" s="1" t="str">
        <f aca="false">IFERROR(INDEX('🎓 Alumnas'!$P$2:$P$1000,MATCH(126,'🎓 Alumnas'!$R$2:$R$1000,0)),"")</f>
        <v/>
      </c>
    </row>
    <row r="130" customFormat="false" ht="14.25" hidden="false" customHeight="true" outlineLevel="0" collapsed="false">
      <c r="AC130" s="1" t="str">
        <f aca="false">IFERROR(INDEX('🎓 Alumnas'!$P$2:$P$1000,MATCH(127,'🎓 Alumnas'!$R$2:$R$1000,0)),"")</f>
        <v/>
      </c>
    </row>
    <row r="131" customFormat="false" ht="14.25" hidden="false" customHeight="true" outlineLevel="0" collapsed="false">
      <c r="AC131" s="1" t="str">
        <f aca="false">IFERROR(INDEX('🎓 Alumnas'!$P$2:$P$1000,MATCH(128,'🎓 Alumnas'!$R$2:$R$1000,0)),"")</f>
        <v/>
      </c>
    </row>
    <row r="132" customFormat="false" ht="14.25" hidden="false" customHeight="true" outlineLevel="0" collapsed="false">
      <c r="AC132" s="1" t="str">
        <f aca="false">IFERROR(INDEX('🎓 Alumnas'!$P$2:$P$1000,MATCH(129,'🎓 Alumnas'!$R$2:$R$1000,0)),"")</f>
        <v/>
      </c>
    </row>
    <row r="133" customFormat="false" ht="14.25" hidden="false" customHeight="true" outlineLevel="0" collapsed="false">
      <c r="AC133" s="1" t="str">
        <f aca="false">IFERROR(INDEX('🎓 Alumnas'!$P$2:$P$1000,MATCH(130,'🎓 Alumnas'!$R$2:$R$1000,0)),"")</f>
        <v/>
      </c>
    </row>
    <row r="134" customFormat="false" ht="14.25" hidden="false" customHeight="true" outlineLevel="0" collapsed="false">
      <c r="AC134" s="1" t="str">
        <f aca="false">IFERROR(INDEX('🎓 Alumnas'!$P$2:$P$1000,MATCH(131,'🎓 Alumnas'!$R$2:$R$1000,0)),"")</f>
        <v/>
      </c>
    </row>
    <row r="135" customFormat="false" ht="14.25" hidden="false" customHeight="true" outlineLevel="0" collapsed="false">
      <c r="AC135" s="1" t="str">
        <f aca="false">IFERROR(INDEX('🎓 Alumnas'!$P$2:$P$1000,MATCH(132,'🎓 Alumnas'!$R$2:$R$1000,0)),"")</f>
        <v/>
      </c>
    </row>
    <row r="136" customFormat="false" ht="14.25" hidden="false" customHeight="true" outlineLevel="0" collapsed="false">
      <c r="AC136" s="1" t="str">
        <f aca="false">IFERROR(INDEX('🎓 Alumnas'!$P$2:$P$1000,MATCH(133,'🎓 Alumnas'!$R$2:$R$1000,0)),"")</f>
        <v/>
      </c>
    </row>
    <row r="137" customFormat="false" ht="14.25" hidden="false" customHeight="true" outlineLevel="0" collapsed="false">
      <c r="AC137" s="1" t="str">
        <f aca="false">IFERROR(INDEX('🎓 Alumnas'!$P$2:$P$1000,MATCH(134,'🎓 Alumnas'!$R$2:$R$1000,0)),"")</f>
        <v/>
      </c>
    </row>
    <row r="138" customFormat="false" ht="14.25" hidden="false" customHeight="true" outlineLevel="0" collapsed="false">
      <c r="AC138" s="1" t="str">
        <f aca="false">IFERROR(INDEX('🎓 Alumnas'!$P$2:$P$1000,MATCH(135,'🎓 Alumnas'!$R$2:$R$1000,0)),"")</f>
        <v/>
      </c>
    </row>
    <row r="139" customFormat="false" ht="14.25" hidden="false" customHeight="true" outlineLevel="0" collapsed="false">
      <c r="AC139" s="1" t="str">
        <f aca="false">IFERROR(INDEX('🎓 Alumnas'!$P$2:$P$1000,MATCH(136,'🎓 Alumnas'!$R$2:$R$1000,0)),"")</f>
        <v/>
      </c>
    </row>
    <row r="140" customFormat="false" ht="14.25" hidden="false" customHeight="true" outlineLevel="0" collapsed="false">
      <c r="AC140" s="1" t="str">
        <f aca="false">IFERROR(INDEX('🎓 Alumnas'!$P$2:$P$1000,MATCH(137,'🎓 Alumnas'!$R$2:$R$1000,0)),"")</f>
        <v/>
      </c>
    </row>
    <row r="141" customFormat="false" ht="14.25" hidden="false" customHeight="true" outlineLevel="0" collapsed="false">
      <c r="AC141" s="1" t="str">
        <f aca="false">IFERROR(INDEX('🎓 Alumnas'!$P$2:$P$1000,MATCH(138,'🎓 Alumnas'!$R$2:$R$1000,0)),"")</f>
        <v/>
      </c>
    </row>
    <row r="142" customFormat="false" ht="14.25" hidden="false" customHeight="true" outlineLevel="0" collapsed="false">
      <c r="AC142" s="1" t="str">
        <f aca="false">IFERROR(INDEX('🎓 Alumnas'!$P$2:$P$1000,MATCH(139,'🎓 Alumnas'!$R$2:$R$1000,0)),"")</f>
        <v/>
      </c>
    </row>
    <row r="143" customFormat="false" ht="14.25" hidden="false" customHeight="true" outlineLevel="0" collapsed="false">
      <c r="AC143" s="1" t="str">
        <f aca="false">IFERROR(INDEX('🎓 Alumnas'!$P$2:$P$1000,MATCH(140,'🎓 Alumnas'!$R$2:$R$1000,0)),"")</f>
        <v/>
      </c>
    </row>
    <row r="144" customFormat="false" ht="14.25" hidden="false" customHeight="true" outlineLevel="0" collapsed="false">
      <c r="AC144" s="1" t="str">
        <f aca="false">IFERROR(INDEX('🎓 Alumnas'!$P$2:$P$1000,MATCH(141,'🎓 Alumnas'!$R$2:$R$1000,0)),"")</f>
        <v/>
      </c>
    </row>
    <row r="145" customFormat="false" ht="14.25" hidden="false" customHeight="true" outlineLevel="0" collapsed="false">
      <c r="AC145" s="1" t="str">
        <f aca="false">IFERROR(INDEX('🎓 Alumnas'!$P$2:$P$1000,MATCH(142,'🎓 Alumnas'!$R$2:$R$1000,0)),"")</f>
        <v/>
      </c>
    </row>
    <row r="146" customFormat="false" ht="14.25" hidden="false" customHeight="true" outlineLevel="0" collapsed="false">
      <c r="AC146" s="1" t="str">
        <f aca="false">IFERROR(INDEX('🎓 Alumnas'!$P$2:$P$1000,MATCH(143,'🎓 Alumnas'!$R$2:$R$1000,0)),"")</f>
        <v/>
      </c>
    </row>
    <row r="147" customFormat="false" ht="14.25" hidden="false" customHeight="true" outlineLevel="0" collapsed="false">
      <c r="AC147" s="1" t="str">
        <f aca="false">IFERROR(INDEX('🎓 Alumnas'!$P$2:$P$1000,MATCH(144,'🎓 Alumnas'!$R$2:$R$1000,0)),"")</f>
        <v/>
      </c>
    </row>
    <row r="148" customFormat="false" ht="14.25" hidden="false" customHeight="true" outlineLevel="0" collapsed="false">
      <c r="AC148" s="1" t="str">
        <f aca="false">IFERROR(INDEX('🎓 Alumnas'!$P$2:$P$1000,MATCH(145,'🎓 Alumnas'!$R$2:$R$1000,0)),"")</f>
        <v/>
      </c>
    </row>
    <row r="149" customFormat="false" ht="14.25" hidden="false" customHeight="true" outlineLevel="0" collapsed="false">
      <c r="AC149" s="1" t="str">
        <f aca="false">IFERROR(INDEX('🎓 Alumnas'!$P$2:$P$1000,MATCH(146,'🎓 Alumnas'!$R$2:$R$1000,0)),"")</f>
        <v/>
      </c>
    </row>
    <row r="150" customFormat="false" ht="14.25" hidden="false" customHeight="true" outlineLevel="0" collapsed="false">
      <c r="AC150" s="1" t="str">
        <f aca="false">IFERROR(INDEX('🎓 Alumnas'!$P$2:$P$1000,MATCH(147,'🎓 Alumnas'!$R$2:$R$1000,0)),"")</f>
        <v/>
      </c>
    </row>
    <row r="151" customFormat="false" ht="14.25" hidden="false" customHeight="true" outlineLevel="0" collapsed="false">
      <c r="AC151" s="1" t="str">
        <f aca="false">IFERROR(INDEX('🎓 Alumnas'!$P$2:$P$1000,MATCH(148,'🎓 Alumnas'!$R$2:$R$1000,0)),"")</f>
        <v/>
      </c>
    </row>
    <row r="152" customFormat="false" ht="14.25" hidden="false" customHeight="true" outlineLevel="0" collapsed="false">
      <c r="AC152" s="1" t="str">
        <f aca="false">IFERROR(INDEX('🎓 Alumnas'!$P$2:$P$1000,MATCH(149,'🎓 Alumnas'!$R$2:$R$1000,0)),"")</f>
        <v/>
      </c>
    </row>
    <row r="153" customFormat="false" ht="14.25" hidden="false" customHeight="true" outlineLevel="0" collapsed="false">
      <c r="AC153" s="1" t="str">
        <f aca="false">IFERROR(INDEX('🎓 Alumnas'!$P$2:$P$1000,MATCH(150,'🎓 Alumnas'!$R$2:$R$1000,0)),"")</f>
        <v/>
      </c>
    </row>
    <row r="154" customFormat="false" ht="14.25" hidden="false" customHeight="true" outlineLevel="0" collapsed="false">
      <c r="AC154" s="1" t="str">
        <f aca="false">IFERROR(INDEX('🎓 Alumnas'!$P$2:$P$1000,MATCH(151,'🎓 Alumnas'!$R$2:$R$1000,0)),"")</f>
        <v/>
      </c>
    </row>
    <row r="155" customFormat="false" ht="14.25" hidden="false" customHeight="true" outlineLevel="0" collapsed="false">
      <c r="AC155" s="1" t="str">
        <f aca="false">IFERROR(INDEX('🎓 Alumnas'!$P$2:$P$1000,MATCH(152,'🎓 Alumnas'!$R$2:$R$1000,0)),"")</f>
        <v/>
      </c>
    </row>
    <row r="156" customFormat="false" ht="14.25" hidden="false" customHeight="true" outlineLevel="0" collapsed="false">
      <c r="AC156" s="1" t="str">
        <f aca="false">IFERROR(INDEX('🎓 Alumnas'!$P$2:$P$1000,MATCH(153,'🎓 Alumnas'!$R$2:$R$1000,0)),"")</f>
        <v/>
      </c>
    </row>
    <row r="157" customFormat="false" ht="14.25" hidden="false" customHeight="true" outlineLevel="0" collapsed="false">
      <c r="AC157" s="1" t="str">
        <f aca="false">IFERROR(INDEX('🎓 Alumnas'!$P$2:$P$1000,MATCH(154,'🎓 Alumnas'!$R$2:$R$1000,0)),"")</f>
        <v/>
      </c>
    </row>
    <row r="158" customFormat="false" ht="14.25" hidden="false" customHeight="true" outlineLevel="0" collapsed="false">
      <c r="AC158" s="1" t="str">
        <f aca="false">IFERROR(INDEX('🎓 Alumnas'!$P$2:$P$1000,MATCH(155,'🎓 Alumnas'!$R$2:$R$1000,0)),"")</f>
        <v/>
      </c>
    </row>
    <row r="159" customFormat="false" ht="14.25" hidden="false" customHeight="true" outlineLevel="0" collapsed="false">
      <c r="AC159" s="1" t="str">
        <f aca="false">IFERROR(INDEX('🎓 Alumnas'!$P$2:$P$1000,MATCH(156,'🎓 Alumnas'!$R$2:$R$1000,0)),"")</f>
        <v/>
      </c>
    </row>
    <row r="160" customFormat="false" ht="14.25" hidden="false" customHeight="true" outlineLevel="0" collapsed="false">
      <c r="AC160" s="1" t="str">
        <f aca="false">IFERROR(INDEX('🎓 Alumnas'!$P$2:$P$1000,MATCH(157,'🎓 Alumnas'!$R$2:$R$1000,0)),"")</f>
        <v/>
      </c>
    </row>
    <row r="161" customFormat="false" ht="14.25" hidden="false" customHeight="true" outlineLevel="0" collapsed="false">
      <c r="AC161" s="1" t="str">
        <f aca="false">IFERROR(INDEX('🎓 Alumnas'!$P$2:$P$1000,MATCH(158,'🎓 Alumnas'!$R$2:$R$1000,0)),"")</f>
        <v/>
      </c>
    </row>
    <row r="162" customFormat="false" ht="14.25" hidden="false" customHeight="true" outlineLevel="0" collapsed="false">
      <c r="AC162" s="1" t="str">
        <f aca="false">IFERROR(INDEX('🎓 Alumnas'!$P$2:$P$1000,MATCH(159,'🎓 Alumnas'!$R$2:$R$1000,0)),"")</f>
        <v/>
      </c>
    </row>
    <row r="163" customFormat="false" ht="14.25" hidden="false" customHeight="true" outlineLevel="0" collapsed="false">
      <c r="AC163" s="1" t="str">
        <f aca="false">IFERROR(INDEX('🎓 Alumnas'!$P$2:$P$1000,MATCH(160,'🎓 Alumnas'!$R$2:$R$1000,0)),"")</f>
        <v/>
      </c>
    </row>
    <row r="164" customFormat="false" ht="14.25" hidden="false" customHeight="true" outlineLevel="0" collapsed="false">
      <c r="AC164" s="1" t="str">
        <f aca="false">IFERROR(INDEX('🎓 Alumnas'!$P$2:$P$1000,MATCH(161,'🎓 Alumnas'!$R$2:$R$1000,0)),"")</f>
        <v/>
      </c>
    </row>
    <row r="165" customFormat="false" ht="14.25" hidden="false" customHeight="true" outlineLevel="0" collapsed="false">
      <c r="AC165" s="1" t="str">
        <f aca="false">IFERROR(INDEX('🎓 Alumnas'!$P$2:$P$1000,MATCH(162,'🎓 Alumnas'!$R$2:$R$1000,0)),"")</f>
        <v/>
      </c>
    </row>
    <row r="166" customFormat="false" ht="14.25" hidden="false" customHeight="true" outlineLevel="0" collapsed="false">
      <c r="AC166" s="1" t="str">
        <f aca="false">IFERROR(INDEX('🎓 Alumnas'!$P$2:$P$1000,MATCH(163,'🎓 Alumnas'!$R$2:$R$1000,0)),"")</f>
        <v/>
      </c>
    </row>
    <row r="167" customFormat="false" ht="14.25" hidden="false" customHeight="true" outlineLevel="0" collapsed="false">
      <c r="AC167" s="1" t="str">
        <f aca="false">IFERROR(INDEX('🎓 Alumnas'!$P$2:$P$1000,MATCH(164,'🎓 Alumnas'!$R$2:$R$1000,0)),"")</f>
        <v/>
      </c>
    </row>
    <row r="168" customFormat="false" ht="14.25" hidden="false" customHeight="true" outlineLevel="0" collapsed="false">
      <c r="AC168" s="1" t="str">
        <f aca="false">IFERROR(INDEX('🎓 Alumnas'!$P$2:$P$1000,MATCH(165,'🎓 Alumnas'!$R$2:$R$1000,0)),"")</f>
        <v/>
      </c>
    </row>
    <row r="169" customFormat="false" ht="14.25" hidden="false" customHeight="true" outlineLevel="0" collapsed="false">
      <c r="AC169" s="1" t="str">
        <f aca="false">IFERROR(INDEX('🎓 Alumnas'!$P$2:$P$1000,MATCH(166,'🎓 Alumnas'!$R$2:$R$1000,0)),"")</f>
        <v/>
      </c>
    </row>
    <row r="170" customFormat="false" ht="14.25" hidden="false" customHeight="true" outlineLevel="0" collapsed="false">
      <c r="AC170" s="1" t="str">
        <f aca="false">IFERROR(INDEX('🎓 Alumnas'!$P$2:$P$1000,MATCH(167,'🎓 Alumnas'!$R$2:$R$1000,0)),"")</f>
        <v/>
      </c>
    </row>
    <row r="171" customFormat="false" ht="14.25" hidden="false" customHeight="true" outlineLevel="0" collapsed="false">
      <c r="AC171" s="1" t="str">
        <f aca="false">IFERROR(INDEX('🎓 Alumnas'!$P$2:$P$1000,MATCH(168,'🎓 Alumnas'!$R$2:$R$1000,0)),"")</f>
        <v/>
      </c>
    </row>
    <row r="172" customFormat="false" ht="14.25" hidden="false" customHeight="true" outlineLevel="0" collapsed="false">
      <c r="AC172" s="1" t="str">
        <f aca="false">IFERROR(INDEX('🎓 Alumnas'!$P$2:$P$1000,MATCH(169,'🎓 Alumnas'!$R$2:$R$1000,0)),"")</f>
        <v/>
      </c>
    </row>
    <row r="173" customFormat="false" ht="14.25" hidden="false" customHeight="true" outlineLevel="0" collapsed="false">
      <c r="AC173" s="1" t="str">
        <f aca="false">IFERROR(INDEX('🎓 Alumnas'!$P$2:$P$1000,MATCH(170,'🎓 Alumnas'!$R$2:$R$1000,0)),"")</f>
        <v/>
      </c>
    </row>
    <row r="174" customFormat="false" ht="14.25" hidden="false" customHeight="true" outlineLevel="0" collapsed="false">
      <c r="AC174" s="1" t="str">
        <f aca="false">IFERROR(INDEX('🎓 Alumnas'!$P$2:$P$1000,MATCH(171,'🎓 Alumnas'!$R$2:$R$1000,0)),"")</f>
        <v/>
      </c>
    </row>
    <row r="175" customFormat="false" ht="14.25" hidden="false" customHeight="true" outlineLevel="0" collapsed="false">
      <c r="AC175" s="1" t="str">
        <f aca="false">IFERROR(INDEX('🎓 Alumnas'!$P$2:$P$1000,MATCH(172,'🎓 Alumnas'!$R$2:$R$1000,0)),"")</f>
        <v/>
      </c>
    </row>
    <row r="176" customFormat="false" ht="14.25" hidden="false" customHeight="true" outlineLevel="0" collapsed="false">
      <c r="AC176" s="1" t="str">
        <f aca="false">IFERROR(INDEX('🎓 Alumnas'!$P$2:$P$1000,MATCH(173,'🎓 Alumnas'!$R$2:$R$1000,0)),"")</f>
        <v/>
      </c>
    </row>
    <row r="177" customFormat="false" ht="14.25" hidden="false" customHeight="true" outlineLevel="0" collapsed="false">
      <c r="AC177" s="1" t="str">
        <f aca="false">IFERROR(INDEX('🎓 Alumnas'!$P$2:$P$1000,MATCH(174,'🎓 Alumnas'!$R$2:$R$1000,0)),"")</f>
        <v/>
      </c>
    </row>
    <row r="178" customFormat="false" ht="14.25" hidden="false" customHeight="true" outlineLevel="0" collapsed="false">
      <c r="AC178" s="1" t="str">
        <f aca="false">IFERROR(INDEX('🎓 Alumnas'!$P$2:$P$1000,MATCH(175,'🎓 Alumnas'!$R$2:$R$1000,0)),"")</f>
        <v/>
      </c>
    </row>
    <row r="179" customFormat="false" ht="14.25" hidden="false" customHeight="true" outlineLevel="0" collapsed="false">
      <c r="AC179" s="1" t="str">
        <f aca="false">IFERROR(INDEX('🎓 Alumnas'!$P$2:$P$1000,MATCH(176,'🎓 Alumnas'!$R$2:$R$1000,0)),"")</f>
        <v/>
      </c>
    </row>
    <row r="180" customFormat="false" ht="14.25" hidden="false" customHeight="true" outlineLevel="0" collapsed="false">
      <c r="AC180" s="1" t="str">
        <f aca="false">IFERROR(INDEX('🎓 Alumnas'!$P$2:$P$1000,MATCH(177,'🎓 Alumnas'!$R$2:$R$1000,0)),"")</f>
        <v/>
      </c>
    </row>
    <row r="181" customFormat="false" ht="14.25" hidden="false" customHeight="true" outlineLevel="0" collapsed="false">
      <c r="AC181" s="1" t="str">
        <f aca="false">IFERROR(INDEX('🎓 Alumnas'!$P$2:$P$1000,MATCH(178,'🎓 Alumnas'!$R$2:$R$1000,0)),"")</f>
        <v/>
      </c>
    </row>
    <row r="182" customFormat="false" ht="14.25" hidden="false" customHeight="true" outlineLevel="0" collapsed="false">
      <c r="AC182" s="1" t="str">
        <f aca="false">IFERROR(INDEX('🎓 Alumnas'!$P$2:$P$1000,MATCH(179,'🎓 Alumnas'!$R$2:$R$1000,0)),"")</f>
        <v/>
      </c>
    </row>
    <row r="183" customFormat="false" ht="14.25" hidden="false" customHeight="true" outlineLevel="0" collapsed="false">
      <c r="AC183" s="1" t="str">
        <f aca="false">IFERROR(INDEX('🎓 Alumnas'!$P$2:$P$1000,MATCH(180,'🎓 Alumnas'!$R$2:$R$1000,0)),"")</f>
        <v/>
      </c>
    </row>
    <row r="184" customFormat="false" ht="14.25" hidden="false" customHeight="true" outlineLevel="0" collapsed="false">
      <c r="AC184" s="1" t="str">
        <f aca="false">IFERROR(INDEX('🎓 Alumnas'!$P$2:$P$1000,MATCH(181,'🎓 Alumnas'!$R$2:$R$1000,0)),"")</f>
        <v/>
      </c>
    </row>
    <row r="185" customFormat="false" ht="14.25" hidden="false" customHeight="true" outlineLevel="0" collapsed="false">
      <c r="AC185" s="1" t="str">
        <f aca="false">IFERROR(INDEX('🎓 Alumnas'!$P$2:$P$1000,MATCH(182,'🎓 Alumnas'!$R$2:$R$1000,0)),"")</f>
        <v/>
      </c>
    </row>
    <row r="186" customFormat="false" ht="14.25" hidden="false" customHeight="true" outlineLevel="0" collapsed="false">
      <c r="AC186" s="1" t="str">
        <f aca="false">IFERROR(INDEX('🎓 Alumnas'!$P$2:$P$1000,MATCH(183,'🎓 Alumnas'!$R$2:$R$1000,0)),"")</f>
        <v/>
      </c>
    </row>
    <row r="187" customFormat="false" ht="14.25" hidden="false" customHeight="true" outlineLevel="0" collapsed="false">
      <c r="AC187" s="1" t="str">
        <f aca="false">IFERROR(INDEX('🎓 Alumnas'!$P$2:$P$1000,MATCH(184,'🎓 Alumnas'!$R$2:$R$1000,0)),"")</f>
        <v/>
      </c>
    </row>
    <row r="188" customFormat="false" ht="14.25" hidden="false" customHeight="true" outlineLevel="0" collapsed="false">
      <c r="AC188" s="1" t="str">
        <f aca="false">IFERROR(INDEX('🎓 Alumnas'!$P$2:$P$1000,MATCH(185,'🎓 Alumnas'!$R$2:$R$1000,0)),"")</f>
        <v/>
      </c>
    </row>
    <row r="189" customFormat="false" ht="14.25" hidden="false" customHeight="true" outlineLevel="0" collapsed="false">
      <c r="AC189" s="1" t="str">
        <f aca="false">IFERROR(INDEX('🎓 Alumnas'!$P$2:$P$1000,MATCH(186,'🎓 Alumnas'!$R$2:$R$1000,0)),"")</f>
        <v/>
      </c>
    </row>
    <row r="190" customFormat="false" ht="14.25" hidden="false" customHeight="true" outlineLevel="0" collapsed="false">
      <c r="AC190" s="1" t="str">
        <f aca="false">IFERROR(INDEX('🎓 Alumnas'!$P$2:$P$1000,MATCH(187,'🎓 Alumnas'!$R$2:$R$1000,0)),"")</f>
        <v/>
      </c>
    </row>
    <row r="191" customFormat="false" ht="14.25" hidden="false" customHeight="true" outlineLevel="0" collapsed="false">
      <c r="AC191" s="1" t="str">
        <f aca="false">IFERROR(INDEX('🎓 Alumnas'!$P$2:$P$1000,MATCH(188,'🎓 Alumnas'!$R$2:$R$1000,0)),"")</f>
        <v/>
      </c>
    </row>
    <row r="192" customFormat="false" ht="14.25" hidden="false" customHeight="true" outlineLevel="0" collapsed="false">
      <c r="AC192" s="1" t="str">
        <f aca="false">IFERROR(INDEX('🎓 Alumnas'!$P$2:$P$1000,MATCH(189,'🎓 Alumnas'!$R$2:$R$1000,0)),"")</f>
        <v/>
      </c>
    </row>
    <row r="193" customFormat="false" ht="14.25" hidden="false" customHeight="true" outlineLevel="0" collapsed="false">
      <c r="AC193" s="1" t="str">
        <f aca="false">IFERROR(INDEX('🎓 Alumnas'!$P$2:$P$1000,MATCH(190,'🎓 Alumnas'!$R$2:$R$1000,0)),"")</f>
        <v/>
      </c>
    </row>
    <row r="194" customFormat="false" ht="14.25" hidden="false" customHeight="true" outlineLevel="0" collapsed="false">
      <c r="AC194" s="1" t="str">
        <f aca="false">IFERROR(INDEX('🎓 Alumnas'!$P$2:$P$1000,MATCH(191,'🎓 Alumnas'!$R$2:$R$1000,0)),"")</f>
        <v/>
      </c>
    </row>
    <row r="195" customFormat="false" ht="14.25" hidden="false" customHeight="true" outlineLevel="0" collapsed="false">
      <c r="AC195" s="1" t="str">
        <f aca="false">IFERROR(INDEX('🎓 Alumnas'!$P$2:$P$1000,MATCH(192,'🎓 Alumnas'!$R$2:$R$1000,0)),"")</f>
        <v/>
      </c>
    </row>
    <row r="196" customFormat="false" ht="14.25" hidden="false" customHeight="true" outlineLevel="0" collapsed="false">
      <c r="AC196" s="1" t="str">
        <f aca="false">IFERROR(INDEX('🎓 Alumnas'!$P$2:$P$1000,MATCH(193,'🎓 Alumnas'!$R$2:$R$1000,0)),"")</f>
        <v/>
      </c>
    </row>
    <row r="197" customFormat="false" ht="14.25" hidden="false" customHeight="true" outlineLevel="0" collapsed="false">
      <c r="AC197" s="1" t="str">
        <f aca="false">IFERROR(INDEX('🎓 Alumnas'!$P$2:$P$1000,MATCH(194,'🎓 Alumnas'!$R$2:$R$1000,0)),"")</f>
        <v/>
      </c>
    </row>
    <row r="198" customFormat="false" ht="14.25" hidden="false" customHeight="true" outlineLevel="0" collapsed="false">
      <c r="AC198" s="1" t="str">
        <f aca="false">IFERROR(INDEX('🎓 Alumnas'!$P$2:$P$1000,MATCH(195,'🎓 Alumnas'!$R$2:$R$1000,0)),"")</f>
        <v/>
      </c>
    </row>
    <row r="199" customFormat="false" ht="14.25" hidden="false" customHeight="true" outlineLevel="0" collapsed="false">
      <c r="AC199" s="1" t="str">
        <f aca="false">IFERROR(INDEX('🎓 Alumnas'!$P$2:$P$1000,MATCH(196,'🎓 Alumnas'!$R$2:$R$1000,0)),"")</f>
        <v/>
      </c>
    </row>
    <row r="200" customFormat="false" ht="14.25" hidden="false" customHeight="true" outlineLevel="0" collapsed="false">
      <c r="AC200" s="1" t="str">
        <f aca="false">IFERROR(INDEX('🎓 Alumnas'!$P$2:$P$1000,MATCH(197,'🎓 Alumnas'!$R$2:$R$1000,0)),"")</f>
        <v/>
      </c>
    </row>
    <row r="201" customFormat="false" ht="14.25" hidden="false" customHeight="true" outlineLevel="0" collapsed="false">
      <c r="AC201" s="1" t="str">
        <f aca="false">IFERROR(INDEX('🎓 Alumnas'!$P$2:$P$1000,MATCH(198,'🎓 Alumnas'!$R$2:$R$1000,0)),"")</f>
        <v/>
      </c>
    </row>
    <row r="202" customFormat="false" ht="14.25" hidden="false" customHeight="true" outlineLevel="0" collapsed="false">
      <c r="AC202" s="1" t="str">
        <f aca="false">IFERROR(INDEX('🎓 Alumnas'!$P$2:$P$1000,MATCH(199,'🎓 Alumnas'!$R$2:$R$1000,0)),"")</f>
        <v/>
      </c>
    </row>
    <row r="203" customFormat="false" ht="14.25" hidden="false" customHeight="true" outlineLevel="0" collapsed="false">
      <c r="AC203" s="1" t="str">
        <f aca="false">IFERROR(INDEX('🎓 Alumnas'!$P$2:$P$1000,MATCH(200,'🎓 Alumnas'!$R$2:$R$1000,0)),"")</f>
        <v/>
      </c>
    </row>
    <row r="204" customFormat="false" ht="14.25" hidden="false" customHeight="true" outlineLevel="0" collapsed="false">
      <c r="AC204" s="1" t="str">
        <f aca="false">IFERROR(INDEX('🎓 Alumnas'!$P$2:$P$1000,MATCH(201,'🎓 Alumnas'!$R$2:$R$1000,0)),"")</f>
        <v/>
      </c>
    </row>
    <row r="205" customFormat="false" ht="14.25" hidden="false" customHeight="true" outlineLevel="0" collapsed="false">
      <c r="AC205" s="1" t="str">
        <f aca="false">IFERROR(INDEX('🎓 Alumnas'!$P$2:$P$1000,MATCH(202,'🎓 Alumnas'!$R$2:$R$1000,0)),"")</f>
        <v/>
      </c>
    </row>
    <row r="206" customFormat="false" ht="14.25" hidden="false" customHeight="true" outlineLevel="0" collapsed="false">
      <c r="AC206" s="1" t="str">
        <f aca="false">IFERROR(INDEX('🎓 Alumnas'!$P$2:$P$1000,MATCH(203,'🎓 Alumnas'!$R$2:$R$1000,0)),"")</f>
        <v/>
      </c>
    </row>
    <row r="207" customFormat="false" ht="14.25" hidden="false" customHeight="true" outlineLevel="0" collapsed="false">
      <c r="AC207" s="1" t="str">
        <f aca="false">IFERROR(INDEX('🎓 Alumnas'!$P$2:$P$1000,MATCH(204,'🎓 Alumnas'!$R$2:$R$1000,0)),"")</f>
        <v/>
      </c>
    </row>
    <row r="208" customFormat="false" ht="14.25" hidden="false" customHeight="true" outlineLevel="0" collapsed="false">
      <c r="AC208" s="1" t="str">
        <f aca="false">IFERROR(INDEX('🎓 Alumnas'!$P$2:$P$1000,MATCH(205,'🎓 Alumnas'!$R$2:$R$1000,0)),"")</f>
        <v/>
      </c>
    </row>
    <row r="209" customFormat="false" ht="14.25" hidden="false" customHeight="true" outlineLevel="0" collapsed="false">
      <c r="AC209" s="1" t="str">
        <f aca="false">IFERROR(INDEX('🎓 Alumnas'!$P$2:$P$1000,MATCH(206,'🎓 Alumnas'!$R$2:$R$1000,0)),"")</f>
        <v/>
      </c>
    </row>
    <row r="210" customFormat="false" ht="14.25" hidden="false" customHeight="true" outlineLevel="0" collapsed="false">
      <c r="AC210" s="1" t="str">
        <f aca="false">IFERROR(INDEX('🎓 Alumnas'!$P$2:$P$1000,MATCH(207,'🎓 Alumnas'!$R$2:$R$1000,0)),"")</f>
        <v/>
      </c>
    </row>
    <row r="211" customFormat="false" ht="14.25" hidden="false" customHeight="true" outlineLevel="0" collapsed="false">
      <c r="AC211" s="1" t="str">
        <f aca="false">IFERROR(INDEX('🎓 Alumnas'!$P$2:$P$1000,MATCH(208,'🎓 Alumnas'!$R$2:$R$1000,0)),"")</f>
        <v/>
      </c>
    </row>
    <row r="212" customFormat="false" ht="14.25" hidden="false" customHeight="true" outlineLevel="0" collapsed="false">
      <c r="AC212" s="1" t="str">
        <f aca="false">IFERROR(INDEX('🎓 Alumnas'!$P$2:$P$1000,MATCH(209,'🎓 Alumnas'!$R$2:$R$1000,0)),"")</f>
        <v/>
      </c>
    </row>
    <row r="213" customFormat="false" ht="14.25" hidden="false" customHeight="true" outlineLevel="0" collapsed="false">
      <c r="AC213" s="1" t="str">
        <f aca="false">IFERROR(INDEX('🎓 Alumnas'!$P$2:$P$1000,MATCH(210,'🎓 Alumnas'!$R$2:$R$1000,0)),"")</f>
        <v/>
      </c>
    </row>
    <row r="214" customFormat="false" ht="14.25" hidden="false" customHeight="true" outlineLevel="0" collapsed="false">
      <c r="AC214" s="1" t="str">
        <f aca="false">IFERROR(INDEX('🎓 Alumnas'!$P$2:$P$1000,MATCH(211,'🎓 Alumnas'!$R$2:$R$1000,0)),"")</f>
        <v/>
      </c>
    </row>
    <row r="215" customFormat="false" ht="14.25" hidden="false" customHeight="true" outlineLevel="0" collapsed="false">
      <c r="AC215" s="1" t="str">
        <f aca="false">IFERROR(INDEX('🎓 Alumnas'!$P$2:$P$1000,MATCH(212,'🎓 Alumnas'!$R$2:$R$1000,0)),"")</f>
        <v/>
      </c>
    </row>
    <row r="216" customFormat="false" ht="14.25" hidden="false" customHeight="true" outlineLevel="0" collapsed="false">
      <c r="AC216" s="1" t="str">
        <f aca="false">IFERROR(INDEX('🎓 Alumnas'!$P$2:$P$1000,MATCH(213,'🎓 Alumnas'!$R$2:$R$1000,0)),"")</f>
        <v/>
      </c>
    </row>
    <row r="217" customFormat="false" ht="14.25" hidden="false" customHeight="true" outlineLevel="0" collapsed="false">
      <c r="AC217" s="1" t="str">
        <f aca="false">IFERROR(INDEX('🎓 Alumnas'!$P$2:$P$1000,MATCH(214,'🎓 Alumnas'!$R$2:$R$1000,0)),"")</f>
        <v/>
      </c>
    </row>
    <row r="218" customFormat="false" ht="14.25" hidden="false" customHeight="true" outlineLevel="0" collapsed="false">
      <c r="AC218" s="1" t="str">
        <f aca="false">IFERROR(INDEX('🎓 Alumnas'!$P$2:$P$1000,MATCH(215,'🎓 Alumnas'!$R$2:$R$1000,0)),"")</f>
        <v/>
      </c>
    </row>
    <row r="219" customFormat="false" ht="14.25" hidden="false" customHeight="true" outlineLevel="0" collapsed="false">
      <c r="AC219" s="1" t="str">
        <f aca="false">IFERROR(INDEX('🎓 Alumnas'!$P$2:$P$1000,MATCH(216,'🎓 Alumnas'!$R$2:$R$1000,0)),"")</f>
        <v/>
      </c>
    </row>
    <row r="220" customFormat="false" ht="14.25" hidden="false" customHeight="true" outlineLevel="0" collapsed="false">
      <c r="AC220" s="1" t="str">
        <f aca="false">IFERROR(INDEX('🎓 Alumnas'!$P$2:$P$1000,MATCH(217,'🎓 Alumnas'!$R$2:$R$1000,0)),"")</f>
        <v/>
      </c>
    </row>
    <row r="221" customFormat="false" ht="14.25" hidden="false" customHeight="true" outlineLevel="0" collapsed="false">
      <c r="AC221" s="1" t="str">
        <f aca="false">IFERROR(INDEX('🎓 Alumnas'!$P$2:$P$1000,MATCH(218,'🎓 Alumnas'!$R$2:$R$1000,0)),"")</f>
        <v/>
      </c>
    </row>
    <row r="222" customFormat="false" ht="14.25" hidden="false" customHeight="true" outlineLevel="0" collapsed="false">
      <c r="AC222" s="1" t="str">
        <f aca="false">IFERROR(INDEX('🎓 Alumnas'!$P$2:$P$1000,MATCH(219,'🎓 Alumnas'!$R$2:$R$1000,0)),"")</f>
        <v/>
      </c>
    </row>
    <row r="223" customFormat="false" ht="14.25" hidden="false" customHeight="true" outlineLevel="0" collapsed="false">
      <c r="AC223" s="1" t="str">
        <f aca="false">IFERROR(INDEX('🎓 Alumnas'!$P$2:$P$1000,MATCH(220,'🎓 Alumnas'!$R$2:$R$1000,0)),"")</f>
        <v/>
      </c>
    </row>
    <row r="224" customFormat="false" ht="14.25" hidden="false" customHeight="true" outlineLevel="0" collapsed="false">
      <c r="AC224" s="1" t="str">
        <f aca="false">IFERROR(INDEX('🎓 Alumnas'!$P$2:$P$1000,MATCH(221,'🎓 Alumnas'!$R$2:$R$1000,0)),"")</f>
        <v/>
      </c>
    </row>
    <row r="225" customFormat="false" ht="14.25" hidden="false" customHeight="true" outlineLevel="0" collapsed="false">
      <c r="AC225" s="1" t="str">
        <f aca="false">IFERROR(INDEX('🎓 Alumnas'!$P$2:$P$1000,MATCH(222,'🎓 Alumnas'!$R$2:$R$1000,0)),"")</f>
        <v/>
      </c>
    </row>
    <row r="226" customFormat="false" ht="14.25" hidden="false" customHeight="true" outlineLevel="0" collapsed="false">
      <c r="AC226" s="1" t="str">
        <f aca="false">IFERROR(INDEX('🎓 Alumnas'!$P$2:$P$1000,MATCH(223,'🎓 Alumnas'!$R$2:$R$1000,0)),"")</f>
        <v/>
      </c>
    </row>
    <row r="227" customFormat="false" ht="14.25" hidden="false" customHeight="true" outlineLevel="0" collapsed="false">
      <c r="AC227" s="1" t="str">
        <f aca="false">IFERROR(INDEX('🎓 Alumnas'!$P$2:$P$1000,MATCH(224,'🎓 Alumnas'!$R$2:$R$1000,0)),"")</f>
        <v/>
      </c>
    </row>
    <row r="228" customFormat="false" ht="14.25" hidden="false" customHeight="true" outlineLevel="0" collapsed="false">
      <c r="AC228" s="1" t="str">
        <f aca="false">IFERROR(INDEX('🎓 Alumnas'!$P$2:$P$1000,MATCH(225,'🎓 Alumnas'!$R$2:$R$1000,0)),"")</f>
        <v/>
      </c>
    </row>
    <row r="229" customFormat="false" ht="14.25" hidden="false" customHeight="true" outlineLevel="0" collapsed="false">
      <c r="AC229" s="1" t="str">
        <f aca="false">IFERROR(INDEX('🎓 Alumnas'!$P$2:$P$1000,MATCH(226,'🎓 Alumnas'!$R$2:$R$1000,0)),"")</f>
        <v/>
      </c>
    </row>
    <row r="230" customFormat="false" ht="14.25" hidden="false" customHeight="true" outlineLevel="0" collapsed="false">
      <c r="AC230" s="1" t="str">
        <f aca="false">IFERROR(INDEX('🎓 Alumnas'!$P$2:$P$1000,MATCH(227,'🎓 Alumnas'!$R$2:$R$1000,0)),"")</f>
        <v/>
      </c>
    </row>
    <row r="231" customFormat="false" ht="14.25" hidden="false" customHeight="true" outlineLevel="0" collapsed="false">
      <c r="AC231" s="1" t="str">
        <f aca="false">IFERROR(INDEX('🎓 Alumnas'!$P$2:$P$1000,MATCH(228,'🎓 Alumnas'!$R$2:$R$1000,0)),"")</f>
        <v/>
      </c>
    </row>
    <row r="232" customFormat="false" ht="14.25" hidden="false" customHeight="true" outlineLevel="0" collapsed="false">
      <c r="AC232" s="1" t="str">
        <f aca="false">IFERROR(INDEX('🎓 Alumnas'!$P$2:$P$1000,MATCH(229,'🎓 Alumnas'!$R$2:$R$1000,0)),"")</f>
        <v/>
      </c>
    </row>
    <row r="233" customFormat="false" ht="14.25" hidden="false" customHeight="true" outlineLevel="0" collapsed="false">
      <c r="AC233" s="1" t="str">
        <f aca="false">IFERROR(INDEX('🎓 Alumnas'!$P$2:$P$1000,MATCH(230,'🎓 Alumnas'!$R$2:$R$1000,0)),"")</f>
        <v/>
      </c>
    </row>
    <row r="234" customFormat="false" ht="14.25" hidden="false" customHeight="true" outlineLevel="0" collapsed="false">
      <c r="AC234" s="1" t="str">
        <f aca="false">IFERROR(INDEX('🎓 Alumnas'!$P$2:$P$1000,MATCH(231,'🎓 Alumnas'!$R$2:$R$1000,0)),"")</f>
        <v/>
      </c>
    </row>
    <row r="235" customFormat="false" ht="14.25" hidden="false" customHeight="true" outlineLevel="0" collapsed="false">
      <c r="AC235" s="1" t="str">
        <f aca="false">IFERROR(INDEX('🎓 Alumnas'!$P$2:$P$1000,MATCH(232,'🎓 Alumnas'!$R$2:$R$1000,0)),"")</f>
        <v/>
      </c>
    </row>
    <row r="236" customFormat="false" ht="14.25" hidden="false" customHeight="true" outlineLevel="0" collapsed="false">
      <c r="AC236" s="1" t="str">
        <f aca="false">IFERROR(INDEX('🎓 Alumnas'!$P$2:$P$1000,MATCH(233,'🎓 Alumnas'!$R$2:$R$1000,0)),"")</f>
        <v/>
      </c>
    </row>
    <row r="237" customFormat="false" ht="14.25" hidden="false" customHeight="true" outlineLevel="0" collapsed="false">
      <c r="AC237" s="1" t="str">
        <f aca="false">IFERROR(INDEX('🎓 Alumnas'!$P$2:$P$1000,MATCH(234,'🎓 Alumnas'!$R$2:$R$1000,0)),"")</f>
        <v/>
      </c>
    </row>
    <row r="238" customFormat="false" ht="14.25" hidden="false" customHeight="true" outlineLevel="0" collapsed="false">
      <c r="AC238" s="1" t="str">
        <f aca="false">IFERROR(INDEX('🎓 Alumnas'!$P$2:$P$1000,MATCH(235,'🎓 Alumnas'!$R$2:$R$1000,0)),"")</f>
        <v/>
      </c>
    </row>
    <row r="239" customFormat="false" ht="14.25" hidden="false" customHeight="true" outlineLevel="0" collapsed="false">
      <c r="AC239" s="1" t="str">
        <f aca="false">IFERROR(INDEX('🎓 Alumnas'!$P$2:$P$1000,MATCH(236,'🎓 Alumnas'!$R$2:$R$1000,0)),"")</f>
        <v/>
      </c>
    </row>
    <row r="240" customFormat="false" ht="14.25" hidden="false" customHeight="true" outlineLevel="0" collapsed="false">
      <c r="AC240" s="1" t="str">
        <f aca="false">IFERROR(INDEX('🎓 Alumnas'!$P$2:$P$1000,MATCH(237,'🎓 Alumnas'!$R$2:$R$1000,0)),"")</f>
        <v/>
      </c>
    </row>
    <row r="241" customFormat="false" ht="14.25" hidden="false" customHeight="true" outlineLevel="0" collapsed="false">
      <c r="AC241" s="1" t="str">
        <f aca="false">IFERROR(INDEX('🎓 Alumnas'!$P$2:$P$1000,MATCH(238,'🎓 Alumnas'!$R$2:$R$1000,0)),"")</f>
        <v/>
      </c>
    </row>
    <row r="242" customFormat="false" ht="14.25" hidden="false" customHeight="true" outlineLevel="0" collapsed="false">
      <c r="AC242" s="1" t="str">
        <f aca="false">IFERROR(INDEX('🎓 Alumnas'!$P$2:$P$1000,MATCH(239,'🎓 Alumnas'!$R$2:$R$1000,0)),"")</f>
        <v/>
      </c>
    </row>
    <row r="243" customFormat="false" ht="14.25" hidden="false" customHeight="true" outlineLevel="0" collapsed="false">
      <c r="AC243" s="1" t="str">
        <f aca="false">IFERROR(INDEX('🎓 Alumnas'!$P$2:$P$1000,MATCH(240,'🎓 Alumnas'!$R$2:$R$1000,0)),"")</f>
        <v/>
      </c>
    </row>
    <row r="244" customFormat="false" ht="14.25" hidden="false" customHeight="true" outlineLevel="0" collapsed="false">
      <c r="AC244" s="1" t="str">
        <f aca="false">IFERROR(INDEX('🎓 Alumnas'!$P$2:$P$1000,MATCH(241,'🎓 Alumnas'!$R$2:$R$1000,0)),"")</f>
        <v/>
      </c>
    </row>
    <row r="245" customFormat="false" ht="14.25" hidden="false" customHeight="true" outlineLevel="0" collapsed="false">
      <c r="AC245" s="1" t="str">
        <f aca="false">IFERROR(INDEX('🎓 Alumnas'!$P$2:$P$1000,MATCH(242,'🎓 Alumnas'!$R$2:$R$1000,0)),"")</f>
        <v/>
      </c>
    </row>
    <row r="246" customFormat="false" ht="14.25" hidden="false" customHeight="true" outlineLevel="0" collapsed="false">
      <c r="AC246" s="1" t="str">
        <f aca="false">IFERROR(INDEX('🎓 Alumnas'!$P$2:$P$1000,MATCH(243,'🎓 Alumnas'!$R$2:$R$1000,0)),"")</f>
        <v/>
      </c>
    </row>
    <row r="247" customFormat="false" ht="14.25" hidden="false" customHeight="true" outlineLevel="0" collapsed="false">
      <c r="AC247" s="1" t="str">
        <f aca="false">IFERROR(INDEX('🎓 Alumnas'!$P$2:$P$1000,MATCH(244,'🎓 Alumnas'!$R$2:$R$1000,0)),"")</f>
        <v/>
      </c>
    </row>
    <row r="248" customFormat="false" ht="14.25" hidden="false" customHeight="true" outlineLevel="0" collapsed="false">
      <c r="AC248" s="1" t="str">
        <f aca="false">IFERROR(INDEX('🎓 Alumnas'!$P$2:$P$1000,MATCH(245,'🎓 Alumnas'!$R$2:$R$1000,0)),"")</f>
        <v/>
      </c>
    </row>
    <row r="249" customFormat="false" ht="14.25" hidden="false" customHeight="true" outlineLevel="0" collapsed="false">
      <c r="AC249" s="1" t="str">
        <f aca="false">IFERROR(INDEX('🎓 Alumnas'!$P$2:$P$1000,MATCH(246,'🎓 Alumnas'!$R$2:$R$1000,0)),"")</f>
        <v/>
      </c>
    </row>
    <row r="250" customFormat="false" ht="14.25" hidden="false" customHeight="true" outlineLevel="0" collapsed="false">
      <c r="AC250" s="1" t="str">
        <f aca="false">IFERROR(INDEX('🎓 Alumnas'!$P$2:$P$1000,MATCH(247,'🎓 Alumnas'!$R$2:$R$1000,0)),"")</f>
        <v/>
      </c>
    </row>
    <row r="251" customFormat="false" ht="14.25" hidden="false" customHeight="true" outlineLevel="0" collapsed="false">
      <c r="AC251" s="1" t="str">
        <f aca="false">IFERROR(INDEX('🎓 Alumnas'!$P$2:$P$1000,MATCH(248,'🎓 Alumnas'!$R$2:$R$1000,0)),"")</f>
        <v/>
      </c>
    </row>
    <row r="252" customFormat="false" ht="14.25" hidden="false" customHeight="true" outlineLevel="0" collapsed="false">
      <c r="AC252" s="1" t="str">
        <f aca="false">IFERROR(INDEX('🎓 Alumnas'!$P$2:$P$1000,MATCH(249,'🎓 Alumnas'!$R$2:$R$1000,0)),"")</f>
        <v/>
      </c>
    </row>
    <row r="253" customFormat="false" ht="14.25" hidden="false" customHeight="true" outlineLevel="0" collapsed="false">
      <c r="AC253" s="1" t="str">
        <f aca="false">IFERROR(INDEX('🎓 Alumnas'!$P$2:$P$1000,MATCH(250,'🎓 Alumnas'!$R$2:$R$1000,0)),"")</f>
        <v/>
      </c>
    </row>
    <row r="254" customFormat="false" ht="14.25" hidden="false" customHeight="true" outlineLevel="0" collapsed="false">
      <c r="AC254" s="1" t="str">
        <f aca="false">IFERROR(INDEX('🎓 Alumnas'!$P$2:$P$1000,MATCH(251,'🎓 Alumnas'!$R$2:$R$1000,0)),"")</f>
        <v/>
      </c>
    </row>
    <row r="255" customFormat="false" ht="14.25" hidden="false" customHeight="true" outlineLevel="0" collapsed="false">
      <c r="AC255" s="1" t="str">
        <f aca="false">IFERROR(INDEX('🎓 Alumnas'!$P$2:$P$1000,MATCH(252,'🎓 Alumnas'!$R$2:$R$1000,0)),"")</f>
        <v/>
      </c>
    </row>
    <row r="256" customFormat="false" ht="14.25" hidden="false" customHeight="true" outlineLevel="0" collapsed="false">
      <c r="AC256" s="1" t="str">
        <f aca="false">IFERROR(INDEX('🎓 Alumnas'!$P$2:$P$1000,MATCH(253,'🎓 Alumnas'!$R$2:$R$1000,0)),"")</f>
        <v/>
      </c>
    </row>
    <row r="257" customFormat="false" ht="14.25" hidden="false" customHeight="true" outlineLevel="0" collapsed="false">
      <c r="AC257" s="1" t="str">
        <f aca="false">IFERROR(INDEX('🎓 Alumnas'!$P$2:$P$1000,MATCH(254,'🎓 Alumnas'!$R$2:$R$1000,0)),"")</f>
        <v/>
      </c>
    </row>
    <row r="258" customFormat="false" ht="14.25" hidden="false" customHeight="true" outlineLevel="0" collapsed="false">
      <c r="AC258" s="1" t="str">
        <f aca="false">IFERROR(INDEX('🎓 Alumnas'!$P$2:$P$1000,MATCH(255,'🎓 Alumnas'!$R$2:$R$1000,0)),"")</f>
        <v/>
      </c>
    </row>
    <row r="259" customFormat="false" ht="14.25" hidden="false" customHeight="true" outlineLevel="0" collapsed="false">
      <c r="AC259" s="1" t="str">
        <f aca="false">IFERROR(INDEX('🎓 Alumnas'!$P$2:$P$1000,MATCH(256,'🎓 Alumnas'!$R$2:$R$1000,0)),"")</f>
        <v/>
      </c>
    </row>
    <row r="260" customFormat="false" ht="14.25" hidden="false" customHeight="true" outlineLevel="0" collapsed="false">
      <c r="AC260" s="1" t="str">
        <f aca="false">IFERROR(INDEX('🎓 Alumnas'!$P$2:$P$1000,MATCH(257,'🎓 Alumnas'!$R$2:$R$1000,0)),"")</f>
        <v/>
      </c>
    </row>
    <row r="261" customFormat="false" ht="14.25" hidden="false" customHeight="true" outlineLevel="0" collapsed="false">
      <c r="AC261" s="1" t="str">
        <f aca="false">IFERROR(INDEX('🎓 Alumnas'!$P$2:$P$1000,MATCH(258,'🎓 Alumnas'!$R$2:$R$1000,0)),"")</f>
        <v/>
      </c>
    </row>
    <row r="262" customFormat="false" ht="14.25" hidden="false" customHeight="true" outlineLevel="0" collapsed="false">
      <c r="AC262" s="1" t="str">
        <f aca="false">IFERROR(INDEX('🎓 Alumnas'!$P$2:$P$1000,MATCH(259,'🎓 Alumnas'!$R$2:$R$1000,0)),"")</f>
        <v/>
      </c>
    </row>
    <row r="263" customFormat="false" ht="14.25" hidden="false" customHeight="true" outlineLevel="0" collapsed="false">
      <c r="AC263" s="1" t="str">
        <f aca="false">IFERROR(INDEX('🎓 Alumnas'!$P$2:$P$1000,MATCH(260,'🎓 Alumnas'!$R$2:$R$1000,0)),"")</f>
        <v/>
      </c>
    </row>
    <row r="264" customFormat="false" ht="14.25" hidden="false" customHeight="true" outlineLevel="0" collapsed="false">
      <c r="AC264" s="1" t="str">
        <f aca="false">IFERROR(INDEX('🎓 Alumnas'!$P$2:$P$1000,MATCH(261,'🎓 Alumnas'!$R$2:$R$1000,0)),"")</f>
        <v/>
      </c>
    </row>
    <row r="265" customFormat="false" ht="14.25" hidden="false" customHeight="true" outlineLevel="0" collapsed="false">
      <c r="AC265" s="1" t="str">
        <f aca="false">IFERROR(INDEX('🎓 Alumnas'!$P$2:$P$1000,MATCH(262,'🎓 Alumnas'!$R$2:$R$1000,0)),"")</f>
        <v/>
      </c>
    </row>
    <row r="266" customFormat="false" ht="14.25" hidden="false" customHeight="true" outlineLevel="0" collapsed="false">
      <c r="AC266" s="1" t="str">
        <f aca="false">IFERROR(INDEX('🎓 Alumnas'!$P$2:$P$1000,MATCH(263,'🎓 Alumnas'!$R$2:$R$1000,0)),"")</f>
        <v/>
      </c>
    </row>
    <row r="267" customFormat="false" ht="14.25" hidden="false" customHeight="true" outlineLevel="0" collapsed="false">
      <c r="AC267" s="1" t="str">
        <f aca="false">IFERROR(INDEX('🎓 Alumnas'!$P$2:$P$1000,MATCH(264,'🎓 Alumnas'!$R$2:$R$1000,0)),"")</f>
        <v/>
      </c>
    </row>
    <row r="268" customFormat="false" ht="14.25" hidden="false" customHeight="true" outlineLevel="0" collapsed="false">
      <c r="AC268" s="1" t="str">
        <f aca="false">IFERROR(INDEX('🎓 Alumnas'!$P$2:$P$1000,MATCH(265,'🎓 Alumnas'!$R$2:$R$1000,0)),"")</f>
        <v/>
      </c>
    </row>
    <row r="269" customFormat="false" ht="14.25" hidden="false" customHeight="true" outlineLevel="0" collapsed="false">
      <c r="AC269" s="1" t="str">
        <f aca="false">IFERROR(INDEX('🎓 Alumnas'!$P$2:$P$1000,MATCH(266,'🎓 Alumnas'!$R$2:$R$1000,0)),"")</f>
        <v/>
      </c>
    </row>
    <row r="270" customFormat="false" ht="14.25" hidden="false" customHeight="true" outlineLevel="0" collapsed="false">
      <c r="AC270" s="1" t="str">
        <f aca="false">IFERROR(INDEX('🎓 Alumnas'!$P$2:$P$1000,MATCH(267,'🎓 Alumnas'!$R$2:$R$1000,0)),"")</f>
        <v/>
      </c>
    </row>
    <row r="271" customFormat="false" ht="14.25" hidden="false" customHeight="true" outlineLevel="0" collapsed="false">
      <c r="AC271" s="1" t="str">
        <f aca="false">IFERROR(INDEX('🎓 Alumnas'!$P$2:$P$1000,MATCH(268,'🎓 Alumnas'!$R$2:$R$1000,0)),"")</f>
        <v/>
      </c>
    </row>
    <row r="272" customFormat="false" ht="14.25" hidden="false" customHeight="true" outlineLevel="0" collapsed="false">
      <c r="AC272" s="1" t="str">
        <f aca="false">IFERROR(INDEX('🎓 Alumnas'!$P$2:$P$1000,MATCH(269,'🎓 Alumnas'!$R$2:$R$1000,0)),"")</f>
        <v/>
      </c>
    </row>
    <row r="273" customFormat="false" ht="14.25" hidden="false" customHeight="true" outlineLevel="0" collapsed="false">
      <c r="AC273" s="1" t="str">
        <f aca="false">IFERROR(INDEX('🎓 Alumnas'!$P$2:$P$1000,MATCH(270,'🎓 Alumnas'!$R$2:$R$1000,0)),"")</f>
        <v/>
      </c>
    </row>
    <row r="274" customFormat="false" ht="14.25" hidden="false" customHeight="true" outlineLevel="0" collapsed="false">
      <c r="AC274" s="1" t="str">
        <f aca="false">IFERROR(INDEX('🎓 Alumnas'!$P$2:$P$1000,MATCH(271,'🎓 Alumnas'!$R$2:$R$1000,0)),"")</f>
        <v/>
      </c>
    </row>
    <row r="275" customFormat="false" ht="14.25" hidden="false" customHeight="true" outlineLevel="0" collapsed="false">
      <c r="AC275" s="1" t="str">
        <f aca="false">IFERROR(INDEX('🎓 Alumnas'!$P$2:$P$1000,MATCH(272,'🎓 Alumnas'!$R$2:$R$1000,0)),"")</f>
        <v/>
      </c>
    </row>
    <row r="276" customFormat="false" ht="14.25" hidden="false" customHeight="true" outlineLevel="0" collapsed="false">
      <c r="AC276" s="1" t="str">
        <f aca="false">IFERROR(INDEX('🎓 Alumnas'!$P$2:$P$1000,MATCH(273,'🎓 Alumnas'!$R$2:$R$1000,0)),"")</f>
        <v/>
      </c>
    </row>
    <row r="277" customFormat="false" ht="14.25" hidden="false" customHeight="true" outlineLevel="0" collapsed="false">
      <c r="AC277" s="1" t="str">
        <f aca="false">IFERROR(INDEX('🎓 Alumnas'!$P$2:$P$1000,MATCH(274,'🎓 Alumnas'!$R$2:$R$1000,0)),"")</f>
        <v/>
      </c>
    </row>
    <row r="278" customFormat="false" ht="14.25" hidden="false" customHeight="true" outlineLevel="0" collapsed="false">
      <c r="AC278" s="1" t="str">
        <f aca="false">IFERROR(INDEX('🎓 Alumnas'!$P$2:$P$1000,MATCH(275,'🎓 Alumnas'!$R$2:$R$1000,0)),"")</f>
        <v/>
      </c>
    </row>
    <row r="279" customFormat="false" ht="14.25" hidden="false" customHeight="true" outlineLevel="0" collapsed="false">
      <c r="AC279" s="1" t="str">
        <f aca="false">IFERROR(INDEX('🎓 Alumnas'!$P$2:$P$1000,MATCH(276,'🎓 Alumnas'!$R$2:$R$1000,0)),"")</f>
        <v/>
      </c>
    </row>
    <row r="280" customFormat="false" ht="14.25" hidden="false" customHeight="true" outlineLevel="0" collapsed="false">
      <c r="AC280" s="1" t="str">
        <f aca="false">IFERROR(INDEX('🎓 Alumnas'!$P$2:$P$1000,MATCH(277,'🎓 Alumnas'!$R$2:$R$1000,0)),"")</f>
        <v/>
      </c>
    </row>
    <row r="281" customFormat="false" ht="14.25" hidden="false" customHeight="true" outlineLevel="0" collapsed="false">
      <c r="AC281" s="1" t="str">
        <f aca="false">IFERROR(INDEX('🎓 Alumnas'!$P$2:$P$1000,MATCH(278,'🎓 Alumnas'!$R$2:$R$1000,0)),"")</f>
        <v/>
      </c>
    </row>
    <row r="282" customFormat="false" ht="14.25" hidden="false" customHeight="true" outlineLevel="0" collapsed="false">
      <c r="AC282" s="1" t="str">
        <f aca="false">IFERROR(INDEX('🎓 Alumnas'!$P$2:$P$1000,MATCH(279,'🎓 Alumnas'!$R$2:$R$1000,0)),"")</f>
        <v/>
      </c>
    </row>
    <row r="283" customFormat="false" ht="14.25" hidden="false" customHeight="true" outlineLevel="0" collapsed="false">
      <c r="AC283" s="1" t="str">
        <f aca="false">IFERROR(INDEX('🎓 Alumnas'!$P$2:$P$1000,MATCH(280,'🎓 Alumnas'!$R$2:$R$1000,0)),"")</f>
        <v/>
      </c>
    </row>
    <row r="284" customFormat="false" ht="14.25" hidden="false" customHeight="true" outlineLevel="0" collapsed="false">
      <c r="AC284" s="1" t="str">
        <f aca="false">IFERROR(INDEX('🎓 Alumnas'!$P$2:$P$1000,MATCH(281,'🎓 Alumnas'!$R$2:$R$1000,0)),"")</f>
        <v/>
      </c>
    </row>
    <row r="285" customFormat="false" ht="14.25" hidden="false" customHeight="true" outlineLevel="0" collapsed="false">
      <c r="AC285" s="1" t="str">
        <f aca="false">IFERROR(INDEX('🎓 Alumnas'!$P$2:$P$1000,MATCH(282,'🎓 Alumnas'!$R$2:$R$1000,0)),"")</f>
        <v/>
      </c>
    </row>
    <row r="286" customFormat="false" ht="14.25" hidden="false" customHeight="true" outlineLevel="0" collapsed="false">
      <c r="AC286" s="1" t="str">
        <f aca="false">IFERROR(INDEX('🎓 Alumnas'!$P$2:$P$1000,MATCH(283,'🎓 Alumnas'!$R$2:$R$1000,0)),"")</f>
        <v/>
      </c>
    </row>
    <row r="287" customFormat="false" ht="14.25" hidden="false" customHeight="true" outlineLevel="0" collapsed="false">
      <c r="AC287" s="1" t="str">
        <f aca="false">IFERROR(INDEX('🎓 Alumnas'!$P$2:$P$1000,MATCH(284,'🎓 Alumnas'!$R$2:$R$1000,0)),"")</f>
        <v/>
      </c>
    </row>
    <row r="288" customFormat="false" ht="14.25" hidden="false" customHeight="true" outlineLevel="0" collapsed="false">
      <c r="AC288" s="1" t="str">
        <f aca="false">IFERROR(INDEX('🎓 Alumnas'!$P$2:$P$1000,MATCH(285,'🎓 Alumnas'!$R$2:$R$1000,0)),"")</f>
        <v/>
      </c>
    </row>
    <row r="289" customFormat="false" ht="14.25" hidden="false" customHeight="true" outlineLevel="0" collapsed="false">
      <c r="AC289" s="1" t="str">
        <f aca="false">IFERROR(INDEX('🎓 Alumnas'!$P$2:$P$1000,MATCH(286,'🎓 Alumnas'!$R$2:$R$1000,0)),"")</f>
        <v/>
      </c>
    </row>
    <row r="290" customFormat="false" ht="14.25" hidden="false" customHeight="true" outlineLevel="0" collapsed="false">
      <c r="AC290" s="1" t="str">
        <f aca="false">IFERROR(INDEX('🎓 Alumnas'!$P$2:$P$1000,MATCH(287,'🎓 Alumnas'!$R$2:$R$1000,0)),"")</f>
        <v/>
      </c>
    </row>
    <row r="291" customFormat="false" ht="14.25" hidden="false" customHeight="true" outlineLevel="0" collapsed="false">
      <c r="AC291" s="1" t="str">
        <f aca="false">IFERROR(INDEX('🎓 Alumnas'!$P$2:$P$1000,MATCH(288,'🎓 Alumnas'!$R$2:$R$1000,0)),"")</f>
        <v/>
      </c>
    </row>
    <row r="292" customFormat="false" ht="14.25" hidden="false" customHeight="true" outlineLevel="0" collapsed="false">
      <c r="AC292" s="1" t="str">
        <f aca="false">IFERROR(INDEX('🎓 Alumnas'!$P$2:$P$1000,MATCH(289,'🎓 Alumnas'!$R$2:$R$1000,0)),"")</f>
        <v/>
      </c>
    </row>
    <row r="293" customFormat="false" ht="14.25" hidden="false" customHeight="true" outlineLevel="0" collapsed="false">
      <c r="AC293" s="1" t="str">
        <f aca="false">IFERROR(INDEX('🎓 Alumnas'!$P$2:$P$1000,MATCH(290,'🎓 Alumnas'!$R$2:$R$1000,0)),"")</f>
        <v/>
      </c>
    </row>
    <row r="294" customFormat="false" ht="14.25" hidden="false" customHeight="true" outlineLevel="0" collapsed="false">
      <c r="AC294" s="1" t="str">
        <f aca="false">IFERROR(INDEX('🎓 Alumnas'!$P$2:$P$1000,MATCH(291,'🎓 Alumnas'!$R$2:$R$1000,0)),"")</f>
        <v/>
      </c>
    </row>
    <row r="295" customFormat="false" ht="14.25" hidden="false" customHeight="true" outlineLevel="0" collapsed="false">
      <c r="AC295" s="1" t="str">
        <f aca="false">IFERROR(INDEX('🎓 Alumnas'!$P$2:$P$1000,MATCH(292,'🎓 Alumnas'!$R$2:$R$1000,0)),"")</f>
        <v/>
      </c>
    </row>
    <row r="296" customFormat="false" ht="14.25" hidden="false" customHeight="true" outlineLevel="0" collapsed="false">
      <c r="AC296" s="1" t="str">
        <f aca="false">IFERROR(INDEX('🎓 Alumnas'!$P$2:$P$1000,MATCH(293,'🎓 Alumnas'!$R$2:$R$1000,0)),"")</f>
        <v/>
      </c>
    </row>
    <row r="297" customFormat="false" ht="14.25" hidden="false" customHeight="true" outlineLevel="0" collapsed="false">
      <c r="AC297" s="1" t="str">
        <f aca="false">IFERROR(INDEX('🎓 Alumnas'!$P$2:$P$1000,MATCH(294,'🎓 Alumnas'!$R$2:$R$1000,0)),"")</f>
        <v/>
      </c>
    </row>
    <row r="298" customFormat="false" ht="14.25" hidden="false" customHeight="true" outlineLevel="0" collapsed="false">
      <c r="AC298" s="1" t="str">
        <f aca="false">IFERROR(INDEX('🎓 Alumnas'!$P$2:$P$1000,MATCH(295,'🎓 Alumnas'!$R$2:$R$1000,0)),"")</f>
        <v/>
      </c>
    </row>
    <row r="299" customFormat="false" ht="14.25" hidden="false" customHeight="true" outlineLevel="0" collapsed="false">
      <c r="AC299" s="1" t="str">
        <f aca="false">IFERROR(INDEX('🎓 Alumnas'!$P$2:$P$1000,MATCH(296,'🎓 Alumnas'!$R$2:$R$1000,0)),"")</f>
        <v/>
      </c>
    </row>
    <row r="300" customFormat="false" ht="14.25" hidden="false" customHeight="true" outlineLevel="0" collapsed="false">
      <c r="AC300" s="1" t="str">
        <f aca="false">IFERROR(INDEX('🎓 Alumnas'!$P$2:$P$1000,MATCH(297,'🎓 Alumnas'!$R$2:$R$1000,0)),"")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2026-09-09T20:07:56Z</dcterms:created>
  <dc:creator>openpyxl</dc:creator>
  <dc:description/>
  <dc:language>en-US</dc:language>
  <cp:lastModifiedBy>iavar3</cp:lastModifiedBy>
  <dcterms:modified xsi:type="dcterms:W3CDTF">2026-10-03T17:38:52Z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