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enicanaoff365-my.sharepoint.com/personal/iavar3_cenicanaoff365_onmicrosoft_com/Documents/Escritorio/Academia/"/>
    </mc:Choice>
  </mc:AlternateContent>
  <xr:revisionPtr revIDLastSave="9" documentId="11_26E589CD055FEFDEDED4F2C2ED5A8577794A080A" xr6:coauthVersionLast="47" xr6:coauthVersionMax="47" xr10:uidLastSave="{98BF595B-9B7B-400C-B3E0-A9E526436242}"/>
  <bookViews>
    <workbookView xWindow="-110" yWindow="-110" windowWidth="19420" windowHeight="10300" tabRatio="500" firstSheet="3" activeTab="3" xr2:uid="{00000000-000D-0000-FFFF-FFFF00000000}"/>
  </bookViews>
  <sheets>
    <sheet name="📊 Dashboard Control" sheetId="1" r:id="rId1"/>
    <sheet name="📈 Resumen Dinámico" sheetId="2" r:id="rId2"/>
    <sheet name="🤸 Ingresos Pole" sheetId="3" r:id="rId3"/>
    <sheet name="📑 Resumen Contable" sheetId="4" r:id="rId4"/>
    <sheet name="💸 Gastos" sheetId="5" r:id="rId5"/>
    <sheet name="Marcancia" sheetId="6" r:id="rId6"/>
    <sheet name="🏢 Activos Fijos" sheetId="7" r:id="rId7"/>
    <sheet name="🛒 Ventas" sheetId="8" r:id="rId8"/>
    <sheet name="⚙️ Configuración" sheetId="9" r:id="rId9"/>
  </sheets>
  <definedNames>
    <definedName name="_xlnm._FilterDatabase" localSheetId="5" hidden="1">Marcancia!$A$1:$L$48</definedName>
    <definedName name="_xlnm._FilterDatabase" localSheetId="6" hidden="1">'🏢 Activos Fijos'!$A$1:$J$47</definedName>
    <definedName name="_xlnm._FilterDatabase" localSheetId="4" hidden="1">'💸 Gastos'!$A$1:$I$66</definedName>
    <definedName name="_xlnm._FilterDatabase" localSheetId="7" hidden="1">'🛒 Ventas'!$A$1:$K$41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41" i="8" l="1"/>
  <c r="I41" i="8" s="1"/>
  <c r="E41" i="8"/>
  <c r="D41" i="8"/>
  <c r="A41" i="8"/>
  <c r="H40" i="8"/>
  <c r="I40" i="8" s="1"/>
  <c r="E40" i="8"/>
  <c r="D40" i="8"/>
  <c r="A40" i="8"/>
  <c r="H39" i="8"/>
  <c r="I39" i="8" s="1"/>
  <c r="E39" i="8"/>
  <c r="D39" i="8"/>
  <c r="A39" i="8"/>
  <c r="H38" i="8"/>
  <c r="I38" i="8" s="1"/>
  <c r="E38" i="8"/>
  <c r="D38" i="8"/>
  <c r="A38" i="8"/>
  <c r="H37" i="8"/>
  <c r="I37" i="8" s="1"/>
  <c r="E37" i="8"/>
  <c r="D37" i="8"/>
  <c r="A37" i="8"/>
  <c r="H36" i="8"/>
  <c r="I36" i="8" s="1"/>
  <c r="E36" i="8"/>
  <c r="D36" i="8"/>
  <c r="A36" i="8"/>
  <c r="H35" i="8"/>
  <c r="I35" i="8" s="1"/>
  <c r="E35" i="8"/>
  <c r="D35" i="8"/>
  <c r="A35" i="8"/>
  <c r="H34" i="8"/>
  <c r="I34" i="8" s="1"/>
  <c r="E34" i="8"/>
  <c r="D34" i="8"/>
  <c r="A34" i="8"/>
  <c r="H33" i="8"/>
  <c r="I33" i="8" s="1"/>
  <c r="E33" i="8"/>
  <c r="D33" i="8"/>
  <c r="A33" i="8"/>
  <c r="H32" i="8"/>
  <c r="I32" i="8" s="1"/>
  <c r="E32" i="8"/>
  <c r="D32" i="8"/>
  <c r="A32" i="8"/>
  <c r="H31" i="8"/>
  <c r="I31" i="8" s="1"/>
  <c r="E31" i="8"/>
  <c r="D31" i="8"/>
  <c r="A31" i="8"/>
  <c r="H30" i="8"/>
  <c r="I30" i="8" s="1"/>
  <c r="E30" i="8"/>
  <c r="D30" i="8"/>
  <c r="A30" i="8"/>
  <c r="H29" i="8"/>
  <c r="I29" i="8" s="1"/>
  <c r="E29" i="8"/>
  <c r="D29" i="8"/>
  <c r="A29" i="8"/>
  <c r="H28" i="8"/>
  <c r="I28" i="8" s="1"/>
  <c r="E28" i="8"/>
  <c r="D28" i="8"/>
  <c r="A28" i="8"/>
  <c r="H27" i="8"/>
  <c r="I27" i="8" s="1"/>
  <c r="E27" i="8"/>
  <c r="D27" i="8"/>
  <c r="A27" i="8"/>
  <c r="H26" i="8"/>
  <c r="I26" i="8" s="1"/>
  <c r="E26" i="8"/>
  <c r="D26" i="8"/>
  <c r="A26" i="8"/>
  <c r="H25" i="8"/>
  <c r="I25" i="8" s="1"/>
  <c r="E25" i="8"/>
  <c r="D25" i="8"/>
  <c r="A25" i="8"/>
  <c r="H24" i="8"/>
  <c r="I24" i="8" s="1"/>
  <c r="E24" i="8"/>
  <c r="D24" i="8"/>
  <c r="A24" i="8"/>
  <c r="H23" i="8"/>
  <c r="I23" i="8" s="1"/>
  <c r="E23" i="8"/>
  <c r="D23" i="8"/>
  <c r="A23" i="8"/>
  <c r="H22" i="8"/>
  <c r="I22" i="8" s="1"/>
  <c r="E22" i="8"/>
  <c r="D22" i="8"/>
  <c r="A22" i="8"/>
  <c r="H21" i="8"/>
  <c r="I21" i="8" s="1"/>
  <c r="E21" i="8"/>
  <c r="D21" i="8"/>
  <c r="A21" i="8"/>
  <c r="H20" i="8"/>
  <c r="I20" i="8" s="1"/>
  <c r="E20" i="8"/>
  <c r="D20" i="8"/>
  <c r="A20" i="8"/>
  <c r="H19" i="8"/>
  <c r="I19" i="8" s="1"/>
  <c r="E19" i="8"/>
  <c r="D19" i="8"/>
  <c r="A19" i="8"/>
  <c r="H18" i="8"/>
  <c r="I18" i="8" s="1"/>
  <c r="E18" i="8"/>
  <c r="D18" i="8"/>
  <c r="A18" i="8"/>
  <c r="H17" i="8"/>
  <c r="I17" i="8" s="1"/>
  <c r="E17" i="8"/>
  <c r="D17" i="8"/>
  <c r="A17" i="8"/>
  <c r="H16" i="8"/>
  <c r="I16" i="8" s="1"/>
  <c r="E16" i="8"/>
  <c r="D16" i="8"/>
  <c r="A16" i="8"/>
  <c r="H15" i="8"/>
  <c r="I15" i="8" s="1"/>
  <c r="E15" i="8"/>
  <c r="D15" i="8"/>
  <c r="A15" i="8"/>
  <c r="H14" i="8"/>
  <c r="I14" i="8" s="1"/>
  <c r="E14" i="8"/>
  <c r="D14" i="8"/>
  <c r="A14" i="8"/>
  <c r="H13" i="8"/>
  <c r="I13" i="8" s="1"/>
  <c r="E13" i="8"/>
  <c r="D13" i="8"/>
  <c r="A13" i="8"/>
  <c r="H12" i="8"/>
  <c r="I12" i="8" s="1"/>
  <c r="E12" i="8"/>
  <c r="D12" i="8"/>
  <c r="A12" i="8"/>
  <c r="H11" i="8"/>
  <c r="I11" i="8" s="1"/>
  <c r="E11" i="8"/>
  <c r="D11" i="8"/>
  <c r="A11" i="8"/>
  <c r="H10" i="8"/>
  <c r="I10" i="8" s="1"/>
  <c r="E10" i="8"/>
  <c r="D10" i="8"/>
  <c r="A10" i="8"/>
  <c r="I9" i="8"/>
  <c r="H9" i="8"/>
  <c r="E9" i="8"/>
  <c r="D9" i="8"/>
  <c r="A9" i="8"/>
  <c r="H8" i="8"/>
  <c r="I8" i="8" s="1"/>
  <c r="E8" i="8"/>
  <c r="D8" i="8"/>
  <c r="A8" i="8"/>
  <c r="H7" i="8"/>
  <c r="I7" i="8" s="1"/>
  <c r="E7" i="8"/>
  <c r="D7" i="8"/>
  <c r="A7" i="8"/>
  <c r="H6" i="8"/>
  <c r="I6" i="8" s="1"/>
  <c r="E6" i="8"/>
  <c r="D6" i="8"/>
  <c r="A6" i="8"/>
  <c r="I5" i="8"/>
  <c r="H5" i="8"/>
  <c r="E5" i="8"/>
  <c r="D5" i="8"/>
  <c r="A5" i="8"/>
  <c r="H4" i="8"/>
  <c r="I4" i="8" s="1"/>
  <c r="E4" i="8"/>
  <c r="D4" i="8"/>
  <c r="A4" i="8"/>
  <c r="H3" i="8"/>
  <c r="I3" i="8" s="1"/>
  <c r="E3" i="8"/>
  <c r="D3" i="8"/>
  <c r="A3" i="8"/>
  <c r="H2" i="8"/>
  <c r="I2" i="8" s="1"/>
  <c r="E2" i="8"/>
  <c r="D2" i="8"/>
  <c r="A2" i="8"/>
  <c r="H48" i="7"/>
  <c r="E48" i="7"/>
  <c r="H47"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6" i="7"/>
  <c r="H5" i="7"/>
  <c r="H4" i="7"/>
  <c r="H3" i="7"/>
  <c r="H2" i="7"/>
  <c r="J51" i="6"/>
  <c r="I51" i="6"/>
  <c r="E48" i="6"/>
  <c r="E47" i="6"/>
  <c r="J46" i="6"/>
  <c r="E46" i="6"/>
  <c r="J45" i="6"/>
  <c r="E45" i="6"/>
  <c r="K44" i="6"/>
  <c r="J44" i="6"/>
  <c r="E44" i="6"/>
  <c r="K43" i="6"/>
  <c r="J43" i="6"/>
  <c r="E43" i="6"/>
  <c r="K42" i="6"/>
  <c r="J42" i="6"/>
  <c r="E42" i="6"/>
  <c r="K41" i="6"/>
  <c r="J41" i="6"/>
  <c r="E41" i="6"/>
  <c r="K40" i="6"/>
  <c r="J40" i="6"/>
  <c r="E40" i="6"/>
  <c r="K39" i="6"/>
  <c r="J39" i="6"/>
  <c r="E39" i="6"/>
  <c r="K38" i="6"/>
  <c r="J38" i="6"/>
  <c r="E38" i="6"/>
  <c r="K37" i="6"/>
  <c r="J37" i="6"/>
  <c r="E37" i="6"/>
  <c r="K36" i="6"/>
  <c r="J36" i="6"/>
  <c r="E36" i="6"/>
  <c r="K35" i="6"/>
  <c r="J35" i="6"/>
  <c r="E35" i="6"/>
  <c r="K34" i="6"/>
  <c r="J34" i="6"/>
  <c r="E34" i="6"/>
  <c r="K33" i="6"/>
  <c r="J33" i="6"/>
  <c r="E33" i="6"/>
  <c r="K32" i="6"/>
  <c r="J32" i="6"/>
  <c r="E32" i="6"/>
  <c r="K31" i="6"/>
  <c r="J31" i="6"/>
  <c r="E31" i="6"/>
  <c r="K30" i="6"/>
  <c r="J30" i="6"/>
  <c r="E30" i="6"/>
  <c r="K29" i="6"/>
  <c r="J29" i="6"/>
  <c r="E29" i="6"/>
  <c r="K28" i="6"/>
  <c r="J28" i="6"/>
  <c r="E28" i="6"/>
  <c r="K27" i="6"/>
  <c r="J27" i="6"/>
  <c r="E27" i="6"/>
  <c r="K26" i="6"/>
  <c r="J26" i="6"/>
  <c r="E26" i="6"/>
  <c r="K25" i="6"/>
  <c r="J25" i="6"/>
  <c r="E25" i="6"/>
  <c r="K24" i="6"/>
  <c r="J24" i="6"/>
  <c r="E24" i="6"/>
  <c r="K23" i="6"/>
  <c r="J23" i="6"/>
  <c r="E23" i="6"/>
  <c r="K22" i="6"/>
  <c r="J22" i="6"/>
  <c r="E22" i="6"/>
  <c r="J21" i="6"/>
  <c r="E21" i="6"/>
  <c r="K20" i="6"/>
  <c r="J20" i="6"/>
  <c r="E20" i="6"/>
  <c r="K19" i="6"/>
  <c r="J19" i="6"/>
  <c r="E19" i="6"/>
  <c r="J18" i="6"/>
  <c r="E18" i="6"/>
  <c r="K17" i="6"/>
  <c r="J17" i="6"/>
  <c r="E17" i="6"/>
  <c r="K16" i="6"/>
  <c r="J16" i="6"/>
  <c r="E16" i="6"/>
  <c r="K15" i="6"/>
  <c r="J15" i="6"/>
  <c r="E15" i="6"/>
  <c r="K14" i="6"/>
  <c r="J14" i="6"/>
  <c r="E14" i="6"/>
  <c r="K13" i="6"/>
  <c r="J13" i="6"/>
  <c r="E13" i="6"/>
  <c r="K12" i="6"/>
  <c r="J12" i="6"/>
  <c r="E12" i="6"/>
  <c r="K11" i="6"/>
  <c r="J11" i="6"/>
  <c r="E11" i="6"/>
  <c r="K10" i="6"/>
  <c r="J10" i="6"/>
  <c r="E10" i="6"/>
  <c r="K9" i="6"/>
  <c r="J9" i="6"/>
  <c r="E9" i="6"/>
  <c r="K8" i="6"/>
  <c r="J8" i="6"/>
  <c r="E8" i="6"/>
  <c r="K7" i="6"/>
  <c r="J7" i="6"/>
  <c r="E7" i="6"/>
  <c r="K6" i="6"/>
  <c r="J6" i="6"/>
  <c r="E6" i="6"/>
  <c r="K5" i="6"/>
  <c r="J5" i="6"/>
  <c r="E5" i="6"/>
  <c r="K4" i="6"/>
  <c r="J4" i="6"/>
  <c r="E4" i="6"/>
  <c r="K3" i="6"/>
  <c r="J3" i="6"/>
  <c r="E3" i="6"/>
  <c r="K2" i="6"/>
  <c r="J2" i="6"/>
  <c r="E2" i="6"/>
  <c r="E66" i="5"/>
  <c r="B17" i="4"/>
  <c r="B16" i="4"/>
  <c r="B15" i="4"/>
  <c r="B14" i="4"/>
  <c r="B9" i="4"/>
  <c r="C25" i="2"/>
  <c r="B25" i="2"/>
  <c r="C24" i="2"/>
  <c r="B24" i="2"/>
  <c r="C23" i="2"/>
  <c r="B23" i="2"/>
  <c r="C22" i="2"/>
  <c r="B22" i="2"/>
  <c r="C21" i="2"/>
  <c r="B21" i="2"/>
  <c r="C20" i="2"/>
  <c r="C26" i="2" s="1"/>
  <c r="B20" i="2"/>
  <c r="B26" i="2" s="1"/>
  <c r="C15" i="2"/>
  <c r="B15" i="2"/>
  <c r="C14" i="2"/>
  <c r="B14" i="2"/>
  <c r="C13" i="2"/>
  <c r="B13" i="2"/>
  <c r="C12" i="2"/>
  <c r="B12" i="2"/>
  <c r="C11" i="2"/>
  <c r="B11" i="2"/>
  <c r="H10" i="2"/>
  <c r="G10" i="2"/>
  <c r="C10" i="2"/>
  <c r="B10" i="2"/>
  <c r="H9" i="2"/>
  <c r="G9" i="2"/>
  <c r="C9" i="2"/>
  <c r="B9" i="2"/>
  <c r="H8" i="2"/>
  <c r="G8" i="2"/>
  <c r="C8" i="2"/>
  <c r="B8" i="2"/>
  <c r="H7" i="2"/>
  <c r="G7" i="2"/>
  <c r="C7" i="2"/>
  <c r="B7" i="2"/>
  <c r="H6" i="2"/>
  <c r="G6" i="2"/>
  <c r="G11" i="2" s="1"/>
  <c r="C6" i="2"/>
  <c r="C16" i="2" s="1"/>
  <c r="B6" i="2"/>
  <c r="B16" i="2" s="1"/>
  <c r="G26" i="1"/>
  <c r="F26" i="1"/>
  <c r="C26" i="1"/>
  <c r="B26" i="1"/>
  <c r="B27" i="1" s="1"/>
  <c r="G25" i="1"/>
  <c r="F25" i="1"/>
  <c r="F27" i="1" s="1"/>
  <c r="C25" i="1"/>
  <c r="C27" i="1" s="1"/>
  <c r="B25" i="1"/>
  <c r="G24" i="1"/>
  <c r="F24" i="1"/>
  <c r="C24" i="1"/>
  <c r="B24" i="1"/>
  <c r="G23" i="1"/>
  <c r="F23" i="1"/>
  <c r="C23" i="1"/>
  <c r="B23" i="1"/>
  <c r="F22" i="1"/>
  <c r="C22" i="1"/>
  <c r="B22" i="1"/>
  <c r="I15" i="1"/>
  <c r="G15" i="1"/>
  <c r="A15" i="1"/>
  <c r="C15" i="1" s="1"/>
  <c r="C10" i="1"/>
  <c r="C9" i="1"/>
  <c r="C8" i="1"/>
  <c r="C7" i="1"/>
  <c r="C6" i="1"/>
  <c r="C5" i="1"/>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B5" i="4" s="1"/>
  <c r="G183" i="3"/>
  <c r="G182" i="3"/>
  <c r="G181" i="3"/>
  <c r="G180" i="3"/>
  <c r="G179" i="3"/>
  <c r="G178" i="3"/>
  <c r="G177" i="3"/>
  <c r="G176" i="3"/>
  <c r="G175" i="3"/>
  <c r="G174" i="3"/>
  <c r="G173" i="3"/>
  <c r="G172" i="3"/>
  <c r="G171" i="3"/>
  <c r="G170" i="3"/>
  <c r="G169" i="3"/>
  <c r="G168" i="3"/>
  <c r="G167" i="3"/>
  <c r="G166"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5"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7"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4" i="3"/>
  <c r="G53" i="3"/>
  <c r="G52" i="3"/>
  <c r="G51"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3" i="3"/>
  <c r="G12" i="3"/>
  <c r="G11" i="3"/>
  <c r="G10" i="3"/>
  <c r="G9" i="3"/>
  <c r="G8" i="3"/>
  <c r="G7" i="3"/>
  <c r="G6" i="3"/>
  <c r="G5" i="3"/>
  <c r="G4" i="3"/>
  <c r="G3" i="3"/>
  <c r="G2" i="3"/>
  <c r="H11" i="2" l="1"/>
  <c r="B18" i="4"/>
  <c r="B22" i="4" s="1"/>
  <c r="B6" i="4"/>
  <c r="B7" i="4" s="1"/>
  <c r="B11" i="4" s="1"/>
  <c r="B21" i="4" s="1"/>
  <c r="E15" i="1"/>
  <c r="K15" i="1" s="1"/>
  <c r="G22" i="1"/>
  <c r="G27" i="1" s="1"/>
  <c r="B23" i="4" l="1"/>
</calcChain>
</file>

<file path=xl/sharedStrings.xml><?xml version="1.0" encoding="utf-8"?>
<sst xmlns="http://schemas.openxmlformats.org/spreadsheetml/2006/main" count="1198" uniqueCount="522">
  <si>
    <t>PANEL DE CONTROL E INVENTARIOS - POLE DANCE ACADEMY</t>
  </si>
  <si>
    <t>⚡ CONSULTA RÁPIDA DE PRODUCTO Y CONSECUTIVO</t>
  </si>
  <si>
    <t>Escribe el Código de Prenda:</t>
  </si>
  <si>
    <t>TM</t>
  </si>
  <si>
    <t>Descripción del Producto:</t>
  </si>
  <si>
    <t>Talla:</t>
  </si>
  <si>
    <t>Precio de Venta Unitario:</t>
  </si>
  <si>
    <t>Existencias Actuales (Stock):</t>
  </si>
  <si>
    <t>Total Unidades Vendidas:</t>
  </si>
  <si>
    <t>PRÓXIMO CONSECUTIVO DE VENTA:</t>
  </si>
  <si>
    <t>RESUMEN GENERAL ACADEMIA</t>
  </si>
  <si>
    <t>UNIDADES EN STOCK</t>
  </si>
  <si>
    <t>VALOR INVENTARIO ROPA</t>
  </si>
  <si>
    <t>VENTAS TOTALES ($)</t>
  </si>
  <si>
    <t>VALOR ACTIVOS FIJOS ($)</t>
  </si>
  <si>
    <t>GASTOS TOTALES ($)</t>
  </si>
  <si>
    <t>BALANCE NETO ($)</t>
  </si>
  <si>
    <t>VENTAS POR TIPO DE PRENDA</t>
  </si>
  <si>
    <t>VENTAS POR MÉTODO DE PAGO</t>
  </si>
  <si>
    <t>Tipo Prenda</t>
  </si>
  <si>
    <t>Unidades Vendidas</t>
  </si>
  <si>
    <t>Total Recaudado ($)</t>
  </si>
  <si>
    <t>Método Pago</t>
  </si>
  <si>
    <t>N° Transacciones</t>
  </si>
  <si>
    <t>Total ($)</t>
  </si>
  <si>
    <t>Short (S)</t>
  </si>
  <si>
    <t>Nequi</t>
  </si>
  <si>
    <t>Pantalón (P)</t>
  </si>
  <si>
    <t>Daviplata</t>
  </si>
  <si>
    <t>Top/Sujetador (T)</t>
  </si>
  <si>
    <t>Efectivo</t>
  </si>
  <si>
    <t>Body (B)</t>
  </si>
  <si>
    <t>Transferencia Bancaria</t>
  </si>
  <si>
    <t>Accesorio (A)</t>
  </si>
  <si>
    <t>Tarjeta Débito/Crédito</t>
  </si>
  <si>
    <t>TOTALES</t>
  </si>
  <si>
    <t>RESUMEN DINÁMICO</t>
  </si>
  <si>
    <t>Estas tablas se recalculan solas a partir de Gastos y Ventas. No las edites directamente.</t>
  </si>
  <si>
    <t>GASTOS POR CATEGORÍA</t>
  </si>
  <si>
    <t>GASTOS POR MÉTODO DE PAGO</t>
  </si>
  <si>
    <t>Categoría</t>
  </si>
  <si>
    <t>N° Registros</t>
  </si>
  <si>
    <t>Arriendo</t>
  </si>
  <si>
    <t>Servicios Públicos</t>
  </si>
  <si>
    <t>Nómina / Personal</t>
  </si>
  <si>
    <t>Insumos y Aseo</t>
  </si>
  <si>
    <t>Mantenimiento Equipos</t>
  </si>
  <si>
    <t>Marketing y Publicidad</t>
  </si>
  <si>
    <t>TOTAL</t>
  </si>
  <si>
    <t>Software / Suscripciones</t>
  </si>
  <si>
    <t>Mantenimiento Local/Infraestructura</t>
  </si>
  <si>
    <t>Envíos/Transporte</t>
  </si>
  <si>
    <t>Otros</t>
  </si>
  <si>
    <t>VENTAS POR COLOR</t>
  </si>
  <si>
    <t>Color</t>
  </si>
  <si>
    <t>Negro</t>
  </si>
  <si>
    <t>Azul</t>
  </si>
  <si>
    <t>Rojo</t>
  </si>
  <si>
    <t>Verde</t>
  </si>
  <si>
    <t>Amarillo</t>
  </si>
  <si>
    <t>Blanco</t>
  </si>
  <si>
    <t>ID Ingreso</t>
  </si>
  <si>
    <t>Fecha</t>
  </si>
  <si>
    <t>Concepto</t>
  </si>
  <si>
    <t>Tipo de Ingreso</t>
  </si>
  <si>
    <t>Cantidad</t>
  </si>
  <si>
    <t>Valor Unitario ($)</t>
  </si>
  <si>
    <t>Método de Pago</t>
  </si>
  <si>
    <t>Registrado Por</t>
  </si>
  <si>
    <t>Notas</t>
  </si>
  <si>
    <t>POL-001</t>
  </si>
  <si>
    <t>Clase suelta - alumna nueva</t>
  </si>
  <si>
    <t>Clase Suelta</t>
  </si>
  <si>
    <t>Carolina</t>
  </si>
  <si>
    <t>EJEMPLO - bórrame</t>
  </si>
  <si>
    <t>📑 RESUMEN CONTABLE SIMPLIFICADO</t>
  </si>
  <si>
    <t>No reemplaza a un contador, pero te ayuda a ver de un vistazo si el negocio del día a día es rentable, separado de lo que invertiste para montarlo.</t>
  </si>
  <si>
    <t>1. RESULTADO OPERATIVO (el día a día del negocio)</t>
  </si>
  <si>
    <t>Ingresos por clases / membresías (Pole)</t>
  </si>
  <si>
    <t>← Lo que entra por clases, paquetes y membresías.</t>
  </si>
  <si>
    <t>Ingresos por venta de mercancía (ropa/accesorios)</t>
  </si>
  <si>
    <t>← Lo que entra por vender ropa, tops, shorts, accesorios, etc.</t>
  </si>
  <si>
    <t>TOTAL INGRESOS OPERATIVOS</t>
  </si>
  <si>
    <t>Gastos operativos (marcados como 'Operativo' en Gastos)</t>
  </si>
  <si>
    <t>← Solo suma los gastos que marcaste como 'Operativo' (no cuenta preoperativos ni inversión).</t>
  </si>
  <si>
    <t>UTILIDAD / PÉRDIDA OPERATIVA</t>
  </si>
  <si>
    <t>← Si es negativo, el negocio del mes/periodo aún no se sostiene solo con lo operativo.</t>
  </si>
  <si>
    <t>2. LO QUE INVERTISTE PARA MONTAR EL NEGOCIO (no es gasto del mes a mes)</t>
  </si>
  <si>
    <t>Activos fijos marcados como 'Inversión Inicial'</t>
  </si>
  <si>
    <t>← Poles, colchonetas, mobiliario, equipos... todo lo que ya marcaste 'Inversión Inicial' en Activos Fijos.</t>
  </si>
  <si>
    <t>Costo de mercancía inicial (ropa/accesorios comprados para abrir)</t>
  </si>
  <si>
    <t>← Columna 'Costo Total' de la hoja Mercancía, solo lo marcado como 'Inversión Inicial' (no cuenta reposiciones futuras).</t>
  </si>
  <si>
    <t>Gastos marcados como 'Preoperativo'</t>
  </si>
  <si>
    <t>← Gastos antes de abrir (arreglo del local, trámites, decoración inicial, etc.).</t>
  </si>
  <si>
    <t>Gastos marcados como 'Inversión Inicial'</t>
  </si>
  <si>
    <t>← Ojo: si ya registraste la compra de mercancía aquí en Gastos, bórrala de aquí para no duplicarla; la mercancía va en la hoja Mercancía.</t>
  </si>
  <si>
    <t>TOTAL INVERTIDO PARA ABRIR</t>
  </si>
  <si>
    <t>← Este monto no se resta cada mes; es lo que "debes recuperar" con las utilidades del negocio con el tiempo.</t>
  </si>
  <si>
    <t>3. BALANCE GENERAL DEL PERIODO</t>
  </si>
  <si>
    <t>Utilidad operativa</t>
  </si>
  <si>
    <t>Menos: inversión / preoperativos del periodo</t>
  </si>
  <si>
    <t>BALANCE NETO (caja real, incluyendo inversión)</t>
  </si>
  <si>
    <t>← Este sí mezcla todo: cuánto ha salido realmente de caja/bolsillo hasta hoy, contando la inversión inicial.</t>
  </si>
  <si>
    <t>ID Gasto</t>
  </si>
  <si>
    <t>Concepto / Descripción</t>
  </si>
  <si>
    <t>Valor ($)</t>
  </si>
  <si>
    <t>Clasificación Contable</t>
  </si>
  <si>
    <t>GAS-001</t>
  </si>
  <si>
    <t>Arreglo del techo</t>
  </si>
  <si>
    <t>Se pagó en dos plazos: 3 y 2 millones</t>
  </si>
  <si>
    <t>GAS-002</t>
  </si>
  <si>
    <t>Envío de 2 colchonetas</t>
  </si>
  <si>
    <t>GAS-003</t>
  </si>
  <si>
    <t>Pegatina redonda con logo x 112</t>
  </si>
  <si>
    <t>GAS-004</t>
  </si>
  <si>
    <t>Bolsa blanca x 50</t>
  </si>
  <si>
    <t>GAS-005</t>
  </si>
  <si>
    <t xml:space="preserve">Llavero metalico personalizado x 20 </t>
  </si>
  <si>
    <t>1169 por unidad</t>
  </si>
  <si>
    <t>GAS-006</t>
  </si>
  <si>
    <t>Seguridad/señalizacion</t>
  </si>
  <si>
    <t>Pegatina de timbre</t>
  </si>
  <si>
    <t>GAS-007</t>
  </si>
  <si>
    <t>Pegatina de vigilancia por camara X5</t>
  </si>
  <si>
    <t>GAS-008</t>
  </si>
  <si>
    <t>Bolsa blanca personalizada en tela x 10</t>
  </si>
  <si>
    <t>GAS-009</t>
  </si>
  <si>
    <t>llavero en aclirico x 10</t>
  </si>
  <si>
    <t>GAS-011</t>
  </si>
  <si>
    <t>Aviso de prohibido pasar x 3</t>
  </si>
  <si>
    <t>GAS-012</t>
  </si>
  <si>
    <t>Decoracion/adecuacion</t>
  </si>
  <si>
    <t>Pegatina de bailarinas/gimnasia</t>
  </si>
  <si>
    <t>GAS-013</t>
  </si>
  <si>
    <t>Avisosde baño x3</t>
  </si>
  <si>
    <t>GAS-014</t>
  </si>
  <si>
    <t>Aviso de botiquin y extintor x 2</t>
  </si>
  <si>
    <t>GAS-015</t>
  </si>
  <si>
    <t>Aviso de zona de evacuacion x 3</t>
  </si>
  <si>
    <t>GAS-016</t>
  </si>
  <si>
    <t>Cinta antideslizante</t>
  </si>
  <si>
    <t>GAS-017</t>
  </si>
  <si>
    <t>Pegatina antideslizantes para tapete x 12</t>
  </si>
  <si>
    <t>GAS-018</t>
  </si>
  <si>
    <t>Toalla de papel x 1388</t>
  </si>
  <si>
    <t>GAS-019</t>
  </si>
  <si>
    <t>Pegatina mujer haciendo yoga</t>
  </si>
  <si>
    <t>GAS-020</t>
  </si>
  <si>
    <t>Aviso vintage con mensaje</t>
  </si>
  <si>
    <t>GAS-021</t>
  </si>
  <si>
    <t>Globo de Hallowen x 7</t>
  </si>
  <si>
    <t>GAS-022</t>
  </si>
  <si>
    <t>Globo estampados de Hallowen x 16</t>
  </si>
  <si>
    <t>GAS-023</t>
  </si>
  <si>
    <t>Bolsa blancas personalizada en yute x 50</t>
  </si>
  <si>
    <t>GAS-024</t>
  </si>
  <si>
    <t>Llavero metalico personalizado x 50</t>
  </si>
  <si>
    <t>GAS-025</t>
  </si>
  <si>
    <t>Tramites/papeleria</t>
  </si>
  <si>
    <t>Autenticacion del contrato</t>
  </si>
  <si>
    <t>GAS-026</t>
  </si>
  <si>
    <t>Instalacion de pisos</t>
  </si>
  <si>
    <t>GAS-027</t>
  </si>
  <si>
    <t>Compra en el D1 aseo general</t>
  </si>
  <si>
    <t>GAS-028</t>
  </si>
  <si>
    <t>Perfil para espejos</t>
  </si>
  <si>
    <t>GAS-029</t>
  </si>
  <si>
    <t>Elementos e ferreteria</t>
  </si>
  <si>
    <t>GAS-030</t>
  </si>
  <si>
    <t>Toalla de limpieza</t>
  </si>
  <si>
    <t>GAS-031</t>
  </si>
  <si>
    <t>Pintura y brocha</t>
  </si>
  <si>
    <t>GAS-032</t>
  </si>
  <si>
    <t>Canaletas para luces de espejo</t>
  </si>
  <si>
    <t>GAS-033</t>
  </si>
  <si>
    <t>Ferreteria</t>
  </si>
  <si>
    <t>GAS-034</t>
  </si>
  <si>
    <t>Alquiler de escalera</t>
  </si>
  <si>
    <t>GAS-035</t>
  </si>
  <si>
    <t>Pintura</t>
  </si>
  <si>
    <t>GAS-036</t>
  </si>
  <si>
    <t>GAS-037</t>
  </si>
  <si>
    <t>Cambio de guardas</t>
  </si>
  <si>
    <t>GAS-038</t>
  </si>
  <si>
    <t>Garrafa de alcohol</t>
  </si>
  <si>
    <t>GAS-039</t>
  </si>
  <si>
    <t>Eventos/celebraciones</t>
  </si>
  <si>
    <t>Pasabocas y elementos necesarios</t>
  </si>
  <si>
    <t>GAS-040</t>
  </si>
  <si>
    <t>GAS-041</t>
  </si>
  <si>
    <t>GAS-042</t>
  </si>
  <si>
    <t>GAS-043</t>
  </si>
  <si>
    <t>Papeleria</t>
  </si>
  <si>
    <t>GAS-044</t>
  </si>
  <si>
    <t>Jabon, palillos y paños humedos</t>
  </si>
  <si>
    <t>GAS-045</t>
  </si>
  <si>
    <t>GAS-046</t>
  </si>
  <si>
    <t>Desechables y dulces</t>
  </si>
  <si>
    <t>inaguracion</t>
  </si>
  <si>
    <t>GAS-047</t>
  </si>
  <si>
    <t>Elaboracion del logo</t>
  </si>
  <si>
    <t>GAS-048</t>
  </si>
  <si>
    <t>GAS-049</t>
  </si>
  <si>
    <t>Materas y plantas</t>
  </si>
  <si>
    <t>GAS-050</t>
  </si>
  <si>
    <t>Vasos y bolsa de agua</t>
  </si>
  <si>
    <t>Inaguracion</t>
  </si>
  <si>
    <t>GAS-051</t>
  </si>
  <si>
    <t>Interruptor timbre</t>
  </si>
  <si>
    <t>GAS-052</t>
  </si>
  <si>
    <t>GAS-053</t>
  </si>
  <si>
    <t>Alquiler de sillas</t>
  </si>
  <si>
    <t>GAS-054</t>
  </si>
  <si>
    <t>Glade con repuesto para ambientador</t>
  </si>
  <si>
    <t>GAS-055</t>
  </si>
  <si>
    <t>Uber para trasporte de sillas</t>
  </si>
  <si>
    <t>Luz</t>
  </si>
  <si>
    <t>Insumos del botiquin</t>
  </si>
  <si>
    <t>Churrusco del baño</t>
  </si>
  <si>
    <t>De 20 dias</t>
  </si>
  <si>
    <t>Instalacion de pole</t>
  </si>
  <si>
    <t>Pago de dia de limpieza</t>
  </si>
  <si>
    <t>Pago de instructor</t>
  </si>
  <si>
    <t>Guía rápida: 'Preoperativo' = gastos antes de abrir el salón. 'Inversión Inicial' = compras grandes/activos para montar el negocio. 'Operativo' = gastos del día a día ya abiertos.</t>
  </si>
  <si>
    <t>ID Entrada</t>
  </si>
  <si>
    <t>Código Prenda</t>
  </si>
  <si>
    <t>Descripción</t>
  </si>
  <si>
    <t>Talla</t>
  </si>
  <si>
    <t>Cantidad (+)</t>
  </si>
  <si>
    <t>Unidad de Medida</t>
  </si>
  <si>
    <t>Precio compra($)</t>
  </si>
  <si>
    <t>Costo Total ($)</t>
  </si>
  <si>
    <t>Precio venta</t>
  </si>
  <si>
    <t>Proveedor / Notas</t>
  </si>
  <si>
    <t>Clasificación</t>
  </si>
  <si>
    <t>ENT-001</t>
  </si>
  <si>
    <t xml:space="preserve"> Top Negro con esptampado blanco</t>
  </si>
  <si>
    <t>UN</t>
  </si>
  <si>
    <t>Inversión Inicial</t>
  </si>
  <si>
    <t>ENT-002</t>
  </si>
  <si>
    <t>SS</t>
  </si>
  <si>
    <t>Short con malla lateral negro</t>
  </si>
  <si>
    <t>ENT-003</t>
  </si>
  <si>
    <t>TS</t>
  </si>
  <si>
    <t>Top blanco estampado negro de calabera</t>
  </si>
  <si>
    <t>ENT-004</t>
  </si>
  <si>
    <t>RS</t>
  </si>
  <si>
    <t>Rodillera negra</t>
  </si>
  <si>
    <t>Par</t>
  </si>
  <si>
    <t>ENT-005</t>
  </si>
  <si>
    <t>SM</t>
  </si>
  <si>
    <t xml:space="preserve">Short de rayas blancas y negras </t>
  </si>
  <si>
    <t>Combinado</t>
  </si>
  <si>
    <t>ENT-006</t>
  </si>
  <si>
    <t>Top Azul con tirantes cruzados  en espalda</t>
  </si>
  <si>
    <t>ENT-007</t>
  </si>
  <si>
    <t>Top negro, malla en espalda y frente</t>
  </si>
  <si>
    <t>ENT-008</t>
  </si>
  <si>
    <t>Short con corazon lateral</t>
  </si>
  <si>
    <t>Variado</t>
  </si>
  <si>
    <t>ENT-009</t>
  </si>
  <si>
    <t>Short con cintura de leopardo</t>
  </si>
  <si>
    <t>ENT-010</t>
  </si>
  <si>
    <t>RM</t>
  </si>
  <si>
    <t>ENT-011</t>
  </si>
  <si>
    <t>SL</t>
  </si>
  <si>
    <t>Short gris acanalado</t>
  </si>
  <si>
    <t>Gris</t>
  </si>
  <si>
    <t>ENT-012</t>
  </si>
  <si>
    <t>SXL</t>
  </si>
  <si>
    <t>Short negro de pliegues laterales</t>
  </si>
  <si>
    <t>ENT-013</t>
  </si>
  <si>
    <t>TL</t>
  </si>
  <si>
    <t>Top gris con estampado negro</t>
  </si>
  <si>
    <t>ENT-014</t>
  </si>
  <si>
    <t>TXL</t>
  </si>
  <si>
    <t>Top negro doble tira en el hombro</t>
  </si>
  <si>
    <t>ENT-015</t>
  </si>
  <si>
    <t>Short azul agua marina</t>
  </si>
  <si>
    <t>ENT-016</t>
  </si>
  <si>
    <t>CS</t>
  </si>
  <si>
    <t>Conjunto con estampado de leopardo</t>
  </si>
  <si>
    <t>ENT-017</t>
  </si>
  <si>
    <t>MU</t>
  </si>
  <si>
    <t>Media en malla</t>
  </si>
  <si>
    <t>ENT-018</t>
  </si>
  <si>
    <t>Top con correa y hebilla frontal estampadpo de leopardo</t>
  </si>
  <si>
    <t>ENT-019</t>
  </si>
  <si>
    <t>A</t>
  </si>
  <si>
    <t>Alas de ada</t>
  </si>
  <si>
    <t>ENT-020</t>
  </si>
  <si>
    <t>Top corset rojo de leopardo</t>
  </si>
  <si>
    <t>ENT-021</t>
  </si>
  <si>
    <t>Accesorio en cuero para la pierna</t>
  </si>
  <si>
    <t>ENT-022</t>
  </si>
  <si>
    <t>Accesorio en cuero sintetico para el cuello</t>
  </si>
  <si>
    <t>ENT-023</t>
  </si>
  <si>
    <t>Accesorio en cuero sintetico multicapa negro</t>
  </si>
  <si>
    <t>ENT-024</t>
  </si>
  <si>
    <t>Accesorio monedero estampado de pole</t>
  </si>
  <si>
    <t>ENT-025</t>
  </si>
  <si>
    <t>Accesorio, botella de agua con estampado de pole</t>
  </si>
  <si>
    <t>ENT-026</t>
  </si>
  <si>
    <t>Short acanalado</t>
  </si>
  <si>
    <t>Purpura</t>
  </si>
  <si>
    <t>ENT-027</t>
  </si>
  <si>
    <t>ENT-028</t>
  </si>
  <si>
    <t>Top rojo con malla en espalda y tirantes cruzados</t>
  </si>
  <si>
    <t>ENT-029</t>
  </si>
  <si>
    <t>Top cordon al cuello</t>
  </si>
  <si>
    <t>Borgoña</t>
  </si>
  <si>
    <t>ENT-030</t>
  </si>
  <si>
    <t>Top street casual</t>
  </si>
  <si>
    <t>ENT-031</t>
  </si>
  <si>
    <t>ENT-032</t>
  </si>
  <si>
    <t>Top street casual leopardo</t>
  </si>
  <si>
    <t>ENT-033</t>
  </si>
  <si>
    <t>Top en malla negra-chaleco</t>
  </si>
  <si>
    <t>ENT-034</t>
  </si>
  <si>
    <t>ENT-035</t>
  </si>
  <si>
    <t>Top rojo escote pronunciado con argolla y tira al cuello</t>
  </si>
  <si>
    <t>ENT-036</t>
  </si>
  <si>
    <t>SXXL</t>
  </si>
  <si>
    <t>Short con cintura en malla</t>
  </si>
  <si>
    <t>ENT-037</t>
  </si>
  <si>
    <t>SU</t>
  </si>
  <si>
    <t>Short negro en malla</t>
  </si>
  <si>
    <t>ENT-038</t>
  </si>
  <si>
    <t>Medias en malla</t>
  </si>
  <si>
    <t>ENT-039</t>
  </si>
  <si>
    <t>Accesorio  bolso en yute  estampado de pole</t>
  </si>
  <si>
    <t>ENT-040</t>
  </si>
  <si>
    <t>Short  falda de flecos</t>
  </si>
  <si>
    <t>ENT-041</t>
  </si>
  <si>
    <t>Short falda de flecos</t>
  </si>
  <si>
    <t>ENT-042</t>
  </si>
  <si>
    <t>TU</t>
  </si>
  <si>
    <t>Top body de flecos</t>
  </si>
  <si>
    <t>ENT-043</t>
  </si>
  <si>
    <t>Accesirio bufanda de flecos y lentejuelas</t>
  </si>
  <si>
    <t>Dorado</t>
  </si>
  <si>
    <t>ENT-044</t>
  </si>
  <si>
    <t>Itac 2</t>
  </si>
  <si>
    <t>ENT-045</t>
  </si>
  <si>
    <t>Monkey gluey de 100 ml</t>
  </si>
  <si>
    <t>ENT-046</t>
  </si>
  <si>
    <t>ENT-047</t>
  </si>
  <si>
    <t>Total</t>
  </si>
  <si>
    <t>Nota: todas las entradas actuales se marcaron 'Inversión Inicial' porque son el stock con el que abriste. Cuando compres mercancía nueva ya con el negocio abierto (reposición), márcala como 'Reposición de Stock' para que NO se sume otra vez al capital inicial en el Resumen Contable.</t>
  </si>
  <si>
    <t>Código Activo</t>
  </si>
  <si>
    <t>Nombre del Activo</t>
  </si>
  <si>
    <t>Ubicación</t>
  </si>
  <si>
    <t>Estado</t>
  </si>
  <si>
    <t>Valor Est. Unit ($)</t>
  </si>
  <si>
    <t>Valor Total ($)</t>
  </si>
  <si>
    <t>Fecha Adquisición</t>
  </si>
  <si>
    <t>Observaciones</t>
  </si>
  <si>
    <t>ACT-001</t>
  </si>
  <si>
    <t>Barra / Pole Profesional Dorado</t>
  </si>
  <si>
    <t>Equipamiento Pole</t>
  </si>
  <si>
    <t>Salón Principal</t>
  </si>
  <si>
    <t>Excelente</t>
  </si>
  <si>
    <t>Poles de acero inoxidable removibles</t>
  </si>
  <si>
    <t>ACT-002</t>
  </si>
  <si>
    <t>Barra / Pole Profesional Plateado</t>
  </si>
  <si>
    <t>Poles de bronce removibles</t>
  </si>
  <si>
    <t>ACT-003</t>
  </si>
  <si>
    <t>Poltrona</t>
  </si>
  <si>
    <t>Mobiliario y Confort</t>
  </si>
  <si>
    <t>Recepción</t>
  </si>
  <si>
    <t>Sillas individuales</t>
  </si>
  <si>
    <t>ACT-004</t>
  </si>
  <si>
    <t>Colchoneta profesional para Pole solo espuma</t>
  </si>
  <si>
    <t>Espuma alta densidad</t>
  </si>
  <si>
    <t>ACT-005</t>
  </si>
  <si>
    <t>Colchoneta profesional para Pole espuma + casata</t>
  </si>
  <si>
    <t>Espuma + casata</t>
  </si>
  <si>
    <t>ACT-006</t>
  </si>
  <si>
    <t>Atomizador Negro de 250 ml</t>
  </si>
  <si>
    <t>Aseo y Limpieza</t>
  </si>
  <si>
    <t>Salón / Recepción</t>
  </si>
  <si>
    <t>Reemplazar</t>
  </si>
  <si>
    <t>Para desinfección de poles</t>
  </si>
  <si>
    <t>ACT-007</t>
  </si>
  <si>
    <t>Atomizador vintage negro 300 ml</t>
  </si>
  <si>
    <t>Para desinfección</t>
  </si>
  <si>
    <t>ACT-008</t>
  </si>
  <si>
    <t>Atomizador vintage diamante-gris 400 ml</t>
  </si>
  <si>
    <t>ACT-009</t>
  </si>
  <si>
    <t>Canastas de Almacenamiento Objetos</t>
  </si>
  <si>
    <t>Vestier / Salón</t>
  </si>
  <si>
    <t>Canastas organizadoras alumnas</t>
  </si>
  <si>
    <t>ACT-010</t>
  </si>
  <si>
    <t>Bafle AS-800 pro</t>
  </si>
  <si>
    <t>Equipos y tecnologia</t>
  </si>
  <si>
    <t>Torre de sonido con micrófono</t>
  </si>
  <si>
    <t>ACT-011</t>
  </si>
  <si>
    <t xml:space="preserve">Mate negro </t>
  </si>
  <si>
    <t xml:space="preserve">Promediando lo del mismo color </t>
  </si>
  <si>
    <t>ACT-012</t>
  </si>
  <si>
    <t>Mate Gris</t>
  </si>
  <si>
    <t>ACT-013</t>
  </si>
  <si>
    <t>Bandas de resistencia</t>
  </si>
  <si>
    <t>ACT-014</t>
  </si>
  <si>
    <t>Bandas para Mate</t>
  </si>
  <si>
    <t>ACT-015</t>
  </si>
  <si>
    <t>Toalla de limpieza negra</t>
  </si>
  <si>
    <t>ACT-018</t>
  </si>
  <si>
    <t>Estante de pared compacto blanco de 3 niveles</t>
  </si>
  <si>
    <t>ACT-019</t>
  </si>
  <si>
    <t>Aclirico personalizado rectanguar</t>
  </si>
  <si>
    <t>Decoración</t>
  </si>
  <si>
    <t>ACT-020</t>
  </si>
  <si>
    <t>Tapete personalizado</t>
  </si>
  <si>
    <t>ACT-021</t>
  </si>
  <si>
    <t>Aclirico personalizado redondo</t>
  </si>
  <si>
    <t>ACT-022</t>
  </si>
  <si>
    <t>Ganchos con revestimiento plastico</t>
  </si>
  <si>
    <t>ACT-023</t>
  </si>
  <si>
    <t>Tendedero de ropa plegable blanco</t>
  </si>
  <si>
    <t>ACT-024</t>
  </si>
  <si>
    <t>Mate rosado</t>
  </si>
  <si>
    <t>ACT-025</t>
  </si>
  <si>
    <t>Proyector led de planetas</t>
  </si>
  <si>
    <t>ACT-026</t>
  </si>
  <si>
    <t>Proyector led giratorio</t>
  </si>
  <si>
    <t>ACT-027</t>
  </si>
  <si>
    <t>Capa de disfraz para Hallowen</t>
  </si>
  <si>
    <t>ACT-028</t>
  </si>
  <si>
    <t>Bandera decorativa Hallowen</t>
  </si>
  <si>
    <t>ACT-029</t>
  </si>
  <si>
    <t>Murcielagos de Hallowen x 288</t>
  </si>
  <si>
    <t>ACT-030</t>
  </si>
  <si>
    <t>Capa roja y orejas de elfo</t>
  </si>
  <si>
    <t>ACT-031</t>
  </si>
  <si>
    <t>Proyector led de hallowen</t>
  </si>
  <si>
    <t>ACT-032</t>
  </si>
  <si>
    <t>Malla de poliester negra x 6 metros</t>
  </si>
  <si>
    <t>ACT-033</t>
  </si>
  <si>
    <t>Bufanda de plumas</t>
  </si>
  <si>
    <t>ACT-034</t>
  </si>
  <si>
    <t>Atomizador con tramas 600 ml</t>
  </si>
  <si>
    <t>ACT-035</t>
  </si>
  <si>
    <t>Atomizador con tramas forma de lagrima 500 ml</t>
  </si>
  <si>
    <t>ACT-036</t>
  </si>
  <si>
    <t>Bloques de yoga</t>
  </si>
  <si>
    <t>ACT-037</t>
  </si>
  <si>
    <t>Toalla de limpieza azul</t>
  </si>
  <si>
    <t>ACT-038</t>
  </si>
  <si>
    <t>Telas para practica de pole</t>
  </si>
  <si>
    <t>ACT-039</t>
  </si>
  <si>
    <t>Estrutura del techo (travesaño)</t>
  </si>
  <si>
    <t>ACT-040</t>
  </si>
  <si>
    <t>Zapatero</t>
  </si>
  <si>
    <t>ACT-041</t>
  </si>
  <si>
    <t>Mueble entrepaños para vestier</t>
  </si>
  <si>
    <t>Vestier</t>
  </si>
  <si>
    <t>ACT-042</t>
  </si>
  <si>
    <t>Espejos</t>
  </si>
  <si>
    <t>ACT-043</t>
  </si>
  <si>
    <t>Papelera</t>
  </si>
  <si>
    <t>ACT-044</t>
  </si>
  <si>
    <t>Extension electrica</t>
  </si>
  <si>
    <t>Bodega</t>
  </si>
  <si>
    <t>ACT-046</t>
  </si>
  <si>
    <t>Bases empotradas</t>
  </si>
  <si>
    <t>TOTAL VALOR ACTIVOS</t>
  </si>
  <si>
    <t>Nota: se marcaron todos como 'Inversión Inicial' porque se compraron para montar el salón. Si compras algo nuevo más adelante ya abierto, marca esa fila como 'Posterior a Apertura'.</t>
  </si>
  <si>
    <t>Ref Venta (Consecutivo)</t>
  </si>
  <si>
    <t>Cant. Vendida (-)</t>
  </si>
  <si>
    <t>Precio Unit. ($)</t>
  </si>
  <si>
    <t>Total Venta ($)</t>
  </si>
  <si>
    <t>Nicole</t>
  </si>
  <si>
    <t>LISTAS DE PARÁMETROS</t>
  </si>
  <si>
    <t>Estas listas alimentan los menús desplegables de todas las hojas. Para agregar una opción nueva, escríbela al final de la lista correspondiente (no dejes filas vacías en medio).</t>
  </si>
  <si>
    <t>Tipo</t>
  </si>
  <si>
    <t>Tallas</t>
  </si>
  <si>
    <t>Metodos Pago</t>
  </si>
  <si>
    <t>Estados Activo</t>
  </si>
  <si>
    <t>Categorias Activos</t>
  </si>
  <si>
    <t>Categorías Gastos</t>
  </si>
  <si>
    <t>Unidades Medida</t>
  </si>
  <si>
    <t>Codigo</t>
  </si>
  <si>
    <t>Tipo Ingreso Pole</t>
  </si>
  <si>
    <t>Clasificación Activo</t>
  </si>
  <si>
    <t>Clasificación Mercancía</t>
  </si>
  <si>
    <t>Short</t>
  </si>
  <si>
    <t>XS</t>
  </si>
  <si>
    <t>Operativo</t>
  </si>
  <si>
    <t>Top/Sujetador</t>
  </si>
  <si>
    <t>S</t>
  </si>
  <si>
    <t>Bueno</t>
  </si>
  <si>
    <t>Preoperativo</t>
  </si>
  <si>
    <t>Paquete de Clases</t>
  </si>
  <si>
    <t>Posterior a Apertura</t>
  </si>
  <si>
    <t>Reposición de Stock</t>
  </si>
  <si>
    <t>Mallas</t>
  </si>
  <si>
    <t>M</t>
  </si>
  <si>
    <t>Regular / Mantenimiento</t>
  </si>
  <si>
    <t>Pack</t>
  </si>
  <si>
    <t>Membresía Mensual</t>
  </si>
  <si>
    <t>Accesorios</t>
  </si>
  <si>
    <t>L</t>
  </si>
  <si>
    <t>Caja</t>
  </si>
  <si>
    <t>TXS</t>
  </si>
  <si>
    <t>Evento / Taller</t>
  </si>
  <si>
    <t>Grip</t>
  </si>
  <si>
    <t>XL</t>
  </si>
  <si>
    <t>Aberiado</t>
  </si>
  <si>
    <t>Kit</t>
  </si>
  <si>
    <t>Otro</t>
  </si>
  <si>
    <t>Conjunto</t>
  </si>
  <si>
    <t>XXL</t>
  </si>
  <si>
    <t>TXXL</t>
  </si>
  <si>
    <t>Única</t>
  </si>
  <si>
    <t>SXS</t>
  </si>
  <si>
    <t>RL</t>
  </si>
  <si>
    <t>CM</t>
  </si>
  <si>
    <t>CXS</t>
  </si>
  <si>
    <t>CL</t>
  </si>
  <si>
    <t>CXL</t>
  </si>
  <si>
    <t>CXXL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</si>
</sst>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
    <numFmt numFmtId="165" formatCode="\$#,##0;&quot;($&quot;#,##0\);\-"/>
    <numFmt numFmtId="166" formatCode="m/d/yyyy"/>
    <numFmt numFmtId="167" formatCode="\$#,##0.00"/>
    <numFmt numFmtId="168" formatCode="_-\$* #,##0.00_-;&quot;-$&quot;* #,##0.00_-;_-\$* \-??_-;_-@_-"/>
    <numFmt numFmtId="169" formatCode="[$-F800]dddd&quot;, &quot;mmmm\ dd&quot;, &quot;yyyy"/>
    <numFmt numFmtId="170" formatCode="yyyy\-mm\-dd"/>
  </numFmts>
  <fonts count="24" x14ac:knownFonts="1">
    <font>
      <sz val="11"/>
      <color theme="1"/>
      <name val="Calibri"/>
      <family val="2"/>
      <charset val="1"/>
    </font>
    <font>
      <b/>
      <sz val="16"/>
      <color rgb="FFFFFFFF"/>
      <name val="Calibri"/>
      <charset val="1"/>
    </font>
    <font>
      <b/>
      <sz val="14"/>
      <color rgb="FF4A1525"/>
      <name val="Calibri"/>
      <charset val="1"/>
    </font>
    <font>
      <sz val="11"/>
      <name val="Calibri"/>
      <charset val="1"/>
    </font>
    <font>
      <b/>
      <sz val="11"/>
      <color rgb="FF4A1525"/>
      <name val="Calibri"/>
      <charset val="1"/>
    </font>
    <font>
      <b/>
      <sz val="13"/>
      <color rgb="FF4A1525"/>
      <name val="Calibri"/>
      <charset val="1"/>
    </font>
    <font>
      <b/>
      <sz val="10"/>
      <color rgb="FF555555"/>
      <name val="Calibri"/>
      <charset val="1"/>
    </font>
    <font>
      <b/>
      <sz val="20"/>
      <color rgb="FF4A1525"/>
      <name val="Calibri"/>
      <charset val="1"/>
    </font>
    <font>
      <b/>
      <sz val="11"/>
      <color rgb="FFFFFFFF"/>
      <name val="Calibri"/>
      <charset val="1"/>
    </font>
    <font>
      <b/>
      <sz val="11"/>
      <name val="Calibri"/>
      <charset val="1"/>
    </font>
    <font>
      <i/>
      <sz val="9"/>
      <color rgb="FF777777"/>
      <name val="Calibri"/>
      <charset val="1"/>
    </font>
    <font>
      <b/>
      <sz val="11"/>
      <color rgb="FFFFFFFF"/>
      <name val="Arial"/>
      <charset val="1"/>
    </font>
    <font>
      <i/>
      <sz val="11"/>
      <color rgb="FF94A3B8"/>
      <name val="Arial"/>
      <charset val="1"/>
    </font>
    <font>
      <b/>
      <sz val="14"/>
      <color rgb="FF6D28D9"/>
      <name val="Arial"/>
      <charset val="1"/>
    </font>
    <font>
      <i/>
      <sz val="9"/>
      <color rgb="FF64748B"/>
      <name val="Arial"/>
      <charset val="1"/>
    </font>
    <font>
      <b/>
      <sz val="11"/>
      <color rgb="FF5B21B6"/>
      <name val="Arial"/>
      <charset val="1"/>
    </font>
    <font>
      <b/>
      <sz val="10.5"/>
      <name val="Arial"/>
      <charset val="1"/>
    </font>
    <font>
      <b/>
      <sz val="11"/>
      <color rgb="FF047857"/>
      <name val="Arial"/>
      <charset val="1"/>
    </font>
    <font>
      <sz val="11"/>
      <name val="Calibri"/>
      <family val="2"/>
      <charset val="1"/>
    </font>
    <font>
      <sz val="10"/>
      <name val="Arial"/>
      <charset val="1"/>
    </font>
    <font>
      <b/>
      <sz val="11"/>
      <color rgb="FFFF0000"/>
      <name val="Calibri"/>
      <family val="2"/>
      <charset val="1"/>
    </font>
    <font>
      <b/>
      <sz val="11"/>
      <color theme="1"/>
      <name val="Calibri"/>
      <family val="2"/>
      <charset val="1"/>
    </font>
    <font>
      <b/>
      <sz val="11"/>
      <color rgb="FFFFFFFF"/>
      <name val="Calibri"/>
      <family val="2"/>
      <charset val="1"/>
    </font>
    <font>
      <b/>
      <sz val="11"/>
      <name val="Arial"/>
      <charset val="1"/>
    </font>
  </fonts>
  <fills count="9">
    <fill>
      <patternFill patternType="none"/>
    </fill>
    <fill>
      <patternFill patternType="gray125"/>
    </fill>
    <fill>
      <patternFill patternType="solid">
        <fgColor rgb="FF00B050"/>
        <bgColor rgb="FF008080"/>
      </patternFill>
    </fill>
    <fill>
      <patternFill patternType="solid">
        <fgColor rgb="FFE8D4DC"/>
        <bgColor rgb="FFD9C5CC"/>
      </patternFill>
    </fill>
    <fill>
      <patternFill patternType="solid">
        <fgColor rgb="FFF4EBEF"/>
        <bgColor rgb="FFEDE9FE"/>
      </patternFill>
    </fill>
    <fill>
      <patternFill patternType="solid">
        <fgColor rgb="FFD946EF"/>
        <bgColor rgb="FFFF00FF"/>
      </patternFill>
    </fill>
    <fill>
      <patternFill patternType="solid">
        <fgColor rgb="FFEDE9FE"/>
        <bgColor rgb="FFF4EBEF"/>
      </patternFill>
    </fill>
    <fill>
      <patternFill patternType="solid">
        <fgColor rgb="FFFFF9C4"/>
        <bgColor rgb="FFFDEADA"/>
      </patternFill>
    </fill>
    <fill>
      <patternFill patternType="solid">
        <fgColor theme="9" tint="0.79989013336588644"/>
        <bgColor rgb="FFF4EBEF"/>
      </patternFill>
    </fill>
  </fills>
  <borders count="3">
    <border>
      <left/>
      <right/>
      <top/>
      <bottom/>
      <diagonal/>
    </border>
    <border>
      <left style="thin">
        <color rgb="FFD9C5CC"/>
      </left>
      <right style="thin">
        <color rgb="FFD9C5CC"/>
      </right>
      <top style="thin">
        <color rgb="FFD9C5CC"/>
      </top>
      <bottom style="thin">
        <color rgb="FFD9C5CC"/>
      </bottom>
      <diagonal/>
    </border>
    <border>
      <left style="thin">
        <color rgb="FFD9C5CC"/>
      </left>
      <right style="thin">
        <color rgb="FFD9C5CC"/>
      </right>
      <top/>
      <bottom/>
      <diagonal/>
    </border>
  </borders>
  <cellStyleXfs count="1">
    <xf numFmtId="0" fontId="0" fillId="0" borderId="0"/>
  </cellStyleXfs>
  <cellXfs count="61">
    <xf numFmtId="0" fontId="0" fillId="0" borderId="0" xfId="0"/>
    <xf numFmtId="0" fontId="15" fillId="6" borderId="0" xfId="0" applyFont="1" applyFill="1"/>
    <xf numFmtId="0" fontId="14" fillId="0" borderId="0" xfId="0" applyFont="1"/>
    <xf numFmtId="164" fontId="7" fillId="0" borderId="1" xfId="0" applyNumberFormat="1" applyFont="1" applyBorder="1" applyAlignment="1">
      <alignment horizontal="center" vertical="center"/>
    </xf>
    <xf numFmtId="3" fontId="7"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2" fillId="2" borderId="0" xfId="0" applyFont="1" applyFill="1" applyAlignment="1">
      <alignment horizontal="center" vertical="center"/>
    </xf>
    <xf numFmtId="0" fontId="1" fillId="2" borderId="0" xfId="0" applyFont="1" applyFill="1" applyAlignment="1">
      <alignment horizontal="center" vertical="center"/>
    </xf>
    <xf numFmtId="0" fontId="3" fillId="0" borderId="0" xfId="0" applyFont="1" applyAlignment="1">
      <alignment horizontal="left" vertical="center"/>
    </xf>
    <xf numFmtId="0" fontId="5" fillId="0" borderId="0" xfId="0" applyFont="1"/>
    <xf numFmtId="0" fontId="8" fillId="2" borderId="0" xfId="0" applyFont="1" applyFill="1" applyAlignment="1">
      <alignment horizontal="center" vertical="center"/>
    </xf>
    <xf numFmtId="0" fontId="3" fillId="0" borderId="1" xfId="0" applyFont="1" applyBorder="1" applyAlignment="1">
      <alignment horizontal="left" vertical="center"/>
    </xf>
    <xf numFmtId="3" fontId="3" fillId="0" borderId="1" xfId="0" applyNumberFormat="1" applyFont="1" applyBorder="1" applyAlignment="1">
      <alignment horizontal="center" vertical="center"/>
    </xf>
    <xf numFmtId="164" fontId="3" fillId="0" borderId="1" xfId="0" applyNumberFormat="1" applyFont="1" applyBorder="1" applyAlignment="1">
      <alignment horizontal="right" vertical="center"/>
    </xf>
    <xf numFmtId="0" fontId="9" fillId="0" borderId="1" xfId="0" applyFont="1" applyBorder="1" applyAlignment="1">
      <alignment horizontal="left" vertical="center"/>
    </xf>
    <xf numFmtId="3" fontId="9"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10" fillId="0" borderId="0" xfId="0" applyFont="1"/>
    <xf numFmtId="0" fontId="9" fillId="0" borderId="1" xfId="0" applyFont="1" applyBorder="1"/>
    <xf numFmtId="3" fontId="9" fillId="0" borderId="1" xfId="0" applyNumberFormat="1" applyFont="1" applyBorder="1" applyAlignment="1">
      <alignment horizontal="right" vertical="center"/>
    </xf>
    <xf numFmtId="164" fontId="9" fillId="0" borderId="1" xfId="0" applyNumberFormat="1" applyFont="1" applyBorder="1" applyAlignment="1">
      <alignment horizontal="right" vertical="center"/>
    </xf>
    <xf numFmtId="0" fontId="11" fillId="5" borderId="0" xfId="0" applyFont="1" applyFill="1" applyAlignment="1">
      <alignment horizontal="center" wrapText="1"/>
    </xf>
    <xf numFmtId="0" fontId="12" fillId="0" borderId="0" xfId="0" applyFont="1"/>
    <xf numFmtId="0" fontId="13" fillId="0" borderId="0" xfId="0" applyFont="1"/>
    <xf numFmtId="0" fontId="14" fillId="0" borderId="0" xfId="0" applyFont="1"/>
    <xf numFmtId="165" fontId="0" fillId="0" borderId="0" xfId="0" applyNumberFormat="1"/>
    <xf numFmtId="0" fontId="16" fillId="0" borderId="0" xfId="0" applyFont="1"/>
    <xf numFmtId="165" fontId="16" fillId="0" borderId="0" xfId="0" applyNumberFormat="1" applyFont="1"/>
    <xf numFmtId="0" fontId="17" fillId="0" borderId="0" xfId="0" applyFont="1"/>
    <xf numFmtId="165" fontId="17" fillId="0" borderId="0" xfId="0" applyNumberFormat="1" applyFont="1"/>
    <xf numFmtId="166" fontId="0" fillId="0" borderId="0" xfId="0" applyNumberFormat="1"/>
    <xf numFmtId="166" fontId="8" fillId="2" borderId="0" xfId="0" applyNumberFormat="1" applyFont="1" applyFill="1" applyAlignment="1">
      <alignment horizontal="center" vertical="center"/>
    </xf>
    <xf numFmtId="0" fontId="11" fillId="5" borderId="0" xfId="0" applyFont="1" applyFill="1" applyAlignment="1">
      <alignment horizontal="center" vertical="center"/>
    </xf>
    <xf numFmtId="0" fontId="3" fillId="0" borderId="1" xfId="0" applyFont="1" applyBorder="1" applyAlignment="1">
      <alignment horizontal="center" vertical="center"/>
    </xf>
    <xf numFmtId="166" fontId="3" fillId="0" borderId="1" xfId="0" applyNumberFormat="1" applyFont="1" applyBorder="1" applyAlignment="1">
      <alignment horizontal="center" vertical="center"/>
    </xf>
    <xf numFmtId="164" fontId="3" fillId="7" borderId="1" xfId="0" applyNumberFormat="1" applyFont="1" applyFill="1" applyBorder="1" applyAlignment="1">
      <alignment horizontal="right" vertical="center"/>
    </xf>
    <xf numFmtId="0" fontId="3" fillId="7" borderId="1" xfId="0" applyFont="1" applyFill="1" applyBorder="1" applyAlignment="1">
      <alignment horizontal="left" vertical="center"/>
    </xf>
    <xf numFmtId="0" fontId="18" fillId="0" borderId="1" xfId="0" applyFont="1" applyBorder="1" applyAlignment="1">
      <alignment horizontal="left" vertical="center"/>
    </xf>
    <xf numFmtId="166" fontId="9" fillId="0" borderId="1" xfId="0" applyNumberFormat="1" applyFont="1" applyBorder="1"/>
    <xf numFmtId="0" fontId="9" fillId="0" borderId="1" xfId="0" applyFont="1" applyBorder="1" applyAlignment="1">
      <alignment horizontal="center" vertical="center"/>
    </xf>
    <xf numFmtId="167" fontId="0" fillId="0" borderId="0" xfId="0" applyNumberFormat="1"/>
    <xf numFmtId="168" fontId="19" fillId="0" borderId="0" xfId="0" applyNumberFormat="1" applyFont="1"/>
    <xf numFmtId="164" fontId="0" fillId="0" borderId="0" xfId="0" applyNumberFormat="1"/>
    <xf numFmtId="166" fontId="0" fillId="0" borderId="0" xfId="0" applyNumberFormat="1" applyAlignment="1">
      <alignment horizontal="center"/>
    </xf>
    <xf numFmtId="164" fontId="8" fillId="2" borderId="0" xfId="0" applyNumberFormat="1" applyFont="1" applyFill="1" applyAlignment="1">
      <alignment horizontal="center" vertical="center"/>
    </xf>
    <xf numFmtId="0" fontId="11" fillId="5" borderId="0" xfId="0" applyFont="1" applyFill="1"/>
    <xf numFmtId="0" fontId="3" fillId="0" borderId="2" xfId="0" applyFont="1" applyBorder="1" applyAlignment="1">
      <alignment horizontal="center" vertical="center"/>
    </xf>
    <xf numFmtId="164" fontId="3" fillId="0" borderId="2" xfId="0" applyNumberFormat="1" applyFont="1" applyBorder="1" applyAlignment="1">
      <alignment horizontal="right" vertical="center"/>
    </xf>
    <xf numFmtId="0" fontId="3" fillId="0" borderId="2" xfId="0" applyFont="1" applyBorder="1" applyAlignment="1">
      <alignment horizontal="left" vertical="center"/>
    </xf>
    <xf numFmtId="0" fontId="20" fillId="0" borderId="0" xfId="0" applyFont="1" applyAlignment="1">
      <alignment horizontal="center" vertical="center"/>
    </xf>
    <xf numFmtId="164" fontId="21" fillId="0" borderId="0" xfId="0" applyNumberFormat="1" applyFont="1"/>
    <xf numFmtId="164" fontId="3" fillId="8" borderId="1" xfId="0" applyNumberFormat="1" applyFont="1" applyFill="1" applyBorder="1" applyAlignment="1">
      <alignment horizontal="right" vertical="center"/>
    </xf>
    <xf numFmtId="169" fontId="3" fillId="0" borderId="1" xfId="0" applyNumberFormat="1" applyFont="1" applyBorder="1" applyAlignment="1">
      <alignment horizontal="center" vertical="center"/>
    </xf>
    <xf numFmtId="0" fontId="18" fillId="0" borderId="1" xfId="0" applyFont="1" applyBorder="1" applyAlignment="1">
      <alignment horizontal="center" vertical="center"/>
    </xf>
    <xf numFmtId="170" fontId="3" fillId="0" borderId="1" xfId="0" applyNumberFormat="1" applyFont="1" applyBorder="1" applyAlignment="1">
      <alignment horizontal="center" vertical="center"/>
    </xf>
    <xf numFmtId="0" fontId="22" fillId="2" borderId="0" xfId="0" applyFont="1" applyFill="1" applyAlignment="1">
      <alignment horizontal="center" vertical="center"/>
    </xf>
    <xf numFmtId="0" fontId="23" fillId="0" borderId="0" xfId="0" applyFont="1"/>
    <xf numFmtId="0" fontId="18" fillId="0" borderId="0" xfId="0" applyFont="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D946EF"/>
      <rgbColor rgb="FF00FFFF"/>
      <rgbColor rgb="FF800000"/>
      <rgbColor rgb="FF008000"/>
      <rgbColor rgb="FF000080"/>
      <rgbColor rgb="FF808000"/>
      <rgbColor rgb="FF6D28D9"/>
      <rgbColor rgb="FF047857"/>
      <rgbColor rgb="FFD9C5CC"/>
      <rgbColor rgb="FF777777"/>
      <rgbColor rgb="FF9999FF"/>
      <rgbColor rgb="FF993366"/>
      <rgbColor rgb="FFFFF9C4"/>
      <rgbColor rgb="FFEDE9FE"/>
      <rgbColor rgb="FF660066"/>
      <rgbColor rgb="FFFF8080"/>
      <rgbColor rgb="FF0066CC"/>
      <rgbColor rgb="FFE8D4DC"/>
      <rgbColor rgb="FF000080"/>
      <rgbColor rgb="FFFF00FF"/>
      <rgbColor rgb="FFFFFF00"/>
      <rgbColor rgb="FF00FFFF"/>
      <rgbColor rgb="FF800080"/>
      <rgbColor rgb="FF800000"/>
      <rgbColor rgb="FF008080"/>
      <rgbColor rgb="FF0000FF"/>
      <rgbColor rgb="FF00CCFF"/>
      <rgbColor rgb="FFF4EBEF"/>
      <rgbColor rgb="FFCCFFCC"/>
      <rgbColor rgb="FFFDEADA"/>
      <rgbColor rgb="FF99CCFF"/>
      <rgbColor rgb="FFFF99CC"/>
      <rgbColor rgb="FFCC99FF"/>
      <rgbColor rgb="FFFFCC99"/>
      <rgbColor rgb="FF3366FF"/>
      <rgbColor rgb="FF33CCCC"/>
      <rgbColor rgb="FF99CC00"/>
      <rgbColor rgb="FFFFCC00"/>
      <rgbColor rgb="FFFF9900"/>
      <rgbColor rgb="FFFF6600"/>
      <rgbColor rgb="FF64748B"/>
      <rgbColor rgb="FF94A3B8"/>
      <rgbColor rgb="FF003366"/>
      <rgbColor rgb="FF00B050"/>
      <rgbColor rgb="FF003300"/>
      <rgbColor rgb="FF555555"/>
      <rgbColor rgb="FF993300"/>
      <rgbColor rgb="FF993366"/>
      <rgbColor rgb="FF5B21B6"/>
      <rgbColor rgb="FF4A152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7"/>
  <sheetViews>
    <sheetView showGridLines="0" topLeftCell="A9" zoomScaleNormal="100" workbookViewId="0">
      <selection activeCell="G9" sqref="G9"/>
    </sheetView>
  </sheetViews>
  <sheetFormatPr baseColWidth="10" defaultColWidth="8.6328125" defaultRowHeight="14.5" x14ac:dyDescent="0.35"/>
  <cols>
    <col min="1" max="1" width="26" customWidth="1"/>
    <col min="2" max="2" width="16" customWidth="1"/>
    <col min="3" max="3" width="22" customWidth="1"/>
    <col min="4" max="4" width="4" customWidth="1"/>
    <col min="5" max="5" width="22" customWidth="1"/>
    <col min="6" max="6" width="16" customWidth="1"/>
    <col min="7" max="7" width="20" customWidth="1"/>
    <col min="8" max="8" width="4" customWidth="1"/>
    <col min="9" max="9" width="22" customWidth="1"/>
    <col min="10" max="10" width="4" customWidth="1"/>
    <col min="11" max="11" width="20" customWidth="1"/>
    <col min="12" max="12" width="4" customWidth="1"/>
  </cols>
  <sheetData>
    <row r="1" spans="1:12" ht="39.75" customHeight="1" x14ac:dyDescent="0.35">
      <c r="A1" s="10" t="s">
        <v>0</v>
      </c>
      <c r="B1" s="10"/>
      <c r="C1" s="10"/>
      <c r="D1" s="10"/>
      <c r="E1" s="10"/>
      <c r="F1" s="10"/>
      <c r="G1" s="10"/>
      <c r="H1" s="10"/>
      <c r="I1" s="10"/>
      <c r="J1" s="10"/>
      <c r="K1" s="10"/>
      <c r="L1" s="10"/>
    </row>
    <row r="3" spans="1:12" ht="25.5" customHeight="1" x14ac:dyDescent="0.35">
      <c r="A3" s="9" t="s">
        <v>1</v>
      </c>
      <c r="B3" s="9"/>
      <c r="C3" s="9"/>
      <c r="D3" s="9"/>
    </row>
    <row r="4" spans="1:12" ht="31.5" customHeight="1" x14ac:dyDescent="0.35">
      <c r="A4" s="8" t="s">
        <v>2</v>
      </c>
      <c r="B4" s="8"/>
      <c r="C4" s="7" t="s">
        <v>3</v>
      </c>
      <c r="D4" s="7"/>
    </row>
    <row r="5" spans="1:12" ht="21.75" customHeight="1" x14ac:dyDescent="0.35">
      <c r="A5" s="8" t="s">
        <v>4</v>
      </c>
      <c r="B5" s="8"/>
      <c r="C5" s="7" t="str">
        <f>IFERROR(VLOOKUP(C4,#REF!, 3, FALSE()), "⚠️ Código no encontrado")</f>
        <v>⚠️ Código no encontrado</v>
      </c>
      <c r="D5" s="7"/>
    </row>
    <row r="6" spans="1:12" ht="21.75" customHeight="1" x14ac:dyDescent="0.35">
      <c r="A6" s="8" t="s">
        <v>5</v>
      </c>
      <c r="B6" s="8"/>
      <c r="C6" s="7" t="str">
        <f>IFERROR(VLOOKUP(C4,#REF!, 4, FALSE()), "-")</f>
        <v>-</v>
      </c>
      <c r="D6" s="7"/>
    </row>
    <row r="7" spans="1:12" ht="21.75" customHeight="1" x14ac:dyDescent="0.35">
      <c r="A7" s="8" t="s">
        <v>6</v>
      </c>
      <c r="B7" s="8"/>
      <c r="C7" s="7">
        <f>IFERROR(VLOOKUP(C4,#REF!, 6, FALSE()), 0)</f>
        <v>0</v>
      </c>
      <c r="D7" s="7"/>
    </row>
    <row r="8" spans="1:12" ht="21.75" customHeight="1" x14ac:dyDescent="0.35">
      <c r="A8" s="8" t="s">
        <v>7</v>
      </c>
      <c r="B8" s="8"/>
      <c r="C8" s="7">
        <f>IFERROR(VLOOKUP(C4,#REF!, 10, FALSE()), 0)</f>
        <v>0</v>
      </c>
      <c r="D8" s="7"/>
    </row>
    <row r="9" spans="1:12" ht="21.75" customHeight="1" x14ac:dyDescent="0.35">
      <c r="A9" s="8" t="s">
        <v>8</v>
      </c>
      <c r="B9" s="8"/>
      <c r="C9" s="7">
        <f>SUMIF('🛒 Ventas'!C:C, C4, '🛒 Ventas'!G:G)</f>
        <v>0</v>
      </c>
      <c r="D9" s="7"/>
    </row>
    <row r="10" spans="1:12" ht="21.75" customHeight="1" x14ac:dyDescent="0.35">
      <c r="A10" s="8" t="s">
        <v>9</v>
      </c>
      <c r="B10" s="8"/>
      <c r="C10" s="6" t="str">
        <f>IF(C4="","", C4 &amp; (SUMIF('🛒 Ventas'!C:C, C4, '🛒 Ventas'!G:G) + 1))</f>
        <v>TM1</v>
      </c>
      <c r="D10" s="6"/>
    </row>
    <row r="12" spans="1:12" ht="16.5" customHeight="1" x14ac:dyDescent="0.4">
      <c r="A12" s="12" t="s">
        <v>10</v>
      </c>
    </row>
    <row r="14" spans="1:12" ht="14.25" customHeight="1" x14ac:dyDescent="0.35">
      <c r="A14" s="5" t="s">
        <v>11</v>
      </c>
      <c r="B14" s="5"/>
      <c r="C14" s="5" t="s">
        <v>12</v>
      </c>
      <c r="D14" s="5"/>
      <c r="E14" s="5" t="s">
        <v>13</v>
      </c>
      <c r="F14" s="5"/>
      <c r="G14" s="5" t="s">
        <v>14</v>
      </c>
      <c r="H14" s="5"/>
      <c r="I14" s="5" t="s">
        <v>15</v>
      </c>
      <c r="J14" s="5"/>
      <c r="K14" s="5" t="s">
        <v>16</v>
      </c>
      <c r="L14" s="5"/>
    </row>
    <row r="15" spans="1:12" ht="14.25" customHeight="1" x14ac:dyDescent="0.35">
      <c r="A15" s="4">
        <f>SUM(Marcancia!G:G)-SUM('🛒 Ventas'!G:G)</f>
        <v>71</v>
      </c>
      <c r="B15" s="4"/>
      <c r="C15" s="3">
        <f>IFERROR((SUM(Marcancia!J:J)/SUM(Marcancia!G:G))*A15,0)</f>
        <v>2787150.0000000005</v>
      </c>
      <c r="D15" s="3"/>
      <c r="E15" s="3">
        <f>SUM('🛒 Ventas'!I2:I41)</f>
        <v>0</v>
      </c>
      <c r="F15" s="3"/>
      <c r="G15" s="3">
        <f>SUM('🏢 Activos Fijos'!H2:H47)</f>
        <v>20857007</v>
      </c>
      <c r="H15" s="3"/>
      <c r="I15" s="3">
        <f>SUM('💸 Gastos'!E2:E65)</f>
        <v>14256280</v>
      </c>
      <c r="J15" s="3"/>
      <c r="K15" s="3">
        <f>E15-I15</f>
        <v>-14256280</v>
      </c>
      <c r="L15" s="3"/>
    </row>
    <row r="16" spans="1:12" ht="14.25" customHeight="1" x14ac:dyDescent="0.35">
      <c r="A16" s="4"/>
      <c r="B16" s="4"/>
      <c r="C16" s="3"/>
      <c r="D16" s="3"/>
      <c r="E16" s="3"/>
      <c r="F16" s="3"/>
      <c r="G16" s="3"/>
      <c r="H16" s="3"/>
      <c r="I16" s="3"/>
      <c r="J16" s="3"/>
      <c r="K16" s="3"/>
      <c r="L16" s="3"/>
    </row>
    <row r="19" spans="1:7" ht="16.5" customHeight="1" x14ac:dyDescent="0.4">
      <c r="A19" s="12" t="s">
        <v>17</v>
      </c>
      <c r="E19" s="12" t="s">
        <v>18</v>
      </c>
    </row>
    <row r="21" spans="1:7" ht="24" customHeight="1" x14ac:dyDescent="0.35">
      <c r="A21" s="13" t="s">
        <v>19</v>
      </c>
      <c r="B21" s="13" t="s">
        <v>20</v>
      </c>
      <c r="C21" s="13" t="s">
        <v>21</v>
      </c>
      <c r="E21" s="13" t="s">
        <v>22</v>
      </c>
      <c r="F21" s="13" t="s">
        <v>23</v>
      </c>
      <c r="G21" s="13" t="s">
        <v>24</v>
      </c>
    </row>
    <row r="22" spans="1:7" ht="14.25" customHeight="1" x14ac:dyDescent="0.35">
      <c r="A22" s="14" t="s">
        <v>25</v>
      </c>
      <c r="B22" s="15">
        <f>SUMIF('🛒 Ventas'!C:C, "S*", '🛒 Ventas'!G:G)</f>
        <v>0</v>
      </c>
      <c r="C22" s="16">
        <f>SUMIF('🛒 Ventas'!C:C, "S*", '🛒 Ventas'!I:I)</f>
        <v>0</v>
      </c>
      <c r="E22" s="14" t="s">
        <v>26</v>
      </c>
      <c r="F22" s="15">
        <f>COUNTIF('🛒 Ventas'!J:J, "Nequi")</f>
        <v>1</v>
      </c>
      <c r="G22" s="16">
        <f>SUMIF('🛒 Ventas'!J:J, "Nequi", '🛒 Ventas'!I:I)</f>
        <v>0</v>
      </c>
    </row>
    <row r="23" spans="1:7" ht="14.25" customHeight="1" x14ac:dyDescent="0.35">
      <c r="A23" s="14" t="s">
        <v>27</v>
      </c>
      <c r="B23" s="15">
        <f>SUMIF('🛒 Ventas'!C:C, "P*", '🛒 Ventas'!G:G)</f>
        <v>0</v>
      </c>
      <c r="C23" s="16">
        <f>SUMIF('🛒 Ventas'!C:C, "P*", '🛒 Ventas'!I:I)</f>
        <v>0</v>
      </c>
      <c r="E23" s="14" t="s">
        <v>28</v>
      </c>
      <c r="F23" s="15">
        <f>COUNTIF('🛒 Ventas'!J:J, "Daviplata")</f>
        <v>0</v>
      </c>
      <c r="G23" s="16">
        <f>SUMIF('🛒 Ventas'!J:J, "Daviplata", '🛒 Ventas'!I:I)</f>
        <v>0</v>
      </c>
    </row>
    <row r="24" spans="1:7" ht="14.25" customHeight="1" x14ac:dyDescent="0.35">
      <c r="A24" s="14" t="s">
        <v>29</v>
      </c>
      <c r="B24" s="15">
        <f>SUMIF('🛒 Ventas'!C:C, "T*", '🛒 Ventas'!G:G)</f>
        <v>0</v>
      </c>
      <c r="C24" s="16">
        <f>SUMIF('🛒 Ventas'!C:C, "T*", '🛒 Ventas'!I:I)</f>
        <v>0</v>
      </c>
      <c r="E24" s="14" t="s">
        <v>30</v>
      </c>
      <c r="F24" s="15">
        <f>COUNTIF('🛒 Ventas'!J:J, "Efectivo")</f>
        <v>0</v>
      </c>
      <c r="G24" s="16">
        <f>SUMIF('🛒 Ventas'!J:J, "Efectivo", '🛒 Ventas'!I:I)</f>
        <v>0</v>
      </c>
    </row>
    <row r="25" spans="1:7" ht="14.25" customHeight="1" x14ac:dyDescent="0.35">
      <c r="A25" s="14" t="s">
        <v>31</v>
      </c>
      <c r="B25" s="15">
        <f>SUMIF('🛒 Ventas'!C:C, "B*", '🛒 Ventas'!G:G)</f>
        <v>0</v>
      </c>
      <c r="C25" s="16">
        <f>SUMIF('🛒 Ventas'!C:C, "B*", '🛒 Ventas'!I:I)</f>
        <v>0</v>
      </c>
      <c r="E25" s="14" t="s">
        <v>32</v>
      </c>
      <c r="F25" s="15">
        <f>COUNTIF('🛒 Ventas'!J:J, "Transferencia Bancaria")</f>
        <v>0</v>
      </c>
      <c r="G25" s="16">
        <f>SUMIF('🛒 Ventas'!J:J, "Transferencia Bancaria", '🛒 Ventas'!I:I)</f>
        <v>0</v>
      </c>
    </row>
    <row r="26" spans="1:7" ht="14.25" customHeight="1" x14ac:dyDescent="0.35">
      <c r="A26" s="14" t="s">
        <v>33</v>
      </c>
      <c r="B26" s="15">
        <f>SUMIF('🛒 Ventas'!C:C, "A*", '🛒 Ventas'!G:G)</f>
        <v>0</v>
      </c>
      <c r="C26" s="16">
        <f>SUMIF('🛒 Ventas'!C:C, "A*", '🛒 Ventas'!I:I)</f>
        <v>0</v>
      </c>
      <c r="E26" s="14" t="s">
        <v>34</v>
      </c>
      <c r="F26" s="15">
        <f>COUNTIF('🛒 Ventas'!J:J, "Tarjeta Débito/Crédito")</f>
        <v>0</v>
      </c>
      <c r="G26" s="16">
        <f>SUMIF('🛒 Ventas'!J:J, "Tarjeta Débito/Crédito", '🛒 Ventas'!I:I)</f>
        <v>0</v>
      </c>
    </row>
    <row r="27" spans="1:7" ht="14.25" customHeight="1" x14ac:dyDescent="0.35">
      <c r="A27" s="17" t="s">
        <v>35</v>
      </c>
      <c r="B27" s="18">
        <f>SUM(B22:B26)</f>
        <v>0</v>
      </c>
      <c r="C27" s="19">
        <f>SUM(C22:C26)</f>
        <v>0</v>
      </c>
      <c r="E27" s="17" t="s">
        <v>35</v>
      </c>
      <c r="F27" s="18">
        <f>SUM(F22:F26)</f>
        <v>1</v>
      </c>
      <c r="G27" s="19">
        <f>SUM(G22:G26)</f>
        <v>0</v>
      </c>
    </row>
  </sheetData>
  <mergeCells count="28">
    <mergeCell ref="E14:F14"/>
    <mergeCell ref="G14:H14"/>
    <mergeCell ref="I14:J14"/>
    <mergeCell ref="K14:L14"/>
    <mergeCell ref="A15:B16"/>
    <mergeCell ref="C15:D16"/>
    <mergeCell ref="E15:F16"/>
    <mergeCell ref="G15:H16"/>
    <mergeCell ref="I15:J16"/>
    <mergeCell ref="K15:L16"/>
    <mergeCell ref="A9:B9"/>
    <mergeCell ref="C9:D9"/>
    <mergeCell ref="A10:B10"/>
    <mergeCell ref="C10:D10"/>
    <mergeCell ref="A14:B14"/>
    <mergeCell ref="C14:D14"/>
    <mergeCell ref="A6:B6"/>
    <mergeCell ref="C6:D6"/>
    <mergeCell ref="A7:B7"/>
    <mergeCell ref="C7:D7"/>
    <mergeCell ref="A8:B8"/>
    <mergeCell ref="C8:D8"/>
    <mergeCell ref="A1:L1"/>
    <mergeCell ref="A3:D3"/>
    <mergeCell ref="A4:B4"/>
    <mergeCell ref="C4:D4"/>
    <mergeCell ref="A5:B5"/>
    <mergeCell ref="C5:D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showGridLines="0" topLeftCell="A5" zoomScaleNormal="100" workbookViewId="0">
      <selection activeCell="B19" sqref="B19"/>
    </sheetView>
  </sheetViews>
  <sheetFormatPr baseColWidth="10" defaultColWidth="8.6328125" defaultRowHeight="14.5" x14ac:dyDescent="0.35"/>
  <cols>
    <col min="1" max="1" width="26" customWidth="1"/>
    <col min="2" max="2" width="14" customWidth="1"/>
    <col min="3" max="3" width="16" customWidth="1"/>
    <col min="4" max="5" width="4" customWidth="1"/>
    <col min="6" max="6" width="24" customWidth="1"/>
    <col min="7" max="7" width="14" customWidth="1"/>
    <col min="8" max="8" width="16" customWidth="1"/>
  </cols>
  <sheetData>
    <row r="1" spans="1:8" ht="31.5" customHeight="1" x14ac:dyDescent="0.35">
      <c r="A1" s="10" t="s">
        <v>36</v>
      </c>
      <c r="B1" s="10"/>
      <c r="C1" s="10"/>
      <c r="D1" s="10"/>
      <c r="E1" s="10"/>
      <c r="F1" s="10"/>
      <c r="G1" s="10"/>
      <c r="H1" s="10"/>
    </row>
    <row r="2" spans="1:8" ht="14.25" customHeight="1" x14ac:dyDescent="0.35">
      <c r="A2" s="20" t="s">
        <v>37</v>
      </c>
    </row>
    <row r="4" spans="1:8" ht="16.5" customHeight="1" x14ac:dyDescent="0.4">
      <c r="A4" s="12" t="s">
        <v>38</v>
      </c>
      <c r="F4" s="12" t="s">
        <v>39</v>
      </c>
    </row>
    <row r="5" spans="1:8" ht="21.75" customHeight="1" x14ac:dyDescent="0.35">
      <c r="A5" s="13" t="s">
        <v>40</v>
      </c>
      <c r="B5" s="13" t="s">
        <v>41</v>
      </c>
      <c r="C5" s="13" t="s">
        <v>24</v>
      </c>
      <c r="F5" s="13" t="s">
        <v>22</v>
      </c>
      <c r="G5" s="13" t="s">
        <v>41</v>
      </c>
      <c r="H5" s="13" t="s">
        <v>24</v>
      </c>
    </row>
    <row r="6" spans="1:8" ht="14.25" customHeight="1" x14ac:dyDescent="0.35">
      <c r="A6" s="14" t="s">
        <v>42</v>
      </c>
      <c r="B6" s="15">
        <f>COUNTIF('💸 Gastos'!C:C,"Arriendo")</f>
        <v>2</v>
      </c>
      <c r="C6" s="16">
        <f>SUMIF('💸 Gastos'!C:C,"Arriendo",'💸 Gastos'!E:E)</f>
        <v>3950000</v>
      </c>
      <c r="F6" s="14" t="s">
        <v>26</v>
      </c>
      <c r="G6" s="15">
        <f>COUNTIF('💸 Gastos'!H:H,"Nequi")</f>
        <v>0</v>
      </c>
      <c r="H6" s="16">
        <f>SUMIF('💸 Gastos'!H:H,"Nequi",'💸 Gastos'!E:E)</f>
        <v>0</v>
      </c>
    </row>
    <row r="7" spans="1:8" ht="14.25" customHeight="1" x14ac:dyDescent="0.35">
      <c r="A7" s="14" t="s">
        <v>43</v>
      </c>
      <c r="B7" s="15">
        <f>COUNTIF('💸 Gastos'!C:C,"Servicios Públicos")</f>
        <v>1</v>
      </c>
      <c r="C7" s="16">
        <f>SUMIF('💸 Gastos'!C:C,"Servicios Públicos",'💸 Gastos'!E:E)</f>
        <v>35850</v>
      </c>
      <c r="F7" s="14" t="s">
        <v>28</v>
      </c>
      <c r="G7" s="15">
        <f>COUNTIF('💸 Gastos'!H:H,"Daviplata")</f>
        <v>0</v>
      </c>
      <c r="H7" s="16">
        <f>SUMIF('💸 Gastos'!H:H,"Daviplata",'💸 Gastos'!E:E)</f>
        <v>0</v>
      </c>
    </row>
    <row r="8" spans="1:8" ht="14.25" customHeight="1" x14ac:dyDescent="0.35">
      <c r="A8" s="14" t="s">
        <v>44</v>
      </c>
      <c r="B8" s="15">
        <f>COUNTIF('💸 Gastos'!C:C,"Nómina / Personal")</f>
        <v>1</v>
      </c>
      <c r="C8" s="16">
        <f>SUMIF('💸 Gastos'!C:C,"Nómina / Personal",'💸 Gastos'!E:E)</f>
        <v>906000</v>
      </c>
      <c r="F8" s="14" t="s">
        <v>30</v>
      </c>
      <c r="G8" s="15">
        <f>COUNTIF('💸 Gastos'!H:H,"Efectivo")</f>
        <v>62</v>
      </c>
      <c r="H8" s="16">
        <f>SUMIF('💸 Gastos'!H:H,"Efectivo",'💸 Gastos'!E:E)</f>
        <v>14256280</v>
      </c>
    </row>
    <row r="9" spans="1:8" ht="14.25" customHeight="1" x14ac:dyDescent="0.35">
      <c r="A9" s="14" t="s">
        <v>45</v>
      </c>
      <c r="B9" s="15">
        <f>COUNTIF('💸 Gastos'!C:C,"Insumos y Aseo")</f>
        <v>8</v>
      </c>
      <c r="C9" s="16">
        <f>SUMIF('💸 Gastos'!C:C,"Insumos y Aseo",'💸 Gastos'!E:E)</f>
        <v>398403</v>
      </c>
      <c r="F9" s="14" t="s">
        <v>32</v>
      </c>
      <c r="G9" s="15">
        <f>COUNTIF('💸 Gastos'!H:H,"Transferencia Bancaria")</f>
        <v>0</v>
      </c>
      <c r="H9" s="16">
        <f>SUMIF('💸 Gastos'!H:H,"Transferencia Bancaria",'💸 Gastos'!E:E)</f>
        <v>0</v>
      </c>
    </row>
    <row r="10" spans="1:8" ht="14.25" customHeight="1" x14ac:dyDescent="0.35">
      <c r="A10" s="14" t="s">
        <v>46</v>
      </c>
      <c r="B10" s="15">
        <f>COUNTIF('💸 Gastos'!C:C,"Mantenimiento Equipos")</f>
        <v>0</v>
      </c>
      <c r="C10" s="16">
        <f>SUMIF('💸 Gastos'!C:C,"Mantenimiento Equipos",'💸 Gastos'!E:E)</f>
        <v>0</v>
      </c>
      <c r="F10" s="14" t="s">
        <v>34</v>
      </c>
      <c r="G10" s="15">
        <f>COUNTIF('💸 Gastos'!H:H,"Tarjeta Débito/Crédito")</f>
        <v>0</v>
      </c>
      <c r="H10" s="16">
        <f>SUMIF('💸 Gastos'!H:H,"Tarjeta Débito/Crédito",'💸 Gastos'!E:E)</f>
        <v>0</v>
      </c>
    </row>
    <row r="11" spans="1:8" ht="14.25" customHeight="1" x14ac:dyDescent="0.35">
      <c r="A11" s="14" t="s">
        <v>47</v>
      </c>
      <c r="B11" s="15">
        <f>COUNTIF('💸 Gastos'!C:C,"Marketing y Publicidad")</f>
        <v>8</v>
      </c>
      <c r="C11" s="16">
        <f>SUMIF('💸 Gastos'!C:C,"Marketing y Publicidad",'💸 Gastos'!E:E)</f>
        <v>554179</v>
      </c>
      <c r="F11" s="21" t="s">
        <v>48</v>
      </c>
      <c r="G11" s="22">
        <f>SUM(G6:G10)</f>
        <v>62</v>
      </c>
      <c r="H11" s="23">
        <f>SUM(H6:H10)</f>
        <v>14256280</v>
      </c>
    </row>
    <row r="12" spans="1:8" ht="14.25" customHeight="1" x14ac:dyDescent="0.35">
      <c r="A12" s="14" t="s">
        <v>49</v>
      </c>
      <c r="B12" s="15">
        <f>COUNTIF('💸 Gastos'!C:C,"Software / Suscripciones")</f>
        <v>0</v>
      </c>
      <c r="C12" s="16">
        <f>SUMIF('💸 Gastos'!C:C,"Software / Suscripciones",'💸 Gastos'!E:E)</f>
        <v>0</v>
      </c>
    </row>
    <row r="13" spans="1:8" ht="14.25" customHeight="1" x14ac:dyDescent="0.35">
      <c r="A13" s="14" t="s">
        <v>50</v>
      </c>
      <c r="B13" s="15">
        <f>COUNTIF('💸 Gastos'!C:C,"Mantenimiento Local/Infraestructura")</f>
        <v>2</v>
      </c>
      <c r="C13" s="16">
        <f>SUMIF('💸 Gastos'!C:C,"Mantenimiento Local/Infraestructura",'💸 Gastos'!E:E)</f>
        <v>6364500</v>
      </c>
    </row>
    <row r="14" spans="1:8" ht="14.25" customHeight="1" x14ac:dyDescent="0.35">
      <c r="A14" s="14" t="s">
        <v>51</v>
      </c>
      <c r="B14" s="15">
        <f>COUNTIF('💸 Gastos'!C:C,"Envíos/Transporte")</f>
        <v>1</v>
      </c>
      <c r="C14" s="16">
        <f>SUMIF('💸 Gastos'!C:C,"Envíos/Transporte",'💸 Gastos'!E:E)</f>
        <v>195000</v>
      </c>
    </row>
    <row r="15" spans="1:8" ht="14.25" customHeight="1" x14ac:dyDescent="0.35">
      <c r="A15" s="14" t="s">
        <v>52</v>
      </c>
      <c r="B15" s="15">
        <f>COUNTIF('💸 Gastos'!C:C,"Otros")</f>
        <v>0</v>
      </c>
      <c r="C15" s="16">
        <f>SUMIF('💸 Gastos'!C:C,"Otros",'💸 Gastos'!E:E)</f>
        <v>0</v>
      </c>
    </row>
    <row r="16" spans="1:8" ht="14.25" customHeight="1" x14ac:dyDescent="0.35">
      <c r="A16" s="21" t="s">
        <v>48</v>
      </c>
      <c r="B16" s="22">
        <f>SUM(B6:B15)</f>
        <v>23</v>
      </c>
      <c r="C16" s="23">
        <f>SUM(C6:C15)</f>
        <v>12403932</v>
      </c>
    </row>
    <row r="18" spans="1:3" ht="16.5" customHeight="1" x14ac:dyDescent="0.4">
      <c r="A18" s="12" t="s">
        <v>53</v>
      </c>
    </row>
    <row r="19" spans="1:3" ht="21.75" customHeight="1" x14ac:dyDescent="0.35">
      <c r="A19" s="13" t="s">
        <v>54</v>
      </c>
      <c r="B19" s="13" t="s">
        <v>20</v>
      </c>
      <c r="C19" s="13" t="s">
        <v>24</v>
      </c>
    </row>
    <row r="20" spans="1:3" ht="14.25" customHeight="1" x14ac:dyDescent="0.35">
      <c r="A20" s="14" t="s">
        <v>55</v>
      </c>
      <c r="B20" s="15">
        <f>SUMIF('🛒 Ventas'!F:F,"Negro",'🛒 Ventas'!G:G)</f>
        <v>0</v>
      </c>
      <c r="C20" s="16">
        <f>SUMIF('🛒 Ventas'!F:F,"Negro",'🛒 Ventas'!I:I)</f>
        <v>0</v>
      </c>
    </row>
    <row r="21" spans="1:3" ht="14.25" customHeight="1" x14ac:dyDescent="0.35">
      <c r="A21" s="14" t="s">
        <v>56</v>
      </c>
      <c r="B21" s="15">
        <f>SUMIF('🛒 Ventas'!F:F,"Azul",'🛒 Ventas'!G:G)</f>
        <v>0</v>
      </c>
      <c r="C21" s="16">
        <f>SUMIF('🛒 Ventas'!F:F,"Azul",'🛒 Ventas'!I:I)</f>
        <v>0</v>
      </c>
    </row>
    <row r="22" spans="1:3" ht="14.25" customHeight="1" x14ac:dyDescent="0.35">
      <c r="A22" s="14" t="s">
        <v>57</v>
      </c>
      <c r="B22" s="15">
        <f>SUMIF('🛒 Ventas'!F:F,"Rojo",'🛒 Ventas'!G:G)</f>
        <v>0</v>
      </c>
      <c r="C22" s="16">
        <f>SUMIF('🛒 Ventas'!F:F,"Rojo",'🛒 Ventas'!I:I)</f>
        <v>0</v>
      </c>
    </row>
    <row r="23" spans="1:3" ht="14.25" customHeight="1" x14ac:dyDescent="0.35">
      <c r="A23" s="14" t="s">
        <v>58</v>
      </c>
      <c r="B23" s="15">
        <f>SUMIF('🛒 Ventas'!F:F,"Verde",'🛒 Ventas'!G:G)</f>
        <v>0</v>
      </c>
      <c r="C23" s="16">
        <f>SUMIF('🛒 Ventas'!F:F,"Verde",'🛒 Ventas'!I:I)</f>
        <v>0</v>
      </c>
    </row>
    <row r="24" spans="1:3" ht="14.25" customHeight="1" x14ac:dyDescent="0.35">
      <c r="A24" s="14" t="s">
        <v>59</v>
      </c>
      <c r="B24" s="15">
        <f>SUMIF('🛒 Ventas'!F:F,"Amarillo",'🛒 Ventas'!G:G)</f>
        <v>0</v>
      </c>
      <c r="C24" s="16">
        <f>SUMIF('🛒 Ventas'!F:F,"Amarillo",'🛒 Ventas'!I:I)</f>
        <v>0</v>
      </c>
    </row>
    <row r="25" spans="1:3" ht="14.25" customHeight="1" x14ac:dyDescent="0.35">
      <c r="A25" s="14" t="s">
        <v>60</v>
      </c>
      <c r="B25" s="15">
        <f>SUMIF('🛒 Ventas'!F:F,"Blanco",'🛒 Ventas'!G:G)</f>
        <v>0</v>
      </c>
      <c r="C25" s="16">
        <f>SUMIF('🛒 Ventas'!F:F,"Blanco",'🛒 Ventas'!I:I)</f>
        <v>0</v>
      </c>
    </row>
    <row r="26" spans="1:3" ht="14.25" customHeight="1" x14ac:dyDescent="0.35">
      <c r="A26" s="21" t="s">
        <v>48</v>
      </c>
      <c r="B26" s="22">
        <f>SUM(B20:B25)</f>
        <v>0</v>
      </c>
      <c r="C26" s="23">
        <f>SUM(C20:C25)</f>
        <v>0</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49"/>
  <sheetViews>
    <sheetView showGridLines="0" topLeftCell="Z1" zoomScaleNormal="100" workbookViewId="0">
      <pane ySplit="1" topLeftCell="A2" activePane="bottomLeft" state="frozen"/>
      <selection pane="bottomLeft"/>
    </sheetView>
  </sheetViews>
  <sheetFormatPr baseColWidth="10" defaultColWidth="8.6328125" defaultRowHeight="14.5" x14ac:dyDescent="0.35"/>
  <cols>
    <col min="1" max="2" width="12" customWidth="1"/>
    <col min="3" max="3" width="30" customWidth="1"/>
    <col min="4" max="4" width="18" customWidth="1"/>
    <col min="5" max="5" width="10" customWidth="1"/>
    <col min="6" max="6" width="16" customWidth="1"/>
    <col min="7" max="7" width="14" customWidth="1"/>
    <col min="8" max="8" width="18" customWidth="1"/>
    <col min="9" max="9" width="16" customWidth="1"/>
    <col min="10" max="10" width="30" customWidth="1"/>
  </cols>
  <sheetData>
    <row r="1" spans="1:10" ht="26.25" customHeight="1" x14ac:dyDescent="0.35">
      <c r="A1" s="24" t="s">
        <v>61</v>
      </c>
      <c r="B1" s="24" t="s">
        <v>62</v>
      </c>
      <c r="C1" s="24" t="s">
        <v>63</v>
      </c>
      <c r="D1" s="24" t="s">
        <v>64</v>
      </c>
      <c r="E1" s="24" t="s">
        <v>65</v>
      </c>
      <c r="F1" s="24" t="s">
        <v>66</v>
      </c>
      <c r="G1" s="24" t="s">
        <v>24</v>
      </c>
      <c r="H1" s="24" t="s">
        <v>67</v>
      </c>
      <c r="I1" s="24" t="s">
        <v>68</v>
      </c>
      <c r="J1" s="24" t="s">
        <v>69</v>
      </c>
    </row>
    <row r="2" spans="1:10" ht="15" customHeight="1" x14ac:dyDescent="0.35">
      <c r="A2" s="25" t="s">
        <v>70</v>
      </c>
      <c r="B2" s="25"/>
      <c r="C2" s="25" t="s">
        <v>71</v>
      </c>
      <c r="D2" s="25" t="s">
        <v>72</v>
      </c>
      <c r="E2" s="25">
        <v>1</v>
      </c>
      <c r="F2" s="25">
        <v>35000</v>
      </c>
      <c r="G2" s="25">
        <f>E2*F2</f>
        <v>35000</v>
      </c>
      <c r="H2" s="25" t="s">
        <v>26</v>
      </c>
      <c r="I2" s="25" t="s">
        <v>73</v>
      </c>
      <c r="J2" s="25" t="s">
        <v>74</v>
      </c>
    </row>
    <row r="3" spans="1:10" ht="15" customHeight="1" x14ac:dyDescent="0.35">
      <c r="G3" t="str">
        <f t="shared" ref="G3:G66" si="0">IF(E3="","",E3*F3)</f>
        <v/>
      </c>
    </row>
    <row r="4" spans="1:10" ht="15" customHeight="1" x14ac:dyDescent="0.35">
      <c r="G4" t="str">
        <f t="shared" si="0"/>
        <v/>
      </c>
    </row>
    <row r="5" spans="1:10" ht="15" customHeight="1" x14ac:dyDescent="0.35">
      <c r="G5" t="str">
        <f t="shared" si="0"/>
        <v/>
      </c>
    </row>
    <row r="6" spans="1:10" ht="15" customHeight="1" x14ac:dyDescent="0.35">
      <c r="G6" t="str">
        <f t="shared" si="0"/>
        <v/>
      </c>
    </row>
    <row r="7" spans="1:10" ht="15" customHeight="1" x14ac:dyDescent="0.35">
      <c r="G7" t="str">
        <f t="shared" si="0"/>
        <v/>
      </c>
    </row>
    <row r="8" spans="1:10" ht="15" customHeight="1" x14ac:dyDescent="0.35">
      <c r="G8" t="str">
        <f t="shared" si="0"/>
        <v/>
      </c>
    </row>
    <row r="9" spans="1:10" ht="15" customHeight="1" x14ac:dyDescent="0.35">
      <c r="G9" t="str">
        <f t="shared" si="0"/>
        <v/>
      </c>
    </row>
    <row r="10" spans="1:10" ht="15" customHeight="1" x14ac:dyDescent="0.35">
      <c r="G10" t="str">
        <f t="shared" si="0"/>
        <v/>
      </c>
    </row>
    <row r="11" spans="1:10" ht="15" customHeight="1" x14ac:dyDescent="0.35">
      <c r="G11" t="str">
        <f t="shared" si="0"/>
        <v/>
      </c>
    </row>
    <row r="12" spans="1:10" ht="15" customHeight="1" x14ac:dyDescent="0.35">
      <c r="G12" t="str">
        <f t="shared" si="0"/>
        <v/>
      </c>
    </row>
    <row r="13" spans="1:10" ht="15" customHeight="1" x14ac:dyDescent="0.35">
      <c r="G13" t="str">
        <f t="shared" si="0"/>
        <v/>
      </c>
    </row>
    <row r="14" spans="1:10" ht="15" customHeight="1" x14ac:dyDescent="0.35">
      <c r="G14" t="str">
        <f t="shared" si="0"/>
        <v/>
      </c>
    </row>
    <row r="15" spans="1:10" ht="15" customHeight="1" x14ac:dyDescent="0.35">
      <c r="G15" t="str">
        <f t="shared" si="0"/>
        <v/>
      </c>
    </row>
    <row r="16" spans="1:10" ht="15" customHeight="1" x14ac:dyDescent="0.35">
      <c r="G16" t="str">
        <f t="shared" si="0"/>
        <v/>
      </c>
    </row>
    <row r="17" spans="7:7" ht="15" customHeight="1" x14ac:dyDescent="0.35">
      <c r="G17" t="str">
        <f t="shared" si="0"/>
        <v/>
      </c>
    </row>
    <row r="18" spans="7:7" ht="15" customHeight="1" x14ac:dyDescent="0.35">
      <c r="G18" t="str">
        <f t="shared" si="0"/>
        <v/>
      </c>
    </row>
    <row r="19" spans="7:7" ht="15" customHeight="1" x14ac:dyDescent="0.35">
      <c r="G19" t="str">
        <f t="shared" si="0"/>
        <v/>
      </c>
    </row>
    <row r="20" spans="7:7" ht="15" customHeight="1" x14ac:dyDescent="0.35">
      <c r="G20" t="str">
        <f t="shared" si="0"/>
        <v/>
      </c>
    </row>
    <row r="21" spans="7:7" ht="15" customHeight="1" x14ac:dyDescent="0.35">
      <c r="G21" t="str">
        <f t="shared" si="0"/>
        <v/>
      </c>
    </row>
    <row r="22" spans="7:7" ht="15" customHeight="1" x14ac:dyDescent="0.35">
      <c r="G22" t="str">
        <f t="shared" si="0"/>
        <v/>
      </c>
    </row>
    <row r="23" spans="7:7" ht="15" customHeight="1" x14ac:dyDescent="0.35">
      <c r="G23" t="str">
        <f t="shared" si="0"/>
        <v/>
      </c>
    </row>
    <row r="24" spans="7:7" ht="15" customHeight="1" x14ac:dyDescent="0.35">
      <c r="G24" t="str">
        <f t="shared" si="0"/>
        <v/>
      </c>
    </row>
    <row r="25" spans="7:7" ht="15" customHeight="1" x14ac:dyDescent="0.35">
      <c r="G25" t="str">
        <f t="shared" si="0"/>
        <v/>
      </c>
    </row>
    <row r="26" spans="7:7" ht="15" customHeight="1" x14ac:dyDescent="0.35">
      <c r="G26" t="str">
        <f t="shared" si="0"/>
        <v/>
      </c>
    </row>
    <row r="27" spans="7:7" ht="15" customHeight="1" x14ac:dyDescent="0.35">
      <c r="G27" t="str">
        <f t="shared" si="0"/>
        <v/>
      </c>
    </row>
    <row r="28" spans="7:7" ht="15" customHeight="1" x14ac:dyDescent="0.35">
      <c r="G28" t="str">
        <f t="shared" si="0"/>
        <v/>
      </c>
    </row>
    <row r="29" spans="7:7" ht="15" customHeight="1" x14ac:dyDescent="0.35">
      <c r="G29" t="str">
        <f t="shared" si="0"/>
        <v/>
      </c>
    </row>
    <row r="30" spans="7:7" ht="15" customHeight="1" x14ac:dyDescent="0.35">
      <c r="G30" t="str">
        <f t="shared" si="0"/>
        <v/>
      </c>
    </row>
    <row r="31" spans="7:7" ht="15" customHeight="1" x14ac:dyDescent="0.35">
      <c r="G31" t="str">
        <f t="shared" si="0"/>
        <v/>
      </c>
    </row>
    <row r="32" spans="7:7" ht="15" customHeight="1" x14ac:dyDescent="0.35">
      <c r="G32" t="str">
        <f t="shared" si="0"/>
        <v/>
      </c>
    </row>
    <row r="33" spans="7:7" ht="15" customHeight="1" x14ac:dyDescent="0.35">
      <c r="G33" t="str">
        <f t="shared" si="0"/>
        <v/>
      </c>
    </row>
    <row r="34" spans="7:7" ht="15" customHeight="1" x14ac:dyDescent="0.35">
      <c r="G34" t="str">
        <f t="shared" si="0"/>
        <v/>
      </c>
    </row>
    <row r="35" spans="7:7" ht="15" customHeight="1" x14ac:dyDescent="0.35">
      <c r="G35" t="str">
        <f t="shared" si="0"/>
        <v/>
      </c>
    </row>
    <row r="36" spans="7:7" ht="15" customHeight="1" x14ac:dyDescent="0.35">
      <c r="G36" t="str">
        <f t="shared" si="0"/>
        <v/>
      </c>
    </row>
    <row r="37" spans="7:7" ht="15" customHeight="1" x14ac:dyDescent="0.35">
      <c r="G37" t="str">
        <f t="shared" si="0"/>
        <v/>
      </c>
    </row>
    <row r="38" spans="7:7" ht="15" customHeight="1" x14ac:dyDescent="0.35">
      <c r="G38" t="str">
        <f t="shared" si="0"/>
        <v/>
      </c>
    </row>
    <row r="39" spans="7:7" ht="15" customHeight="1" x14ac:dyDescent="0.35">
      <c r="G39" t="str">
        <f t="shared" si="0"/>
        <v/>
      </c>
    </row>
    <row r="40" spans="7:7" ht="15" customHeight="1" x14ac:dyDescent="0.35">
      <c r="G40" t="str">
        <f t="shared" si="0"/>
        <v/>
      </c>
    </row>
    <row r="41" spans="7:7" ht="15" customHeight="1" x14ac:dyDescent="0.35">
      <c r="G41" t="str">
        <f t="shared" si="0"/>
        <v/>
      </c>
    </row>
    <row r="42" spans="7:7" ht="15" customHeight="1" x14ac:dyDescent="0.35">
      <c r="G42" t="str">
        <f t="shared" si="0"/>
        <v/>
      </c>
    </row>
    <row r="43" spans="7:7" ht="15" customHeight="1" x14ac:dyDescent="0.35">
      <c r="G43" t="str">
        <f t="shared" si="0"/>
        <v/>
      </c>
    </row>
    <row r="44" spans="7:7" ht="15" customHeight="1" x14ac:dyDescent="0.35">
      <c r="G44" t="str">
        <f t="shared" si="0"/>
        <v/>
      </c>
    </row>
    <row r="45" spans="7:7" ht="15" customHeight="1" x14ac:dyDescent="0.35">
      <c r="G45" t="str">
        <f t="shared" si="0"/>
        <v/>
      </c>
    </row>
    <row r="46" spans="7:7" ht="15" customHeight="1" x14ac:dyDescent="0.35">
      <c r="G46" t="str">
        <f t="shared" si="0"/>
        <v/>
      </c>
    </row>
    <row r="47" spans="7:7" ht="15" customHeight="1" x14ac:dyDescent="0.35">
      <c r="G47" t="str">
        <f t="shared" si="0"/>
        <v/>
      </c>
    </row>
    <row r="48" spans="7:7" ht="15" customHeight="1" x14ac:dyDescent="0.35">
      <c r="G48" t="str">
        <f t="shared" si="0"/>
        <v/>
      </c>
    </row>
    <row r="49" spans="7:7" ht="15" customHeight="1" x14ac:dyDescent="0.35">
      <c r="G49" t="str">
        <f t="shared" si="0"/>
        <v/>
      </c>
    </row>
    <row r="50" spans="7:7" ht="15" customHeight="1" x14ac:dyDescent="0.35">
      <c r="G50" t="str">
        <f t="shared" si="0"/>
        <v/>
      </c>
    </row>
    <row r="51" spans="7:7" ht="15" customHeight="1" x14ac:dyDescent="0.35">
      <c r="G51" t="str">
        <f t="shared" si="0"/>
        <v/>
      </c>
    </row>
    <row r="52" spans="7:7" ht="15" customHeight="1" x14ac:dyDescent="0.35">
      <c r="G52" t="str">
        <f t="shared" si="0"/>
        <v/>
      </c>
    </row>
    <row r="53" spans="7:7" ht="15" customHeight="1" x14ac:dyDescent="0.35">
      <c r="G53" t="str">
        <f t="shared" si="0"/>
        <v/>
      </c>
    </row>
    <row r="54" spans="7:7" ht="15" customHeight="1" x14ac:dyDescent="0.35">
      <c r="G54" t="str">
        <f t="shared" si="0"/>
        <v/>
      </c>
    </row>
    <row r="55" spans="7:7" ht="15" customHeight="1" x14ac:dyDescent="0.35">
      <c r="G55" t="str">
        <f t="shared" si="0"/>
        <v/>
      </c>
    </row>
    <row r="56" spans="7:7" ht="15" customHeight="1" x14ac:dyDescent="0.35">
      <c r="G56" t="str">
        <f t="shared" si="0"/>
        <v/>
      </c>
    </row>
    <row r="57" spans="7:7" ht="15" customHeight="1" x14ac:dyDescent="0.35">
      <c r="G57" t="str">
        <f t="shared" si="0"/>
        <v/>
      </c>
    </row>
    <row r="58" spans="7:7" ht="15" customHeight="1" x14ac:dyDescent="0.35">
      <c r="G58" t="str">
        <f t="shared" si="0"/>
        <v/>
      </c>
    </row>
    <row r="59" spans="7:7" ht="15" customHeight="1" x14ac:dyDescent="0.35">
      <c r="G59" t="str">
        <f t="shared" si="0"/>
        <v/>
      </c>
    </row>
    <row r="60" spans="7:7" ht="15" customHeight="1" x14ac:dyDescent="0.35">
      <c r="G60" t="str">
        <f t="shared" si="0"/>
        <v/>
      </c>
    </row>
    <row r="61" spans="7:7" ht="15" customHeight="1" x14ac:dyDescent="0.35">
      <c r="G61" t="str">
        <f t="shared" si="0"/>
        <v/>
      </c>
    </row>
    <row r="62" spans="7:7" ht="15" customHeight="1" x14ac:dyDescent="0.35">
      <c r="G62" t="str">
        <f t="shared" si="0"/>
        <v/>
      </c>
    </row>
    <row r="63" spans="7:7" ht="15" customHeight="1" x14ac:dyDescent="0.35">
      <c r="G63" t="str">
        <f t="shared" si="0"/>
        <v/>
      </c>
    </row>
    <row r="64" spans="7:7" ht="15" customHeight="1" x14ac:dyDescent="0.35">
      <c r="G64" t="str">
        <f t="shared" si="0"/>
        <v/>
      </c>
    </row>
    <row r="65" spans="7:7" ht="15" customHeight="1" x14ac:dyDescent="0.35">
      <c r="G65" t="str">
        <f t="shared" si="0"/>
        <v/>
      </c>
    </row>
    <row r="66" spans="7:7" ht="15" customHeight="1" x14ac:dyDescent="0.35">
      <c r="G66" t="str">
        <f t="shared" si="0"/>
        <v/>
      </c>
    </row>
    <row r="67" spans="7:7" ht="15" customHeight="1" x14ac:dyDescent="0.35">
      <c r="G67" t="str">
        <f t="shared" ref="G67:G130" si="1">IF(E67="","",E67*F67)</f>
        <v/>
      </c>
    </row>
    <row r="68" spans="7:7" ht="15" customHeight="1" x14ac:dyDescent="0.35">
      <c r="G68" t="str">
        <f t="shared" si="1"/>
        <v/>
      </c>
    </row>
    <row r="69" spans="7:7" ht="15" customHeight="1" x14ac:dyDescent="0.35">
      <c r="G69" t="str">
        <f t="shared" si="1"/>
        <v/>
      </c>
    </row>
    <row r="70" spans="7:7" ht="15" customHeight="1" x14ac:dyDescent="0.35">
      <c r="G70" t="str">
        <f t="shared" si="1"/>
        <v/>
      </c>
    </row>
    <row r="71" spans="7:7" ht="15" customHeight="1" x14ac:dyDescent="0.35">
      <c r="G71" t="str">
        <f t="shared" si="1"/>
        <v/>
      </c>
    </row>
    <row r="72" spans="7:7" ht="15" customHeight="1" x14ac:dyDescent="0.35">
      <c r="G72" t="str">
        <f t="shared" si="1"/>
        <v/>
      </c>
    </row>
    <row r="73" spans="7:7" ht="15" customHeight="1" x14ac:dyDescent="0.35">
      <c r="G73" t="str">
        <f t="shared" si="1"/>
        <v/>
      </c>
    </row>
    <row r="74" spans="7:7" ht="15" customHeight="1" x14ac:dyDescent="0.35">
      <c r="G74" t="str">
        <f t="shared" si="1"/>
        <v/>
      </c>
    </row>
    <row r="75" spans="7:7" ht="15" customHeight="1" x14ac:dyDescent="0.35">
      <c r="G75" t="str">
        <f t="shared" si="1"/>
        <v/>
      </c>
    </row>
    <row r="76" spans="7:7" ht="15" customHeight="1" x14ac:dyDescent="0.35">
      <c r="G76" t="str">
        <f t="shared" si="1"/>
        <v/>
      </c>
    </row>
    <row r="77" spans="7:7" ht="15" customHeight="1" x14ac:dyDescent="0.35">
      <c r="G77" t="str">
        <f t="shared" si="1"/>
        <v/>
      </c>
    </row>
    <row r="78" spans="7:7" ht="15" customHeight="1" x14ac:dyDescent="0.35">
      <c r="G78" t="str">
        <f t="shared" si="1"/>
        <v/>
      </c>
    </row>
    <row r="79" spans="7:7" ht="15" customHeight="1" x14ac:dyDescent="0.35">
      <c r="G79" t="str">
        <f t="shared" si="1"/>
        <v/>
      </c>
    </row>
    <row r="80" spans="7:7" ht="15" customHeight="1" x14ac:dyDescent="0.35">
      <c r="G80" t="str">
        <f t="shared" si="1"/>
        <v/>
      </c>
    </row>
    <row r="81" spans="7:7" ht="15" customHeight="1" x14ac:dyDescent="0.35">
      <c r="G81" t="str">
        <f t="shared" si="1"/>
        <v/>
      </c>
    </row>
    <row r="82" spans="7:7" ht="15" customHeight="1" x14ac:dyDescent="0.35">
      <c r="G82" t="str">
        <f t="shared" si="1"/>
        <v/>
      </c>
    </row>
    <row r="83" spans="7:7" ht="15" customHeight="1" x14ac:dyDescent="0.35">
      <c r="G83" t="str">
        <f t="shared" si="1"/>
        <v/>
      </c>
    </row>
    <row r="84" spans="7:7" ht="15" customHeight="1" x14ac:dyDescent="0.35">
      <c r="G84" t="str">
        <f t="shared" si="1"/>
        <v/>
      </c>
    </row>
    <row r="85" spans="7:7" ht="15" customHeight="1" x14ac:dyDescent="0.35">
      <c r="G85" t="str">
        <f t="shared" si="1"/>
        <v/>
      </c>
    </row>
    <row r="86" spans="7:7" ht="15" customHeight="1" x14ac:dyDescent="0.35">
      <c r="G86" t="str">
        <f t="shared" si="1"/>
        <v/>
      </c>
    </row>
    <row r="87" spans="7:7" ht="15" customHeight="1" x14ac:dyDescent="0.35">
      <c r="G87" t="str">
        <f t="shared" si="1"/>
        <v/>
      </c>
    </row>
    <row r="88" spans="7:7" ht="15" customHeight="1" x14ac:dyDescent="0.35">
      <c r="G88" t="str">
        <f t="shared" si="1"/>
        <v/>
      </c>
    </row>
    <row r="89" spans="7:7" ht="15" customHeight="1" x14ac:dyDescent="0.35">
      <c r="G89" t="str">
        <f t="shared" si="1"/>
        <v/>
      </c>
    </row>
    <row r="90" spans="7:7" ht="15" customHeight="1" x14ac:dyDescent="0.35">
      <c r="G90" t="str">
        <f t="shared" si="1"/>
        <v/>
      </c>
    </row>
    <row r="91" spans="7:7" ht="15" customHeight="1" x14ac:dyDescent="0.35">
      <c r="G91" t="str">
        <f t="shared" si="1"/>
        <v/>
      </c>
    </row>
    <row r="92" spans="7:7" ht="15" customHeight="1" x14ac:dyDescent="0.35">
      <c r="G92" t="str">
        <f t="shared" si="1"/>
        <v/>
      </c>
    </row>
    <row r="93" spans="7:7" ht="15" customHeight="1" x14ac:dyDescent="0.35">
      <c r="G93" t="str">
        <f t="shared" si="1"/>
        <v/>
      </c>
    </row>
    <row r="94" spans="7:7" ht="15" customHeight="1" x14ac:dyDescent="0.35">
      <c r="G94" t="str">
        <f t="shared" si="1"/>
        <v/>
      </c>
    </row>
    <row r="95" spans="7:7" ht="15" customHeight="1" x14ac:dyDescent="0.35">
      <c r="G95" t="str">
        <f t="shared" si="1"/>
        <v/>
      </c>
    </row>
    <row r="96" spans="7:7" ht="15" customHeight="1" x14ac:dyDescent="0.35">
      <c r="G96" t="str">
        <f t="shared" si="1"/>
        <v/>
      </c>
    </row>
    <row r="97" spans="7:7" ht="15" customHeight="1" x14ac:dyDescent="0.35">
      <c r="G97" t="str">
        <f t="shared" si="1"/>
        <v/>
      </c>
    </row>
    <row r="98" spans="7:7" ht="15" customHeight="1" x14ac:dyDescent="0.35">
      <c r="G98" t="str">
        <f t="shared" si="1"/>
        <v/>
      </c>
    </row>
    <row r="99" spans="7:7" ht="15" customHeight="1" x14ac:dyDescent="0.35">
      <c r="G99" t="str">
        <f t="shared" si="1"/>
        <v/>
      </c>
    </row>
    <row r="100" spans="7:7" ht="15" customHeight="1" x14ac:dyDescent="0.35">
      <c r="G100" t="str">
        <f t="shared" si="1"/>
        <v/>
      </c>
    </row>
    <row r="101" spans="7:7" ht="15" customHeight="1" x14ac:dyDescent="0.35">
      <c r="G101" t="str">
        <f t="shared" si="1"/>
        <v/>
      </c>
    </row>
    <row r="102" spans="7:7" ht="15" customHeight="1" x14ac:dyDescent="0.35">
      <c r="G102" t="str">
        <f t="shared" si="1"/>
        <v/>
      </c>
    </row>
    <row r="103" spans="7:7" ht="15" customHeight="1" x14ac:dyDescent="0.35">
      <c r="G103" t="str">
        <f t="shared" si="1"/>
        <v/>
      </c>
    </row>
    <row r="104" spans="7:7" ht="15" customHeight="1" x14ac:dyDescent="0.35">
      <c r="G104" t="str">
        <f t="shared" si="1"/>
        <v/>
      </c>
    </row>
    <row r="105" spans="7:7" ht="15" customHeight="1" x14ac:dyDescent="0.35">
      <c r="G105" t="str">
        <f t="shared" si="1"/>
        <v/>
      </c>
    </row>
    <row r="106" spans="7:7" ht="15" customHeight="1" x14ac:dyDescent="0.35">
      <c r="G106" t="str">
        <f t="shared" si="1"/>
        <v/>
      </c>
    </row>
    <row r="107" spans="7:7" ht="15" customHeight="1" x14ac:dyDescent="0.35">
      <c r="G107" t="str">
        <f t="shared" si="1"/>
        <v/>
      </c>
    </row>
    <row r="108" spans="7:7" ht="15" customHeight="1" x14ac:dyDescent="0.35">
      <c r="G108" t="str">
        <f t="shared" si="1"/>
        <v/>
      </c>
    </row>
    <row r="109" spans="7:7" ht="15" customHeight="1" x14ac:dyDescent="0.35">
      <c r="G109" t="str">
        <f t="shared" si="1"/>
        <v/>
      </c>
    </row>
    <row r="110" spans="7:7" ht="15" customHeight="1" x14ac:dyDescent="0.35">
      <c r="G110" t="str">
        <f t="shared" si="1"/>
        <v/>
      </c>
    </row>
    <row r="111" spans="7:7" ht="15" customHeight="1" x14ac:dyDescent="0.35">
      <c r="G111" t="str">
        <f t="shared" si="1"/>
        <v/>
      </c>
    </row>
    <row r="112" spans="7:7" ht="15" customHeight="1" x14ac:dyDescent="0.35">
      <c r="G112" t="str">
        <f t="shared" si="1"/>
        <v/>
      </c>
    </row>
    <row r="113" spans="7:7" ht="15" customHeight="1" x14ac:dyDescent="0.35">
      <c r="G113" t="str">
        <f t="shared" si="1"/>
        <v/>
      </c>
    </row>
    <row r="114" spans="7:7" ht="15" customHeight="1" x14ac:dyDescent="0.35">
      <c r="G114" t="str">
        <f t="shared" si="1"/>
        <v/>
      </c>
    </row>
    <row r="115" spans="7:7" ht="15" customHeight="1" x14ac:dyDescent="0.35">
      <c r="G115" t="str">
        <f t="shared" si="1"/>
        <v/>
      </c>
    </row>
    <row r="116" spans="7:7" ht="15" customHeight="1" x14ac:dyDescent="0.35">
      <c r="G116" t="str">
        <f t="shared" si="1"/>
        <v/>
      </c>
    </row>
    <row r="117" spans="7:7" ht="15" customHeight="1" x14ac:dyDescent="0.35">
      <c r="G117" t="str">
        <f t="shared" si="1"/>
        <v/>
      </c>
    </row>
    <row r="118" spans="7:7" ht="15" customHeight="1" x14ac:dyDescent="0.35">
      <c r="G118" t="str">
        <f t="shared" si="1"/>
        <v/>
      </c>
    </row>
    <row r="119" spans="7:7" ht="15" customHeight="1" x14ac:dyDescent="0.35">
      <c r="G119" t="str">
        <f t="shared" si="1"/>
        <v/>
      </c>
    </row>
    <row r="120" spans="7:7" ht="15" customHeight="1" x14ac:dyDescent="0.35">
      <c r="G120" t="str">
        <f t="shared" si="1"/>
        <v/>
      </c>
    </row>
    <row r="121" spans="7:7" ht="15" customHeight="1" x14ac:dyDescent="0.35">
      <c r="G121" t="str">
        <f t="shared" si="1"/>
        <v/>
      </c>
    </row>
    <row r="122" spans="7:7" ht="15" customHeight="1" x14ac:dyDescent="0.35">
      <c r="G122" t="str">
        <f t="shared" si="1"/>
        <v/>
      </c>
    </row>
    <row r="123" spans="7:7" ht="15" customHeight="1" x14ac:dyDescent="0.35">
      <c r="G123" t="str">
        <f t="shared" si="1"/>
        <v/>
      </c>
    </row>
    <row r="124" spans="7:7" ht="15" customHeight="1" x14ac:dyDescent="0.35">
      <c r="G124" t="str">
        <f t="shared" si="1"/>
        <v/>
      </c>
    </row>
    <row r="125" spans="7:7" ht="15" customHeight="1" x14ac:dyDescent="0.35">
      <c r="G125" t="str">
        <f t="shared" si="1"/>
        <v/>
      </c>
    </row>
    <row r="126" spans="7:7" ht="15" customHeight="1" x14ac:dyDescent="0.35">
      <c r="G126" t="str">
        <f t="shared" si="1"/>
        <v/>
      </c>
    </row>
    <row r="127" spans="7:7" ht="15" customHeight="1" x14ac:dyDescent="0.35">
      <c r="G127" t="str">
        <f t="shared" si="1"/>
        <v/>
      </c>
    </row>
    <row r="128" spans="7:7" ht="15" customHeight="1" x14ac:dyDescent="0.35">
      <c r="G128" t="str">
        <f t="shared" si="1"/>
        <v/>
      </c>
    </row>
    <row r="129" spans="7:7" ht="15" customHeight="1" x14ac:dyDescent="0.35">
      <c r="G129" t="str">
        <f t="shared" si="1"/>
        <v/>
      </c>
    </row>
    <row r="130" spans="7:7" ht="15" customHeight="1" x14ac:dyDescent="0.35">
      <c r="G130" t="str">
        <f t="shared" si="1"/>
        <v/>
      </c>
    </row>
    <row r="131" spans="7:7" ht="15" customHeight="1" x14ac:dyDescent="0.35">
      <c r="G131" t="str">
        <f t="shared" ref="G131:G194" si="2">IF(E131="","",E131*F131)</f>
        <v/>
      </c>
    </row>
    <row r="132" spans="7:7" ht="15" customHeight="1" x14ac:dyDescent="0.35">
      <c r="G132" t="str">
        <f t="shared" si="2"/>
        <v/>
      </c>
    </row>
    <row r="133" spans="7:7" ht="15" customHeight="1" x14ac:dyDescent="0.35">
      <c r="G133" t="str">
        <f t="shared" si="2"/>
        <v/>
      </c>
    </row>
    <row r="134" spans="7:7" ht="15" customHeight="1" x14ac:dyDescent="0.35">
      <c r="G134" t="str">
        <f t="shared" si="2"/>
        <v/>
      </c>
    </row>
    <row r="135" spans="7:7" ht="15" customHeight="1" x14ac:dyDescent="0.35">
      <c r="G135" t="str">
        <f t="shared" si="2"/>
        <v/>
      </c>
    </row>
    <row r="136" spans="7:7" ht="15" customHeight="1" x14ac:dyDescent="0.35">
      <c r="G136" t="str">
        <f t="shared" si="2"/>
        <v/>
      </c>
    </row>
    <row r="137" spans="7:7" ht="15" customHeight="1" x14ac:dyDescent="0.35">
      <c r="G137" t="str">
        <f t="shared" si="2"/>
        <v/>
      </c>
    </row>
    <row r="138" spans="7:7" ht="15" customHeight="1" x14ac:dyDescent="0.35">
      <c r="G138" t="str">
        <f t="shared" si="2"/>
        <v/>
      </c>
    </row>
    <row r="139" spans="7:7" ht="15" customHeight="1" x14ac:dyDescent="0.35">
      <c r="G139" t="str">
        <f t="shared" si="2"/>
        <v/>
      </c>
    </row>
    <row r="140" spans="7:7" ht="15" customHeight="1" x14ac:dyDescent="0.35">
      <c r="G140" t="str">
        <f t="shared" si="2"/>
        <v/>
      </c>
    </row>
    <row r="141" spans="7:7" ht="15" customHeight="1" x14ac:dyDescent="0.35">
      <c r="G141" t="str">
        <f t="shared" si="2"/>
        <v/>
      </c>
    </row>
    <row r="142" spans="7:7" ht="15" customHeight="1" x14ac:dyDescent="0.35">
      <c r="G142" t="str">
        <f t="shared" si="2"/>
        <v/>
      </c>
    </row>
    <row r="143" spans="7:7" ht="15" customHeight="1" x14ac:dyDescent="0.35">
      <c r="G143" t="str">
        <f t="shared" si="2"/>
        <v/>
      </c>
    </row>
    <row r="144" spans="7:7" ht="15" customHeight="1" x14ac:dyDescent="0.35">
      <c r="G144" t="str">
        <f t="shared" si="2"/>
        <v/>
      </c>
    </row>
    <row r="145" spans="7:7" ht="15" customHeight="1" x14ac:dyDescent="0.35">
      <c r="G145" t="str">
        <f t="shared" si="2"/>
        <v/>
      </c>
    </row>
    <row r="146" spans="7:7" ht="15" customHeight="1" x14ac:dyDescent="0.35">
      <c r="G146" t="str">
        <f t="shared" si="2"/>
        <v/>
      </c>
    </row>
    <row r="147" spans="7:7" ht="15" customHeight="1" x14ac:dyDescent="0.35">
      <c r="G147" t="str">
        <f t="shared" si="2"/>
        <v/>
      </c>
    </row>
    <row r="148" spans="7:7" ht="15" customHeight="1" x14ac:dyDescent="0.35">
      <c r="G148" t="str">
        <f t="shared" si="2"/>
        <v/>
      </c>
    </row>
    <row r="149" spans="7:7" ht="15" customHeight="1" x14ac:dyDescent="0.35">
      <c r="G149" t="str">
        <f t="shared" si="2"/>
        <v/>
      </c>
    </row>
    <row r="150" spans="7:7" ht="15" customHeight="1" x14ac:dyDescent="0.35">
      <c r="G150" t="str">
        <f t="shared" si="2"/>
        <v/>
      </c>
    </row>
    <row r="151" spans="7:7" ht="15" customHeight="1" x14ac:dyDescent="0.35">
      <c r="G151" t="str">
        <f t="shared" si="2"/>
        <v/>
      </c>
    </row>
    <row r="152" spans="7:7" ht="15" customHeight="1" x14ac:dyDescent="0.35">
      <c r="G152" t="str">
        <f t="shared" si="2"/>
        <v/>
      </c>
    </row>
    <row r="153" spans="7:7" ht="15" customHeight="1" x14ac:dyDescent="0.35">
      <c r="G153" t="str">
        <f t="shared" si="2"/>
        <v/>
      </c>
    </row>
    <row r="154" spans="7:7" ht="15" customHeight="1" x14ac:dyDescent="0.35">
      <c r="G154" t="str">
        <f t="shared" si="2"/>
        <v/>
      </c>
    </row>
    <row r="155" spans="7:7" ht="15" customHeight="1" x14ac:dyDescent="0.35">
      <c r="G155" t="str">
        <f t="shared" si="2"/>
        <v/>
      </c>
    </row>
    <row r="156" spans="7:7" ht="15" customHeight="1" x14ac:dyDescent="0.35">
      <c r="G156" t="str">
        <f t="shared" si="2"/>
        <v/>
      </c>
    </row>
    <row r="157" spans="7:7" ht="15" customHeight="1" x14ac:dyDescent="0.35">
      <c r="G157" t="str">
        <f t="shared" si="2"/>
        <v/>
      </c>
    </row>
    <row r="158" spans="7:7" ht="15" customHeight="1" x14ac:dyDescent="0.35">
      <c r="G158" t="str">
        <f t="shared" si="2"/>
        <v/>
      </c>
    </row>
    <row r="159" spans="7:7" ht="15" customHeight="1" x14ac:dyDescent="0.35">
      <c r="G159" t="str">
        <f t="shared" si="2"/>
        <v/>
      </c>
    </row>
    <row r="160" spans="7:7" ht="15" customHeight="1" x14ac:dyDescent="0.35">
      <c r="G160" t="str">
        <f t="shared" si="2"/>
        <v/>
      </c>
    </row>
    <row r="161" spans="7:7" ht="15" customHeight="1" x14ac:dyDescent="0.35">
      <c r="G161" t="str">
        <f t="shared" si="2"/>
        <v/>
      </c>
    </row>
    <row r="162" spans="7:7" ht="15" customHeight="1" x14ac:dyDescent="0.35">
      <c r="G162" t="str">
        <f t="shared" si="2"/>
        <v/>
      </c>
    </row>
    <row r="163" spans="7:7" ht="15" customHeight="1" x14ac:dyDescent="0.35">
      <c r="G163" t="str">
        <f t="shared" si="2"/>
        <v/>
      </c>
    </row>
    <row r="164" spans="7:7" ht="15" customHeight="1" x14ac:dyDescent="0.35">
      <c r="G164" t="str">
        <f t="shared" si="2"/>
        <v/>
      </c>
    </row>
    <row r="165" spans="7:7" ht="15" customHeight="1" x14ac:dyDescent="0.35">
      <c r="G165" t="str">
        <f t="shared" si="2"/>
        <v/>
      </c>
    </row>
    <row r="166" spans="7:7" ht="15" customHeight="1" x14ac:dyDescent="0.35">
      <c r="G166" t="str">
        <f t="shared" si="2"/>
        <v/>
      </c>
    </row>
    <row r="167" spans="7:7" ht="15" customHeight="1" x14ac:dyDescent="0.35">
      <c r="G167" t="str">
        <f t="shared" si="2"/>
        <v/>
      </c>
    </row>
    <row r="168" spans="7:7" ht="15" customHeight="1" x14ac:dyDescent="0.35">
      <c r="G168" t="str">
        <f t="shared" si="2"/>
        <v/>
      </c>
    </row>
    <row r="169" spans="7:7" ht="15" customHeight="1" x14ac:dyDescent="0.35">
      <c r="G169" t="str">
        <f t="shared" si="2"/>
        <v/>
      </c>
    </row>
    <row r="170" spans="7:7" ht="15" customHeight="1" x14ac:dyDescent="0.35">
      <c r="G170" t="str">
        <f t="shared" si="2"/>
        <v/>
      </c>
    </row>
    <row r="171" spans="7:7" ht="15" customHeight="1" x14ac:dyDescent="0.35">
      <c r="G171" t="str">
        <f t="shared" si="2"/>
        <v/>
      </c>
    </row>
    <row r="172" spans="7:7" ht="15" customHeight="1" x14ac:dyDescent="0.35">
      <c r="G172" t="str">
        <f t="shared" si="2"/>
        <v/>
      </c>
    </row>
    <row r="173" spans="7:7" ht="15" customHeight="1" x14ac:dyDescent="0.35">
      <c r="G173" t="str">
        <f t="shared" si="2"/>
        <v/>
      </c>
    </row>
    <row r="174" spans="7:7" ht="15" customHeight="1" x14ac:dyDescent="0.35">
      <c r="G174" t="str">
        <f t="shared" si="2"/>
        <v/>
      </c>
    </row>
    <row r="175" spans="7:7" ht="15" customHeight="1" x14ac:dyDescent="0.35">
      <c r="G175" t="str">
        <f t="shared" si="2"/>
        <v/>
      </c>
    </row>
    <row r="176" spans="7:7" ht="15" customHeight="1" x14ac:dyDescent="0.35">
      <c r="G176" t="str">
        <f t="shared" si="2"/>
        <v/>
      </c>
    </row>
    <row r="177" spans="7:7" ht="15" customHeight="1" x14ac:dyDescent="0.35">
      <c r="G177" t="str">
        <f t="shared" si="2"/>
        <v/>
      </c>
    </row>
    <row r="178" spans="7:7" ht="15" customHeight="1" x14ac:dyDescent="0.35">
      <c r="G178" t="str">
        <f t="shared" si="2"/>
        <v/>
      </c>
    </row>
    <row r="179" spans="7:7" ht="15" customHeight="1" x14ac:dyDescent="0.35">
      <c r="G179" t="str">
        <f t="shared" si="2"/>
        <v/>
      </c>
    </row>
    <row r="180" spans="7:7" ht="15" customHeight="1" x14ac:dyDescent="0.35">
      <c r="G180" t="str">
        <f t="shared" si="2"/>
        <v/>
      </c>
    </row>
    <row r="181" spans="7:7" ht="15" customHeight="1" x14ac:dyDescent="0.35">
      <c r="G181" t="str">
        <f t="shared" si="2"/>
        <v/>
      </c>
    </row>
    <row r="182" spans="7:7" ht="15" customHeight="1" x14ac:dyDescent="0.35">
      <c r="G182" t="str">
        <f t="shared" si="2"/>
        <v/>
      </c>
    </row>
    <row r="183" spans="7:7" ht="15" customHeight="1" x14ac:dyDescent="0.35">
      <c r="G183" t="str">
        <f t="shared" si="2"/>
        <v/>
      </c>
    </row>
    <row r="184" spans="7:7" ht="15" customHeight="1" x14ac:dyDescent="0.35">
      <c r="G184" t="str">
        <f t="shared" si="2"/>
        <v/>
      </c>
    </row>
    <row r="185" spans="7:7" ht="15" customHeight="1" x14ac:dyDescent="0.35">
      <c r="G185" t="str">
        <f t="shared" si="2"/>
        <v/>
      </c>
    </row>
    <row r="186" spans="7:7" ht="15" customHeight="1" x14ac:dyDescent="0.35">
      <c r="G186" t="str">
        <f t="shared" si="2"/>
        <v/>
      </c>
    </row>
    <row r="187" spans="7:7" ht="15" customHeight="1" x14ac:dyDescent="0.35">
      <c r="G187" t="str">
        <f t="shared" si="2"/>
        <v/>
      </c>
    </row>
    <row r="188" spans="7:7" ht="15" customHeight="1" x14ac:dyDescent="0.35">
      <c r="G188" t="str">
        <f t="shared" si="2"/>
        <v/>
      </c>
    </row>
    <row r="189" spans="7:7" ht="15" customHeight="1" x14ac:dyDescent="0.35">
      <c r="G189" t="str">
        <f t="shared" si="2"/>
        <v/>
      </c>
    </row>
    <row r="190" spans="7:7" ht="15" customHeight="1" x14ac:dyDescent="0.35">
      <c r="G190" t="str">
        <f t="shared" si="2"/>
        <v/>
      </c>
    </row>
    <row r="191" spans="7:7" ht="15" customHeight="1" x14ac:dyDescent="0.35">
      <c r="G191" t="str">
        <f t="shared" si="2"/>
        <v/>
      </c>
    </row>
    <row r="192" spans="7:7" ht="15" customHeight="1" x14ac:dyDescent="0.35">
      <c r="G192" t="str">
        <f t="shared" si="2"/>
        <v/>
      </c>
    </row>
    <row r="193" spans="7:7" ht="15" customHeight="1" x14ac:dyDescent="0.35">
      <c r="G193" t="str">
        <f t="shared" si="2"/>
        <v/>
      </c>
    </row>
    <row r="194" spans="7:7" ht="15" customHeight="1" x14ac:dyDescent="0.35">
      <c r="G194" t="str">
        <f t="shared" si="2"/>
        <v/>
      </c>
    </row>
    <row r="195" spans="7:7" ht="15" customHeight="1" x14ac:dyDescent="0.35">
      <c r="G195" t="str">
        <f t="shared" ref="G195:G258" si="3">IF(E195="","",E195*F195)</f>
        <v/>
      </c>
    </row>
    <row r="196" spans="7:7" ht="15" customHeight="1" x14ac:dyDescent="0.35">
      <c r="G196" t="str">
        <f t="shared" si="3"/>
        <v/>
      </c>
    </row>
    <row r="197" spans="7:7" ht="15" customHeight="1" x14ac:dyDescent="0.35">
      <c r="G197" t="str">
        <f t="shared" si="3"/>
        <v/>
      </c>
    </row>
    <row r="198" spans="7:7" ht="15" customHeight="1" x14ac:dyDescent="0.35">
      <c r="G198" t="str">
        <f t="shared" si="3"/>
        <v/>
      </c>
    </row>
    <row r="199" spans="7:7" ht="15" customHeight="1" x14ac:dyDescent="0.35">
      <c r="G199" t="str">
        <f t="shared" si="3"/>
        <v/>
      </c>
    </row>
    <row r="200" spans="7:7" ht="15" customHeight="1" x14ac:dyDescent="0.35">
      <c r="G200" t="str">
        <f t="shared" si="3"/>
        <v/>
      </c>
    </row>
    <row r="201" spans="7:7" ht="15" customHeight="1" x14ac:dyDescent="0.35">
      <c r="G201" t="str">
        <f t="shared" si="3"/>
        <v/>
      </c>
    </row>
    <row r="202" spans="7:7" ht="15" customHeight="1" x14ac:dyDescent="0.35">
      <c r="G202" t="str">
        <f t="shared" si="3"/>
        <v/>
      </c>
    </row>
    <row r="203" spans="7:7" ht="15" customHeight="1" x14ac:dyDescent="0.35">
      <c r="G203" t="str">
        <f t="shared" si="3"/>
        <v/>
      </c>
    </row>
    <row r="204" spans="7:7" ht="15" customHeight="1" x14ac:dyDescent="0.35">
      <c r="G204" t="str">
        <f t="shared" si="3"/>
        <v/>
      </c>
    </row>
    <row r="205" spans="7:7" ht="15" customHeight="1" x14ac:dyDescent="0.35">
      <c r="G205" t="str">
        <f t="shared" si="3"/>
        <v/>
      </c>
    </row>
    <row r="206" spans="7:7" ht="15" customHeight="1" x14ac:dyDescent="0.35">
      <c r="G206" t="str">
        <f t="shared" si="3"/>
        <v/>
      </c>
    </row>
    <row r="207" spans="7:7" ht="15" customHeight="1" x14ac:dyDescent="0.35">
      <c r="G207" t="str">
        <f t="shared" si="3"/>
        <v/>
      </c>
    </row>
    <row r="208" spans="7:7" ht="15" customHeight="1" x14ac:dyDescent="0.35">
      <c r="G208" t="str">
        <f t="shared" si="3"/>
        <v/>
      </c>
    </row>
    <row r="209" spans="7:7" ht="15" customHeight="1" x14ac:dyDescent="0.35">
      <c r="G209" t="str">
        <f t="shared" si="3"/>
        <v/>
      </c>
    </row>
    <row r="210" spans="7:7" ht="15" customHeight="1" x14ac:dyDescent="0.35">
      <c r="G210" t="str">
        <f t="shared" si="3"/>
        <v/>
      </c>
    </row>
    <row r="211" spans="7:7" ht="15" customHeight="1" x14ac:dyDescent="0.35">
      <c r="G211" t="str">
        <f t="shared" si="3"/>
        <v/>
      </c>
    </row>
    <row r="212" spans="7:7" ht="15" customHeight="1" x14ac:dyDescent="0.35">
      <c r="G212" t="str">
        <f t="shared" si="3"/>
        <v/>
      </c>
    </row>
    <row r="213" spans="7:7" ht="15" customHeight="1" x14ac:dyDescent="0.35">
      <c r="G213" t="str">
        <f t="shared" si="3"/>
        <v/>
      </c>
    </row>
    <row r="214" spans="7:7" ht="15" customHeight="1" x14ac:dyDescent="0.35">
      <c r="G214" t="str">
        <f t="shared" si="3"/>
        <v/>
      </c>
    </row>
    <row r="215" spans="7:7" ht="15" customHeight="1" x14ac:dyDescent="0.35">
      <c r="G215" t="str">
        <f t="shared" si="3"/>
        <v/>
      </c>
    </row>
    <row r="216" spans="7:7" ht="15" customHeight="1" x14ac:dyDescent="0.35">
      <c r="G216" t="str">
        <f t="shared" si="3"/>
        <v/>
      </c>
    </row>
    <row r="217" spans="7:7" ht="15" customHeight="1" x14ac:dyDescent="0.35">
      <c r="G217" t="str">
        <f t="shared" si="3"/>
        <v/>
      </c>
    </row>
    <row r="218" spans="7:7" ht="15" customHeight="1" x14ac:dyDescent="0.35">
      <c r="G218" t="str">
        <f t="shared" si="3"/>
        <v/>
      </c>
    </row>
    <row r="219" spans="7:7" ht="15" customHeight="1" x14ac:dyDescent="0.35">
      <c r="G219" t="str">
        <f t="shared" si="3"/>
        <v/>
      </c>
    </row>
    <row r="220" spans="7:7" ht="15" customHeight="1" x14ac:dyDescent="0.35">
      <c r="G220" t="str">
        <f t="shared" si="3"/>
        <v/>
      </c>
    </row>
    <row r="221" spans="7:7" ht="15" customHeight="1" x14ac:dyDescent="0.35">
      <c r="G221" t="str">
        <f t="shared" si="3"/>
        <v/>
      </c>
    </row>
    <row r="222" spans="7:7" ht="15" customHeight="1" x14ac:dyDescent="0.35">
      <c r="G222" t="str">
        <f t="shared" si="3"/>
        <v/>
      </c>
    </row>
    <row r="223" spans="7:7" ht="15" customHeight="1" x14ac:dyDescent="0.35">
      <c r="G223" t="str">
        <f t="shared" si="3"/>
        <v/>
      </c>
    </row>
    <row r="224" spans="7:7" ht="15" customHeight="1" x14ac:dyDescent="0.35">
      <c r="G224" t="str">
        <f t="shared" si="3"/>
        <v/>
      </c>
    </row>
    <row r="225" spans="7:7" ht="15" customHeight="1" x14ac:dyDescent="0.35">
      <c r="G225" t="str">
        <f t="shared" si="3"/>
        <v/>
      </c>
    </row>
    <row r="226" spans="7:7" ht="15" customHeight="1" x14ac:dyDescent="0.35">
      <c r="G226" t="str">
        <f t="shared" si="3"/>
        <v/>
      </c>
    </row>
    <row r="227" spans="7:7" ht="15" customHeight="1" x14ac:dyDescent="0.35">
      <c r="G227" t="str">
        <f t="shared" si="3"/>
        <v/>
      </c>
    </row>
    <row r="228" spans="7:7" ht="15" customHeight="1" x14ac:dyDescent="0.35">
      <c r="G228" t="str">
        <f t="shared" si="3"/>
        <v/>
      </c>
    </row>
    <row r="229" spans="7:7" ht="15" customHeight="1" x14ac:dyDescent="0.35">
      <c r="G229" t="str">
        <f t="shared" si="3"/>
        <v/>
      </c>
    </row>
    <row r="230" spans="7:7" ht="15" customHeight="1" x14ac:dyDescent="0.35">
      <c r="G230" t="str">
        <f t="shared" si="3"/>
        <v/>
      </c>
    </row>
    <row r="231" spans="7:7" ht="15" customHeight="1" x14ac:dyDescent="0.35">
      <c r="G231" t="str">
        <f t="shared" si="3"/>
        <v/>
      </c>
    </row>
    <row r="232" spans="7:7" ht="15" customHeight="1" x14ac:dyDescent="0.35">
      <c r="G232" t="str">
        <f t="shared" si="3"/>
        <v/>
      </c>
    </row>
    <row r="233" spans="7:7" ht="15" customHeight="1" x14ac:dyDescent="0.35">
      <c r="G233" t="str">
        <f t="shared" si="3"/>
        <v/>
      </c>
    </row>
    <row r="234" spans="7:7" ht="15" customHeight="1" x14ac:dyDescent="0.35">
      <c r="G234" t="str">
        <f t="shared" si="3"/>
        <v/>
      </c>
    </row>
    <row r="235" spans="7:7" ht="15" customHeight="1" x14ac:dyDescent="0.35">
      <c r="G235" t="str">
        <f t="shared" si="3"/>
        <v/>
      </c>
    </row>
    <row r="236" spans="7:7" ht="15" customHeight="1" x14ac:dyDescent="0.35">
      <c r="G236" t="str">
        <f t="shared" si="3"/>
        <v/>
      </c>
    </row>
    <row r="237" spans="7:7" ht="15" customHeight="1" x14ac:dyDescent="0.35">
      <c r="G237" t="str">
        <f t="shared" si="3"/>
        <v/>
      </c>
    </row>
    <row r="238" spans="7:7" ht="15" customHeight="1" x14ac:dyDescent="0.35">
      <c r="G238" t="str">
        <f t="shared" si="3"/>
        <v/>
      </c>
    </row>
    <row r="239" spans="7:7" ht="15" customHeight="1" x14ac:dyDescent="0.35">
      <c r="G239" t="str">
        <f t="shared" si="3"/>
        <v/>
      </c>
    </row>
    <row r="240" spans="7:7" ht="15" customHeight="1" x14ac:dyDescent="0.35">
      <c r="G240" t="str">
        <f t="shared" si="3"/>
        <v/>
      </c>
    </row>
    <row r="241" spans="7:7" ht="15" customHeight="1" x14ac:dyDescent="0.35">
      <c r="G241" t="str">
        <f t="shared" si="3"/>
        <v/>
      </c>
    </row>
    <row r="242" spans="7:7" ht="15" customHeight="1" x14ac:dyDescent="0.35">
      <c r="G242" t="str">
        <f t="shared" si="3"/>
        <v/>
      </c>
    </row>
    <row r="243" spans="7:7" ht="15" customHeight="1" x14ac:dyDescent="0.35">
      <c r="G243" t="str">
        <f t="shared" si="3"/>
        <v/>
      </c>
    </row>
    <row r="244" spans="7:7" ht="15" customHeight="1" x14ac:dyDescent="0.35">
      <c r="G244" t="str">
        <f t="shared" si="3"/>
        <v/>
      </c>
    </row>
    <row r="245" spans="7:7" ht="15" customHeight="1" x14ac:dyDescent="0.35">
      <c r="G245" t="str">
        <f t="shared" si="3"/>
        <v/>
      </c>
    </row>
    <row r="246" spans="7:7" ht="15" customHeight="1" x14ac:dyDescent="0.35">
      <c r="G246" t="str">
        <f t="shared" si="3"/>
        <v/>
      </c>
    </row>
    <row r="247" spans="7:7" ht="15" customHeight="1" x14ac:dyDescent="0.35">
      <c r="G247" t="str">
        <f t="shared" si="3"/>
        <v/>
      </c>
    </row>
    <row r="248" spans="7:7" ht="15" customHeight="1" x14ac:dyDescent="0.35">
      <c r="G248" t="str">
        <f t="shared" si="3"/>
        <v/>
      </c>
    </row>
    <row r="249" spans="7:7" ht="15" customHeight="1" x14ac:dyDescent="0.35">
      <c r="G249" t="str">
        <f t="shared" si="3"/>
        <v/>
      </c>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 Configuración'!$U$4:$U$8</xm:f>
          </x14:formula1>
          <x14:formula2>
            <xm:f>0</xm:f>
          </x14:formula2>
          <xm:sqref>D2:D250</xm:sqref>
        </x14:dataValidation>
        <x14:dataValidation type="list" allowBlank="1" xr:uid="{00000000-0002-0000-0200-000001000000}">
          <x14:formula1>
            <xm:f>'⚙️ Configuración'!$E$4:$E$8</xm:f>
          </x14:formula1>
          <x14:formula2>
            <xm:f>0</xm:f>
          </x14:formula2>
          <xm:sqref>H2:H250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3"/>
  <sheetViews>
    <sheetView showGridLines="0" tabSelected="1" topLeftCell="A2" zoomScaleNormal="100" workbookViewId="0">
      <selection activeCell="B25" sqref="B25"/>
    </sheetView>
  </sheetViews>
  <sheetFormatPr baseColWidth="10" defaultColWidth="8.6328125" defaultRowHeight="14.5" x14ac:dyDescent="0.35"/>
  <cols>
    <col min="1" max="1" width="42" customWidth="1"/>
    <col min="2" max="2" width="18" customWidth="1"/>
    <col min="3" max="3" width="3" customWidth="1"/>
    <col min="4" max="4" width="55" customWidth="1"/>
  </cols>
  <sheetData>
    <row r="1" spans="1:4" ht="17.25" customHeight="1" x14ac:dyDescent="0.4">
      <c r="A1" s="26" t="s">
        <v>75</v>
      </c>
    </row>
    <row r="2" spans="1:4" ht="15" customHeight="1" x14ac:dyDescent="0.35">
      <c r="A2" s="2" t="s">
        <v>76</v>
      </c>
      <c r="B2" s="2"/>
      <c r="C2" s="2"/>
      <c r="D2" s="2"/>
    </row>
    <row r="4" spans="1:4" ht="15" customHeight="1" x14ac:dyDescent="0.35">
      <c r="A4" s="1" t="s">
        <v>77</v>
      </c>
      <c r="B4" s="1"/>
    </row>
    <row r="5" spans="1:4" ht="15" customHeight="1" x14ac:dyDescent="0.35">
      <c r="A5" t="s">
        <v>78</v>
      </c>
      <c r="B5" s="28">
        <f>SUM('🤸 Ingresos Pole'!G3:G400)</f>
        <v>0</v>
      </c>
      <c r="D5" s="27" t="s">
        <v>79</v>
      </c>
    </row>
    <row r="6" spans="1:4" ht="15" customHeight="1" x14ac:dyDescent="0.35">
      <c r="A6" t="s">
        <v>80</v>
      </c>
      <c r="B6" s="28">
        <f>SUM('🛒 Ventas'!I:I)</f>
        <v>0</v>
      </c>
      <c r="D6" s="27" t="s">
        <v>81</v>
      </c>
    </row>
    <row r="7" spans="1:4" ht="15" customHeight="1" x14ac:dyDescent="0.35">
      <c r="A7" s="29" t="s">
        <v>82</v>
      </c>
      <c r="B7" s="30">
        <f>B5+B6</f>
        <v>0</v>
      </c>
    </row>
    <row r="9" spans="1:4" ht="15" customHeight="1" x14ac:dyDescent="0.35">
      <c r="A9" t="s">
        <v>83</v>
      </c>
      <c r="B9" s="28">
        <f>SUMIF('💸 Gastos'!F:F,"Operativo",'💸 Gastos'!E:E)</f>
        <v>906000</v>
      </c>
      <c r="D9" s="27" t="s">
        <v>84</v>
      </c>
    </row>
    <row r="11" spans="1:4" ht="15" customHeight="1" x14ac:dyDescent="0.35">
      <c r="A11" s="31" t="s">
        <v>85</v>
      </c>
      <c r="B11" s="32">
        <f>B7-B9</f>
        <v>-906000</v>
      </c>
      <c r="D11" s="27" t="s">
        <v>86</v>
      </c>
    </row>
    <row r="13" spans="1:4" ht="15" customHeight="1" x14ac:dyDescent="0.35">
      <c r="A13" s="1" t="s">
        <v>87</v>
      </c>
      <c r="B13" s="1"/>
    </row>
    <row r="14" spans="1:4" ht="15" customHeight="1" x14ac:dyDescent="0.35">
      <c r="A14" t="s">
        <v>88</v>
      </c>
      <c r="B14" s="28">
        <f>SUMIF('🏢 Activos Fijos'!K:K,"Inversión Inicial",'🏢 Activos Fijos'!H:H)</f>
        <v>20857007</v>
      </c>
      <c r="D14" s="27" t="s">
        <v>89</v>
      </c>
    </row>
    <row r="15" spans="1:4" ht="15" customHeight="1" x14ac:dyDescent="0.35">
      <c r="A15" t="s">
        <v>90</v>
      </c>
      <c r="B15" s="28">
        <f>SUMIF(Marcancia!M:M,"Inversión Inicial",Marcancia!J:J)</f>
        <v>1393575</v>
      </c>
      <c r="D15" s="27" t="s">
        <v>91</v>
      </c>
    </row>
    <row r="16" spans="1:4" ht="15" customHeight="1" x14ac:dyDescent="0.35">
      <c r="A16" t="s">
        <v>92</v>
      </c>
      <c r="B16" s="28">
        <f>SUMIF('💸 Gastos'!F:F,"Preoperativo",'💸 Gastos'!E:E)</f>
        <v>11050280</v>
      </c>
      <c r="D16" s="27" t="s">
        <v>93</v>
      </c>
    </row>
    <row r="17" spans="1:4" ht="15" customHeight="1" x14ac:dyDescent="0.35">
      <c r="A17" t="s">
        <v>94</v>
      </c>
      <c r="B17" s="28">
        <f>SUMIF('💸 Gastos'!F:F,"Inversión Inicial",'💸 Gastos'!E:E)</f>
        <v>2300000</v>
      </c>
      <c r="D17" s="27" t="s">
        <v>95</v>
      </c>
    </row>
    <row r="18" spans="1:4" ht="15" customHeight="1" x14ac:dyDescent="0.35">
      <c r="A18" s="29" t="s">
        <v>96</v>
      </c>
      <c r="B18" s="30">
        <f>B14+B15+B16+B17</f>
        <v>35600862</v>
      </c>
      <c r="D18" s="27" t="s">
        <v>97</v>
      </c>
    </row>
    <row r="19" spans="1:4" ht="15" customHeight="1" x14ac:dyDescent="0.35"/>
    <row r="20" spans="1:4" ht="15" customHeight="1" x14ac:dyDescent="0.35">
      <c r="A20" s="1" t="s">
        <v>98</v>
      </c>
      <c r="B20" s="1"/>
    </row>
    <row r="21" spans="1:4" ht="15" customHeight="1" x14ac:dyDescent="0.35">
      <c r="A21" t="s">
        <v>99</v>
      </c>
      <c r="B21" s="28">
        <f>B11</f>
        <v>-906000</v>
      </c>
    </row>
    <row r="22" spans="1:4" ht="15" customHeight="1" x14ac:dyDescent="0.35">
      <c r="A22" t="s">
        <v>100</v>
      </c>
      <c r="B22" s="28">
        <f>-B18</f>
        <v>-35600862</v>
      </c>
    </row>
    <row r="23" spans="1:4" ht="15" customHeight="1" x14ac:dyDescent="0.35">
      <c r="A23" s="31" t="s">
        <v>101</v>
      </c>
      <c r="B23" s="32">
        <f>B21+B22</f>
        <v>-36506862</v>
      </c>
      <c r="D23" s="27" t="s">
        <v>102</v>
      </c>
    </row>
  </sheetData>
  <mergeCells count="4">
    <mergeCell ref="A2:D2"/>
    <mergeCell ref="A4:B4"/>
    <mergeCell ref="A13:B13"/>
    <mergeCell ref="A20:B20"/>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1"/>
  <sheetViews>
    <sheetView zoomScaleNormal="100" workbookViewId="0">
      <pane ySplit="1" topLeftCell="A56" activePane="bottomLeft" state="frozen"/>
      <selection pane="bottomLeft" activeCell="F60" sqref="F60"/>
    </sheetView>
  </sheetViews>
  <sheetFormatPr baseColWidth="10" defaultColWidth="8.6328125" defaultRowHeight="14.5" x14ac:dyDescent="0.35"/>
  <cols>
    <col min="1" max="1" width="12" customWidth="1"/>
    <col min="2" max="2" width="13" style="33" customWidth="1"/>
    <col min="3" max="3" width="32.08984375" customWidth="1"/>
    <col min="4" max="4" width="35.7265625" customWidth="1"/>
    <col min="5" max="5" width="15" customWidth="1"/>
    <col min="6" max="6" width="26.08984375" bestFit="1" customWidth="1"/>
    <col min="7" max="8" width="16" customWidth="1"/>
    <col min="9" max="9" width="31.6328125" customWidth="1"/>
  </cols>
  <sheetData>
    <row r="1" spans="1:9" ht="27.75" customHeight="1" x14ac:dyDescent="0.35">
      <c r="A1" s="13" t="s">
        <v>103</v>
      </c>
      <c r="B1" s="34" t="s">
        <v>62</v>
      </c>
      <c r="C1" s="13" t="s">
        <v>40</v>
      </c>
      <c r="D1" s="13" t="s">
        <v>104</v>
      </c>
      <c r="E1" s="13" t="s">
        <v>105</v>
      </c>
      <c r="F1" s="35" t="s">
        <v>106</v>
      </c>
      <c r="G1" s="13" t="s">
        <v>68</v>
      </c>
      <c r="H1" s="35" t="s">
        <v>67</v>
      </c>
      <c r="I1" s="13" t="s">
        <v>69</v>
      </c>
    </row>
    <row r="2" spans="1:9" ht="19.5" customHeight="1" x14ac:dyDescent="0.35">
      <c r="A2" s="36" t="s">
        <v>107</v>
      </c>
      <c r="B2" s="37">
        <v>46260</v>
      </c>
      <c r="C2" s="36" t="s">
        <v>50</v>
      </c>
      <c r="D2" s="14" t="s">
        <v>108</v>
      </c>
      <c r="E2" s="16">
        <v>5000000</v>
      </c>
      <c r="F2" s="38" t="s">
        <v>492</v>
      </c>
      <c r="G2" s="14" t="s">
        <v>73</v>
      </c>
      <c r="H2" s="39" t="s">
        <v>30</v>
      </c>
      <c r="I2" s="14" t="s">
        <v>109</v>
      </c>
    </row>
    <row r="3" spans="1:9" ht="19.5" customHeight="1" x14ac:dyDescent="0.35">
      <c r="A3" s="36" t="s">
        <v>110</v>
      </c>
      <c r="B3" s="37">
        <v>46259</v>
      </c>
      <c r="C3" s="36" t="s">
        <v>51</v>
      </c>
      <c r="D3" s="14" t="s">
        <v>111</v>
      </c>
      <c r="E3" s="16">
        <v>195000</v>
      </c>
      <c r="F3" s="38" t="s">
        <v>492</v>
      </c>
      <c r="G3" s="14" t="s">
        <v>73</v>
      </c>
      <c r="H3" s="39" t="s">
        <v>30</v>
      </c>
      <c r="I3" s="14"/>
    </row>
    <row r="4" spans="1:9" ht="19.5" customHeight="1" x14ac:dyDescent="0.35">
      <c r="A4" s="36" t="s">
        <v>112</v>
      </c>
      <c r="B4" s="37">
        <v>46248</v>
      </c>
      <c r="C4" s="36" t="s">
        <v>47</v>
      </c>
      <c r="D4" s="14" t="s">
        <v>113</v>
      </c>
      <c r="E4" s="16">
        <v>6543</v>
      </c>
      <c r="F4" s="38" t="s">
        <v>492</v>
      </c>
      <c r="G4" s="14" t="s">
        <v>73</v>
      </c>
      <c r="H4" s="39" t="s">
        <v>30</v>
      </c>
      <c r="I4" s="14"/>
    </row>
    <row r="5" spans="1:9" ht="19.5" customHeight="1" x14ac:dyDescent="0.35">
      <c r="A5" s="36" t="s">
        <v>114</v>
      </c>
      <c r="B5" s="37">
        <v>46248</v>
      </c>
      <c r="C5" s="36" t="s">
        <v>47</v>
      </c>
      <c r="D5" s="14" t="s">
        <v>115</v>
      </c>
      <c r="E5" s="16">
        <v>10362</v>
      </c>
      <c r="F5" s="38" t="s">
        <v>492</v>
      </c>
      <c r="G5" s="14" t="s">
        <v>73</v>
      </c>
      <c r="H5" s="39" t="s">
        <v>30</v>
      </c>
      <c r="I5" s="14"/>
    </row>
    <row r="6" spans="1:9" ht="19.5" customHeight="1" x14ac:dyDescent="0.35">
      <c r="A6" s="36" t="s">
        <v>116</v>
      </c>
      <c r="B6" s="37">
        <v>46248</v>
      </c>
      <c r="C6" s="36" t="s">
        <v>47</v>
      </c>
      <c r="D6" s="40" t="s">
        <v>117</v>
      </c>
      <c r="E6" s="16">
        <v>24090</v>
      </c>
      <c r="F6" s="38" t="s">
        <v>492</v>
      </c>
      <c r="G6" s="14" t="s">
        <v>73</v>
      </c>
      <c r="H6" s="39" t="s">
        <v>30</v>
      </c>
      <c r="I6" s="14" t="s">
        <v>118</v>
      </c>
    </row>
    <row r="7" spans="1:9" ht="19.5" customHeight="1" x14ac:dyDescent="0.35">
      <c r="A7" s="36" t="s">
        <v>119</v>
      </c>
      <c r="B7" s="37">
        <v>46216</v>
      </c>
      <c r="C7" s="36" t="s">
        <v>120</v>
      </c>
      <c r="D7" s="14" t="s">
        <v>121</v>
      </c>
      <c r="E7" s="16">
        <v>2164</v>
      </c>
      <c r="F7" s="38" t="s">
        <v>492</v>
      </c>
      <c r="G7" s="14" t="s">
        <v>73</v>
      </c>
      <c r="H7" s="39" t="s">
        <v>30</v>
      </c>
      <c r="I7" s="14"/>
    </row>
    <row r="8" spans="1:9" ht="19.5" customHeight="1" x14ac:dyDescent="0.35">
      <c r="A8" s="36" t="s">
        <v>122</v>
      </c>
      <c r="B8" s="37">
        <v>46216</v>
      </c>
      <c r="C8" s="36" t="s">
        <v>120</v>
      </c>
      <c r="D8" s="14" t="s">
        <v>123</v>
      </c>
      <c r="E8" s="16">
        <v>5339</v>
      </c>
      <c r="F8" s="38" t="s">
        <v>492</v>
      </c>
      <c r="G8" s="14" t="s">
        <v>73</v>
      </c>
      <c r="H8" s="39" t="s">
        <v>30</v>
      </c>
      <c r="I8" s="14"/>
    </row>
    <row r="9" spans="1:9" ht="19.5" customHeight="1" x14ac:dyDescent="0.35">
      <c r="A9" s="36" t="s">
        <v>124</v>
      </c>
      <c r="B9" s="37">
        <v>46248</v>
      </c>
      <c r="C9" s="36" t="s">
        <v>47</v>
      </c>
      <c r="D9" s="14" t="s">
        <v>125</v>
      </c>
      <c r="E9" s="16">
        <v>14031</v>
      </c>
      <c r="F9" s="38" t="s">
        <v>492</v>
      </c>
      <c r="G9" s="14" t="s">
        <v>73</v>
      </c>
      <c r="H9" s="39" t="s">
        <v>30</v>
      </c>
      <c r="I9" s="14"/>
    </row>
    <row r="10" spans="1:9" ht="19.5" customHeight="1" x14ac:dyDescent="0.35">
      <c r="A10" s="36" t="s">
        <v>126</v>
      </c>
      <c r="B10" s="37">
        <v>46248</v>
      </c>
      <c r="C10" s="36" t="s">
        <v>47</v>
      </c>
      <c r="D10" s="14" t="s">
        <v>127</v>
      </c>
      <c r="E10" s="16">
        <v>11352</v>
      </c>
      <c r="F10" s="38" t="s">
        <v>492</v>
      </c>
      <c r="G10" s="14" t="s">
        <v>73</v>
      </c>
      <c r="H10" s="39" t="s">
        <v>30</v>
      </c>
      <c r="I10" s="14"/>
    </row>
    <row r="11" spans="1:9" ht="19.5" customHeight="1" x14ac:dyDescent="0.35">
      <c r="A11" s="36" t="s">
        <v>128</v>
      </c>
      <c r="B11" s="37">
        <v>46248</v>
      </c>
      <c r="C11" s="36" t="s">
        <v>120</v>
      </c>
      <c r="D11" s="14" t="s">
        <v>129</v>
      </c>
      <c r="E11" s="16">
        <v>6683</v>
      </c>
      <c r="F11" s="38" t="s">
        <v>492</v>
      </c>
      <c r="G11" s="14" t="s">
        <v>73</v>
      </c>
      <c r="H11" s="39" t="s">
        <v>30</v>
      </c>
      <c r="I11" s="14"/>
    </row>
    <row r="12" spans="1:9" ht="19.5" customHeight="1" x14ac:dyDescent="0.35">
      <c r="A12" s="36" t="s">
        <v>130</v>
      </c>
      <c r="B12" s="37">
        <v>46248</v>
      </c>
      <c r="C12" s="36" t="s">
        <v>131</v>
      </c>
      <c r="D12" s="14" t="s">
        <v>132</v>
      </c>
      <c r="E12" s="16">
        <v>3701</v>
      </c>
      <c r="F12" s="38" t="s">
        <v>492</v>
      </c>
      <c r="G12" s="14" t="s">
        <v>73</v>
      </c>
      <c r="H12" s="39" t="s">
        <v>30</v>
      </c>
      <c r="I12" s="14"/>
    </row>
    <row r="13" spans="1:9" ht="19.5" customHeight="1" x14ac:dyDescent="0.35">
      <c r="A13" s="36" t="s">
        <v>133</v>
      </c>
      <c r="B13" s="37">
        <v>46248</v>
      </c>
      <c r="C13" s="36" t="s">
        <v>120</v>
      </c>
      <c r="D13" s="14" t="s">
        <v>134</v>
      </c>
      <c r="E13" s="16">
        <v>17691</v>
      </c>
      <c r="F13" s="38" t="s">
        <v>492</v>
      </c>
      <c r="G13" s="14" t="s">
        <v>73</v>
      </c>
      <c r="H13" s="39" t="s">
        <v>30</v>
      </c>
      <c r="I13" s="14"/>
    </row>
    <row r="14" spans="1:9" ht="19.5" customHeight="1" x14ac:dyDescent="0.35">
      <c r="A14" s="36" t="s">
        <v>135</v>
      </c>
      <c r="B14" s="37">
        <v>46248</v>
      </c>
      <c r="C14" s="36" t="s">
        <v>120</v>
      </c>
      <c r="D14" s="14" t="s">
        <v>136</v>
      </c>
      <c r="E14" s="16">
        <v>2719</v>
      </c>
      <c r="F14" s="38" t="s">
        <v>492</v>
      </c>
      <c r="G14" s="14" t="s">
        <v>73</v>
      </c>
      <c r="H14" s="39" t="s">
        <v>30</v>
      </c>
      <c r="I14" s="14"/>
    </row>
    <row r="15" spans="1:9" ht="19.5" customHeight="1" x14ac:dyDescent="0.35">
      <c r="A15" s="36" t="s">
        <v>137</v>
      </c>
      <c r="B15" s="37">
        <v>46248</v>
      </c>
      <c r="C15" s="36" t="s">
        <v>120</v>
      </c>
      <c r="D15" s="14" t="s">
        <v>138</v>
      </c>
      <c r="E15" s="16">
        <v>8984</v>
      </c>
      <c r="F15" s="38" t="s">
        <v>492</v>
      </c>
      <c r="G15" s="14" t="s">
        <v>73</v>
      </c>
      <c r="H15" s="39" t="s">
        <v>30</v>
      </c>
      <c r="I15" s="14"/>
    </row>
    <row r="16" spans="1:9" ht="19.5" customHeight="1" x14ac:dyDescent="0.35">
      <c r="A16" s="36" t="s">
        <v>139</v>
      </c>
      <c r="B16" s="37">
        <v>46248</v>
      </c>
      <c r="C16" s="36" t="s">
        <v>120</v>
      </c>
      <c r="D16" s="14" t="s">
        <v>140</v>
      </c>
      <c r="E16" s="16">
        <v>13776</v>
      </c>
      <c r="F16" s="38" t="s">
        <v>492</v>
      </c>
      <c r="G16" s="14" t="s">
        <v>73</v>
      </c>
      <c r="H16" s="39" t="s">
        <v>30</v>
      </c>
      <c r="I16" s="14"/>
    </row>
    <row r="17" spans="1:9" ht="19.5" customHeight="1" x14ac:dyDescent="0.35">
      <c r="A17" s="36" t="s">
        <v>141</v>
      </c>
      <c r="B17" s="37">
        <v>46248</v>
      </c>
      <c r="C17" s="36" t="s">
        <v>120</v>
      </c>
      <c r="D17" s="40" t="s">
        <v>142</v>
      </c>
      <c r="E17" s="16">
        <v>3508</v>
      </c>
      <c r="F17" s="38" t="s">
        <v>492</v>
      </c>
      <c r="G17" s="14" t="s">
        <v>73</v>
      </c>
      <c r="H17" s="39" t="s">
        <v>30</v>
      </c>
      <c r="I17" s="14"/>
    </row>
    <row r="18" spans="1:9" ht="19.5" customHeight="1" x14ac:dyDescent="0.35">
      <c r="A18" s="36" t="s">
        <v>143</v>
      </c>
      <c r="B18" s="37">
        <v>46259</v>
      </c>
      <c r="C18" s="36" t="s">
        <v>45</v>
      </c>
      <c r="D18" s="40" t="s">
        <v>144</v>
      </c>
      <c r="E18" s="16">
        <v>42443</v>
      </c>
      <c r="F18" s="38" t="s">
        <v>492</v>
      </c>
      <c r="G18" s="14" t="s">
        <v>73</v>
      </c>
      <c r="H18" s="39" t="s">
        <v>30</v>
      </c>
      <c r="I18" s="14"/>
    </row>
    <row r="19" spans="1:9" ht="19.5" customHeight="1" x14ac:dyDescent="0.35">
      <c r="A19" s="36" t="s">
        <v>145</v>
      </c>
      <c r="B19" s="37">
        <v>46259</v>
      </c>
      <c r="C19" s="36" t="s">
        <v>131</v>
      </c>
      <c r="D19" s="40" t="s">
        <v>146</v>
      </c>
      <c r="E19" s="16">
        <v>1357</v>
      </c>
      <c r="F19" s="38" t="s">
        <v>492</v>
      </c>
      <c r="G19" s="14" t="s">
        <v>73</v>
      </c>
      <c r="H19" s="39" t="s">
        <v>30</v>
      </c>
      <c r="I19" s="14"/>
    </row>
    <row r="20" spans="1:9" ht="19.5" customHeight="1" x14ac:dyDescent="0.35">
      <c r="A20" s="36" t="s">
        <v>147</v>
      </c>
      <c r="B20" s="37">
        <v>46259</v>
      </c>
      <c r="C20" s="36" t="s">
        <v>131</v>
      </c>
      <c r="D20" s="40" t="s">
        <v>148</v>
      </c>
      <c r="E20" s="16">
        <v>3774</v>
      </c>
      <c r="F20" s="38" t="s">
        <v>492</v>
      </c>
      <c r="G20" s="14" t="s">
        <v>73</v>
      </c>
      <c r="H20" s="39" t="s">
        <v>30</v>
      </c>
      <c r="I20" s="14"/>
    </row>
    <row r="21" spans="1:9" ht="19.5" customHeight="1" x14ac:dyDescent="0.35">
      <c r="A21" s="36" t="s">
        <v>149</v>
      </c>
      <c r="B21" s="37">
        <v>46259</v>
      </c>
      <c r="C21" s="36" t="s">
        <v>131</v>
      </c>
      <c r="D21" s="40" t="s">
        <v>150</v>
      </c>
      <c r="E21" s="16">
        <v>12778</v>
      </c>
      <c r="F21" s="38" t="s">
        <v>492</v>
      </c>
      <c r="G21" s="14" t="s">
        <v>73</v>
      </c>
      <c r="H21" s="39" t="s">
        <v>30</v>
      </c>
      <c r="I21" s="14"/>
    </row>
    <row r="22" spans="1:9" ht="19.5" customHeight="1" x14ac:dyDescent="0.35">
      <c r="A22" s="36" t="s">
        <v>151</v>
      </c>
      <c r="B22" s="37">
        <v>46268</v>
      </c>
      <c r="C22" s="36" t="s">
        <v>131</v>
      </c>
      <c r="D22" s="40" t="s">
        <v>152</v>
      </c>
      <c r="E22" s="16">
        <v>5138</v>
      </c>
      <c r="F22" s="38" t="s">
        <v>492</v>
      </c>
      <c r="G22" s="14" t="s">
        <v>73</v>
      </c>
      <c r="H22" s="39" t="s">
        <v>30</v>
      </c>
      <c r="I22" s="14"/>
    </row>
    <row r="23" spans="1:9" ht="19.5" customHeight="1" x14ac:dyDescent="0.35">
      <c r="A23" s="36" t="s">
        <v>153</v>
      </c>
      <c r="B23" s="37">
        <v>46277</v>
      </c>
      <c r="C23" s="36" t="s">
        <v>47</v>
      </c>
      <c r="D23" s="14" t="s">
        <v>154</v>
      </c>
      <c r="E23" s="16">
        <v>43456</v>
      </c>
      <c r="F23" s="38" t="s">
        <v>492</v>
      </c>
      <c r="G23" s="14" t="s">
        <v>73</v>
      </c>
      <c r="H23" s="39" t="s">
        <v>30</v>
      </c>
      <c r="I23" s="14"/>
    </row>
    <row r="24" spans="1:9" ht="19.5" customHeight="1" x14ac:dyDescent="0.35">
      <c r="A24" s="36" t="s">
        <v>155</v>
      </c>
      <c r="B24" s="37">
        <v>46277</v>
      </c>
      <c r="C24" s="36" t="s">
        <v>47</v>
      </c>
      <c r="D24" s="14" t="s">
        <v>156</v>
      </c>
      <c r="E24" s="16">
        <v>44345</v>
      </c>
      <c r="F24" s="38" t="s">
        <v>492</v>
      </c>
      <c r="G24" s="14" t="s">
        <v>73</v>
      </c>
      <c r="H24" s="39" t="s">
        <v>30</v>
      </c>
      <c r="I24" s="14"/>
    </row>
    <row r="25" spans="1:9" ht="19.5" customHeight="1" x14ac:dyDescent="0.35">
      <c r="A25" s="36" t="s">
        <v>157</v>
      </c>
      <c r="B25" s="37">
        <v>46209</v>
      </c>
      <c r="C25" s="36" t="s">
        <v>158</v>
      </c>
      <c r="D25" s="14" t="s">
        <v>159</v>
      </c>
      <c r="E25" s="16">
        <v>40936</v>
      </c>
      <c r="F25" s="38" t="s">
        <v>492</v>
      </c>
      <c r="G25" s="14" t="s">
        <v>73</v>
      </c>
      <c r="H25" s="39" t="s">
        <v>30</v>
      </c>
      <c r="I25" s="14"/>
    </row>
    <row r="26" spans="1:9" ht="19.5" customHeight="1" x14ac:dyDescent="0.35">
      <c r="A26" s="36" t="s">
        <v>160</v>
      </c>
      <c r="B26" s="37">
        <v>46240</v>
      </c>
      <c r="C26" s="36" t="s">
        <v>50</v>
      </c>
      <c r="D26" s="14" t="s">
        <v>161</v>
      </c>
      <c r="E26" s="16">
        <v>1364500</v>
      </c>
      <c r="F26" s="38" t="s">
        <v>492</v>
      </c>
      <c r="G26" s="14" t="s">
        <v>73</v>
      </c>
      <c r="H26" s="39" t="s">
        <v>30</v>
      </c>
      <c r="I26" s="14"/>
    </row>
    <row r="27" spans="1:9" ht="19.5" customHeight="1" x14ac:dyDescent="0.35">
      <c r="A27" s="36" t="s">
        <v>162</v>
      </c>
      <c r="B27" s="37">
        <v>46246</v>
      </c>
      <c r="C27" s="36" t="s">
        <v>45</v>
      </c>
      <c r="D27" s="14" t="s">
        <v>163</v>
      </c>
      <c r="E27" s="16">
        <v>95160</v>
      </c>
      <c r="F27" s="38" t="s">
        <v>492</v>
      </c>
      <c r="G27" s="14" t="s">
        <v>73</v>
      </c>
      <c r="H27" s="39" t="s">
        <v>30</v>
      </c>
      <c r="I27" s="14"/>
    </row>
    <row r="28" spans="1:9" ht="19.5" customHeight="1" x14ac:dyDescent="0.35">
      <c r="A28" s="36" t="s">
        <v>164</v>
      </c>
      <c r="B28" s="37">
        <v>46255</v>
      </c>
      <c r="C28" s="36" t="s">
        <v>131</v>
      </c>
      <c r="D28" s="14" t="s">
        <v>165</v>
      </c>
      <c r="E28" s="16">
        <v>55000</v>
      </c>
      <c r="F28" s="38" t="s">
        <v>492</v>
      </c>
      <c r="G28" s="14" t="s">
        <v>73</v>
      </c>
      <c r="H28" s="39" t="s">
        <v>30</v>
      </c>
      <c r="I28" s="14"/>
    </row>
    <row r="29" spans="1:9" ht="19.5" customHeight="1" x14ac:dyDescent="0.35">
      <c r="A29" s="36" t="s">
        <v>166</v>
      </c>
      <c r="B29" s="37">
        <v>46255</v>
      </c>
      <c r="C29" s="36" t="s">
        <v>131</v>
      </c>
      <c r="D29" s="14" t="s">
        <v>167</v>
      </c>
      <c r="E29" s="16">
        <v>52000</v>
      </c>
      <c r="F29" s="38" t="s">
        <v>492</v>
      </c>
      <c r="G29" s="14" t="s">
        <v>73</v>
      </c>
      <c r="H29" s="39" t="s">
        <v>30</v>
      </c>
      <c r="I29" s="14"/>
    </row>
    <row r="30" spans="1:9" ht="19.5" customHeight="1" x14ac:dyDescent="0.35">
      <c r="A30" s="36" t="s">
        <v>168</v>
      </c>
      <c r="B30" s="37">
        <v>46256</v>
      </c>
      <c r="C30" s="36" t="s">
        <v>45</v>
      </c>
      <c r="D30" s="14" t="s">
        <v>169</v>
      </c>
      <c r="E30" s="16">
        <v>3400</v>
      </c>
      <c r="F30" s="38" t="s">
        <v>492</v>
      </c>
      <c r="G30" s="14" t="s">
        <v>73</v>
      </c>
      <c r="H30" s="39" t="s">
        <v>30</v>
      </c>
      <c r="I30" s="14"/>
    </row>
    <row r="31" spans="1:9" ht="19.5" customHeight="1" x14ac:dyDescent="0.35">
      <c r="A31" s="36" t="s">
        <v>170</v>
      </c>
      <c r="B31" s="37">
        <v>46256</v>
      </c>
      <c r="C31" s="36" t="s">
        <v>131</v>
      </c>
      <c r="D31" s="14" t="s">
        <v>171</v>
      </c>
      <c r="E31" s="16">
        <v>61500</v>
      </c>
      <c r="F31" s="38" t="s">
        <v>492</v>
      </c>
      <c r="G31" s="14" t="s">
        <v>73</v>
      </c>
      <c r="H31" s="39" t="s">
        <v>30</v>
      </c>
      <c r="I31" s="14"/>
    </row>
    <row r="32" spans="1:9" ht="19.5" customHeight="1" x14ac:dyDescent="0.35">
      <c r="A32" s="36" t="s">
        <v>172</v>
      </c>
      <c r="B32" s="37">
        <v>46256</v>
      </c>
      <c r="C32" s="36" t="s">
        <v>131</v>
      </c>
      <c r="D32" s="14" t="s">
        <v>173</v>
      </c>
      <c r="E32" s="16">
        <v>71000</v>
      </c>
      <c r="F32" s="38" t="s">
        <v>492</v>
      </c>
      <c r="G32" s="14" t="s">
        <v>73</v>
      </c>
      <c r="H32" s="39" t="s">
        <v>30</v>
      </c>
      <c r="I32" s="14"/>
    </row>
    <row r="33" spans="1:9" ht="19.5" customHeight="1" x14ac:dyDescent="0.35">
      <c r="A33" s="36" t="s">
        <v>174</v>
      </c>
      <c r="B33" s="37">
        <v>46256</v>
      </c>
      <c r="C33" s="36" t="s">
        <v>131</v>
      </c>
      <c r="D33" s="14" t="s">
        <v>175</v>
      </c>
      <c r="E33" s="16">
        <v>257000</v>
      </c>
      <c r="F33" s="38" t="s">
        <v>492</v>
      </c>
      <c r="G33" s="14" t="s">
        <v>73</v>
      </c>
      <c r="H33" s="39" t="s">
        <v>30</v>
      </c>
      <c r="I33" s="14"/>
    </row>
    <row r="34" spans="1:9" ht="19.5" customHeight="1" x14ac:dyDescent="0.35">
      <c r="A34" s="36" t="s">
        <v>176</v>
      </c>
      <c r="B34" s="37">
        <v>46256</v>
      </c>
      <c r="C34" s="36" t="s">
        <v>131</v>
      </c>
      <c r="D34" s="14" t="s">
        <v>177</v>
      </c>
      <c r="E34" s="16">
        <v>20000</v>
      </c>
      <c r="F34" s="38" t="s">
        <v>492</v>
      </c>
      <c r="G34" s="14" t="s">
        <v>73</v>
      </c>
      <c r="H34" s="39" t="s">
        <v>30</v>
      </c>
      <c r="I34" s="14"/>
    </row>
    <row r="35" spans="1:9" ht="19.5" customHeight="1" x14ac:dyDescent="0.35">
      <c r="A35" s="36" t="s">
        <v>178</v>
      </c>
      <c r="B35" s="37">
        <v>46256</v>
      </c>
      <c r="C35" s="36" t="s">
        <v>131</v>
      </c>
      <c r="D35" s="14" t="s">
        <v>179</v>
      </c>
      <c r="E35" s="16">
        <v>56000</v>
      </c>
      <c r="F35" s="38" t="s">
        <v>492</v>
      </c>
      <c r="G35" s="14" t="s">
        <v>73</v>
      </c>
      <c r="H35" s="39" t="s">
        <v>30</v>
      </c>
      <c r="I35" s="14"/>
    </row>
    <row r="36" spans="1:9" ht="19.5" customHeight="1" x14ac:dyDescent="0.35">
      <c r="A36" s="36" t="s">
        <v>180</v>
      </c>
      <c r="B36" s="37">
        <v>46258</v>
      </c>
      <c r="C36" s="36" t="s">
        <v>131</v>
      </c>
      <c r="D36" s="14" t="s">
        <v>173</v>
      </c>
      <c r="E36" s="16">
        <v>28000</v>
      </c>
      <c r="F36" s="38" t="s">
        <v>492</v>
      </c>
      <c r="G36" s="14" t="s">
        <v>73</v>
      </c>
      <c r="H36" s="39" t="s">
        <v>30</v>
      </c>
      <c r="I36" s="14"/>
    </row>
    <row r="37" spans="1:9" ht="19.5" customHeight="1" x14ac:dyDescent="0.35">
      <c r="A37" s="36" t="s">
        <v>181</v>
      </c>
      <c r="B37" s="37">
        <v>46258</v>
      </c>
      <c r="C37" s="36" t="s">
        <v>120</v>
      </c>
      <c r="D37" s="14" t="s">
        <v>182</v>
      </c>
      <c r="E37" s="16">
        <v>50000</v>
      </c>
      <c r="F37" s="38" t="s">
        <v>492</v>
      </c>
      <c r="G37" s="14" t="s">
        <v>73</v>
      </c>
      <c r="H37" s="39" t="s">
        <v>30</v>
      </c>
      <c r="I37" s="14"/>
    </row>
    <row r="38" spans="1:9" ht="19.5" customHeight="1" x14ac:dyDescent="0.35">
      <c r="A38" s="36" t="s">
        <v>183</v>
      </c>
      <c r="B38" s="37">
        <v>46258</v>
      </c>
      <c r="C38" s="36" t="s">
        <v>45</v>
      </c>
      <c r="D38" s="14" t="s">
        <v>184</v>
      </c>
      <c r="E38" s="16">
        <v>150000</v>
      </c>
      <c r="F38" s="38" t="s">
        <v>492</v>
      </c>
      <c r="G38" s="14" t="s">
        <v>73</v>
      </c>
      <c r="H38" s="39" t="s">
        <v>30</v>
      </c>
      <c r="I38" s="14"/>
    </row>
    <row r="39" spans="1:9" ht="19.5" customHeight="1" x14ac:dyDescent="0.35">
      <c r="A39" s="36" t="s">
        <v>185</v>
      </c>
      <c r="B39" s="37">
        <v>46259</v>
      </c>
      <c r="C39" s="36" t="s">
        <v>186</v>
      </c>
      <c r="D39" s="14" t="s">
        <v>187</v>
      </c>
      <c r="E39" s="16">
        <v>130900</v>
      </c>
      <c r="F39" s="38" t="s">
        <v>492</v>
      </c>
      <c r="G39" s="14" t="s">
        <v>73</v>
      </c>
      <c r="H39" s="39" t="s">
        <v>30</v>
      </c>
      <c r="I39" s="14"/>
    </row>
    <row r="40" spans="1:9" ht="19.5" customHeight="1" x14ac:dyDescent="0.35">
      <c r="A40" s="36" t="s">
        <v>188</v>
      </c>
      <c r="B40" s="37">
        <v>46259</v>
      </c>
      <c r="C40" s="36" t="s">
        <v>131</v>
      </c>
      <c r="D40" s="14" t="s">
        <v>175</v>
      </c>
      <c r="E40" s="16">
        <v>43500</v>
      </c>
      <c r="F40" s="38" t="s">
        <v>492</v>
      </c>
      <c r="G40" s="14" t="s">
        <v>73</v>
      </c>
      <c r="H40" s="39" t="s">
        <v>30</v>
      </c>
      <c r="I40" s="14"/>
    </row>
    <row r="41" spans="1:9" ht="19.5" customHeight="1" x14ac:dyDescent="0.35">
      <c r="A41" s="36" t="s">
        <v>189</v>
      </c>
      <c r="B41" s="37">
        <v>46259</v>
      </c>
      <c r="C41" s="36" t="s">
        <v>131</v>
      </c>
      <c r="D41" s="14" t="s">
        <v>175</v>
      </c>
      <c r="E41" s="16">
        <v>1200</v>
      </c>
      <c r="F41" s="38" t="s">
        <v>492</v>
      </c>
      <c r="G41" s="14" t="s">
        <v>73</v>
      </c>
      <c r="H41" s="39" t="s">
        <v>30</v>
      </c>
      <c r="I41" s="14"/>
    </row>
    <row r="42" spans="1:9" ht="19.5" customHeight="1" x14ac:dyDescent="0.35">
      <c r="A42" s="36" t="s">
        <v>190</v>
      </c>
      <c r="B42" s="37">
        <v>46259</v>
      </c>
      <c r="C42" s="36" t="s">
        <v>131</v>
      </c>
      <c r="D42" s="14" t="s">
        <v>175</v>
      </c>
      <c r="E42" s="16">
        <v>7000</v>
      </c>
      <c r="F42" s="38" t="s">
        <v>492</v>
      </c>
      <c r="G42" s="14" t="s">
        <v>73</v>
      </c>
      <c r="H42" s="39" t="s">
        <v>30</v>
      </c>
      <c r="I42" s="14"/>
    </row>
    <row r="43" spans="1:9" ht="19.5" customHeight="1" x14ac:dyDescent="0.35">
      <c r="A43" s="36" t="s">
        <v>191</v>
      </c>
      <c r="B43" s="37">
        <v>46262</v>
      </c>
      <c r="C43" s="36" t="s">
        <v>158</v>
      </c>
      <c r="D43" s="14" t="s">
        <v>192</v>
      </c>
      <c r="E43" s="16">
        <v>11000</v>
      </c>
      <c r="F43" s="38" t="s">
        <v>492</v>
      </c>
      <c r="G43" s="14" t="s">
        <v>73</v>
      </c>
      <c r="H43" s="39" t="s">
        <v>30</v>
      </c>
      <c r="I43" s="14"/>
    </row>
    <row r="44" spans="1:9" ht="19.5" customHeight="1" x14ac:dyDescent="0.35">
      <c r="A44" s="36" t="s">
        <v>193</v>
      </c>
      <c r="B44" s="37">
        <v>46262</v>
      </c>
      <c r="C44" s="36" t="s">
        <v>45</v>
      </c>
      <c r="D44" s="14" t="s">
        <v>194</v>
      </c>
      <c r="E44" s="16">
        <v>18500</v>
      </c>
      <c r="F44" s="38" t="s">
        <v>492</v>
      </c>
      <c r="G44" s="14" t="s">
        <v>73</v>
      </c>
      <c r="H44" s="39" t="s">
        <v>30</v>
      </c>
      <c r="I44" s="14"/>
    </row>
    <row r="45" spans="1:9" ht="19.5" customHeight="1" x14ac:dyDescent="0.35">
      <c r="A45" s="36" t="s">
        <v>195</v>
      </c>
      <c r="B45" s="37">
        <v>46262</v>
      </c>
      <c r="C45" s="36" t="s">
        <v>131</v>
      </c>
      <c r="D45" s="14" t="s">
        <v>175</v>
      </c>
      <c r="E45" s="16">
        <v>16500</v>
      </c>
      <c r="F45" s="38" t="s">
        <v>492</v>
      </c>
      <c r="G45" s="14" t="s">
        <v>73</v>
      </c>
      <c r="H45" s="39" t="s">
        <v>30</v>
      </c>
      <c r="I45" s="14"/>
    </row>
    <row r="46" spans="1:9" ht="19.5" customHeight="1" x14ac:dyDescent="0.35">
      <c r="A46" s="36" t="s">
        <v>196</v>
      </c>
      <c r="B46" s="37">
        <v>46262</v>
      </c>
      <c r="C46" s="36" t="s">
        <v>186</v>
      </c>
      <c r="D46" s="14" t="s">
        <v>197</v>
      </c>
      <c r="E46" s="16"/>
      <c r="F46" s="38" t="s">
        <v>492</v>
      </c>
      <c r="G46" s="14" t="s">
        <v>73</v>
      </c>
      <c r="H46" s="39" t="s">
        <v>30</v>
      </c>
      <c r="I46" s="14" t="s">
        <v>198</v>
      </c>
    </row>
    <row r="47" spans="1:9" ht="19.5" customHeight="1" x14ac:dyDescent="0.35">
      <c r="A47" s="36" t="s">
        <v>199</v>
      </c>
      <c r="B47" s="37">
        <v>46260</v>
      </c>
      <c r="C47" s="36" t="s">
        <v>47</v>
      </c>
      <c r="D47" s="14" t="s">
        <v>200</v>
      </c>
      <c r="E47" s="16">
        <v>400000</v>
      </c>
      <c r="F47" s="38" t="s">
        <v>492</v>
      </c>
      <c r="G47" s="14" t="s">
        <v>73</v>
      </c>
      <c r="H47" s="39" t="s">
        <v>30</v>
      </c>
      <c r="I47" s="14"/>
    </row>
    <row r="48" spans="1:9" ht="19.5" customHeight="1" x14ac:dyDescent="0.35">
      <c r="A48" s="36" t="s">
        <v>201</v>
      </c>
      <c r="B48" s="37">
        <v>46261</v>
      </c>
      <c r="C48" s="36" t="s">
        <v>131</v>
      </c>
      <c r="D48" s="14" t="s">
        <v>173</v>
      </c>
      <c r="E48" s="16">
        <v>4500</v>
      </c>
      <c r="F48" s="38" t="s">
        <v>492</v>
      </c>
      <c r="G48" s="14" t="s">
        <v>73</v>
      </c>
      <c r="H48" s="39" t="s">
        <v>30</v>
      </c>
      <c r="I48" s="14"/>
    </row>
    <row r="49" spans="1:9" ht="19.5" customHeight="1" x14ac:dyDescent="0.35">
      <c r="A49" s="36" t="s">
        <v>202</v>
      </c>
      <c r="B49" s="37">
        <v>46261</v>
      </c>
      <c r="C49" s="36" t="s">
        <v>131</v>
      </c>
      <c r="D49" s="14" t="s">
        <v>203</v>
      </c>
      <c r="E49" s="16">
        <v>300000</v>
      </c>
      <c r="F49" s="38" t="s">
        <v>492</v>
      </c>
      <c r="G49" s="14" t="s">
        <v>73</v>
      </c>
      <c r="H49" s="39" t="s">
        <v>30</v>
      </c>
      <c r="I49" s="14"/>
    </row>
    <row r="50" spans="1:9" ht="19.5" customHeight="1" x14ac:dyDescent="0.35">
      <c r="A50" s="36" t="s">
        <v>204</v>
      </c>
      <c r="B50" s="37">
        <v>46263</v>
      </c>
      <c r="C50" s="36" t="s">
        <v>186</v>
      </c>
      <c r="D50" s="14" t="s">
        <v>205</v>
      </c>
      <c r="E50" s="16">
        <v>5700</v>
      </c>
      <c r="F50" s="38" t="s">
        <v>492</v>
      </c>
      <c r="G50" s="14" t="s">
        <v>73</v>
      </c>
      <c r="H50" s="39" t="s">
        <v>30</v>
      </c>
      <c r="I50" s="14" t="s">
        <v>206</v>
      </c>
    </row>
    <row r="51" spans="1:9" ht="19.5" customHeight="1" x14ac:dyDescent="0.35">
      <c r="A51" s="36" t="s">
        <v>207</v>
      </c>
      <c r="B51" s="37">
        <v>46263</v>
      </c>
      <c r="C51" s="36" t="s">
        <v>131</v>
      </c>
      <c r="D51" s="14" t="s">
        <v>208</v>
      </c>
      <c r="E51" s="16">
        <v>9500</v>
      </c>
      <c r="F51" s="38" t="s">
        <v>492</v>
      </c>
      <c r="G51" s="14" t="s">
        <v>73</v>
      </c>
      <c r="H51" s="39" t="s">
        <v>30</v>
      </c>
      <c r="I51" s="14"/>
    </row>
    <row r="52" spans="1:9" ht="19.5" customHeight="1" x14ac:dyDescent="0.35">
      <c r="A52" s="36" t="s">
        <v>209</v>
      </c>
      <c r="B52" s="37">
        <v>46263</v>
      </c>
      <c r="C52" s="36" t="s">
        <v>131</v>
      </c>
      <c r="D52" s="14" t="s">
        <v>173</v>
      </c>
      <c r="E52" s="16">
        <v>4500</v>
      </c>
      <c r="F52" s="38" t="s">
        <v>492</v>
      </c>
      <c r="G52" s="14" t="s">
        <v>73</v>
      </c>
      <c r="H52" s="39" t="s">
        <v>30</v>
      </c>
      <c r="I52" s="14"/>
    </row>
    <row r="53" spans="1:9" ht="19.5" customHeight="1" x14ac:dyDescent="0.35">
      <c r="A53" s="36" t="s">
        <v>210</v>
      </c>
      <c r="B53" s="37">
        <v>46263</v>
      </c>
      <c r="C53" s="36" t="s">
        <v>186</v>
      </c>
      <c r="D53" s="14" t="s">
        <v>211</v>
      </c>
      <c r="E53" s="16">
        <v>19800</v>
      </c>
      <c r="F53" s="38" t="s">
        <v>492</v>
      </c>
      <c r="G53" s="14" t="s">
        <v>73</v>
      </c>
      <c r="H53" s="39" t="s">
        <v>30</v>
      </c>
      <c r="I53" s="14" t="s">
        <v>206</v>
      </c>
    </row>
    <row r="54" spans="1:9" ht="19.5" customHeight="1" x14ac:dyDescent="0.35">
      <c r="A54" s="36" t="s">
        <v>212</v>
      </c>
      <c r="B54" s="37">
        <v>46265</v>
      </c>
      <c r="C54" s="36" t="s">
        <v>45</v>
      </c>
      <c r="D54" s="14" t="s">
        <v>213</v>
      </c>
      <c r="E54" s="16">
        <v>20900</v>
      </c>
      <c r="F54" s="38" t="s">
        <v>492</v>
      </c>
      <c r="G54" s="14" t="s">
        <v>73</v>
      </c>
      <c r="H54" s="39" t="s">
        <v>30</v>
      </c>
      <c r="I54" s="14"/>
    </row>
    <row r="55" spans="1:9" ht="19.5" customHeight="1" x14ac:dyDescent="0.35">
      <c r="A55" s="36" t="s">
        <v>214</v>
      </c>
      <c r="B55" s="37">
        <v>46266</v>
      </c>
      <c r="C55" s="36" t="s">
        <v>186</v>
      </c>
      <c r="D55" s="14" t="s">
        <v>215</v>
      </c>
      <c r="E55" s="16">
        <v>16100</v>
      </c>
      <c r="F55" s="38" t="s">
        <v>492</v>
      </c>
      <c r="G55" s="14" t="s">
        <v>73</v>
      </c>
      <c r="H55" s="39" t="s">
        <v>30</v>
      </c>
      <c r="I55" s="14" t="s">
        <v>198</v>
      </c>
    </row>
    <row r="56" spans="1:9" ht="19.5" customHeight="1" x14ac:dyDescent="0.35">
      <c r="A56" s="36" t="s">
        <v>166</v>
      </c>
      <c r="B56" s="37">
        <v>46274</v>
      </c>
      <c r="C56" s="36" t="s">
        <v>43</v>
      </c>
      <c r="D56" s="14" t="s">
        <v>216</v>
      </c>
      <c r="E56" s="16">
        <v>35850</v>
      </c>
      <c r="F56" s="38" t="s">
        <v>492</v>
      </c>
      <c r="G56" s="14" t="s">
        <v>73</v>
      </c>
      <c r="H56" s="39" t="s">
        <v>30</v>
      </c>
      <c r="I56" s="14"/>
    </row>
    <row r="57" spans="1:9" ht="19.5" customHeight="1" x14ac:dyDescent="0.35">
      <c r="A57" s="36" t="s">
        <v>168</v>
      </c>
      <c r="B57" s="37">
        <v>46281</v>
      </c>
      <c r="C57" s="36" t="s">
        <v>120</v>
      </c>
      <c r="D57" s="14" t="s">
        <v>217</v>
      </c>
      <c r="E57" s="16">
        <v>28100</v>
      </c>
      <c r="F57" s="38" t="s">
        <v>492</v>
      </c>
      <c r="G57" s="14" t="s">
        <v>73</v>
      </c>
      <c r="H57" s="39" t="s">
        <v>30</v>
      </c>
      <c r="I57" s="14"/>
    </row>
    <row r="58" spans="1:9" ht="19.5" customHeight="1" x14ac:dyDescent="0.35">
      <c r="A58" s="36" t="s">
        <v>170</v>
      </c>
      <c r="B58" s="37">
        <v>46281</v>
      </c>
      <c r="C58" s="36" t="s">
        <v>45</v>
      </c>
      <c r="D58" s="14" t="s">
        <v>218</v>
      </c>
      <c r="E58" s="16">
        <v>8000</v>
      </c>
      <c r="F58" s="38" t="s">
        <v>492</v>
      </c>
      <c r="G58" s="14" t="s">
        <v>73</v>
      </c>
      <c r="H58" s="39" t="s">
        <v>30</v>
      </c>
      <c r="I58" s="14"/>
    </row>
    <row r="59" spans="1:9" ht="19.5" customHeight="1" x14ac:dyDescent="0.35">
      <c r="A59" s="36" t="s">
        <v>189</v>
      </c>
      <c r="B59" s="37">
        <v>46244</v>
      </c>
      <c r="C59" s="36" t="s">
        <v>42</v>
      </c>
      <c r="D59" s="40" t="s">
        <v>219</v>
      </c>
      <c r="E59" s="16">
        <v>1650000</v>
      </c>
      <c r="F59" s="38" t="s">
        <v>492</v>
      </c>
      <c r="G59" s="14" t="s">
        <v>73</v>
      </c>
      <c r="H59" s="39" t="s">
        <v>30</v>
      </c>
      <c r="I59" s="14"/>
    </row>
    <row r="60" spans="1:9" ht="19.5" customHeight="1" x14ac:dyDescent="0.35">
      <c r="A60" s="36" t="s">
        <v>190</v>
      </c>
      <c r="B60" s="37">
        <v>46266</v>
      </c>
      <c r="C60" s="36" t="s">
        <v>42</v>
      </c>
      <c r="D60" s="14"/>
      <c r="E60" s="16">
        <v>2300000</v>
      </c>
      <c r="F60" s="38" t="s">
        <v>238</v>
      </c>
      <c r="G60" s="14" t="s">
        <v>73</v>
      </c>
      <c r="H60" s="39" t="s">
        <v>30</v>
      </c>
      <c r="I60" s="14"/>
    </row>
    <row r="61" spans="1:9" ht="19.5" customHeight="1" x14ac:dyDescent="0.35">
      <c r="A61" s="36" t="s">
        <v>191</v>
      </c>
      <c r="B61" s="37">
        <v>46274</v>
      </c>
      <c r="C61" s="36" t="s">
        <v>131</v>
      </c>
      <c r="D61" s="40" t="s">
        <v>220</v>
      </c>
      <c r="E61" s="16">
        <v>475000</v>
      </c>
      <c r="F61" s="38" t="s">
        <v>492</v>
      </c>
      <c r="G61" s="14" t="s">
        <v>73</v>
      </c>
      <c r="H61" s="39" t="s">
        <v>30</v>
      </c>
      <c r="I61" s="14"/>
    </row>
    <row r="62" spans="1:9" ht="19.5" customHeight="1" x14ac:dyDescent="0.35">
      <c r="A62" s="36" t="s">
        <v>193</v>
      </c>
      <c r="B62" s="37">
        <v>46275</v>
      </c>
      <c r="C62" s="36" t="s">
        <v>45</v>
      </c>
      <c r="D62" s="40" t="s">
        <v>221</v>
      </c>
      <c r="E62" s="16">
        <v>60000</v>
      </c>
      <c r="F62" s="38" t="s">
        <v>492</v>
      </c>
      <c r="G62" s="14" t="s">
        <v>73</v>
      </c>
      <c r="H62" s="39" t="s">
        <v>30</v>
      </c>
      <c r="I62" s="14"/>
    </row>
    <row r="63" spans="1:9" ht="19.5" customHeight="1" x14ac:dyDescent="0.35">
      <c r="A63" s="36" t="s">
        <v>195</v>
      </c>
      <c r="B63" s="37">
        <v>46280</v>
      </c>
      <c r="C63" s="36" t="s">
        <v>44</v>
      </c>
      <c r="D63" s="40" t="s">
        <v>222</v>
      </c>
      <c r="E63" s="16">
        <v>906000</v>
      </c>
      <c r="F63" s="38" t="s">
        <v>488</v>
      </c>
      <c r="G63" s="14" t="s">
        <v>73</v>
      </c>
      <c r="H63" s="39" t="s">
        <v>30</v>
      </c>
      <c r="I63" s="14"/>
    </row>
    <row r="64" spans="1:9" ht="19.5" customHeight="1" x14ac:dyDescent="0.35">
      <c r="A64" s="36" t="s">
        <v>196</v>
      </c>
      <c r="B64" s="37"/>
      <c r="C64" s="36"/>
      <c r="D64" s="40"/>
      <c r="E64" s="16"/>
      <c r="F64" s="38"/>
      <c r="G64" s="14"/>
      <c r="H64" s="39"/>
      <c r="I64" s="14"/>
    </row>
    <row r="65" spans="1:9" ht="19.5" customHeight="1" x14ac:dyDescent="0.35">
      <c r="A65" s="36" t="s">
        <v>199</v>
      </c>
      <c r="B65" s="37"/>
      <c r="C65" s="36"/>
      <c r="D65" s="14"/>
      <c r="E65" s="16"/>
      <c r="F65" s="38"/>
      <c r="G65" s="14"/>
      <c r="H65" s="39"/>
      <c r="I65" s="14"/>
    </row>
    <row r="66" spans="1:9" ht="19.5" customHeight="1" x14ac:dyDescent="0.35">
      <c r="A66" s="21"/>
      <c r="B66" s="41"/>
      <c r="C66" s="42"/>
      <c r="D66" s="21"/>
      <c r="E66" s="23">
        <f>SUM(E2:E65)</f>
        <v>14256280</v>
      </c>
      <c r="F66" s="23"/>
      <c r="G66" s="21"/>
      <c r="H66" s="21"/>
      <c r="I66" s="21"/>
    </row>
    <row r="67" spans="1:9" ht="14.25" customHeight="1" x14ac:dyDescent="0.35">
      <c r="E67" s="43"/>
      <c r="F67" s="43"/>
    </row>
    <row r="68" spans="1:9" ht="14.25" customHeight="1" x14ac:dyDescent="0.35">
      <c r="E68" s="44"/>
      <c r="F68" s="44"/>
    </row>
    <row r="69" spans="1:9" ht="14.25" customHeight="1" x14ac:dyDescent="0.35">
      <c r="A69" s="2" t="s">
        <v>223</v>
      </c>
      <c r="B69" s="2"/>
      <c r="C69" s="2"/>
      <c r="D69" s="2"/>
      <c r="E69" s="2"/>
      <c r="F69" s="2"/>
      <c r="G69" s="2"/>
      <c r="H69" s="2"/>
      <c r="I69" s="2"/>
    </row>
    <row r="70" spans="1:9" ht="14.25" customHeight="1" x14ac:dyDescent="0.35">
      <c r="E70" s="45"/>
      <c r="F70" s="45"/>
    </row>
    <row r="71" spans="1:9" ht="14.25" customHeight="1" x14ac:dyDescent="0.35">
      <c r="E71" s="45"/>
      <c r="F71" s="45"/>
    </row>
  </sheetData>
  <autoFilter ref="A1:I66" xr:uid="{00000000-0009-0000-0000-000004000000}"/>
  <mergeCells count="1">
    <mergeCell ref="A69:I69"/>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 Configuración'!$S$4:$S$6</xm:f>
          </x14:formula1>
          <x14:formula2>
            <xm:f>0</xm:f>
          </x14:formula2>
          <xm:sqref>F2:F250</xm:sqref>
        </x14:dataValidation>
        <x14:dataValidation type="list" allowBlank="1" xr:uid="{00000000-0002-0000-0400-000001000000}">
          <x14:formula1>
            <xm:f>'⚙️ Configuración'!$E$4:$E$8</xm:f>
          </x14:formula1>
          <x14:formula2>
            <xm:f>0</xm:f>
          </x14:formula2>
          <xm:sqref>H2:H250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00"/>
  <sheetViews>
    <sheetView topLeftCell="L1" zoomScaleNormal="100" workbookViewId="0">
      <pane ySplit="1" topLeftCell="A37" activePane="bottomLeft" state="frozen"/>
      <selection activeCell="D1" sqref="D1"/>
      <selection pane="bottomLeft" activeCell="L51" sqref="L51"/>
    </sheetView>
  </sheetViews>
  <sheetFormatPr baseColWidth="10" defaultColWidth="8.6328125" defaultRowHeight="14.5" x14ac:dyDescent="0.35"/>
  <cols>
    <col min="1" max="1" width="12" customWidth="1"/>
    <col min="2" max="2" width="13" style="46" customWidth="1"/>
    <col min="3" max="3" width="14" customWidth="1"/>
    <col min="4" max="4" width="47.54296875" customWidth="1"/>
    <col min="5" max="5" width="9" customWidth="1"/>
    <col min="6" max="6" width="11" customWidth="1"/>
    <col min="7" max="7" width="12" customWidth="1"/>
    <col min="8" max="8" width="14" customWidth="1"/>
    <col min="9" max="9" width="19.6328125" customWidth="1"/>
    <col min="10" max="10" width="14" customWidth="1"/>
    <col min="11" max="11" width="15.7265625" style="45" customWidth="1"/>
    <col min="12" max="12" width="24" customWidth="1"/>
    <col min="13" max="13" width="20" customWidth="1"/>
  </cols>
  <sheetData>
    <row r="1" spans="1:13" ht="27.75" customHeight="1" x14ac:dyDescent="0.35">
      <c r="A1" s="13" t="s">
        <v>224</v>
      </c>
      <c r="B1" s="34" t="s">
        <v>62</v>
      </c>
      <c r="C1" s="13" t="s">
        <v>225</v>
      </c>
      <c r="D1" s="13" t="s">
        <v>226</v>
      </c>
      <c r="E1" s="13" t="s">
        <v>227</v>
      </c>
      <c r="F1" s="13" t="s">
        <v>54</v>
      </c>
      <c r="G1" s="13" t="s">
        <v>228</v>
      </c>
      <c r="H1" s="13" t="s">
        <v>229</v>
      </c>
      <c r="I1" s="13" t="s">
        <v>230</v>
      </c>
      <c r="J1" s="13" t="s">
        <v>231</v>
      </c>
      <c r="K1" s="47" t="s">
        <v>232</v>
      </c>
      <c r="L1" s="13" t="s">
        <v>233</v>
      </c>
      <c r="M1" s="48" t="s">
        <v>234</v>
      </c>
    </row>
    <row r="2" spans="1:13" ht="19.5" customHeight="1" x14ac:dyDescent="0.35">
      <c r="A2" s="36" t="s">
        <v>235</v>
      </c>
      <c r="B2" s="37">
        <v>46216</v>
      </c>
      <c r="C2" s="36" t="s">
        <v>3</v>
      </c>
      <c r="D2" s="14" t="s">
        <v>236</v>
      </c>
      <c r="E2" s="36" t="str">
        <f t="shared" ref="E2:E48" si="0">MID(C2,2,LEN(C2))</f>
        <v>M</v>
      </c>
      <c r="F2" s="36" t="s">
        <v>55</v>
      </c>
      <c r="G2" s="15">
        <v>1</v>
      </c>
      <c r="H2" s="36" t="s">
        <v>237</v>
      </c>
      <c r="I2" s="16">
        <v>13727</v>
      </c>
      <c r="J2" s="16">
        <f t="shared" ref="J2:J46" si="1">IF(OR(G2="",I2=""),"",G2*I2)</f>
        <v>13727</v>
      </c>
      <c r="K2" s="16">
        <f t="shared" ref="K2:K17" si="2">I2*2</f>
        <v>27454</v>
      </c>
      <c r="L2" s="14"/>
      <c r="M2" t="s">
        <v>238</v>
      </c>
    </row>
    <row r="3" spans="1:13" ht="19.5" customHeight="1" x14ac:dyDescent="0.35">
      <c r="A3" s="36" t="s">
        <v>239</v>
      </c>
      <c r="B3" s="37">
        <v>46216</v>
      </c>
      <c r="C3" s="36" t="s">
        <v>240</v>
      </c>
      <c r="D3" s="14" t="s">
        <v>241</v>
      </c>
      <c r="E3" s="36" t="str">
        <f t="shared" si="0"/>
        <v>S</v>
      </c>
      <c r="F3" s="36" t="s">
        <v>55</v>
      </c>
      <c r="G3" s="15">
        <v>1</v>
      </c>
      <c r="H3" s="36" t="s">
        <v>237</v>
      </c>
      <c r="I3" s="16">
        <v>13856</v>
      </c>
      <c r="J3" s="16">
        <f t="shared" si="1"/>
        <v>13856</v>
      </c>
      <c r="K3" s="16">
        <f t="shared" si="2"/>
        <v>27712</v>
      </c>
      <c r="L3" s="14"/>
      <c r="M3" t="s">
        <v>238</v>
      </c>
    </row>
    <row r="4" spans="1:13" ht="19.5" customHeight="1" x14ac:dyDescent="0.35">
      <c r="A4" s="36" t="s">
        <v>242</v>
      </c>
      <c r="B4" s="37">
        <v>46216</v>
      </c>
      <c r="C4" s="36" t="s">
        <v>243</v>
      </c>
      <c r="D4" s="14" t="s">
        <v>244</v>
      </c>
      <c r="E4" s="36" t="str">
        <f t="shared" si="0"/>
        <v>S</v>
      </c>
      <c r="F4" s="36" t="s">
        <v>60</v>
      </c>
      <c r="G4" s="15">
        <v>1</v>
      </c>
      <c r="H4" s="36" t="s">
        <v>237</v>
      </c>
      <c r="I4" s="16">
        <v>13424</v>
      </c>
      <c r="J4" s="16">
        <f t="shared" si="1"/>
        <v>13424</v>
      </c>
      <c r="K4" s="16">
        <f t="shared" si="2"/>
        <v>26848</v>
      </c>
      <c r="L4" s="14"/>
      <c r="M4" t="s">
        <v>238</v>
      </c>
    </row>
    <row r="5" spans="1:13" ht="19.5" customHeight="1" x14ac:dyDescent="0.35">
      <c r="A5" s="36" t="s">
        <v>245</v>
      </c>
      <c r="B5" s="37">
        <v>46229</v>
      </c>
      <c r="C5" s="36" t="s">
        <v>246</v>
      </c>
      <c r="D5" s="14" t="s">
        <v>247</v>
      </c>
      <c r="E5" s="36" t="str">
        <f t="shared" si="0"/>
        <v>S</v>
      </c>
      <c r="F5" s="36" t="s">
        <v>55</v>
      </c>
      <c r="G5" s="15">
        <v>2</v>
      </c>
      <c r="H5" s="36" t="s">
        <v>248</v>
      </c>
      <c r="I5" s="16">
        <v>8659</v>
      </c>
      <c r="J5" s="16">
        <f t="shared" si="1"/>
        <v>17318</v>
      </c>
      <c r="K5" s="16">
        <f t="shared" si="2"/>
        <v>17318</v>
      </c>
      <c r="L5" s="14"/>
      <c r="M5" t="s">
        <v>238</v>
      </c>
    </row>
    <row r="6" spans="1:13" ht="19.5" customHeight="1" x14ac:dyDescent="0.35">
      <c r="A6" s="36" t="s">
        <v>249</v>
      </c>
      <c r="B6" s="37">
        <v>46216</v>
      </c>
      <c r="C6" s="36" t="s">
        <v>250</v>
      </c>
      <c r="D6" s="14" t="s">
        <v>251</v>
      </c>
      <c r="E6" s="36" t="str">
        <f t="shared" si="0"/>
        <v>M</v>
      </c>
      <c r="F6" s="36" t="s">
        <v>252</v>
      </c>
      <c r="G6" s="15">
        <v>1</v>
      </c>
      <c r="H6" s="36" t="s">
        <v>237</v>
      </c>
      <c r="I6" s="16">
        <v>9977</v>
      </c>
      <c r="J6" s="16">
        <f t="shared" si="1"/>
        <v>9977</v>
      </c>
      <c r="K6" s="16">
        <f t="shared" si="2"/>
        <v>19954</v>
      </c>
      <c r="L6" s="14"/>
      <c r="M6" t="s">
        <v>238</v>
      </c>
    </row>
    <row r="7" spans="1:13" ht="19.5" customHeight="1" x14ac:dyDescent="0.35">
      <c r="A7" s="36" t="s">
        <v>253</v>
      </c>
      <c r="B7" s="37">
        <v>46226</v>
      </c>
      <c r="C7" s="36" t="s">
        <v>3</v>
      </c>
      <c r="D7" s="14" t="s">
        <v>254</v>
      </c>
      <c r="E7" s="36" t="str">
        <f t="shared" si="0"/>
        <v>M</v>
      </c>
      <c r="F7" s="36" t="s">
        <v>56</v>
      </c>
      <c r="G7" s="15">
        <v>1</v>
      </c>
      <c r="H7" s="36" t="s">
        <v>237</v>
      </c>
      <c r="I7" s="16">
        <v>8622</v>
      </c>
      <c r="J7" s="16">
        <f t="shared" si="1"/>
        <v>8622</v>
      </c>
      <c r="K7" s="16">
        <f t="shared" si="2"/>
        <v>17244</v>
      </c>
      <c r="L7" s="14"/>
      <c r="M7" t="s">
        <v>238</v>
      </c>
    </row>
    <row r="8" spans="1:13" ht="19.5" customHeight="1" x14ac:dyDescent="0.35">
      <c r="A8" s="36" t="s">
        <v>255</v>
      </c>
      <c r="B8" s="37">
        <v>46226</v>
      </c>
      <c r="C8" s="36" t="s">
        <v>243</v>
      </c>
      <c r="D8" s="14" t="s">
        <v>256</v>
      </c>
      <c r="E8" s="36" t="str">
        <f t="shared" si="0"/>
        <v>S</v>
      </c>
      <c r="F8" s="36" t="s">
        <v>55</v>
      </c>
      <c r="G8" s="15">
        <v>1</v>
      </c>
      <c r="H8" s="36" t="s">
        <v>237</v>
      </c>
      <c r="I8" s="16">
        <v>7501</v>
      </c>
      <c r="J8" s="16">
        <f t="shared" si="1"/>
        <v>7501</v>
      </c>
      <c r="K8" s="16">
        <f t="shared" si="2"/>
        <v>15002</v>
      </c>
      <c r="L8" s="14"/>
      <c r="M8" t="s">
        <v>238</v>
      </c>
    </row>
    <row r="9" spans="1:13" ht="19.5" customHeight="1" x14ac:dyDescent="0.35">
      <c r="A9" s="36" t="s">
        <v>257</v>
      </c>
      <c r="B9" s="37">
        <v>46226</v>
      </c>
      <c r="C9" s="36" t="s">
        <v>250</v>
      </c>
      <c r="D9" s="14" t="s">
        <v>258</v>
      </c>
      <c r="E9" s="36" t="str">
        <f t="shared" si="0"/>
        <v>M</v>
      </c>
      <c r="F9" s="36" t="s">
        <v>259</v>
      </c>
      <c r="G9" s="15">
        <v>3</v>
      </c>
      <c r="H9" s="36" t="s">
        <v>237</v>
      </c>
      <c r="I9" s="16">
        <v>5672</v>
      </c>
      <c r="J9" s="16">
        <f t="shared" si="1"/>
        <v>17016</v>
      </c>
      <c r="K9" s="16">
        <f t="shared" si="2"/>
        <v>11344</v>
      </c>
      <c r="L9" s="14"/>
      <c r="M9" t="s">
        <v>238</v>
      </c>
    </row>
    <row r="10" spans="1:13" ht="19.5" customHeight="1" x14ac:dyDescent="0.35">
      <c r="A10" s="36" t="s">
        <v>260</v>
      </c>
      <c r="B10" s="37">
        <v>46226</v>
      </c>
      <c r="C10" s="36" t="s">
        <v>240</v>
      </c>
      <c r="D10" s="14" t="s">
        <v>261</v>
      </c>
      <c r="E10" s="36" t="str">
        <f t="shared" si="0"/>
        <v>S</v>
      </c>
      <c r="F10" s="36" t="s">
        <v>55</v>
      </c>
      <c r="G10" s="15">
        <v>1</v>
      </c>
      <c r="H10" s="36" t="s">
        <v>237</v>
      </c>
      <c r="I10" s="16">
        <v>13779</v>
      </c>
      <c r="J10" s="16">
        <f t="shared" si="1"/>
        <v>13779</v>
      </c>
      <c r="K10" s="16">
        <f t="shared" si="2"/>
        <v>27558</v>
      </c>
      <c r="L10" s="14"/>
      <c r="M10" t="s">
        <v>238</v>
      </c>
    </row>
    <row r="11" spans="1:13" ht="19.5" customHeight="1" x14ac:dyDescent="0.35">
      <c r="A11" s="36" t="s">
        <v>262</v>
      </c>
      <c r="B11" s="37">
        <v>46226</v>
      </c>
      <c r="C11" s="36" t="s">
        <v>263</v>
      </c>
      <c r="D11" s="14" t="s">
        <v>247</v>
      </c>
      <c r="E11" s="36" t="str">
        <f t="shared" si="0"/>
        <v>M</v>
      </c>
      <c r="F11" s="36" t="s">
        <v>55</v>
      </c>
      <c r="G11" s="15">
        <v>2</v>
      </c>
      <c r="H11" s="36" t="s">
        <v>248</v>
      </c>
      <c r="I11" s="16">
        <v>9762</v>
      </c>
      <c r="J11" s="16">
        <f t="shared" si="1"/>
        <v>19524</v>
      </c>
      <c r="K11" s="16">
        <f t="shared" si="2"/>
        <v>19524</v>
      </c>
      <c r="L11" s="14"/>
      <c r="M11" t="s">
        <v>238</v>
      </c>
    </row>
    <row r="12" spans="1:13" ht="19.5" customHeight="1" x14ac:dyDescent="0.35">
      <c r="A12" s="36" t="s">
        <v>264</v>
      </c>
      <c r="B12" s="37">
        <v>46248</v>
      </c>
      <c r="C12" s="36" t="s">
        <v>265</v>
      </c>
      <c r="D12" s="14" t="s">
        <v>266</v>
      </c>
      <c r="E12" s="36" t="str">
        <f t="shared" si="0"/>
        <v>L</v>
      </c>
      <c r="F12" s="36" t="s">
        <v>267</v>
      </c>
      <c r="G12" s="15">
        <v>1</v>
      </c>
      <c r="H12" s="36" t="s">
        <v>237</v>
      </c>
      <c r="I12" s="16">
        <v>5420</v>
      </c>
      <c r="J12" s="16">
        <f t="shared" si="1"/>
        <v>5420</v>
      </c>
      <c r="K12" s="16">
        <f t="shared" si="2"/>
        <v>10840</v>
      </c>
      <c r="L12" s="14"/>
      <c r="M12" t="s">
        <v>238</v>
      </c>
    </row>
    <row r="13" spans="1:13" ht="19.5" customHeight="1" x14ac:dyDescent="0.35">
      <c r="A13" s="36" t="s">
        <v>268</v>
      </c>
      <c r="B13" s="37">
        <v>46248</v>
      </c>
      <c r="C13" s="36" t="s">
        <v>269</v>
      </c>
      <c r="D13" s="14" t="s">
        <v>270</v>
      </c>
      <c r="E13" s="36" t="str">
        <f t="shared" si="0"/>
        <v>XL</v>
      </c>
      <c r="F13" s="36" t="s">
        <v>55</v>
      </c>
      <c r="G13" s="15">
        <v>1</v>
      </c>
      <c r="H13" s="36" t="s">
        <v>237</v>
      </c>
      <c r="I13" s="16">
        <v>10074</v>
      </c>
      <c r="J13" s="16">
        <f t="shared" si="1"/>
        <v>10074</v>
      </c>
      <c r="K13" s="16">
        <f t="shared" si="2"/>
        <v>20148</v>
      </c>
      <c r="L13" s="14"/>
      <c r="M13" t="s">
        <v>238</v>
      </c>
    </row>
    <row r="14" spans="1:13" ht="19.5" customHeight="1" x14ac:dyDescent="0.35">
      <c r="A14" s="36" t="s">
        <v>271</v>
      </c>
      <c r="B14" s="37">
        <v>46248</v>
      </c>
      <c r="C14" s="36" t="s">
        <v>272</v>
      </c>
      <c r="D14" s="14" t="s">
        <v>273</v>
      </c>
      <c r="E14" s="36" t="str">
        <f t="shared" si="0"/>
        <v>L</v>
      </c>
      <c r="F14" s="36" t="s">
        <v>267</v>
      </c>
      <c r="G14" s="15">
        <v>1</v>
      </c>
      <c r="H14" s="36" t="s">
        <v>237</v>
      </c>
      <c r="I14" s="16">
        <v>9360</v>
      </c>
      <c r="J14" s="16">
        <f t="shared" si="1"/>
        <v>9360</v>
      </c>
      <c r="K14" s="16">
        <f t="shared" si="2"/>
        <v>18720</v>
      </c>
      <c r="L14" s="14"/>
      <c r="M14" t="s">
        <v>238</v>
      </c>
    </row>
    <row r="15" spans="1:13" ht="19.5" customHeight="1" x14ac:dyDescent="0.35">
      <c r="A15" s="36" t="s">
        <v>274</v>
      </c>
      <c r="B15" s="37">
        <v>46248</v>
      </c>
      <c r="C15" s="36" t="s">
        <v>275</v>
      </c>
      <c r="D15" s="40" t="s">
        <v>276</v>
      </c>
      <c r="E15" s="36" t="str">
        <f t="shared" si="0"/>
        <v>XL</v>
      </c>
      <c r="F15" s="36" t="s">
        <v>55</v>
      </c>
      <c r="G15" s="15">
        <v>1</v>
      </c>
      <c r="H15" s="36" t="s">
        <v>237</v>
      </c>
      <c r="I15" s="16">
        <v>6031</v>
      </c>
      <c r="J15" s="16">
        <f t="shared" si="1"/>
        <v>6031</v>
      </c>
      <c r="K15" s="16">
        <f t="shared" si="2"/>
        <v>12062</v>
      </c>
      <c r="L15" s="14"/>
      <c r="M15" t="s">
        <v>238</v>
      </c>
    </row>
    <row r="16" spans="1:13" ht="19.5" customHeight="1" x14ac:dyDescent="0.35">
      <c r="A16" s="36" t="s">
        <v>277</v>
      </c>
      <c r="B16" s="37">
        <v>46268</v>
      </c>
      <c r="C16" s="36" t="s">
        <v>250</v>
      </c>
      <c r="D16" s="40" t="s">
        <v>278</v>
      </c>
      <c r="E16" s="36" t="str">
        <f t="shared" si="0"/>
        <v>M</v>
      </c>
      <c r="F16" s="36" t="s">
        <v>56</v>
      </c>
      <c r="G16" s="15">
        <v>1</v>
      </c>
      <c r="H16" s="36" t="s">
        <v>237</v>
      </c>
      <c r="I16" s="16">
        <v>12504</v>
      </c>
      <c r="J16" s="16">
        <f t="shared" si="1"/>
        <v>12504</v>
      </c>
      <c r="K16" s="16">
        <f t="shared" si="2"/>
        <v>25008</v>
      </c>
      <c r="L16" s="14"/>
      <c r="M16" t="s">
        <v>238</v>
      </c>
    </row>
    <row r="17" spans="1:13" ht="19.5" customHeight="1" x14ac:dyDescent="0.35">
      <c r="A17" s="36" t="s">
        <v>279</v>
      </c>
      <c r="B17" s="37">
        <v>46268</v>
      </c>
      <c r="C17" s="36" t="s">
        <v>280</v>
      </c>
      <c r="D17" s="40" t="s">
        <v>281</v>
      </c>
      <c r="E17" s="36" t="str">
        <f t="shared" si="0"/>
        <v>S</v>
      </c>
      <c r="F17" s="36" t="s">
        <v>252</v>
      </c>
      <c r="G17" s="15">
        <v>1</v>
      </c>
      <c r="H17" s="36" t="s">
        <v>237</v>
      </c>
      <c r="I17" s="16">
        <v>14979</v>
      </c>
      <c r="J17" s="16">
        <f t="shared" si="1"/>
        <v>14979</v>
      </c>
      <c r="K17" s="16">
        <f t="shared" si="2"/>
        <v>29958</v>
      </c>
      <c r="L17" s="14"/>
      <c r="M17" t="s">
        <v>238</v>
      </c>
    </row>
    <row r="18" spans="1:13" ht="19.5" customHeight="1" x14ac:dyDescent="0.35">
      <c r="A18" s="36" t="s">
        <v>282</v>
      </c>
      <c r="B18" s="37">
        <v>46268</v>
      </c>
      <c r="C18" s="36" t="s">
        <v>283</v>
      </c>
      <c r="D18" s="40" t="s">
        <v>284</v>
      </c>
      <c r="E18" s="36" t="str">
        <f t="shared" si="0"/>
        <v>U</v>
      </c>
      <c r="F18" s="36" t="s">
        <v>259</v>
      </c>
      <c r="G18" s="15">
        <v>6</v>
      </c>
      <c r="H18" s="36" t="s">
        <v>237</v>
      </c>
      <c r="I18" s="16">
        <v>2832</v>
      </c>
      <c r="J18" s="16">
        <f t="shared" si="1"/>
        <v>16992</v>
      </c>
      <c r="K18" s="16">
        <v>10000</v>
      </c>
      <c r="L18" s="14"/>
      <c r="M18" t="s">
        <v>238</v>
      </c>
    </row>
    <row r="19" spans="1:13" ht="19.5" customHeight="1" x14ac:dyDescent="0.35">
      <c r="A19" s="36" t="s">
        <v>285</v>
      </c>
      <c r="B19" s="37">
        <v>46268</v>
      </c>
      <c r="C19" s="36" t="s">
        <v>243</v>
      </c>
      <c r="D19" s="40" t="s">
        <v>286</v>
      </c>
      <c r="E19" s="36" t="str">
        <f t="shared" si="0"/>
        <v>S</v>
      </c>
      <c r="F19" s="36" t="s">
        <v>252</v>
      </c>
      <c r="G19" s="15">
        <v>1</v>
      </c>
      <c r="H19" s="36" t="s">
        <v>237</v>
      </c>
      <c r="I19" s="16">
        <v>10038</v>
      </c>
      <c r="J19" s="16">
        <f t="shared" si="1"/>
        <v>10038</v>
      </c>
      <c r="K19" s="16">
        <f>I19*2</f>
        <v>20076</v>
      </c>
      <c r="L19" s="14"/>
      <c r="M19" t="s">
        <v>238</v>
      </c>
    </row>
    <row r="20" spans="1:13" ht="19.5" customHeight="1" x14ac:dyDescent="0.35">
      <c r="A20" s="36" t="s">
        <v>287</v>
      </c>
      <c r="B20" s="37">
        <v>46268</v>
      </c>
      <c r="C20" s="36" t="s">
        <v>288</v>
      </c>
      <c r="D20" s="40" t="s">
        <v>289</v>
      </c>
      <c r="E20" s="36" t="str">
        <f t="shared" si="0"/>
        <v/>
      </c>
      <c r="F20" s="36" t="s">
        <v>252</v>
      </c>
      <c r="G20" s="15">
        <v>1</v>
      </c>
      <c r="H20" s="36" t="s">
        <v>237</v>
      </c>
      <c r="I20" s="16">
        <v>8078</v>
      </c>
      <c r="J20" s="16">
        <f t="shared" si="1"/>
        <v>8078</v>
      </c>
      <c r="K20" s="16">
        <f>I20*2</f>
        <v>16156</v>
      </c>
      <c r="L20" s="14"/>
      <c r="M20" t="s">
        <v>238</v>
      </c>
    </row>
    <row r="21" spans="1:13" ht="19.5" customHeight="1" x14ac:dyDescent="0.35">
      <c r="A21" s="36" t="s">
        <v>290</v>
      </c>
      <c r="B21" s="37">
        <v>46268</v>
      </c>
      <c r="C21" s="36" t="s">
        <v>243</v>
      </c>
      <c r="D21" s="40" t="s">
        <v>291</v>
      </c>
      <c r="E21" s="36" t="str">
        <f t="shared" si="0"/>
        <v>S</v>
      </c>
      <c r="F21" s="36" t="s">
        <v>252</v>
      </c>
      <c r="G21" s="15">
        <v>1</v>
      </c>
      <c r="H21" s="36" t="s">
        <v>237</v>
      </c>
      <c r="I21" s="16">
        <v>6759</v>
      </c>
      <c r="J21" s="16">
        <f t="shared" si="1"/>
        <v>6759</v>
      </c>
      <c r="K21" s="16">
        <v>15000</v>
      </c>
      <c r="L21" s="14"/>
      <c r="M21" t="s">
        <v>238</v>
      </c>
    </row>
    <row r="22" spans="1:13" ht="19.5" customHeight="1" x14ac:dyDescent="0.35">
      <c r="A22" s="36" t="s">
        <v>292</v>
      </c>
      <c r="B22" s="37">
        <v>46268</v>
      </c>
      <c r="C22" s="36" t="s">
        <v>288</v>
      </c>
      <c r="D22" s="40" t="s">
        <v>293</v>
      </c>
      <c r="E22" s="36" t="str">
        <f t="shared" si="0"/>
        <v/>
      </c>
      <c r="F22" s="36" t="s">
        <v>55</v>
      </c>
      <c r="G22" s="15">
        <v>1</v>
      </c>
      <c r="H22" s="36" t="s">
        <v>248</v>
      </c>
      <c r="I22" s="16">
        <v>4719</v>
      </c>
      <c r="J22" s="16">
        <f t="shared" si="1"/>
        <v>4719</v>
      </c>
      <c r="K22" s="16">
        <f t="shared" ref="K22:K44" si="3">I22*2</f>
        <v>9438</v>
      </c>
      <c r="L22" s="14"/>
      <c r="M22" t="s">
        <v>238</v>
      </c>
    </row>
    <row r="23" spans="1:13" ht="19.5" customHeight="1" x14ac:dyDescent="0.35">
      <c r="A23" s="36" t="s">
        <v>294</v>
      </c>
      <c r="B23" s="37">
        <v>46268</v>
      </c>
      <c r="C23" s="36" t="s">
        <v>288</v>
      </c>
      <c r="D23" s="40" t="s">
        <v>295</v>
      </c>
      <c r="E23" s="36" t="str">
        <f t="shared" si="0"/>
        <v/>
      </c>
      <c r="F23" s="36" t="s">
        <v>55</v>
      </c>
      <c r="G23" s="15">
        <v>1</v>
      </c>
      <c r="H23" s="36" t="s">
        <v>237</v>
      </c>
      <c r="I23" s="16">
        <v>5206</v>
      </c>
      <c r="J23" s="16">
        <f t="shared" si="1"/>
        <v>5206</v>
      </c>
      <c r="K23" s="16">
        <f t="shared" si="3"/>
        <v>10412</v>
      </c>
      <c r="L23" s="14"/>
      <c r="M23" t="s">
        <v>238</v>
      </c>
    </row>
    <row r="24" spans="1:13" ht="19.5" customHeight="1" x14ac:dyDescent="0.35">
      <c r="A24" s="36" t="s">
        <v>296</v>
      </c>
      <c r="B24" s="37">
        <v>46268</v>
      </c>
      <c r="C24" s="36" t="s">
        <v>288</v>
      </c>
      <c r="D24" s="40" t="s">
        <v>297</v>
      </c>
      <c r="E24" s="36" t="str">
        <f t="shared" si="0"/>
        <v/>
      </c>
      <c r="F24" s="36" t="s">
        <v>55</v>
      </c>
      <c r="G24" s="15">
        <v>1</v>
      </c>
      <c r="H24" s="36" t="s">
        <v>237</v>
      </c>
      <c r="I24" s="16">
        <v>7600</v>
      </c>
      <c r="J24" s="16">
        <f t="shared" si="1"/>
        <v>7600</v>
      </c>
      <c r="K24" s="16">
        <f t="shared" si="3"/>
        <v>15200</v>
      </c>
      <c r="L24" s="14"/>
      <c r="M24" t="s">
        <v>238</v>
      </c>
    </row>
    <row r="25" spans="1:13" ht="19.5" customHeight="1" x14ac:dyDescent="0.35">
      <c r="A25" s="36" t="s">
        <v>298</v>
      </c>
      <c r="B25" s="37">
        <v>46268</v>
      </c>
      <c r="C25" s="36" t="s">
        <v>288</v>
      </c>
      <c r="D25" s="40" t="s">
        <v>299</v>
      </c>
      <c r="E25" s="36" t="str">
        <f t="shared" si="0"/>
        <v/>
      </c>
      <c r="F25" s="36" t="s">
        <v>55</v>
      </c>
      <c r="G25" s="15">
        <v>1</v>
      </c>
      <c r="H25" s="36" t="s">
        <v>237</v>
      </c>
      <c r="I25" s="16">
        <v>5498</v>
      </c>
      <c r="J25" s="16">
        <f t="shared" si="1"/>
        <v>5498</v>
      </c>
      <c r="K25" s="16">
        <f t="shared" si="3"/>
        <v>10996</v>
      </c>
      <c r="L25" s="14"/>
      <c r="M25" t="s">
        <v>238</v>
      </c>
    </row>
    <row r="26" spans="1:13" ht="19.5" customHeight="1" x14ac:dyDescent="0.35">
      <c r="A26" s="36" t="s">
        <v>300</v>
      </c>
      <c r="B26" s="37">
        <v>46268</v>
      </c>
      <c r="C26" s="36" t="s">
        <v>288</v>
      </c>
      <c r="D26" s="40" t="s">
        <v>301</v>
      </c>
      <c r="E26" s="36" t="str">
        <f t="shared" si="0"/>
        <v/>
      </c>
      <c r="F26" s="36" t="s">
        <v>56</v>
      </c>
      <c r="G26" s="15">
        <v>1</v>
      </c>
      <c r="H26" s="36" t="s">
        <v>237</v>
      </c>
      <c r="I26" s="16">
        <v>10995</v>
      </c>
      <c r="J26" s="16">
        <f t="shared" si="1"/>
        <v>10995</v>
      </c>
      <c r="K26" s="16">
        <f t="shared" si="3"/>
        <v>21990</v>
      </c>
      <c r="L26" s="14"/>
      <c r="M26" t="s">
        <v>238</v>
      </c>
    </row>
    <row r="27" spans="1:13" ht="19.5" customHeight="1" x14ac:dyDescent="0.35">
      <c r="A27" s="36" t="s">
        <v>302</v>
      </c>
      <c r="B27" s="37">
        <v>46268</v>
      </c>
      <c r="C27" s="36" t="s">
        <v>240</v>
      </c>
      <c r="D27" s="14" t="s">
        <v>303</v>
      </c>
      <c r="E27" s="36" t="str">
        <f t="shared" si="0"/>
        <v>S</v>
      </c>
      <c r="F27" s="36" t="s">
        <v>304</v>
      </c>
      <c r="G27" s="15">
        <v>1</v>
      </c>
      <c r="H27" s="36" t="s">
        <v>237</v>
      </c>
      <c r="I27" s="16">
        <v>12479</v>
      </c>
      <c r="J27" s="16">
        <f t="shared" si="1"/>
        <v>12479</v>
      </c>
      <c r="K27" s="16">
        <f t="shared" si="3"/>
        <v>24958</v>
      </c>
      <c r="L27" s="14"/>
      <c r="M27" t="s">
        <v>238</v>
      </c>
    </row>
    <row r="28" spans="1:13" ht="19.5" customHeight="1" x14ac:dyDescent="0.35">
      <c r="A28" s="36" t="s">
        <v>305</v>
      </c>
      <c r="B28" s="37">
        <v>46268</v>
      </c>
      <c r="C28" s="36" t="s">
        <v>265</v>
      </c>
      <c r="D28" s="14" t="s">
        <v>261</v>
      </c>
      <c r="E28" s="36" t="str">
        <f t="shared" si="0"/>
        <v>L</v>
      </c>
      <c r="F28" s="36" t="s">
        <v>55</v>
      </c>
      <c r="G28" s="15">
        <v>1</v>
      </c>
      <c r="H28" s="36" t="s">
        <v>237</v>
      </c>
      <c r="I28" s="16">
        <v>9069</v>
      </c>
      <c r="J28" s="16">
        <f t="shared" si="1"/>
        <v>9069</v>
      </c>
      <c r="K28" s="16">
        <f t="shared" si="3"/>
        <v>18138</v>
      </c>
      <c r="L28" s="14"/>
      <c r="M28" t="s">
        <v>238</v>
      </c>
    </row>
    <row r="29" spans="1:13" ht="19.5" customHeight="1" x14ac:dyDescent="0.35">
      <c r="A29" s="36" t="s">
        <v>306</v>
      </c>
      <c r="B29" s="37">
        <v>46268</v>
      </c>
      <c r="C29" s="36" t="s">
        <v>272</v>
      </c>
      <c r="D29" s="14" t="s">
        <v>307</v>
      </c>
      <c r="E29" s="36" t="str">
        <f t="shared" si="0"/>
        <v>L</v>
      </c>
      <c r="F29" s="36" t="s">
        <v>57</v>
      </c>
      <c r="G29" s="15">
        <v>1</v>
      </c>
      <c r="H29" s="36" t="s">
        <v>237</v>
      </c>
      <c r="I29" s="16">
        <v>8141</v>
      </c>
      <c r="J29" s="16">
        <f t="shared" si="1"/>
        <v>8141</v>
      </c>
      <c r="K29" s="16">
        <f t="shared" si="3"/>
        <v>16282</v>
      </c>
      <c r="L29" s="14"/>
      <c r="M29" t="s">
        <v>238</v>
      </c>
    </row>
    <row r="30" spans="1:13" ht="19.5" customHeight="1" x14ac:dyDescent="0.35">
      <c r="A30" s="36" t="s">
        <v>308</v>
      </c>
      <c r="B30" s="37">
        <v>46268</v>
      </c>
      <c r="C30" s="36" t="s">
        <v>3</v>
      </c>
      <c r="D30" s="14" t="s">
        <v>309</v>
      </c>
      <c r="E30" s="36" t="str">
        <f t="shared" si="0"/>
        <v>M</v>
      </c>
      <c r="F30" s="36" t="s">
        <v>310</v>
      </c>
      <c r="G30" s="15">
        <v>1</v>
      </c>
      <c r="H30" s="36" t="s">
        <v>237</v>
      </c>
      <c r="I30" s="16">
        <v>9400</v>
      </c>
      <c r="J30" s="16">
        <f t="shared" si="1"/>
        <v>9400</v>
      </c>
      <c r="K30" s="16">
        <f t="shared" si="3"/>
        <v>18800</v>
      </c>
      <c r="L30" s="14"/>
      <c r="M30" t="s">
        <v>238</v>
      </c>
    </row>
    <row r="31" spans="1:13" ht="19.5" customHeight="1" x14ac:dyDescent="0.35">
      <c r="A31" s="36" t="s">
        <v>311</v>
      </c>
      <c r="B31" s="37">
        <v>46268</v>
      </c>
      <c r="C31" s="36" t="s">
        <v>272</v>
      </c>
      <c r="D31" s="14" t="s">
        <v>312</v>
      </c>
      <c r="E31" s="36" t="str">
        <f t="shared" si="0"/>
        <v>L</v>
      </c>
      <c r="F31" s="36" t="s">
        <v>310</v>
      </c>
      <c r="G31" s="15">
        <v>1</v>
      </c>
      <c r="H31" s="36" t="s">
        <v>237</v>
      </c>
      <c r="I31" s="16">
        <v>8608</v>
      </c>
      <c r="J31" s="16">
        <f t="shared" si="1"/>
        <v>8608</v>
      </c>
      <c r="K31" s="16">
        <f t="shared" si="3"/>
        <v>17216</v>
      </c>
      <c r="L31" s="14"/>
      <c r="M31" t="s">
        <v>238</v>
      </c>
    </row>
    <row r="32" spans="1:13" ht="14.25" customHeight="1" x14ac:dyDescent="0.35">
      <c r="A32" s="36" t="s">
        <v>313</v>
      </c>
      <c r="B32" s="37">
        <v>46268</v>
      </c>
      <c r="C32" s="36" t="s">
        <v>243</v>
      </c>
      <c r="D32" s="14" t="s">
        <v>312</v>
      </c>
      <c r="E32" s="49" t="str">
        <f t="shared" si="0"/>
        <v>S</v>
      </c>
      <c r="F32" s="36" t="s">
        <v>60</v>
      </c>
      <c r="G32" s="15">
        <v>1</v>
      </c>
      <c r="H32" s="36" t="s">
        <v>237</v>
      </c>
      <c r="I32" s="50">
        <v>8358</v>
      </c>
      <c r="J32" s="50">
        <f t="shared" si="1"/>
        <v>8358</v>
      </c>
      <c r="K32" s="45">
        <f t="shared" si="3"/>
        <v>16716</v>
      </c>
      <c r="M32" t="s">
        <v>238</v>
      </c>
    </row>
    <row r="33" spans="1:13" ht="14.25" customHeight="1" x14ac:dyDescent="0.35">
      <c r="A33" s="36" t="s">
        <v>314</v>
      </c>
      <c r="B33" s="37">
        <v>46268</v>
      </c>
      <c r="C33" s="36" t="s">
        <v>275</v>
      </c>
      <c r="D33" s="14" t="s">
        <v>315</v>
      </c>
      <c r="E33" s="49" t="str">
        <f t="shared" si="0"/>
        <v>XL</v>
      </c>
      <c r="F33" s="36" t="s">
        <v>252</v>
      </c>
      <c r="G33" s="15">
        <v>1</v>
      </c>
      <c r="H33" s="36" t="s">
        <v>237</v>
      </c>
      <c r="I33" s="50">
        <v>7825</v>
      </c>
      <c r="J33" s="50">
        <f t="shared" si="1"/>
        <v>7825</v>
      </c>
      <c r="K33" s="45">
        <f t="shared" si="3"/>
        <v>15650</v>
      </c>
      <c r="M33" t="s">
        <v>238</v>
      </c>
    </row>
    <row r="34" spans="1:13" ht="14.25" customHeight="1" x14ac:dyDescent="0.35">
      <c r="A34" s="36" t="s">
        <v>316</v>
      </c>
      <c r="B34" s="37">
        <v>46268</v>
      </c>
      <c r="C34" s="36" t="s">
        <v>3</v>
      </c>
      <c r="D34" s="14" t="s">
        <v>317</v>
      </c>
      <c r="E34" s="49" t="str">
        <f t="shared" si="0"/>
        <v>M</v>
      </c>
      <c r="F34" s="36" t="s">
        <v>55</v>
      </c>
      <c r="G34" s="15">
        <v>1</v>
      </c>
      <c r="H34" s="36" t="s">
        <v>237</v>
      </c>
      <c r="I34" s="50">
        <v>7421</v>
      </c>
      <c r="J34" s="50">
        <f t="shared" si="1"/>
        <v>7421</v>
      </c>
      <c r="K34" s="45">
        <f t="shared" si="3"/>
        <v>14842</v>
      </c>
      <c r="M34" t="s">
        <v>238</v>
      </c>
    </row>
    <row r="35" spans="1:13" ht="14.25" customHeight="1" x14ac:dyDescent="0.35">
      <c r="A35" s="36" t="s">
        <v>318</v>
      </c>
      <c r="B35" s="37">
        <v>46268</v>
      </c>
      <c r="C35" s="36" t="s">
        <v>3</v>
      </c>
      <c r="D35" s="14" t="s">
        <v>256</v>
      </c>
      <c r="E35" s="49" t="str">
        <f t="shared" si="0"/>
        <v>M</v>
      </c>
      <c r="F35" s="36" t="s">
        <v>55</v>
      </c>
      <c r="G35" s="15">
        <v>1</v>
      </c>
      <c r="H35" s="36" t="s">
        <v>237</v>
      </c>
      <c r="I35" s="50">
        <v>6818</v>
      </c>
      <c r="J35" s="50">
        <f t="shared" si="1"/>
        <v>6818</v>
      </c>
      <c r="K35" s="45">
        <f t="shared" si="3"/>
        <v>13636</v>
      </c>
      <c r="M35" t="s">
        <v>238</v>
      </c>
    </row>
    <row r="36" spans="1:13" ht="14.25" customHeight="1" x14ac:dyDescent="0.35">
      <c r="A36" s="36" t="s">
        <v>319</v>
      </c>
      <c r="B36" s="37">
        <v>46268</v>
      </c>
      <c r="C36" s="36" t="s">
        <v>272</v>
      </c>
      <c r="D36" s="51" t="s">
        <v>320</v>
      </c>
      <c r="E36" s="49" t="str">
        <f t="shared" si="0"/>
        <v>L</v>
      </c>
      <c r="F36" s="36" t="s">
        <v>57</v>
      </c>
      <c r="G36" s="15">
        <v>1</v>
      </c>
      <c r="H36" s="36" t="s">
        <v>237</v>
      </c>
      <c r="I36" s="50">
        <v>11400</v>
      </c>
      <c r="J36" s="50">
        <f t="shared" si="1"/>
        <v>11400</v>
      </c>
      <c r="K36" s="45">
        <f t="shared" si="3"/>
        <v>22800</v>
      </c>
      <c r="M36" t="s">
        <v>238</v>
      </c>
    </row>
    <row r="37" spans="1:13" ht="14.25" customHeight="1" x14ac:dyDescent="0.35">
      <c r="A37" s="36" t="s">
        <v>321</v>
      </c>
      <c r="B37" s="37">
        <v>46268</v>
      </c>
      <c r="C37" s="36" t="s">
        <v>322</v>
      </c>
      <c r="D37" s="51" t="s">
        <v>323</v>
      </c>
      <c r="E37" s="49" t="str">
        <f t="shared" si="0"/>
        <v>XXL</v>
      </c>
      <c r="F37" s="36" t="s">
        <v>55</v>
      </c>
      <c r="G37" s="15">
        <v>1</v>
      </c>
      <c r="H37" s="36" t="s">
        <v>237</v>
      </c>
      <c r="I37" s="50">
        <v>11295</v>
      </c>
      <c r="J37" s="50">
        <f t="shared" si="1"/>
        <v>11295</v>
      </c>
      <c r="K37" s="45">
        <f t="shared" si="3"/>
        <v>22590</v>
      </c>
      <c r="M37" t="s">
        <v>238</v>
      </c>
    </row>
    <row r="38" spans="1:13" ht="14.25" customHeight="1" x14ac:dyDescent="0.35">
      <c r="A38" s="36" t="s">
        <v>324</v>
      </c>
      <c r="B38" s="37">
        <v>46268</v>
      </c>
      <c r="C38" s="36" t="s">
        <v>325</v>
      </c>
      <c r="D38" s="51" t="s">
        <v>326</v>
      </c>
      <c r="E38" s="49" t="str">
        <f t="shared" si="0"/>
        <v>U</v>
      </c>
      <c r="F38" s="36" t="s">
        <v>55</v>
      </c>
      <c r="G38" s="15">
        <v>1</v>
      </c>
      <c r="H38" s="36" t="s">
        <v>237</v>
      </c>
      <c r="I38" s="50">
        <v>4908</v>
      </c>
      <c r="J38" s="50">
        <f t="shared" si="1"/>
        <v>4908</v>
      </c>
      <c r="K38" s="45">
        <f t="shared" si="3"/>
        <v>9816</v>
      </c>
      <c r="M38" t="s">
        <v>238</v>
      </c>
    </row>
    <row r="39" spans="1:13" ht="14.25" customHeight="1" x14ac:dyDescent="0.35">
      <c r="A39" s="36" t="s">
        <v>327</v>
      </c>
      <c r="B39" s="37">
        <v>46268</v>
      </c>
      <c r="C39" s="36" t="s">
        <v>283</v>
      </c>
      <c r="D39" s="51" t="s">
        <v>328</v>
      </c>
      <c r="E39" s="49" t="str">
        <f t="shared" si="0"/>
        <v>U</v>
      </c>
      <c r="F39" s="36" t="s">
        <v>55</v>
      </c>
      <c r="G39" s="15">
        <v>8</v>
      </c>
      <c r="H39" s="36" t="s">
        <v>237</v>
      </c>
      <c r="I39" s="50">
        <v>2365</v>
      </c>
      <c r="J39" s="50">
        <f t="shared" si="1"/>
        <v>18920</v>
      </c>
      <c r="K39" s="45">
        <f t="shared" si="3"/>
        <v>4730</v>
      </c>
      <c r="M39" t="s">
        <v>238</v>
      </c>
    </row>
    <row r="40" spans="1:13" ht="14.25" customHeight="1" x14ac:dyDescent="0.35">
      <c r="A40" s="36" t="s">
        <v>329</v>
      </c>
      <c r="B40" s="37">
        <v>46268</v>
      </c>
      <c r="C40" s="36"/>
      <c r="D40" s="51" t="s">
        <v>330</v>
      </c>
      <c r="E40" s="49" t="str">
        <f t="shared" si="0"/>
        <v/>
      </c>
      <c r="F40" s="36" t="s">
        <v>60</v>
      </c>
      <c r="G40" s="15">
        <v>1</v>
      </c>
      <c r="H40" s="36" t="s">
        <v>237</v>
      </c>
      <c r="I40" s="50">
        <v>10362</v>
      </c>
      <c r="J40" s="50">
        <f t="shared" si="1"/>
        <v>10362</v>
      </c>
      <c r="K40" s="45">
        <f t="shared" si="3"/>
        <v>20724</v>
      </c>
      <c r="M40" t="s">
        <v>238</v>
      </c>
    </row>
    <row r="41" spans="1:13" ht="14.25" customHeight="1" x14ac:dyDescent="0.35">
      <c r="A41" s="36" t="s">
        <v>331</v>
      </c>
      <c r="B41" s="37">
        <v>46268</v>
      </c>
      <c r="C41" s="36" t="s">
        <v>265</v>
      </c>
      <c r="D41" s="51" t="s">
        <v>332</v>
      </c>
      <c r="E41" s="49" t="str">
        <f t="shared" si="0"/>
        <v>L</v>
      </c>
      <c r="F41" s="36" t="s">
        <v>55</v>
      </c>
      <c r="G41" s="15">
        <v>1</v>
      </c>
      <c r="H41" s="36" t="s">
        <v>237</v>
      </c>
      <c r="I41" s="50">
        <v>9918</v>
      </c>
      <c r="J41" s="50">
        <f t="shared" si="1"/>
        <v>9918</v>
      </c>
      <c r="K41" s="45">
        <f t="shared" si="3"/>
        <v>19836</v>
      </c>
      <c r="M41" t="s">
        <v>238</v>
      </c>
    </row>
    <row r="42" spans="1:13" ht="14.25" customHeight="1" x14ac:dyDescent="0.35">
      <c r="A42" s="36" t="s">
        <v>333</v>
      </c>
      <c r="B42" s="37">
        <v>46268</v>
      </c>
      <c r="C42" s="36" t="s">
        <v>250</v>
      </c>
      <c r="D42" s="51" t="s">
        <v>334</v>
      </c>
      <c r="E42" s="49" t="str">
        <f t="shared" si="0"/>
        <v>M</v>
      </c>
      <c r="F42" s="36" t="s">
        <v>55</v>
      </c>
      <c r="G42" s="15">
        <v>1</v>
      </c>
      <c r="H42" s="36" t="s">
        <v>237</v>
      </c>
      <c r="I42" s="50">
        <v>9666</v>
      </c>
      <c r="J42" s="50">
        <f t="shared" si="1"/>
        <v>9666</v>
      </c>
      <c r="K42" s="45">
        <f t="shared" si="3"/>
        <v>19332</v>
      </c>
      <c r="M42" t="s">
        <v>238</v>
      </c>
    </row>
    <row r="43" spans="1:13" ht="14.25" customHeight="1" x14ac:dyDescent="0.35">
      <c r="A43" s="36" t="s">
        <v>335</v>
      </c>
      <c r="B43" s="37">
        <v>46268</v>
      </c>
      <c r="C43" s="36" t="s">
        <v>336</v>
      </c>
      <c r="D43" s="51" t="s">
        <v>337</v>
      </c>
      <c r="E43" s="49" t="str">
        <f t="shared" si="0"/>
        <v>U</v>
      </c>
      <c r="F43" s="36" t="s">
        <v>55</v>
      </c>
      <c r="G43" s="15">
        <v>1</v>
      </c>
      <c r="H43" s="36" t="s">
        <v>237</v>
      </c>
      <c r="I43" s="50">
        <v>7992</v>
      </c>
      <c r="J43" s="50">
        <f t="shared" si="1"/>
        <v>7992</v>
      </c>
      <c r="K43" s="45">
        <f t="shared" si="3"/>
        <v>15984</v>
      </c>
      <c r="M43" t="s">
        <v>238</v>
      </c>
    </row>
    <row r="44" spans="1:13" ht="14.25" customHeight="1" x14ac:dyDescent="0.35">
      <c r="A44" s="36" t="s">
        <v>338</v>
      </c>
      <c r="B44" s="37">
        <v>46268</v>
      </c>
      <c r="C44" s="36"/>
      <c r="D44" s="51" t="s">
        <v>339</v>
      </c>
      <c r="E44" s="49" t="str">
        <f t="shared" si="0"/>
        <v/>
      </c>
      <c r="F44" s="36" t="s">
        <v>340</v>
      </c>
      <c r="G44" s="15">
        <v>1</v>
      </c>
      <c r="H44" s="36" t="s">
        <v>237</v>
      </c>
      <c r="I44" s="50">
        <v>1998</v>
      </c>
      <c r="J44" s="50">
        <f t="shared" si="1"/>
        <v>1998</v>
      </c>
      <c r="K44" s="45">
        <f t="shared" si="3"/>
        <v>3996</v>
      </c>
      <c r="M44" t="s">
        <v>238</v>
      </c>
    </row>
    <row r="45" spans="1:13" ht="14.25" customHeight="1" x14ac:dyDescent="0.35">
      <c r="A45" s="36" t="s">
        <v>341</v>
      </c>
      <c r="B45" s="46">
        <v>46262</v>
      </c>
      <c r="C45" s="36"/>
      <c r="D45" s="51" t="s">
        <v>342</v>
      </c>
      <c r="E45" s="49" t="str">
        <f t="shared" si="0"/>
        <v/>
      </c>
      <c r="F45" s="36"/>
      <c r="G45" s="15">
        <v>6</v>
      </c>
      <c r="H45" s="36" t="s">
        <v>237</v>
      </c>
      <c r="I45" s="50">
        <v>70000</v>
      </c>
      <c r="J45" s="50">
        <f t="shared" si="1"/>
        <v>420000</v>
      </c>
      <c r="K45" s="45">
        <v>100000</v>
      </c>
      <c r="M45" t="s">
        <v>238</v>
      </c>
    </row>
    <row r="46" spans="1:13" ht="14.25" customHeight="1" x14ac:dyDescent="0.35">
      <c r="A46" s="36" t="s">
        <v>343</v>
      </c>
      <c r="B46" s="46">
        <v>46262</v>
      </c>
      <c r="C46" s="36"/>
      <c r="D46" s="51" t="s">
        <v>344</v>
      </c>
      <c r="E46" s="49" t="str">
        <f t="shared" si="0"/>
        <v/>
      </c>
      <c r="F46" s="36"/>
      <c r="G46" s="15">
        <v>6</v>
      </c>
      <c r="H46" s="36" t="s">
        <v>237</v>
      </c>
      <c r="I46" s="50">
        <v>90000</v>
      </c>
      <c r="J46" s="50">
        <f t="shared" si="1"/>
        <v>540000</v>
      </c>
      <c r="K46" s="45">
        <v>120000</v>
      </c>
      <c r="M46" t="s">
        <v>238</v>
      </c>
    </row>
    <row r="47" spans="1:13" ht="14.25" customHeight="1" x14ac:dyDescent="0.35">
      <c r="A47" s="36" t="s">
        <v>345</v>
      </c>
      <c r="C47" s="36"/>
      <c r="E47" s="49" t="str">
        <f t="shared" si="0"/>
        <v/>
      </c>
      <c r="F47" s="36"/>
      <c r="G47" s="15"/>
      <c r="H47" s="36"/>
      <c r="J47" s="50"/>
    </row>
    <row r="48" spans="1:13" ht="14.25" customHeight="1" x14ac:dyDescent="0.35">
      <c r="A48" s="36" t="s">
        <v>346</v>
      </c>
      <c r="C48" s="36"/>
      <c r="E48" s="49" t="str">
        <f t="shared" si="0"/>
        <v/>
      </c>
      <c r="F48" s="36"/>
      <c r="G48" s="15"/>
      <c r="H48" s="36"/>
      <c r="J48" s="50"/>
    </row>
    <row r="49" spans="1:12" ht="14.25" customHeight="1" x14ac:dyDescent="0.35"/>
    <row r="50" spans="1:12" ht="14.25" customHeight="1" x14ac:dyDescent="0.35"/>
    <row r="51" spans="1:12" ht="14.25" customHeight="1" x14ac:dyDescent="0.35">
      <c r="H51" s="52" t="s">
        <v>347</v>
      </c>
      <c r="I51" s="53">
        <f>SUM(I2:I50)</f>
        <v>533095</v>
      </c>
      <c r="J51" s="45">
        <f>SUM(J2:J50)</f>
        <v>1393575</v>
      </c>
    </row>
    <row r="52" spans="1:12" ht="14.25" customHeight="1" x14ac:dyDescent="0.35"/>
    <row r="53" spans="1:12" ht="14.25" customHeight="1" x14ac:dyDescent="0.35"/>
    <row r="54" spans="1:12" ht="14.25" customHeight="1" x14ac:dyDescent="0.35">
      <c r="A54" s="2" t="s">
        <v>348</v>
      </c>
      <c r="B54" s="2"/>
      <c r="C54" s="2"/>
      <c r="D54" s="2"/>
      <c r="E54" s="2"/>
      <c r="F54" s="2"/>
      <c r="G54" s="2"/>
      <c r="H54" s="2"/>
      <c r="I54" s="2"/>
      <c r="J54" s="2"/>
      <c r="K54" s="2"/>
      <c r="L54" s="2"/>
    </row>
    <row r="55" spans="1:12" ht="14.25" customHeight="1" x14ac:dyDescent="0.35"/>
    <row r="56" spans="1:12" ht="14.25" customHeight="1" x14ac:dyDescent="0.35"/>
    <row r="57" spans="1:12" ht="14.25" customHeight="1" x14ac:dyDescent="0.35"/>
    <row r="58" spans="1:12" ht="14.25" customHeight="1" x14ac:dyDescent="0.35"/>
    <row r="59" spans="1:12" ht="14.25" customHeight="1" x14ac:dyDescent="0.35"/>
    <row r="60" spans="1:12" ht="14.25" customHeight="1" x14ac:dyDescent="0.35"/>
    <row r="61" spans="1:12" ht="14.25" customHeight="1" x14ac:dyDescent="0.35"/>
    <row r="62" spans="1:12" ht="14.25" customHeight="1" x14ac:dyDescent="0.35"/>
    <row r="63" spans="1:12" ht="14.25" customHeight="1" x14ac:dyDescent="0.35"/>
    <row r="64" spans="1:12"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sheetData>
  <autoFilter ref="A1:L48" xr:uid="{00000000-0009-0000-0000-000005000000}"/>
  <mergeCells count="1">
    <mergeCell ref="A54:L54"/>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500-000000000000}">
          <x14:formula1>
            <xm:f>'⚙️ Configuración'!$Y$4:$Y$5</xm:f>
          </x14:formula1>
          <x14:formula2>
            <xm:f>0</xm:f>
          </x14:formula2>
          <xm:sqref>M2:M400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50"/>
  <sheetViews>
    <sheetView zoomScaleNormal="100" workbookViewId="0">
      <pane xSplit="2" ySplit="1" topLeftCell="C33" activePane="bottomRight" state="frozen"/>
      <selection pane="topRight" activeCell="C1" sqref="C1"/>
      <selection pane="bottomLeft" activeCell="A33" sqref="A33"/>
      <selection pane="bottomRight" activeCell="B11" sqref="B11"/>
    </sheetView>
  </sheetViews>
  <sheetFormatPr baseColWidth="10" defaultColWidth="8.6328125" defaultRowHeight="14.5" x14ac:dyDescent="0.35"/>
  <cols>
    <col min="1" max="1" width="12" customWidth="1"/>
    <col min="2" max="2" width="43.1796875" customWidth="1"/>
    <col min="3" max="3" width="20" customWidth="1"/>
    <col min="4" max="4" width="18" customWidth="1"/>
    <col min="5" max="5" width="10" customWidth="1"/>
    <col min="6" max="6" width="20" customWidth="1"/>
    <col min="7" max="8" width="16" customWidth="1"/>
    <col min="9" max="9" width="31.54296875" style="33" customWidth="1"/>
    <col min="10" max="10" width="31.90625" customWidth="1"/>
    <col min="11" max="11" width="20" customWidth="1"/>
  </cols>
  <sheetData>
    <row r="1" spans="1:11" ht="27.75" customHeight="1" x14ac:dyDescent="0.35">
      <c r="A1" s="13" t="s">
        <v>349</v>
      </c>
      <c r="B1" s="13" t="s">
        <v>350</v>
      </c>
      <c r="C1" s="13" t="s">
        <v>40</v>
      </c>
      <c r="D1" s="13" t="s">
        <v>351</v>
      </c>
      <c r="E1" s="13" t="s">
        <v>65</v>
      </c>
      <c r="F1" s="13" t="s">
        <v>352</v>
      </c>
      <c r="G1" s="13" t="s">
        <v>353</v>
      </c>
      <c r="H1" s="13" t="s">
        <v>354</v>
      </c>
      <c r="I1" s="34" t="s">
        <v>355</v>
      </c>
      <c r="J1" s="13" t="s">
        <v>356</v>
      </c>
      <c r="K1" s="48" t="s">
        <v>234</v>
      </c>
    </row>
    <row r="2" spans="1:11" ht="19.5" customHeight="1" x14ac:dyDescent="0.35">
      <c r="A2" s="36" t="s">
        <v>357</v>
      </c>
      <c r="B2" s="14" t="s">
        <v>358</v>
      </c>
      <c r="C2" s="36" t="s">
        <v>359</v>
      </c>
      <c r="D2" s="36" t="s">
        <v>360</v>
      </c>
      <c r="E2" s="15">
        <v>2</v>
      </c>
      <c r="F2" s="36" t="s">
        <v>361</v>
      </c>
      <c r="G2" s="54">
        <v>2850000</v>
      </c>
      <c r="H2" s="16">
        <f t="shared" ref="H2:H44" si="0">IF(OR(E2="",G2=""),"",E2*G2)</f>
        <v>5700000</v>
      </c>
      <c r="I2" s="55">
        <v>46274</v>
      </c>
      <c r="J2" s="14" t="s">
        <v>362</v>
      </c>
      <c r="K2" t="s">
        <v>238</v>
      </c>
    </row>
    <row r="3" spans="1:11" ht="19.5" customHeight="1" x14ac:dyDescent="0.35">
      <c r="A3" s="36" t="s">
        <v>363</v>
      </c>
      <c r="B3" s="14" t="s">
        <v>364</v>
      </c>
      <c r="C3" s="36" t="s">
        <v>359</v>
      </c>
      <c r="D3" s="36" t="s">
        <v>360</v>
      </c>
      <c r="E3" s="15">
        <v>3</v>
      </c>
      <c r="F3" s="36" t="s">
        <v>361</v>
      </c>
      <c r="G3" s="54">
        <v>2000000</v>
      </c>
      <c r="H3" s="16">
        <f t="shared" si="0"/>
        <v>6000000</v>
      </c>
      <c r="I3" s="55">
        <v>46274</v>
      </c>
      <c r="J3" s="14" t="s">
        <v>365</v>
      </c>
      <c r="K3" t="s">
        <v>238</v>
      </c>
    </row>
    <row r="4" spans="1:11" ht="19.5" customHeight="1" x14ac:dyDescent="0.35">
      <c r="A4" s="36" t="s">
        <v>366</v>
      </c>
      <c r="B4" s="14" t="s">
        <v>367</v>
      </c>
      <c r="C4" s="36" t="s">
        <v>368</v>
      </c>
      <c r="D4" s="36" t="s">
        <v>369</v>
      </c>
      <c r="E4" s="15">
        <v>2</v>
      </c>
      <c r="F4" s="36" t="s">
        <v>361</v>
      </c>
      <c r="G4" s="54">
        <v>750000</v>
      </c>
      <c r="H4" s="16">
        <f t="shared" si="0"/>
        <v>1500000</v>
      </c>
      <c r="I4" s="55">
        <v>46280</v>
      </c>
      <c r="J4" s="14" t="s">
        <v>370</v>
      </c>
      <c r="K4" t="s">
        <v>238</v>
      </c>
    </row>
    <row r="5" spans="1:11" ht="19.5" customHeight="1" x14ac:dyDescent="0.35">
      <c r="A5" s="36" t="s">
        <v>371</v>
      </c>
      <c r="B5" s="14" t="s">
        <v>372</v>
      </c>
      <c r="C5" s="36" t="s">
        <v>359</v>
      </c>
      <c r="D5" s="36" t="s">
        <v>360</v>
      </c>
      <c r="E5" s="15">
        <v>1</v>
      </c>
      <c r="F5" s="36" t="s">
        <v>361</v>
      </c>
      <c r="G5" s="54">
        <v>895000</v>
      </c>
      <c r="H5" s="16">
        <f t="shared" si="0"/>
        <v>895000</v>
      </c>
      <c r="I5" s="55">
        <v>46249</v>
      </c>
      <c r="J5" s="14" t="s">
        <v>373</v>
      </c>
      <c r="K5" t="s">
        <v>238</v>
      </c>
    </row>
    <row r="6" spans="1:11" ht="19.5" customHeight="1" x14ac:dyDescent="0.35">
      <c r="A6" s="36" t="s">
        <v>374</v>
      </c>
      <c r="B6" s="14" t="s">
        <v>375</v>
      </c>
      <c r="C6" s="36" t="s">
        <v>359</v>
      </c>
      <c r="D6" s="36" t="s">
        <v>360</v>
      </c>
      <c r="E6" s="15">
        <v>1</v>
      </c>
      <c r="F6" s="36" t="s">
        <v>361</v>
      </c>
      <c r="G6" s="54">
        <v>1180000</v>
      </c>
      <c r="H6" s="16">
        <f t="shared" si="0"/>
        <v>1180000</v>
      </c>
      <c r="I6" s="55">
        <v>46249</v>
      </c>
      <c r="J6" s="14" t="s">
        <v>376</v>
      </c>
      <c r="K6" t="s">
        <v>238</v>
      </c>
    </row>
    <row r="7" spans="1:11" ht="19.5" customHeight="1" x14ac:dyDescent="0.35">
      <c r="A7" s="36" t="s">
        <v>377</v>
      </c>
      <c r="B7" s="14" t="s">
        <v>378</v>
      </c>
      <c r="C7" s="36" t="s">
        <v>379</v>
      </c>
      <c r="D7" s="36" t="s">
        <v>380</v>
      </c>
      <c r="E7" s="15">
        <v>1</v>
      </c>
      <c r="F7" s="36" t="s">
        <v>381</v>
      </c>
      <c r="G7" s="54">
        <v>5048</v>
      </c>
      <c r="H7" s="16">
        <f t="shared" si="0"/>
        <v>5048</v>
      </c>
      <c r="I7" s="55">
        <v>46249</v>
      </c>
      <c r="J7" s="14" t="s">
        <v>382</v>
      </c>
      <c r="K7" t="s">
        <v>238</v>
      </c>
    </row>
    <row r="8" spans="1:11" ht="19.5" customHeight="1" x14ac:dyDescent="0.35">
      <c r="A8" s="36" t="s">
        <v>383</v>
      </c>
      <c r="B8" s="14" t="s">
        <v>384</v>
      </c>
      <c r="C8" s="36" t="s">
        <v>379</v>
      </c>
      <c r="D8" s="36" t="s">
        <v>380</v>
      </c>
      <c r="E8" s="15">
        <v>1</v>
      </c>
      <c r="F8" s="36" t="s">
        <v>361</v>
      </c>
      <c r="G8" s="54">
        <v>6939</v>
      </c>
      <c r="H8" s="16">
        <f t="shared" si="0"/>
        <v>6939</v>
      </c>
      <c r="I8" s="55">
        <v>46249</v>
      </c>
      <c r="J8" s="14" t="s">
        <v>385</v>
      </c>
      <c r="K8" t="s">
        <v>238</v>
      </c>
    </row>
    <row r="9" spans="1:11" ht="19.5" customHeight="1" x14ac:dyDescent="0.35">
      <c r="A9" s="36" t="s">
        <v>386</v>
      </c>
      <c r="B9" s="14" t="s">
        <v>387</v>
      </c>
      <c r="C9" s="36" t="s">
        <v>379</v>
      </c>
      <c r="D9" s="36" t="s">
        <v>380</v>
      </c>
      <c r="E9" s="15">
        <v>1</v>
      </c>
      <c r="F9" s="36" t="s">
        <v>361</v>
      </c>
      <c r="G9" s="54">
        <v>4950</v>
      </c>
      <c r="H9" s="16">
        <f t="shared" si="0"/>
        <v>4950</v>
      </c>
      <c r="I9" s="55">
        <v>46249</v>
      </c>
      <c r="J9" s="14" t="s">
        <v>385</v>
      </c>
      <c r="K9" t="s">
        <v>238</v>
      </c>
    </row>
    <row r="10" spans="1:11" ht="19.5" customHeight="1" x14ac:dyDescent="0.35">
      <c r="A10" s="36" t="s">
        <v>388</v>
      </c>
      <c r="B10" s="14" t="s">
        <v>389</v>
      </c>
      <c r="C10" s="36" t="s">
        <v>368</v>
      </c>
      <c r="D10" s="36" t="s">
        <v>390</v>
      </c>
      <c r="E10" s="15">
        <v>6</v>
      </c>
      <c r="F10" s="36" t="s">
        <v>361</v>
      </c>
      <c r="G10" s="54">
        <v>8232</v>
      </c>
      <c r="H10" s="16">
        <f t="shared" si="0"/>
        <v>49392</v>
      </c>
      <c r="I10" s="55">
        <v>46249</v>
      </c>
      <c r="J10" s="14" t="s">
        <v>391</v>
      </c>
      <c r="K10" t="s">
        <v>238</v>
      </c>
    </row>
    <row r="11" spans="1:11" ht="19.5" customHeight="1" x14ac:dyDescent="0.35">
      <c r="A11" s="36" t="s">
        <v>392</v>
      </c>
      <c r="B11" s="14" t="s">
        <v>393</v>
      </c>
      <c r="C11" s="36" t="s">
        <v>394</v>
      </c>
      <c r="D11" s="36" t="s">
        <v>360</v>
      </c>
      <c r="E11" s="15">
        <v>1</v>
      </c>
      <c r="F11" s="36" t="s">
        <v>361</v>
      </c>
      <c r="G11" s="54">
        <v>590000</v>
      </c>
      <c r="H11" s="16">
        <f t="shared" si="0"/>
        <v>590000</v>
      </c>
      <c r="I11" s="55">
        <v>46249</v>
      </c>
      <c r="J11" s="14" t="s">
        <v>395</v>
      </c>
      <c r="K11" t="s">
        <v>238</v>
      </c>
    </row>
    <row r="12" spans="1:11" ht="19.5" customHeight="1" x14ac:dyDescent="0.35">
      <c r="A12" s="36" t="s">
        <v>396</v>
      </c>
      <c r="B12" s="14" t="s">
        <v>397</v>
      </c>
      <c r="C12" s="36" t="s">
        <v>359</v>
      </c>
      <c r="D12" s="36" t="s">
        <v>360</v>
      </c>
      <c r="E12" s="15">
        <v>4</v>
      </c>
      <c r="F12" s="36" t="s">
        <v>361</v>
      </c>
      <c r="G12" s="54">
        <v>13856</v>
      </c>
      <c r="H12" s="16">
        <f t="shared" si="0"/>
        <v>55424</v>
      </c>
      <c r="I12" s="55">
        <v>46249</v>
      </c>
      <c r="J12" s="14" t="s">
        <v>398</v>
      </c>
      <c r="K12" t="s">
        <v>238</v>
      </c>
    </row>
    <row r="13" spans="1:11" ht="19.5" customHeight="1" x14ac:dyDescent="0.35">
      <c r="A13" s="36" t="s">
        <v>399</v>
      </c>
      <c r="B13" s="14" t="s">
        <v>400</v>
      </c>
      <c r="C13" s="36" t="s">
        <v>359</v>
      </c>
      <c r="D13" s="36" t="s">
        <v>360</v>
      </c>
      <c r="E13" s="15">
        <v>1</v>
      </c>
      <c r="F13" s="36" t="s">
        <v>361</v>
      </c>
      <c r="G13" s="54">
        <v>13220</v>
      </c>
      <c r="H13" s="16">
        <f t="shared" si="0"/>
        <v>13220</v>
      </c>
      <c r="I13" s="55">
        <v>46249</v>
      </c>
      <c r="J13" s="14"/>
      <c r="K13" t="s">
        <v>238</v>
      </c>
    </row>
    <row r="14" spans="1:11" ht="19.5" customHeight="1" x14ac:dyDescent="0.35">
      <c r="A14" s="36" t="s">
        <v>401</v>
      </c>
      <c r="B14" s="14" t="s">
        <v>402</v>
      </c>
      <c r="C14" s="36" t="s">
        <v>359</v>
      </c>
      <c r="D14" s="36" t="s">
        <v>360</v>
      </c>
      <c r="E14" s="15">
        <v>10</v>
      </c>
      <c r="F14" s="36" t="s">
        <v>361</v>
      </c>
      <c r="G14" s="54">
        <v>1666</v>
      </c>
      <c r="H14" s="16">
        <f t="shared" si="0"/>
        <v>16660</v>
      </c>
      <c r="I14" s="55">
        <v>46249</v>
      </c>
      <c r="J14" s="14"/>
      <c r="K14" t="s">
        <v>238</v>
      </c>
    </row>
    <row r="15" spans="1:11" ht="19.5" customHeight="1" x14ac:dyDescent="0.35">
      <c r="A15" s="36" t="s">
        <v>403</v>
      </c>
      <c r="B15" s="14" t="s">
        <v>404</v>
      </c>
      <c r="C15" s="36" t="s">
        <v>368</v>
      </c>
      <c r="D15" s="36" t="s">
        <v>360</v>
      </c>
      <c r="E15" s="15">
        <v>2</v>
      </c>
      <c r="F15" s="36" t="s">
        <v>361</v>
      </c>
      <c r="G15" s="54">
        <v>1703</v>
      </c>
      <c r="H15" s="16">
        <f t="shared" si="0"/>
        <v>3406</v>
      </c>
      <c r="I15" s="55">
        <v>46249</v>
      </c>
      <c r="J15" s="14"/>
      <c r="K15" t="s">
        <v>238</v>
      </c>
    </row>
    <row r="16" spans="1:11" ht="19.5" customHeight="1" x14ac:dyDescent="0.35">
      <c r="A16" s="36" t="s">
        <v>405</v>
      </c>
      <c r="B16" s="14" t="s">
        <v>406</v>
      </c>
      <c r="C16" s="36" t="s">
        <v>379</v>
      </c>
      <c r="D16" s="36" t="s">
        <v>360</v>
      </c>
      <c r="E16" s="15">
        <v>6</v>
      </c>
      <c r="F16" s="36" t="s">
        <v>361</v>
      </c>
      <c r="G16" s="54">
        <v>1486</v>
      </c>
      <c r="H16" s="16">
        <f t="shared" si="0"/>
        <v>8916</v>
      </c>
      <c r="I16" s="55">
        <v>46216</v>
      </c>
      <c r="J16" s="14"/>
      <c r="K16" t="s">
        <v>238</v>
      </c>
    </row>
    <row r="17" spans="1:11" ht="19.5" customHeight="1" x14ac:dyDescent="0.35">
      <c r="A17" s="36" t="s">
        <v>407</v>
      </c>
      <c r="B17" s="14" t="s">
        <v>408</v>
      </c>
      <c r="C17" s="36" t="s">
        <v>368</v>
      </c>
      <c r="D17" s="36" t="s">
        <v>369</v>
      </c>
      <c r="E17" s="15">
        <v>1</v>
      </c>
      <c r="F17" s="36" t="s">
        <v>361</v>
      </c>
      <c r="G17" s="54">
        <v>17921</v>
      </c>
      <c r="H17" s="16">
        <f t="shared" si="0"/>
        <v>17921</v>
      </c>
      <c r="I17" s="55">
        <v>46249</v>
      </c>
      <c r="J17" s="14"/>
      <c r="K17" t="s">
        <v>238</v>
      </c>
    </row>
    <row r="18" spans="1:11" ht="19.5" customHeight="1" x14ac:dyDescent="0.35">
      <c r="A18" s="36" t="s">
        <v>409</v>
      </c>
      <c r="B18" s="14" t="s">
        <v>410</v>
      </c>
      <c r="C18" s="36" t="s">
        <v>411</v>
      </c>
      <c r="D18" s="36" t="s">
        <v>369</v>
      </c>
      <c r="E18" s="15">
        <v>1</v>
      </c>
      <c r="F18" s="36" t="s">
        <v>361</v>
      </c>
      <c r="G18" s="54">
        <v>13929</v>
      </c>
      <c r="H18" s="16">
        <f t="shared" si="0"/>
        <v>13929</v>
      </c>
      <c r="I18" s="55">
        <v>46249</v>
      </c>
      <c r="J18" s="14"/>
      <c r="K18" t="s">
        <v>238</v>
      </c>
    </row>
    <row r="19" spans="1:11" ht="19.5" customHeight="1" x14ac:dyDescent="0.35">
      <c r="A19" s="36" t="s">
        <v>412</v>
      </c>
      <c r="B19" s="14" t="s">
        <v>413</v>
      </c>
      <c r="C19" s="36" t="s">
        <v>411</v>
      </c>
      <c r="D19" s="36" t="s">
        <v>369</v>
      </c>
      <c r="E19" s="15">
        <v>1</v>
      </c>
      <c r="F19" s="36" t="s">
        <v>361</v>
      </c>
      <c r="G19" s="54">
        <v>11662</v>
      </c>
      <c r="H19" s="16">
        <f t="shared" si="0"/>
        <v>11662</v>
      </c>
      <c r="I19" s="55">
        <v>46249</v>
      </c>
      <c r="J19" s="14"/>
      <c r="K19" t="s">
        <v>238</v>
      </c>
    </row>
    <row r="20" spans="1:11" ht="19.5" customHeight="1" x14ac:dyDescent="0.35">
      <c r="A20" s="36" t="s">
        <v>414</v>
      </c>
      <c r="B20" s="14" t="s">
        <v>415</v>
      </c>
      <c r="C20" s="36" t="s">
        <v>411</v>
      </c>
      <c r="D20" s="36" t="s">
        <v>369</v>
      </c>
      <c r="E20" s="15">
        <v>1</v>
      </c>
      <c r="F20" s="36" t="s">
        <v>361</v>
      </c>
      <c r="G20" s="54">
        <v>10994</v>
      </c>
      <c r="H20" s="16">
        <f t="shared" si="0"/>
        <v>10994</v>
      </c>
      <c r="I20" s="55">
        <v>46249</v>
      </c>
      <c r="J20" s="14"/>
      <c r="K20" t="s">
        <v>238</v>
      </c>
    </row>
    <row r="21" spans="1:11" ht="19.5" customHeight="1" x14ac:dyDescent="0.35">
      <c r="A21" s="36" t="s">
        <v>416</v>
      </c>
      <c r="B21" s="40" t="s">
        <v>417</v>
      </c>
      <c r="C21" s="36" t="s">
        <v>368</v>
      </c>
      <c r="D21" s="56" t="s">
        <v>369</v>
      </c>
      <c r="E21" s="15">
        <v>20</v>
      </c>
      <c r="F21" s="36" t="s">
        <v>361</v>
      </c>
      <c r="G21" s="16">
        <v>924</v>
      </c>
      <c r="H21" s="16">
        <f t="shared" si="0"/>
        <v>18480</v>
      </c>
      <c r="I21" s="55">
        <v>46249</v>
      </c>
      <c r="J21" s="14"/>
      <c r="K21" t="s">
        <v>238</v>
      </c>
    </row>
    <row r="22" spans="1:11" ht="19.5" customHeight="1" x14ac:dyDescent="0.35">
      <c r="A22" s="36" t="s">
        <v>418</v>
      </c>
      <c r="B22" s="40" t="s">
        <v>419</v>
      </c>
      <c r="C22" s="36" t="s">
        <v>368</v>
      </c>
      <c r="D22" s="56" t="s">
        <v>369</v>
      </c>
      <c r="E22" s="15">
        <v>1</v>
      </c>
      <c r="F22" s="36" t="s">
        <v>361</v>
      </c>
      <c r="G22" s="16">
        <v>17108</v>
      </c>
      <c r="H22" s="16">
        <f t="shared" si="0"/>
        <v>17108</v>
      </c>
      <c r="I22" s="55">
        <v>46249</v>
      </c>
      <c r="J22" s="14"/>
      <c r="K22" t="s">
        <v>238</v>
      </c>
    </row>
    <row r="23" spans="1:11" ht="19.5" customHeight="1" x14ac:dyDescent="0.35">
      <c r="A23" s="36" t="s">
        <v>420</v>
      </c>
      <c r="B23" s="40" t="s">
        <v>421</v>
      </c>
      <c r="C23" s="36" t="s">
        <v>359</v>
      </c>
      <c r="D23" s="56" t="s">
        <v>369</v>
      </c>
      <c r="E23" s="15">
        <v>1</v>
      </c>
      <c r="F23" s="36" t="s">
        <v>361</v>
      </c>
      <c r="G23" s="16">
        <v>9583</v>
      </c>
      <c r="H23" s="16">
        <f t="shared" si="0"/>
        <v>9583</v>
      </c>
      <c r="I23" s="55">
        <v>46249</v>
      </c>
      <c r="J23" s="14"/>
      <c r="K23" t="s">
        <v>238</v>
      </c>
    </row>
    <row r="24" spans="1:11" ht="19.5" customHeight="1" x14ac:dyDescent="0.35">
      <c r="A24" s="36" t="s">
        <v>422</v>
      </c>
      <c r="B24" s="40" t="s">
        <v>423</v>
      </c>
      <c r="C24" s="36" t="s">
        <v>394</v>
      </c>
      <c r="D24" s="36" t="s">
        <v>360</v>
      </c>
      <c r="E24" s="15">
        <v>1</v>
      </c>
      <c r="F24" s="36" t="s">
        <v>361</v>
      </c>
      <c r="G24" s="16">
        <v>8842</v>
      </c>
      <c r="H24" s="16">
        <f t="shared" si="0"/>
        <v>8842</v>
      </c>
      <c r="I24" s="55">
        <v>46259</v>
      </c>
      <c r="J24" s="14"/>
      <c r="K24" t="s">
        <v>238</v>
      </c>
    </row>
    <row r="25" spans="1:11" ht="19.5" customHeight="1" x14ac:dyDescent="0.35">
      <c r="A25" s="36" t="s">
        <v>424</v>
      </c>
      <c r="B25" s="40" t="s">
        <v>425</v>
      </c>
      <c r="C25" s="36" t="s">
        <v>394</v>
      </c>
      <c r="D25" s="36" t="s">
        <v>360</v>
      </c>
      <c r="E25" s="15">
        <v>1</v>
      </c>
      <c r="F25" s="36" t="s">
        <v>361</v>
      </c>
      <c r="G25" s="16">
        <v>11575</v>
      </c>
      <c r="H25" s="16">
        <f t="shared" si="0"/>
        <v>11575</v>
      </c>
      <c r="I25" s="55">
        <v>46259</v>
      </c>
      <c r="J25" s="14"/>
      <c r="K25" t="s">
        <v>238</v>
      </c>
    </row>
    <row r="26" spans="1:11" ht="19.5" customHeight="1" x14ac:dyDescent="0.35">
      <c r="A26" s="36" t="s">
        <v>426</v>
      </c>
      <c r="B26" s="40" t="s">
        <v>427</v>
      </c>
      <c r="C26" s="36" t="s">
        <v>368</v>
      </c>
      <c r="D26" s="36" t="s">
        <v>360</v>
      </c>
      <c r="E26" s="15">
        <v>1</v>
      </c>
      <c r="F26" s="36" t="s">
        <v>361</v>
      </c>
      <c r="G26" s="16">
        <v>12846</v>
      </c>
      <c r="H26" s="16">
        <f t="shared" si="0"/>
        <v>12846</v>
      </c>
      <c r="I26" s="55">
        <v>46259</v>
      </c>
      <c r="J26" s="14"/>
      <c r="K26" t="s">
        <v>238</v>
      </c>
    </row>
    <row r="27" spans="1:11" ht="19.5" customHeight="1" x14ac:dyDescent="0.35">
      <c r="A27" s="36" t="s">
        <v>428</v>
      </c>
      <c r="B27" s="40" t="s">
        <v>429</v>
      </c>
      <c r="C27" s="36" t="s">
        <v>368</v>
      </c>
      <c r="D27" s="36" t="s">
        <v>360</v>
      </c>
      <c r="E27" s="15">
        <v>1</v>
      </c>
      <c r="F27" s="36" t="s">
        <v>361</v>
      </c>
      <c r="G27" s="16">
        <v>5029</v>
      </c>
      <c r="H27" s="16">
        <f t="shared" si="0"/>
        <v>5029</v>
      </c>
      <c r="I27" s="55">
        <v>46259</v>
      </c>
      <c r="J27" s="14"/>
      <c r="K27" t="s">
        <v>238</v>
      </c>
    </row>
    <row r="28" spans="1:11" ht="19.5" customHeight="1" x14ac:dyDescent="0.35">
      <c r="A28" s="36" t="s">
        <v>430</v>
      </c>
      <c r="B28" s="40" t="s">
        <v>431</v>
      </c>
      <c r="C28" s="36" t="s">
        <v>368</v>
      </c>
      <c r="D28" s="36" t="s">
        <v>360</v>
      </c>
      <c r="E28" s="15">
        <v>1</v>
      </c>
      <c r="F28" s="36" t="s">
        <v>361</v>
      </c>
      <c r="G28" s="16">
        <v>8621</v>
      </c>
      <c r="H28" s="16">
        <f t="shared" si="0"/>
        <v>8621</v>
      </c>
      <c r="I28" s="55">
        <v>46259</v>
      </c>
      <c r="J28" s="14"/>
      <c r="K28" t="s">
        <v>238</v>
      </c>
    </row>
    <row r="29" spans="1:11" ht="19.5" customHeight="1" x14ac:dyDescent="0.35">
      <c r="A29" s="36" t="s">
        <v>432</v>
      </c>
      <c r="B29" s="40" t="s">
        <v>433</v>
      </c>
      <c r="C29" s="36" t="s">
        <v>368</v>
      </c>
      <c r="D29" s="36" t="s">
        <v>360</v>
      </c>
      <c r="E29" s="15">
        <v>1</v>
      </c>
      <c r="F29" s="36" t="s">
        <v>361</v>
      </c>
      <c r="G29" s="16">
        <v>12509</v>
      </c>
      <c r="H29" s="16">
        <f t="shared" si="0"/>
        <v>12509</v>
      </c>
      <c r="I29" s="55">
        <v>46259</v>
      </c>
      <c r="J29" s="14"/>
      <c r="K29" t="s">
        <v>238</v>
      </c>
    </row>
    <row r="30" spans="1:11" ht="19.5" customHeight="1" x14ac:dyDescent="0.35">
      <c r="A30" s="36" t="s">
        <v>434</v>
      </c>
      <c r="B30" s="40" t="s">
        <v>435</v>
      </c>
      <c r="C30" s="36" t="s">
        <v>368</v>
      </c>
      <c r="D30" s="36" t="s">
        <v>360</v>
      </c>
      <c r="E30" s="15">
        <v>1</v>
      </c>
      <c r="F30" s="36" t="s">
        <v>361</v>
      </c>
      <c r="G30" s="16">
        <v>6371</v>
      </c>
      <c r="H30" s="16">
        <f t="shared" si="0"/>
        <v>6371</v>
      </c>
      <c r="I30" s="55">
        <v>46259</v>
      </c>
      <c r="J30" s="14"/>
      <c r="K30" t="s">
        <v>238</v>
      </c>
    </row>
    <row r="31" spans="1:11" ht="19.5" customHeight="1" x14ac:dyDescent="0.35">
      <c r="A31" s="36" t="s">
        <v>436</v>
      </c>
      <c r="B31" s="40" t="s">
        <v>437</v>
      </c>
      <c r="C31" s="36" t="s">
        <v>368</v>
      </c>
      <c r="D31" s="36" t="s">
        <v>360</v>
      </c>
      <c r="E31" s="15">
        <v>1</v>
      </c>
      <c r="F31" s="36" t="s">
        <v>361</v>
      </c>
      <c r="G31" s="16">
        <v>7784</v>
      </c>
      <c r="H31" s="16">
        <f t="shared" si="0"/>
        <v>7784</v>
      </c>
      <c r="I31" s="55">
        <v>46259</v>
      </c>
      <c r="J31" s="14"/>
      <c r="K31" t="s">
        <v>238</v>
      </c>
    </row>
    <row r="32" spans="1:11" ht="19.5" customHeight="1" x14ac:dyDescent="0.35">
      <c r="A32" s="36" t="s">
        <v>438</v>
      </c>
      <c r="B32" s="40" t="s">
        <v>439</v>
      </c>
      <c r="C32" s="36" t="s">
        <v>368</v>
      </c>
      <c r="D32" s="36" t="s">
        <v>360</v>
      </c>
      <c r="E32" s="15">
        <v>1</v>
      </c>
      <c r="F32" s="36" t="s">
        <v>361</v>
      </c>
      <c r="G32" s="16">
        <v>8074</v>
      </c>
      <c r="H32" s="16">
        <f t="shared" si="0"/>
        <v>8074</v>
      </c>
      <c r="I32" s="55">
        <v>46268</v>
      </c>
      <c r="J32" s="14"/>
      <c r="K32" t="s">
        <v>238</v>
      </c>
    </row>
    <row r="33" spans="1:11" ht="19.5" customHeight="1" x14ac:dyDescent="0.35">
      <c r="A33" s="36" t="s">
        <v>440</v>
      </c>
      <c r="B33" s="14" t="s">
        <v>441</v>
      </c>
      <c r="C33" s="36" t="s">
        <v>379</v>
      </c>
      <c r="D33" s="36" t="s">
        <v>360</v>
      </c>
      <c r="E33" s="15">
        <v>2</v>
      </c>
      <c r="F33" s="36" t="s">
        <v>361</v>
      </c>
      <c r="G33" s="16">
        <v>5165</v>
      </c>
      <c r="H33" s="16">
        <f t="shared" si="0"/>
        <v>10330</v>
      </c>
      <c r="I33" s="55">
        <v>46268</v>
      </c>
      <c r="J33" s="14"/>
      <c r="K33" t="s">
        <v>238</v>
      </c>
    </row>
    <row r="34" spans="1:11" ht="19.5" customHeight="1" x14ac:dyDescent="0.35">
      <c r="A34" s="36" t="s">
        <v>442</v>
      </c>
      <c r="B34" s="14" t="s">
        <v>443</v>
      </c>
      <c r="C34" s="36" t="s">
        <v>379</v>
      </c>
      <c r="D34" s="36" t="s">
        <v>360</v>
      </c>
      <c r="E34" s="15">
        <v>2</v>
      </c>
      <c r="F34" s="36" t="s">
        <v>361</v>
      </c>
      <c r="G34" s="16">
        <v>4647</v>
      </c>
      <c r="H34" s="16">
        <f t="shared" si="0"/>
        <v>9294</v>
      </c>
      <c r="I34" s="55">
        <v>46268</v>
      </c>
      <c r="J34" s="14"/>
      <c r="K34" t="s">
        <v>238</v>
      </c>
    </row>
    <row r="35" spans="1:11" ht="19.5" customHeight="1" x14ac:dyDescent="0.35">
      <c r="A35" s="36" t="s">
        <v>444</v>
      </c>
      <c r="B35" s="14" t="s">
        <v>445</v>
      </c>
      <c r="C35" s="36" t="s">
        <v>359</v>
      </c>
      <c r="D35" s="36" t="s">
        <v>360</v>
      </c>
      <c r="E35" s="15">
        <v>11</v>
      </c>
      <c r="F35" s="36" t="s">
        <v>361</v>
      </c>
      <c r="G35" s="16">
        <v>7518</v>
      </c>
      <c r="H35" s="16">
        <f t="shared" si="0"/>
        <v>82698</v>
      </c>
      <c r="I35" s="55">
        <v>46268</v>
      </c>
      <c r="J35" s="14"/>
      <c r="K35" t="s">
        <v>238</v>
      </c>
    </row>
    <row r="36" spans="1:11" ht="19.5" customHeight="1" x14ac:dyDescent="0.35">
      <c r="A36" s="36" t="s">
        <v>446</v>
      </c>
      <c r="B36" s="14" t="s">
        <v>447</v>
      </c>
      <c r="C36" s="36" t="s">
        <v>379</v>
      </c>
      <c r="D36" s="36" t="s">
        <v>360</v>
      </c>
      <c r="E36" s="15">
        <v>22</v>
      </c>
      <c r="F36" s="36" t="s">
        <v>361</v>
      </c>
      <c r="G36" s="16">
        <v>541</v>
      </c>
      <c r="H36" s="16">
        <f t="shared" si="0"/>
        <v>11902</v>
      </c>
      <c r="I36" s="55">
        <v>46277</v>
      </c>
      <c r="J36" s="14"/>
      <c r="K36" t="s">
        <v>238</v>
      </c>
    </row>
    <row r="37" spans="1:11" ht="19.5" customHeight="1" x14ac:dyDescent="0.35">
      <c r="A37" s="36" t="s">
        <v>448</v>
      </c>
      <c r="B37" s="14" t="s">
        <v>449</v>
      </c>
      <c r="C37" s="36" t="s">
        <v>359</v>
      </c>
      <c r="D37" s="36" t="s">
        <v>360</v>
      </c>
      <c r="E37" s="15"/>
      <c r="F37" s="36" t="s">
        <v>361</v>
      </c>
      <c r="G37" s="16">
        <v>25000</v>
      </c>
      <c r="H37" s="16" t="str">
        <f t="shared" si="0"/>
        <v/>
      </c>
      <c r="I37" s="55">
        <v>46253</v>
      </c>
      <c r="J37" s="14"/>
      <c r="K37" t="s">
        <v>238</v>
      </c>
    </row>
    <row r="38" spans="1:11" ht="19.5" customHeight="1" x14ac:dyDescent="0.35">
      <c r="A38" s="36" t="s">
        <v>450</v>
      </c>
      <c r="B38" s="14" t="s">
        <v>451</v>
      </c>
      <c r="C38" s="36" t="s">
        <v>359</v>
      </c>
      <c r="D38" s="36" t="s">
        <v>360</v>
      </c>
      <c r="E38" s="15">
        <v>1</v>
      </c>
      <c r="F38" s="36" t="s">
        <v>361</v>
      </c>
      <c r="G38" s="16">
        <v>1300000</v>
      </c>
      <c r="H38" s="16">
        <f t="shared" si="0"/>
        <v>1300000</v>
      </c>
      <c r="I38" s="55">
        <v>46260</v>
      </c>
      <c r="J38" s="14"/>
      <c r="K38" t="s">
        <v>238</v>
      </c>
    </row>
    <row r="39" spans="1:11" ht="19.5" customHeight="1" x14ac:dyDescent="0.35">
      <c r="A39" s="36" t="s">
        <v>452</v>
      </c>
      <c r="B39" s="14" t="s">
        <v>453</v>
      </c>
      <c r="C39" s="36" t="s">
        <v>368</v>
      </c>
      <c r="D39" s="36" t="s">
        <v>360</v>
      </c>
      <c r="E39" s="15">
        <v>1</v>
      </c>
      <c r="F39" s="36" t="s">
        <v>361</v>
      </c>
      <c r="G39" s="16">
        <v>380000</v>
      </c>
      <c r="H39" s="16">
        <f t="shared" si="0"/>
        <v>380000</v>
      </c>
      <c r="I39" s="55">
        <v>46260</v>
      </c>
      <c r="J39" s="14"/>
      <c r="K39" t="s">
        <v>238</v>
      </c>
    </row>
    <row r="40" spans="1:11" ht="19.5" customHeight="1" x14ac:dyDescent="0.35">
      <c r="A40" s="36" t="s">
        <v>454</v>
      </c>
      <c r="B40" s="14" t="s">
        <v>455</v>
      </c>
      <c r="C40" s="36" t="s">
        <v>368</v>
      </c>
      <c r="D40" s="36" t="s">
        <v>456</v>
      </c>
      <c r="E40" s="15">
        <v>1</v>
      </c>
      <c r="F40" s="36" t="s">
        <v>361</v>
      </c>
      <c r="G40" s="16">
        <v>1030000</v>
      </c>
      <c r="H40" s="16">
        <f t="shared" si="0"/>
        <v>1030000</v>
      </c>
      <c r="I40" s="55">
        <v>46260</v>
      </c>
      <c r="J40" s="14"/>
      <c r="K40" t="s">
        <v>238</v>
      </c>
    </row>
    <row r="41" spans="1:11" ht="19.5" customHeight="1" x14ac:dyDescent="0.35">
      <c r="A41" s="36" t="s">
        <v>457</v>
      </c>
      <c r="B41" s="14" t="s">
        <v>458</v>
      </c>
      <c r="C41" s="36" t="s">
        <v>359</v>
      </c>
      <c r="D41" s="36" t="s">
        <v>360</v>
      </c>
      <c r="E41" s="15">
        <v>1</v>
      </c>
      <c r="F41" s="36" t="s">
        <v>361</v>
      </c>
      <c r="G41" s="16">
        <v>1550000</v>
      </c>
      <c r="H41" s="16">
        <f t="shared" si="0"/>
        <v>1550000</v>
      </c>
      <c r="I41" s="55">
        <v>46255</v>
      </c>
      <c r="J41" s="14"/>
      <c r="K41" t="s">
        <v>238</v>
      </c>
    </row>
    <row r="42" spans="1:11" ht="19.5" customHeight="1" x14ac:dyDescent="0.35">
      <c r="A42" s="36" t="s">
        <v>459</v>
      </c>
      <c r="B42" s="14" t="s">
        <v>460</v>
      </c>
      <c r="C42" s="36" t="s">
        <v>379</v>
      </c>
      <c r="D42" s="36" t="s">
        <v>369</v>
      </c>
      <c r="E42" s="15">
        <v>1</v>
      </c>
      <c r="F42" s="36" t="s">
        <v>361</v>
      </c>
      <c r="G42" s="16">
        <v>12500</v>
      </c>
      <c r="H42" s="16">
        <f t="shared" si="0"/>
        <v>12500</v>
      </c>
      <c r="I42" s="55">
        <v>46268</v>
      </c>
      <c r="J42" s="14"/>
      <c r="K42" t="s">
        <v>238</v>
      </c>
    </row>
    <row r="43" spans="1:11" ht="19.5" customHeight="1" x14ac:dyDescent="0.35">
      <c r="A43" s="36" t="s">
        <v>461</v>
      </c>
      <c r="B43" s="14" t="s">
        <v>462</v>
      </c>
      <c r="C43" s="36" t="s">
        <v>394</v>
      </c>
      <c r="D43" s="36" t="s">
        <v>463</v>
      </c>
      <c r="E43" s="36">
        <v>1</v>
      </c>
      <c r="F43" s="36" t="s">
        <v>361</v>
      </c>
      <c r="G43" s="16">
        <v>10000</v>
      </c>
      <c r="H43" s="16">
        <f t="shared" si="0"/>
        <v>10000</v>
      </c>
      <c r="I43" s="55">
        <v>46281</v>
      </c>
      <c r="J43" s="14"/>
      <c r="K43" t="s">
        <v>238</v>
      </c>
    </row>
    <row r="44" spans="1:11" ht="19.5" customHeight="1" x14ac:dyDescent="0.35">
      <c r="A44" s="36" t="s">
        <v>464</v>
      </c>
      <c r="B44" s="40" t="s">
        <v>465</v>
      </c>
      <c r="C44" s="36" t="s">
        <v>359</v>
      </c>
      <c r="D44" s="36" t="s">
        <v>360</v>
      </c>
      <c r="E44" s="36">
        <v>5</v>
      </c>
      <c r="F44" s="36" t="s">
        <v>361</v>
      </c>
      <c r="G44" s="16">
        <v>50000</v>
      </c>
      <c r="H44" s="16">
        <f t="shared" si="0"/>
        <v>250000</v>
      </c>
      <c r="I44" s="55">
        <v>46274</v>
      </c>
      <c r="J44" s="14"/>
      <c r="K44" t="s">
        <v>238</v>
      </c>
    </row>
    <row r="45" spans="1:11" ht="19.5" customHeight="1" x14ac:dyDescent="0.35">
      <c r="A45" s="36"/>
      <c r="B45" s="14"/>
      <c r="C45" s="36"/>
      <c r="D45" s="36"/>
      <c r="E45" s="15"/>
      <c r="F45" s="36"/>
      <c r="G45" s="16"/>
      <c r="H45" s="16"/>
      <c r="I45" s="55"/>
      <c r="J45" s="14"/>
    </row>
    <row r="46" spans="1:11" ht="19.5" customHeight="1" x14ac:dyDescent="0.35">
      <c r="A46" s="36"/>
      <c r="B46" s="14"/>
      <c r="C46" s="36"/>
      <c r="D46" s="36"/>
      <c r="E46" s="15"/>
      <c r="F46" s="36"/>
      <c r="G46" s="16"/>
      <c r="H46" s="16"/>
      <c r="I46" s="55"/>
      <c r="J46" s="14"/>
    </row>
    <row r="47" spans="1:11" ht="19.5" customHeight="1" x14ac:dyDescent="0.35">
      <c r="A47" s="36" t="s">
        <v>450</v>
      </c>
      <c r="B47" s="14"/>
      <c r="C47" s="36"/>
      <c r="D47" s="36"/>
      <c r="E47" s="15"/>
      <c r="F47" s="36"/>
      <c r="G47" s="16"/>
      <c r="H47" s="16" t="str">
        <f>IF(OR(E47="",G47=""),"",E47*G47)</f>
        <v/>
      </c>
      <c r="I47" s="37"/>
      <c r="J47" s="14"/>
      <c r="K47" t="s">
        <v>238</v>
      </c>
    </row>
    <row r="48" spans="1:11" ht="19.5" customHeight="1" x14ac:dyDescent="0.35">
      <c r="A48" s="21"/>
      <c r="B48" s="21"/>
      <c r="C48" s="21"/>
      <c r="D48" s="42" t="s">
        <v>466</v>
      </c>
      <c r="E48" s="18">
        <f>SUM(E2:E47)</f>
        <v>125</v>
      </c>
      <c r="F48" s="21"/>
      <c r="G48" s="21"/>
      <c r="H48" s="23">
        <f>SUM(H2:H47)</f>
        <v>20857007</v>
      </c>
      <c r="I48" s="41"/>
      <c r="J48" s="21"/>
    </row>
    <row r="49" spans="1:10" ht="14.25" customHeight="1" x14ac:dyDescent="0.35"/>
    <row r="50" spans="1:10" ht="14.25" customHeight="1" x14ac:dyDescent="0.35">
      <c r="A50" s="2" t="s">
        <v>467</v>
      </c>
      <c r="B50" s="2"/>
      <c r="C50" s="2"/>
      <c r="D50" s="2"/>
      <c r="E50" s="2"/>
      <c r="F50" s="2"/>
      <c r="G50" s="2"/>
      <c r="H50" s="2"/>
      <c r="I50" s="2"/>
      <c r="J50" s="2"/>
    </row>
    <row r="51" spans="1:10" ht="14.25" customHeight="1" x14ac:dyDescent="0.35"/>
    <row r="52" spans="1:10" ht="14.25" customHeight="1" x14ac:dyDescent="0.35"/>
    <row r="53" spans="1:10" ht="14.25" customHeight="1" x14ac:dyDescent="0.35"/>
    <row r="54" spans="1:10" ht="14.25" customHeight="1" x14ac:dyDescent="0.35"/>
    <row r="55" spans="1:10" ht="14.25" customHeight="1" x14ac:dyDescent="0.35"/>
    <row r="56" spans="1:10" ht="14.25" customHeight="1" x14ac:dyDescent="0.35"/>
    <row r="57" spans="1:10" ht="14.25" customHeight="1" x14ac:dyDescent="0.35"/>
    <row r="58" spans="1:10" ht="14.25" customHeight="1" x14ac:dyDescent="0.35"/>
    <row r="59" spans="1:10" ht="14.25" customHeight="1" x14ac:dyDescent="0.35"/>
    <row r="60" spans="1:10" ht="14.25" customHeight="1" x14ac:dyDescent="0.35"/>
    <row r="61" spans="1:10" ht="14.25" customHeight="1" x14ac:dyDescent="0.35"/>
    <row r="62" spans="1:10" ht="14.25" customHeight="1" x14ac:dyDescent="0.35"/>
    <row r="63" spans="1:10" ht="14.25" customHeight="1" x14ac:dyDescent="0.35"/>
    <row r="64" spans="1:10"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sheetData>
  <autoFilter ref="A1:J47" xr:uid="{00000000-0009-0000-0000-000006000000}"/>
  <mergeCells count="1">
    <mergeCell ref="A50:J50"/>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600-000000000000}">
          <x14:formula1>
            <xm:f>'⚙️ Configuración'!$W$4:$W$5</xm:f>
          </x14:formula1>
          <x14:formula2>
            <xm:f>0</xm:f>
          </x14:formula2>
          <xm:sqref>K2:K250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1"/>
  <sheetViews>
    <sheetView zoomScaleNormal="100" workbookViewId="0">
      <pane ySplit="1" topLeftCell="A2" activePane="bottomLeft" state="frozen"/>
      <selection pane="bottomLeft" activeCell="C2" sqref="C2"/>
    </sheetView>
  </sheetViews>
  <sheetFormatPr baseColWidth="10" defaultColWidth="8.6328125" defaultRowHeight="14.5" x14ac:dyDescent="0.35"/>
  <cols>
    <col min="1" max="1" width="14" customWidth="1"/>
    <col min="2" max="2" width="13" customWidth="1"/>
    <col min="3" max="3" width="14" customWidth="1"/>
    <col min="4" max="4" width="24" customWidth="1"/>
    <col min="5" max="5" width="9" customWidth="1"/>
    <col min="6" max="6" width="11" customWidth="1"/>
    <col min="7" max="8" width="13" customWidth="1"/>
    <col min="9" max="9" width="14" customWidth="1"/>
    <col min="10" max="10" width="22" customWidth="1"/>
    <col min="11" max="11" width="16" customWidth="1"/>
  </cols>
  <sheetData>
    <row r="1" spans="1:11" ht="27.75" customHeight="1" x14ac:dyDescent="0.35">
      <c r="A1" s="13" t="s">
        <v>468</v>
      </c>
      <c r="B1" s="13" t="s">
        <v>62</v>
      </c>
      <c r="C1" s="13" t="s">
        <v>225</v>
      </c>
      <c r="D1" s="13" t="s">
        <v>226</v>
      </c>
      <c r="E1" s="13" t="s">
        <v>227</v>
      </c>
      <c r="F1" s="13" t="s">
        <v>54</v>
      </c>
      <c r="G1" s="13" t="s">
        <v>469</v>
      </c>
      <c r="H1" s="13" t="s">
        <v>470</v>
      </c>
      <c r="I1" s="13" t="s">
        <v>471</v>
      </c>
      <c r="J1" s="13" t="s">
        <v>22</v>
      </c>
      <c r="K1" s="13" t="s">
        <v>68</v>
      </c>
    </row>
    <row r="2" spans="1:11" ht="19.5" customHeight="1" x14ac:dyDescent="0.35">
      <c r="A2" s="36" t="str">
        <f>IF(C2="","",C2&amp;COUNTIF($C$2:C2,C2))</f>
        <v/>
      </c>
      <c r="B2" s="57"/>
      <c r="C2" s="36"/>
      <c r="D2" s="14" t="str">
        <f>IFERROR(IF(C2="","",VLOOKUP(C2,#REF!, 3, FALSE())), "")</f>
        <v/>
      </c>
      <c r="E2" s="36" t="str">
        <f>IFERROR(IF(C2="","",VLOOKUP(C2,#REF!, 4, FALSE())), "")</f>
        <v/>
      </c>
      <c r="F2" s="36"/>
      <c r="G2" s="15"/>
      <c r="H2" s="16" t="str">
        <f>IFERROR(IF(C2="","",VLOOKUP(C2,#REF!, 6, FALSE())), 0)</f>
        <v/>
      </c>
      <c r="I2" s="16" t="str">
        <f t="shared" ref="I2:I41" si="0">IF(OR(G2="",H2=""),"",G2*H2)</f>
        <v/>
      </c>
      <c r="J2" s="36" t="s">
        <v>26</v>
      </c>
      <c r="K2" s="14" t="s">
        <v>472</v>
      </c>
    </row>
    <row r="3" spans="1:11" ht="19.5" customHeight="1" x14ac:dyDescent="0.35">
      <c r="A3" s="36" t="str">
        <f>IF(C3="","",C3&amp;COUNTIF($C$2:C3,C3))</f>
        <v/>
      </c>
      <c r="B3" s="57"/>
      <c r="C3" s="36"/>
      <c r="D3" s="14" t="str">
        <f>IFERROR(IF(C3="","",VLOOKUP(C3,#REF!, 3, FALSE())), "")</f>
        <v/>
      </c>
      <c r="E3" s="36" t="str">
        <f>IFERROR(IF(C3="","",VLOOKUP(C3,#REF!, 4, FALSE())), "")</f>
        <v/>
      </c>
      <c r="F3" s="36"/>
      <c r="G3" s="15"/>
      <c r="H3" s="16" t="str">
        <f>IFERROR(IF(C3="","",VLOOKUP(C3,#REF!, 6, FALSE())), 0)</f>
        <v/>
      </c>
      <c r="I3" s="16" t="str">
        <f t="shared" si="0"/>
        <v/>
      </c>
      <c r="J3" s="36"/>
      <c r="K3" s="14"/>
    </row>
    <row r="4" spans="1:11" ht="19.5" customHeight="1" x14ac:dyDescent="0.35">
      <c r="A4" s="36" t="str">
        <f>IF(C4="","",C4&amp;COUNTIF($C$2:C4,C4))</f>
        <v/>
      </c>
      <c r="B4" s="57"/>
      <c r="C4" s="36"/>
      <c r="D4" s="14" t="str">
        <f>IFERROR(IF(C4="","",VLOOKUP(C4,#REF!, 3, FALSE())), "")</f>
        <v/>
      </c>
      <c r="E4" s="36" t="str">
        <f>IFERROR(IF(C4="","",VLOOKUP(C4,#REF!, 4, FALSE())), "")</f>
        <v/>
      </c>
      <c r="F4" s="36"/>
      <c r="G4" s="15"/>
      <c r="H4" s="16" t="str">
        <f>IFERROR(IF(C4="","",VLOOKUP(C4,#REF!, 6, FALSE())), 0)</f>
        <v/>
      </c>
      <c r="I4" s="16" t="str">
        <f t="shared" si="0"/>
        <v/>
      </c>
      <c r="J4" s="36"/>
      <c r="K4" s="14"/>
    </row>
    <row r="5" spans="1:11" ht="19.5" customHeight="1" x14ac:dyDescent="0.35">
      <c r="A5" s="36" t="str">
        <f>IF(C5="","",C5&amp;COUNTIF($C$2:C5,C5))</f>
        <v/>
      </c>
      <c r="B5" s="57"/>
      <c r="C5" s="36"/>
      <c r="D5" s="14" t="str">
        <f>IFERROR(IF(C5="","",VLOOKUP(C5,#REF!, 3, FALSE())), "")</f>
        <v/>
      </c>
      <c r="E5" s="36" t="str">
        <f>IFERROR(IF(C5="","",VLOOKUP(C5,#REF!, 4, FALSE())), "")</f>
        <v/>
      </c>
      <c r="F5" s="36"/>
      <c r="G5" s="15"/>
      <c r="H5" s="16" t="str">
        <f>IFERROR(IF(C5="","",VLOOKUP(C5,#REF!, 6, FALSE())), 0)</f>
        <v/>
      </c>
      <c r="I5" s="16" t="str">
        <f t="shared" si="0"/>
        <v/>
      </c>
      <c r="J5" s="36"/>
      <c r="K5" s="14"/>
    </row>
    <row r="6" spans="1:11" ht="19.5" customHeight="1" x14ac:dyDescent="0.35">
      <c r="A6" s="36" t="str">
        <f>IF(C6="","",C6&amp;COUNTIF($C$2:C6,C6))</f>
        <v/>
      </c>
      <c r="B6" s="57"/>
      <c r="C6" s="36"/>
      <c r="D6" s="14" t="str">
        <f>IFERROR(IF(C6="","",VLOOKUP(C6,#REF!, 3, FALSE())), "")</f>
        <v/>
      </c>
      <c r="E6" s="36" t="str">
        <f>IFERROR(IF(C6="","",VLOOKUP(C6,#REF!, 4, FALSE())), "")</f>
        <v/>
      </c>
      <c r="F6" s="36"/>
      <c r="G6" s="15"/>
      <c r="H6" s="16" t="str">
        <f>IFERROR(IF(C6="","",VLOOKUP(C6,#REF!, 6, FALSE())), 0)</f>
        <v/>
      </c>
      <c r="I6" s="16" t="str">
        <f t="shared" si="0"/>
        <v/>
      </c>
      <c r="J6" s="36"/>
      <c r="K6" s="14"/>
    </row>
    <row r="7" spans="1:11" ht="19.5" customHeight="1" x14ac:dyDescent="0.35">
      <c r="A7" s="36" t="str">
        <f>IF(C7="","",C7&amp;COUNTIF($C$2:C7,C7))</f>
        <v/>
      </c>
      <c r="B7" s="57"/>
      <c r="C7" s="36"/>
      <c r="D7" s="14" t="str">
        <f>IFERROR(IF(C7="","",VLOOKUP(C7,#REF!, 3, FALSE())), "")</f>
        <v/>
      </c>
      <c r="E7" s="36" t="str">
        <f>IFERROR(IF(C7="","",VLOOKUP(C7,#REF!, 4, FALSE())), "")</f>
        <v/>
      </c>
      <c r="F7" s="36"/>
      <c r="G7" s="15"/>
      <c r="H7" s="16" t="str">
        <f>IFERROR(IF(C7="","",VLOOKUP(C7,#REF!, 6, FALSE())), 0)</f>
        <v/>
      </c>
      <c r="I7" s="16" t="str">
        <f t="shared" si="0"/>
        <v/>
      </c>
      <c r="J7" s="36"/>
      <c r="K7" s="14"/>
    </row>
    <row r="8" spans="1:11" ht="19.5" customHeight="1" x14ac:dyDescent="0.35">
      <c r="A8" s="36" t="str">
        <f>IF(C8="","",C8&amp;COUNTIF($C$2:C8,C8))</f>
        <v/>
      </c>
      <c r="B8" s="57"/>
      <c r="C8" s="36"/>
      <c r="D8" s="14" t="str">
        <f>IFERROR(IF(C8="","",VLOOKUP(C8,#REF!, 3, FALSE())), "")</f>
        <v/>
      </c>
      <c r="E8" s="36" t="str">
        <f>IFERROR(IF(C8="","",VLOOKUP(C8,#REF!, 4, FALSE())), "")</f>
        <v/>
      </c>
      <c r="F8" s="36"/>
      <c r="G8" s="15"/>
      <c r="H8" s="16" t="str">
        <f>IFERROR(IF(C8="","",VLOOKUP(C8,#REF!, 6, FALSE())), 0)</f>
        <v/>
      </c>
      <c r="I8" s="16" t="str">
        <f t="shared" si="0"/>
        <v/>
      </c>
      <c r="J8" s="36"/>
      <c r="K8" s="14"/>
    </row>
    <row r="9" spans="1:11" ht="19.5" customHeight="1" x14ac:dyDescent="0.35">
      <c r="A9" s="36" t="str">
        <f>IF(C9="","",C9&amp;COUNTIF($C$2:C9,C9))</f>
        <v/>
      </c>
      <c r="B9" s="57"/>
      <c r="C9" s="36"/>
      <c r="D9" s="14" t="str">
        <f>IFERROR(IF(C9="","",VLOOKUP(C9,#REF!, 3, FALSE())), "")</f>
        <v/>
      </c>
      <c r="E9" s="36" t="str">
        <f>IFERROR(IF(C9="","",VLOOKUP(C9,#REF!, 4, FALSE())), "")</f>
        <v/>
      </c>
      <c r="F9" s="36"/>
      <c r="G9" s="15"/>
      <c r="H9" s="16" t="str">
        <f>IFERROR(IF(C9="","",VLOOKUP(C9,#REF!, 6, FALSE())), 0)</f>
        <v/>
      </c>
      <c r="I9" s="16" t="str">
        <f t="shared" si="0"/>
        <v/>
      </c>
      <c r="J9" s="36"/>
      <c r="K9" s="14"/>
    </row>
    <row r="10" spans="1:11" ht="19.5" customHeight="1" x14ac:dyDescent="0.35">
      <c r="A10" s="36" t="str">
        <f>IF(C10="","",C10&amp;COUNTIF($C$2:C10,C10))</f>
        <v/>
      </c>
      <c r="B10" s="57"/>
      <c r="C10" s="36"/>
      <c r="D10" s="14" t="str">
        <f>IFERROR(IF(C10="","",VLOOKUP(C10,#REF!, 3, FALSE())), "")</f>
        <v/>
      </c>
      <c r="E10" s="36" t="str">
        <f>IFERROR(IF(C10="","",VLOOKUP(C10,#REF!, 4, FALSE())), "")</f>
        <v/>
      </c>
      <c r="F10" s="36"/>
      <c r="G10" s="15"/>
      <c r="H10" s="16" t="str">
        <f>IFERROR(IF(C10="","",VLOOKUP(C10,#REF!, 6, FALSE())), 0)</f>
        <v/>
      </c>
      <c r="I10" s="16" t="str">
        <f t="shared" si="0"/>
        <v/>
      </c>
      <c r="J10" s="36"/>
      <c r="K10" s="14"/>
    </row>
    <row r="11" spans="1:11" ht="19.5" customHeight="1" x14ac:dyDescent="0.35">
      <c r="A11" s="36" t="str">
        <f>IF(C11="","",C11&amp;COUNTIF($C$2:C11,C11))</f>
        <v/>
      </c>
      <c r="B11" s="57"/>
      <c r="C11" s="36"/>
      <c r="D11" s="14" t="str">
        <f>IFERROR(IF(C11="","",VLOOKUP(C11,#REF!, 3, FALSE())), "")</f>
        <v/>
      </c>
      <c r="E11" s="36" t="str">
        <f>IFERROR(IF(C11="","",VLOOKUP(C11,#REF!, 4, FALSE())), "")</f>
        <v/>
      </c>
      <c r="F11" s="36"/>
      <c r="G11" s="15"/>
      <c r="H11" s="16" t="str">
        <f>IFERROR(IF(C11="","",VLOOKUP(C11,#REF!, 6, FALSE())), 0)</f>
        <v/>
      </c>
      <c r="I11" s="16" t="str">
        <f t="shared" si="0"/>
        <v/>
      </c>
      <c r="J11" s="36"/>
      <c r="K11" s="14"/>
    </row>
    <row r="12" spans="1:11" ht="19.5" customHeight="1" x14ac:dyDescent="0.35">
      <c r="A12" s="36" t="str">
        <f>IF(C12="","",C12&amp;COUNTIF($C$2:C12,C12))</f>
        <v/>
      </c>
      <c r="B12" s="57"/>
      <c r="C12" s="36"/>
      <c r="D12" s="14" t="str">
        <f>IFERROR(IF(C12="","",VLOOKUP(C12,#REF!, 3, FALSE())), "")</f>
        <v/>
      </c>
      <c r="E12" s="36" t="str">
        <f>IFERROR(IF(C12="","",VLOOKUP(C12,#REF!, 4, FALSE())), "")</f>
        <v/>
      </c>
      <c r="F12" s="36"/>
      <c r="G12" s="15"/>
      <c r="H12" s="16" t="str">
        <f>IFERROR(IF(C12="","",VLOOKUP(C12,#REF!, 6, FALSE())), 0)</f>
        <v/>
      </c>
      <c r="I12" s="16" t="str">
        <f t="shared" si="0"/>
        <v/>
      </c>
      <c r="J12" s="36"/>
      <c r="K12" s="14"/>
    </row>
    <row r="13" spans="1:11" ht="19.5" customHeight="1" x14ac:dyDescent="0.35">
      <c r="A13" s="36" t="str">
        <f>IF(C13="","",C13&amp;COUNTIF($C$2:C13,C13))</f>
        <v/>
      </c>
      <c r="B13" s="57"/>
      <c r="C13" s="36"/>
      <c r="D13" s="14" t="str">
        <f>IFERROR(IF(C13="","",VLOOKUP(C13,#REF!, 3, FALSE())), "")</f>
        <v/>
      </c>
      <c r="E13" s="36" t="str">
        <f>IFERROR(IF(C13="","",VLOOKUP(C13,#REF!, 4, FALSE())), "")</f>
        <v/>
      </c>
      <c r="F13" s="36"/>
      <c r="G13" s="15"/>
      <c r="H13" s="16" t="str">
        <f>IFERROR(IF(C13="","",VLOOKUP(C13,#REF!, 6, FALSE())), 0)</f>
        <v/>
      </c>
      <c r="I13" s="16" t="str">
        <f t="shared" si="0"/>
        <v/>
      </c>
      <c r="J13" s="36"/>
      <c r="K13" s="14"/>
    </row>
    <row r="14" spans="1:11" ht="19.5" customHeight="1" x14ac:dyDescent="0.35">
      <c r="A14" s="36" t="str">
        <f>IF(C14="","",C14&amp;COUNTIF($C$2:C14,C14))</f>
        <v/>
      </c>
      <c r="B14" s="57"/>
      <c r="C14" s="36"/>
      <c r="D14" s="14" t="str">
        <f>IFERROR(IF(C14="","",VLOOKUP(C14,#REF!, 3, FALSE())), "")</f>
        <v/>
      </c>
      <c r="E14" s="36" t="str">
        <f>IFERROR(IF(C14="","",VLOOKUP(C14,#REF!, 4, FALSE())), "")</f>
        <v/>
      </c>
      <c r="F14" s="36"/>
      <c r="G14" s="15"/>
      <c r="H14" s="16" t="str">
        <f>IFERROR(IF(C14="","",VLOOKUP(C14,#REF!, 6, FALSE())), 0)</f>
        <v/>
      </c>
      <c r="I14" s="16" t="str">
        <f t="shared" si="0"/>
        <v/>
      </c>
      <c r="J14" s="36"/>
      <c r="K14" s="14"/>
    </row>
    <row r="15" spans="1:11" ht="19.5" customHeight="1" x14ac:dyDescent="0.35">
      <c r="A15" s="36" t="str">
        <f>IF(C15="","",C15&amp;COUNTIF($C$2:C15,C15))</f>
        <v/>
      </c>
      <c r="B15" s="57"/>
      <c r="C15" s="36"/>
      <c r="D15" s="14" t="str">
        <f>IFERROR(IF(C15="","",VLOOKUP(C15,#REF!, 3, FALSE())), "")</f>
        <v/>
      </c>
      <c r="E15" s="36" t="str">
        <f>IFERROR(IF(C15="","",VLOOKUP(C15,#REF!, 4, FALSE())), "")</f>
        <v/>
      </c>
      <c r="F15" s="36"/>
      <c r="G15" s="15"/>
      <c r="H15" s="16" t="str">
        <f>IFERROR(IF(C15="","",VLOOKUP(C15,#REF!, 6, FALSE())), 0)</f>
        <v/>
      </c>
      <c r="I15" s="16" t="str">
        <f t="shared" si="0"/>
        <v/>
      </c>
      <c r="J15" s="36"/>
      <c r="K15" s="14"/>
    </row>
    <row r="16" spans="1:11" ht="19.5" customHeight="1" x14ac:dyDescent="0.35">
      <c r="A16" s="36" t="str">
        <f>IF(C16="","",C16&amp;COUNTIF($C$2:C16,C16))</f>
        <v/>
      </c>
      <c r="B16" s="57"/>
      <c r="C16" s="36"/>
      <c r="D16" s="14" t="str">
        <f>IFERROR(IF(C16="","",VLOOKUP(C16,#REF!, 3, FALSE())), "")</f>
        <v/>
      </c>
      <c r="E16" s="36" t="str">
        <f>IFERROR(IF(C16="","",VLOOKUP(C16,#REF!, 4, FALSE())), "")</f>
        <v/>
      </c>
      <c r="F16" s="36"/>
      <c r="G16" s="15"/>
      <c r="H16" s="16" t="str">
        <f>IFERROR(IF(C16="","",VLOOKUP(C16,#REF!, 6, FALSE())), 0)</f>
        <v/>
      </c>
      <c r="I16" s="16" t="str">
        <f t="shared" si="0"/>
        <v/>
      </c>
      <c r="J16" s="36"/>
      <c r="K16" s="14"/>
    </row>
    <row r="17" spans="1:11" ht="19.5" customHeight="1" x14ac:dyDescent="0.35">
      <c r="A17" s="36" t="str">
        <f>IF(C17="","",C17&amp;COUNTIF($C$2:C17,C17))</f>
        <v/>
      </c>
      <c r="B17" s="57"/>
      <c r="C17" s="36"/>
      <c r="D17" s="14" t="str">
        <f>IFERROR(IF(C17="","",VLOOKUP(C17,#REF!, 3, FALSE())), "")</f>
        <v/>
      </c>
      <c r="E17" s="36" t="str">
        <f>IFERROR(IF(C17="","",VLOOKUP(C17,#REF!, 4, FALSE())), "")</f>
        <v/>
      </c>
      <c r="F17" s="36"/>
      <c r="G17" s="15"/>
      <c r="H17" s="16" t="str">
        <f>IFERROR(IF(C17="","",VLOOKUP(C17,#REF!, 6, FALSE())), 0)</f>
        <v/>
      </c>
      <c r="I17" s="16" t="str">
        <f t="shared" si="0"/>
        <v/>
      </c>
      <c r="J17" s="36"/>
      <c r="K17" s="14"/>
    </row>
    <row r="18" spans="1:11" ht="19.5" customHeight="1" x14ac:dyDescent="0.35">
      <c r="A18" s="36" t="str">
        <f>IF(C18="","",C18&amp;COUNTIF($C$2:C18,C18))</f>
        <v/>
      </c>
      <c r="B18" s="57"/>
      <c r="C18" s="36"/>
      <c r="D18" s="14" t="str">
        <f>IFERROR(IF(C18="","",VLOOKUP(C18,#REF!, 3, FALSE())), "")</f>
        <v/>
      </c>
      <c r="E18" s="36" t="str">
        <f>IFERROR(IF(C18="","",VLOOKUP(C18,#REF!, 4, FALSE())), "")</f>
        <v/>
      </c>
      <c r="F18" s="36"/>
      <c r="G18" s="15"/>
      <c r="H18" s="16" t="str">
        <f>IFERROR(IF(C18="","",VLOOKUP(C18,#REF!, 6, FALSE())), 0)</f>
        <v/>
      </c>
      <c r="I18" s="16" t="str">
        <f t="shared" si="0"/>
        <v/>
      </c>
      <c r="J18" s="36"/>
      <c r="K18" s="14"/>
    </row>
    <row r="19" spans="1:11" ht="19.5" customHeight="1" x14ac:dyDescent="0.35">
      <c r="A19" s="36" t="str">
        <f>IF(C19="","",C19&amp;COUNTIF($C$2:C19,C19))</f>
        <v/>
      </c>
      <c r="B19" s="57"/>
      <c r="C19" s="36"/>
      <c r="D19" s="14" t="str">
        <f>IFERROR(IF(C19="","",VLOOKUP(C19,#REF!, 3, FALSE())), "")</f>
        <v/>
      </c>
      <c r="E19" s="36" t="str">
        <f>IFERROR(IF(C19="","",VLOOKUP(C19,#REF!, 4, FALSE())), "")</f>
        <v/>
      </c>
      <c r="F19" s="36"/>
      <c r="G19" s="15"/>
      <c r="H19" s="16" t="str">
        <f>IFERROR(IF(C19="","",VLOOKUP(C19,#REF!, 6, FALSE())), 0)</f>
        <v/>
      </c>
      <c r="I19" s="16" t="str">
        <f t="shared" si="0"/>
        <v/>
      </c>
      <c r="J19" s="36"/>
      <c r="K19" s="14"/>
    </row>
    <row r="20" spans="1:11" ht="19.5" customHeight="1" x14ac:dyDescent="0.35">
      <c r="A20" s="36" t="str">
        <f>IF(C20="","",C20&amp;COUNTIF($C$2:C20,C20))</f>
        <v/>
      </c>
      <c r="B20" s="57"/>
      <c r="C20" s="36"/>
      <c r="D20" s="14" t="str">
        <f>IFERROR(IF(C20="","",VLOOKUP(C20,#REF!, 3, FALSE())), "")</f>
        <v/>
      </c>
      <c r="E20" s="36" t="str">
        <f>IFERROR(IF(C20="","",VLOOKUP(C20,#REF!, 4, FALSE())), "")</f>
        <v/>
      </c>
      <c r="F20" s="36"/>
      <c r="G20" s="15"/>
      <c r="H20" s="16" t="str">
        <f>IFERROR(IF(C20="","",VLOOKUP(C20,#REF!, 6, FALSE())), 0)</f>
        <v/>
      </c>
      <c r="I20" s="16" t="str">
        <f t="shared" si="0"/>
        <v/>
      </c>
      <c r="J20" s="36"/>
      <c r="K20" s="14"/>
    </row>
    <row r="21" spans="1:11" ht="19.5" customHeight="1" x14ac:dyDescent="0.35">
      <c r="A21" s="36" t="str">
        <f>IF(C21="","",C21&amp;COUNTIF($C$2:C21,C21))</f>
        <v/>
      </c>
      <c r="B21" s="57"/>
      <c r="C21" s="36"/>
      <c r="D21" s="14" t="str">
        <f>IFERROR(IF(C21="","",VLOOKUP(C21,#REF!, 3, FALSE())), "")</f>
        <v/>
      </c>
      <c r="E21" s="36" t="str">
        <f>IFERROR(IF(C21="","",VLOOKUP(C21,#REF!, 4, FALSE())), "")</f>
        <v/>
      </c>
      <c r="F21" s="36"/>
      <c r="G21" s="15"/>
      <c r="H21" s="16" t="str">
        <f>IFERROR(IF(C21="","",VLOOKUP(C21,#REF!, 6, FALSE())), 0)</f>
        <v/>
      </c>
      <c r="I21" s="16" t="str">
        <f t="shared" si="0"/>
        <v/>
      </c>
      <c r="J21" s="36"/>
      <c r="K21" s="14"/>
    </row>
    <row r="22" spans="1:11" ht="19.5" customHeight="1" x14ac:dyDescent="0.35">
      <c r="A22" s="36" t="str">
        <f>IF(C22="","",C22&amp;COUNTIF($C$2:C22,C22))</f>
        <v/>
      </c>
      <c r="B22" s="57"/>
      <c r="C22" s="36"/>
      <c r="D22" s="14" t="str">
        <f>IFERROR(IF(C22="","",VLOOKUP(C22,#REF!, 3, FALSE())), "")</f>
        <v/>
      </c>
      <c r="E22" s="36" t="str">
        <f>IFERROR(IF(C22="","",VLOOKUP(C22,#REF!, 4, FALSE())), "")</f>
        <v/>
      </c>
      <c r="F22" s="36"/>
      <c r="G22" s="15"/>
      <c r="H22" s="16" t="str">
        <f>IFERROR(IF(C22="","",VLOOKUP(C22,#REF!, 6, FALSE())), 0)</f>
        <v/>
      </c>
      <c r="I22" s="16" t="str">
        <f t="shared" si="0"/>
        <v/>
      </c>
      <c r="J22" s="36"/>
      <c r="K22" s="14"/>
    </row>
    <row r="23" spans="1:11" ht="19.5" customHeight="1" x14ac:dyDescent="0.35">
      <c r="A23" s="36" t="str">
        <f>IF(C23="","",C23&amp;COUNTIF($C$2:C23,C23))</f>
        <v/>
      </c>
      <c r="B23" s="57"/>
      <c r="C23" s="36"/>
      <c r="D23" s="14" t="str">
        <f>IFERROR(IF(C23="","",VLOOKUP(C23,#REF!, 3, FALSE())), "")</f>
        <v/>
      </c>
      <c r="E23" s="36" t="str">
        <f>IFERROR(IF(C23="","",VLOOKUP(C23,#REF!, 4, FALSE())), "")</f>
        <v/>
      </c>
      <c r="F23" s="36"/>
      <c r="G23" s="15"/>
      <c r="H23" s="16" t="str">
        <f>IFERROR(IF(C23="","",VLOOKUP(C23,#REF!, 6, FALSE())), 0)</f>
        <v/>
      </c>
      <c r="I23" s="16" t="str">
        <f t="shared" si="0"/>
        <v/>
      </c>
      <c r="J23" s="36"/>
      <c r="K23" s="14"/>
    </row>
    <row r="24" spans="1:11" ht="19.5" customHeight="1" x14ac:dyDescent="0.35">
      <c r="A24" s="36" t="str">
        <f>IF(C24="","",C24&amp;COUNTIF($C$2:C24,C24))</f>
        <v/>
      </c>
      <c r="B24" s="57"/>
      <c r="C24" s="36"/>
      <c r="D24" s="14" t="str">
        <f>IFERROR(IF(C24="","",VLOOKUP(C24,#REF!, 3, FALSE())), "")</f>
        <v/>
      </c>
      <c r="E24" s="36" t="str">
        <f>IFERROR(IF(C24="","",VLOOKUP(C24,#REF!, 4, FALSE())), "")</f>
        <v/>
      </c>
      <c r="F24" s="36"/>
      <c r="G24" s="15"/>
      <c r="H24" s="16" t="str">
        <f>IFERROR(IF(C24="","",VLOOKUP(C24,#REF!, 6, FALSE())), 0)</f>
        <v/>
      </c>
      <c r="I24" s="16" t="str">
        <f t="shared" si="0"/>
        <v/>
      </c>
      <c r="J24" s="36"/>
      <c r="K24" s="14"/>
    </row>
    <row r="25" spans="1:11" ht="19.5" customHeight="1" x14ac:dyDescent="0.35">
      <c r="A25" s="36" t="str">
        <f>IF(C25="","",C25&amp;COUNTIF($C$2:C25,C25))</f>
        <v/>
      </c>
      <c r="B25" s="57"/>
      <c r="C25" s="36"/>
      <c r="D25" s="14" t="str">
        <f>IFERROR(IF(C25="","",VLOOKUP(C25,#REF!, 3, FALSE())), "")</f>
        <v/>
      </c>
      <c r="E25" s="36" t="str">
        <f>IFERROR(IF(C25="","",VLOOKUP(C25,#REF!, 4, FALSE())), "")</f>
        <v/>
      </c>
      <c r="F25" s="36"/>
      <c r="G25" s="15"/>
      <c r="H25" s="16" t="str">
        <f>IFERROR(IF(C25="","",VLOOKUP(C25,#REF!, 6, FALSE())), 0)</f>
        <v/>
      </c>
      <c r="I25" s="16" t="str">
        <f t="shared" si="0"/>
        <v/>
      </c>
      <c r="J25" s="36"/>
      <c r="K25" s="14"/>
    </row>
    <row r="26" spans="1:11" ht="19.5" customHeight="1" x14ac:dyDescent="0.35">
      <c r="A26" s="36" t="str">
        <f>IF(C26="","",C26&amp;COUNTIF($C$2:C26,C26))</f>
        <v/>
      </c>
      <c r="B26" s="57"/>
      <c r="C26" s="36"/>
      <c r="D26" s="14" t="str">
        <f>IFERROR(IF(C26="","",VLOOKUP(C26,#REF!, 3, FALSE())), "")</f>
        <v/>
      </c>
      <c r="E26" s="36" t="str">
        <f>IFERROR(IF(C26="","",VLOOKUP(C26,#REF!, 4, FALSE())), "")</f>
        <v/>
      </c>
      <c r="F26" s="36"/>
      <c r="G26" s="15"/>
      <c r="H26" s="16" t="str">
        <f>IFERROR(IF(C26="","",VLOOKUP(C26,#REF!, 6, FALSE())), 0)</f>
        <v/>
      </c>
      <c r="I26" s="16" t="str">
        <f t="shared" si="0"/>
        <v/>
      </c>
      <c r="J26" s="36"/>
      <c r="K26" s="14"/>
    </row>
    <row r="27" spans="1:11" ht="19.5" customHeight="1" x14ac:dyDescent="0.35">
      <c r="A27" s="36" t="str">
        <f>IF(C27="","",C27&amp;COUNTIF($C$2:C27,C27))</f>
        <v/>
      </c>
      <c r="B27" s="57"/>
      <c r="C27" s="36"/>
      <c r="D27" s="14" t="str">
        <f>IFERROR(IF(C27="","",VLOOKUP(C27,#REF!, 3, FALSE())), "")</f>
        <v/>
      </c>
      <c r="E27" s="36" t="str">
        <f>IFERROR(IF(C27="","",VLOOKUP(C27,#REF!, 4, FALSE())), "")</f>
        <v/>
      </c>
      <c r="F27" s="36"/>
      <c r="G27" s="15"/>
      <c r="H27" s="16" t="str">
        <f>IFERROR(IF(C27="","",VLOOKUP(C27,#REF!, 6, FALSE())), 0)</f>
        <v/>
      </c>
      <c r="I27" s="16" t="str">
        <f t="shared" si="0"/>
        <v/>
      </c>
      <c r="J27" s="36"/>
      <c r="K27" s="14"/>
    </row>
    <row r="28" spans="1:11" ht="19.5" customHeight="1" x14ac:dyDescent="0.35">
      <c r="A28" s="36" t="str">
        <f>IF(C28="","",C28&amp;COUNTIF($C$2:C28,C28))</f>
        <v/>
      </c>
      <c r="B28" s="57"/>
      <c r="C28" s="36"/>
      <c r="D28" s="14" t="str">
        <f>IFERROR(IF(C28="","",VLOOKUP(C28,#REF!, 3, FALSE())), "")</f>
        <v/>
      </c>
      <c r="E28" s="36" t="str">
        <f>IFERROR(IF(C28="","",VLOOKUP(C28,#REF!, 4, FALSE())), "")</f>
        <v/>
      </c>
      <c r="F28" s="36"/>
      <c r="G28" s="15"/>
      <c r="H28" s="16" t="str">
        <f>IFERROR(IF(C28="","",VLOOKUP(C28,#REF!, 6, FALSE())), 0)</f>
        <v/>
      </c>
      <c r="I28" s="16" t="str">
        <f t="shared" si="0"/>
        <v/>
      </c>
      <c r="J28" s="36"/>
      <c r="K28" s="14"/>
    </row>
    <row r="29" spans="1:11" ht="19.5" customHeight="1" x14ac:dyDescent="0.35">
      <c r="A29" s="36" t="str">
        <f>IF(C29="","",C29&amp;COUNTIF($C$2:C29,C29))</f>
        <v/>
      </c>
      <c r="B29" s="57"/>
      <c r="C29" s="36"/>
      <c r="D29" s="14" t="str">
        <f>IFERROR(IF(C29="","",VLOOKUP(C29,#REF!, 3, FALSE())), "")</f>
        <v/>
      </c>
      <c r="E29" s="36" t="str">
        <f>IFERROR(IF(C29="","",VLOOKUP(C29,#REF!, 4, FALSE())), "")</f>
        <v/>
      </c>
      <c r="F29" s="36"/>
      <c r="G29" s="15"/>
      <c r="H29" s="16" t="str">
        <f>IFERROR(IF(C29="","",VLOOKUP(C29,#REF!, 6, FALSE())), 0)</f>
        <v/>
      </c>
      <c r="I29" s="16" t="str">
        <f t="shared" si="0"/>
        <v/>
      </c>
      <c r="J29" s="36"/>
      <c r="K29" s="14"/>
    </row>
    <row r="30" spans="1:11" ht="19.5" customHeight="1" x14ac:dyDescent="0.35">
      <c r="A30" s="36" t="str">
        <f>IF(C30="","",C30&amp;COUNTIF($C$2:C30,C30))</f>
        <v/>
      </c>
      <c r="B30" s="57"/>
      <c r="C30" s="36"/>
      <c r="D30" s="14" t="str">
        <f>IFERROR(IF(C30="","",VLOOKUP(C30,#REF!, 3, FALSE())), "")</f>
        <v/>
      </c>
      <c r="E30" s="36" t="str">
        <f>IFERROR(IF(C30="","",VLOOKUP(C30,#REF!, 4, FALSE())), "")</f>
        <v/>
      </c>
      <c r="F30" s="36"/>
      <c r="G30" s="15"/>
      <c r="H30" s="16" t="str">
        <f>IFERROR(IF(C30="","",VLOOKUP(C30,#REF!, 6, FALSE())), 0)</f>
        <v/>
      </c>
      <c r="I30" s="16" t="str">
        <f t="shared" si="0"/>
        <v/>
      </c>
      <c r="J30" s="36"/>
      <c r="K30" s="14"/>
    </row>
    <row r="31" spans="1:11" ht="19.5" customHeight="1" x14ac:dyDescent="0.35">
      <c r="A31" s="36" t="str">
        <f>IF(C31="","",C31&amp;COUNTIF($C$2:C31,C31))</f>
        <v/>
      </c>
      <c r="B31" s="57"/>
      <c r="C31" s="36"/>
      <c r="D31" s="14" t="str">
        <f>IFERROR(IF(C31="","",VLOOKUP(C31,#REF!, 3, FALSE())), "")</f>
        <v/>
      </c>
      <c r="E31" s="36" t="str">
        <f>IFERROR(IF(C31="","",VLOOKUP(C31,#REF!, 4, FALSE())), "")</f>
        <v/>
      </c>
      <c r="F31" s="36"/>
      <c r="G31" s="15"/>
      <c r="H31" s="16" t="str">
        <f>IFERROR(IF(C31="","",VLOOKUP(C31,#REF!, 6, FALSE())), 0)</f>
        <v/>
      </c>
      <c r="I31" s="16" t="str">
        <f t="shared" si="0"/>
        <v/>
      </c>
      <c r="J31" s="36"/>
      <c r="K31" s="14"/>
    </row>
    <row r="32" spans="1:11" ht="19.5" customHeight="1" x14ac:dyDescent="0.35">
      <c r="A32" s="36" t="str">
        <f>IF(C32="","",C32&amp;COUNTIF($C$2:C32,C32))</f>
        <v/>
      </c>
      <c r="B32" s="57"/>
      <c r="C32" s="36"/>
      <c r="D32" s="14" t="str">
        <f>IFERROR(IF(C32="","",VLOOKUP(C32,#REF!, 3, FALSE())), "")</f>
        <v/>
      </c>
      <c r="E32" s="36" t="str">
        <f>IFERROR(IF(C32="","",VLOOKUP(C32,#REF!, 4, FALSE())), "")</f>
        <v/>
      </c>
      <c r="F32" s="36"/>
      <c r="G32" s="15"/>
      <c r="H32" s="16" t="str">
        <f>IFERROR(IF(C32="","",VLOOKUP(C32,#REF!, 6, FALSE())), 0)</f>
        <v/>
      </c>
      <c r="I32" s="16" t="str">
        <f t="shared" si="0"/>
        <v/>
      </c>
      <c r="J32" s="36"/>
      <c r="K32" s="14"/>
    </row>
    <row r="33" spans="1:11" ht="19.5" customHeight="1" x14ac:dyDescent="0.35">
      <c r="A33" s="36" t="str">
        <f>IF(C33="","",C33&amp;COUNTIF($C$2:C33,C33))</f>
        <v/>
      </c>
      <c r="B33" s="57"/>
      <c r="C33" s="36"/>
      <c r="D33" s="14" t="str">
        <f>IFERROR(IF(C33="","",VLOOKUP(C33,#REF!, 3, FALSE())), "")</f>
        <v/>
      </c>
      <c r="E33" s="36" t="str">
        <f>IFERROR(IF(C33="","",VLOOKUP(C33,#REF!, 4, FALSE())), "")</f>
        <v/>
      </c>
      <c r="F33" s="36"/>
      <c r="G33" s="15"/>
      <c r="H33" s="16" t="str">
        <f>IFERROR(IF(C33="","",VLOOKUP(C33,#REF!, 6, FALSE())), 0)</f>
        <v/>
      </c>
      <c r="I33" s="16" t="str">
        <f t="shared" si="0"/>
        <v/>
      </c>
      <c r="J33" s="36"/>
      <c r="K33" s="14"/>
    </row>
    <row r="34" spans="1:11" ht="19.5" customHeight="1" x14ac:dyDescent="0.35">
      <c r="A34" s="36" t="str">
        <f>IF(C34="","",C34&amp;COUNTIF($C$2:C34,C34))</f>
        <v/>
      </c>
      <c r="B34" s="57"/>
      <c r="C34" s="36"/>
      <c r="D34" s="14" t="str">
        <f>IFERROR(IF(C34="","",VLOOKUP(C34,#REF!, 3, FALSE())), "")</f>
        <v/>
      </c>
      <c r="E34" s="36" t="str">
        <f>IFERROR(IF(C34="","",VLOOKUP(C34,#REF!, 4, FALSE())), "")</f>
        <v/>
      </c>
      <c r="F34" s="36"/>
      <c r="G34" s="15"/>
      <c r="H34" s="16" t="str">
        <f>IFERROR(IF(C34="","",VLOOKUP(C34,#REF!, 6, FALSE())), 0)</f>
        <v/>
      </c>
      <c r="I34" s="16" t="str">
        <f t="shared" si="0"/>
        <v/>
      </c>
      <c r="J34" s="36"/>
      <c r="K34" s="14"/>
    </row>
    <row r="35" spans="1:11" ht="19.5" customHeight="1" x14ac:dyDescent="0.35">
      <c r="A35" s="36" t="str">
        <f>IF(C35="","",C35&amp;COUNTIF($C$2:C35,C35))</f>
        <v/>
      </c>
      <c r="B35" s="57"/>
      <c r="C35" s="36"/>
      <c r="D35" s="14" t="str">
        <f>IFERROR(IF(C35="","",VLOOKUP(C35,#REF!, 3, FALSE())), "")</f>
        <v/>
      </c>
      <c r="E35" s="36" t="str">
        <f>IFERROR(IF(C35="","",VLOOKUP(C35,#REF!, 4, FALSE())), "")</f>
        <v/>
      </c>
      <c r="F35" s="36"/>
      <c r="G35" s="15"/>
      <c r="H35" s="16" t="str">
        <f>IFERROR(IF(C35="","",VLOOKUP(C35,#REF!, 6, FALSE())), 0)</f>
        <v/>
      </c>
      <c r="I35" s="16" t="str">
        <f t="shared" si="0"/>
        <v/>
      </c>
      <c r="J35" s="36"/>
      <c r="K35" s="14"/>
    </row>
    <row r="36" spans="1:11" ht="19.5" customHeight="1" x14ac:dyDescent="0.35">
      <c r="A36" s="36" t="str">
        <f>IF(C36="","",C36&amp;COUNTIF($C$2:C36,C36))</f>
        <v/>
      </c>
      <c r="B36" s="57"/>
      <c r="C36" s="36"/>
      <c r="D36" s="14" t="str">
        <f>IFERROR(IF(C36="","",VLOOKUP(C36,#REF!, 3, FALSE())), "")</f>
        <v/>
      </c>
      <c r="E36" s="36" t="str">
        <f>IFERROR(IF(C36="","",VLOOKUP(C36,#REF!, 4, FALSE())), "")</f>
        <v/>
      </c>
      <c r="F36" s="36"/>
      <c r="G36" s="15"/>
      <c r="H36" s="16" t="str">
        <f>IFERROR(IF(C36="","",VLOOKUP(C36,#REF!, 6, FALSE())), 0)</f>
        <v/>
      </c>
      <c r="I36" s="16" t="str">
        <f t="shared" si="0"/>
        <v/>
      </c>
      <c r="J36" s="36"/>
      <c r="K36" s="14"/>
    </row>
    <row r="37" spans="1:11" ht="19.5" customHeight="1" x14ac:dyDescent="0.35">
      <c r="A37" s="36" t="str">
        <f>IF(C37="","",C37&amp;COUNTIF($C$2:C37,C37))</f>
        <v/>
      </c>
      <c r="B37" s="57"/>
      <c r="C37" s="36"/>
      <c r="D37" s="14" t="str">
        <f>IFERROR(IF(C37="","",VLOOKUP(C37,#REF!, 3, FALSE())), "")</f>
        <v/>
      </c>
      <c r="E37" s="36" t="str">
        <f>IFERROR(IF(C37="","",VLOOKUP(C37,#REF!, 4, FALSE())), "")</f>
        <v/>
      </c>
      <c r="F37" s="36"/>
      <c r="G37" s="15"/>
      <c r="H37" s="16" t="str">
        <f>IFERROR(IF(C37="","",VLOOKUP(C37,#REF!, 6, FALSE())), 0)</f>
        <v/>
      </c>
      <c r="I37" s="16" t="str">
        <f t="shared" si="0"/>
        <v/>
      </c>
      <c r="J37" s="36"/>
      <c r="K37" s="14"/>
    </row>
    <row r="38" spans="1:11" ht="19.5" customHeight="1" x14ac:dyDescent="0.35">
      <c r="A38" s="36" t="str">
        <f>IF(C38="","",C38&amp;COUNTIF($C$2:C38,C38))</f>
        <v/>
      </c>
      <c r="B38" s="57"/>
      <c r="C38" s="36"/>
      <c r="D38" s="14" t="str">
        <f>IFERROR(IF(C38="","",VLOOKUP(C38,#REF!, 3, FALSE())), "")</f>
        <v/>
      </c>
      <c r="E38" s="36" t="str">
        <f>IFERROR(IF(C38="","",VLOOKUP(C38,#REF!, 4, FALSE())), "")</f>
        <v/>
      </c>
      <c r="F38" s="36"/>
      <c r="G38" s="15"/>
      <c r="H38" s="16" t="str">
        <f>IFERROR(IF(C38="","",VLOOKUP(C38,#REF!, 6, FALSE())), 0)</f>
        <v/>
      </c>
      <c r="I38" s="16" t="str">
        <f t="shared" si="0"/>
        <v/>
      </c>
      <c r="J38" s="36"/>
      <c r="K38" s="14"/>
    </row>
    <row r="39" spans="1:11" ht="19.5" customHeight="1" x14ac:dyDescent="0.35">
      <c r="A39" s="36" t="str">
        <f>IF(C39="","",C39&amp;COUNTIF($C$2:C39,C39))</f>
        <v/>
      </c>
      <c r="B39" s="57"/>
      <c r="C39" s="36"/>
      <c r="D39" s="14" t="str">
        <f>IFERROR(IF(C39="","",VLOOKUP(C39,#REF!, 3, FALSE())), "")</f>
        <v/>
      </c>
      <c r="E39" s="36" t="str">
        <f>IFERROR(IF(C39="","",VLOOKUP(C39,#REF!, 4, FALSE())), "")</f>
        <v/>
      </c>
      <c r="F39" s="36"/>
      <c r="G39" s="15"/>
      <c r="H39" s="16" t="str">
        <f>IFERROR(IF(C39="","",VLOOKUP(C39,#REF!, 6, FALSE())), 0)</f>
        <v/>
      </c>
      <c r="I39" s="16" t="str">
        <f t="shared" si="0"/>
        <v/>
      </c>
      <c r="J39" s="36"/>
      <c r="K39" s="14"/>
    </row>
    <row r="40" spans="1:11" ht="19.5" customHeight="1" x14ac:dyDescent="0.35">
      <c r="A40" s="36" t="str">
        <f>IF(C40="","",C40&amp;COUNTIF($C$2:C40,C40))</f>
        <v/>
      </c>
      <c r="B40" s="57"/>
      <c r="C40" s="36"/>
      <c r="D40" s="14" t="str">
        <f>IFERROR(IF(C40="","",VLOOKUP(C40,#REF!, 3, FALSE())), "")</f>
        <v/>
      </c>
      <c r="E40" s="36" t="str">
        <f>IFERROR(IF(C40="","",VLOOKUP(C40,#REF!, 4, FALSE())), "")</f>
        <v/>
      </c>
      <c r="F40" s="36"/>
      <c r="G40" s="15"/>
      <c r="H40" s="16" t="str">
        <f>IFERROR(IF(C40="","",VLOOKUP(C40,#REF!, 6, FALSE())), 0)</f>
        <v/>
      </c>
      <c r="I40" s="16" t="str">
        <f t="shared" si="0"/>
        <v/>
      </c>
      <c r="J40" s="36"/>
      <c r="K40" s="14"/>
    </row>
    <row r="41" spans="1:11" ht="19.5" customHeight="1" x14ac:dyDescent="0.35">
      <c r="A41" s="36" t="str">
        <f>IF(C41="","",C41&amp;COUNTIF($C$2:C41,C41))</f>
        <v/>
      </c>
      <c r="B41" s="57"/>
      <c r="C41" s="36"/>
      <c r="D41" s="14" t="str">
        <f>IFERROR(IF(C41="","",VLOOKUP(C41,#REF!, 3, FALSE())), "")</f>
        <v/>
      </c>
      <c r="E41" s="36" t="str">
        <f>IFERROR(IF(C41="","",VLOOKUP(C41,#REF!, 4, FALSE())), "")</f>
        <v/>
      </c>
      <c r="F41" s="36"/>
      <c r="G41" s="15"/>
      <c r="H41" s="16" t="str">
        <f>IFERROR(IF(C41="","",VLOOKUP(C41,#REF!, 6, FALSE())), 0)</f>
        <v/>
      </c>
      <c r="I41" s="16" t="str">
        <f t="shared" si="0"/>
        <v/>
      </c>
      <c r="J41" s="36"/>
      <c r="K41" s="14"/>
    </row>
  </sheetData>
  <autoFilter ref="A1:K41"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28"/>
  <sheetViews>
    <sheetView showGridLines="0" topLeftCell="E3" zoomScaleNormal="100" workbookViewId="0">
      <selection activeCell="K18" sqref="K18"/>
    </sheetView>
  </sheetViews>
  <sheetFormatPr baseColWidth="10" defaultColWidth="8.6328125" defaultRowHeight="14.5" x14ac:dyDescent="0.35"/>
  <cols>
    <col min="1" max="1" width="22" customWidth="1"/>
    <col min="2" max="2" width="4" customWidth="1"/>
    <col min="3" max="3" width="10" customWidth="1"/>
    <col min="4" max="4" width="4" customWidth="1"/>
    <col min="5" max="5" width="24" customWidth="1"/>
    <col min="6" max="6" width="4" customWidth="1"/>
    <col min="7" max="7" width="24" customWidth="1"/>
    <col min="8" max="8" width="4" customWidth="1"/>
    <col min="9" max="9" width="22" customWidth="1"/>
    <col min="10" max="10" width="4" customWidth="1"/>
    <col min="11" max="11" width="26" customWidth="1"/>
    <col min="12" max="12" width="4" customWidth="1"/>
    <col min="13" max="13" width="12" customWidth="1"/>
    <col min="14" max="14" width="4" customWidth="1"/>
    <col min="15" max="15" width="14" customWidth="1"/>
    <col min="16" max="16" width="4" customWidth="1"/>
    <col min="19" max="19" width="20" customWidth="1"/>
    <col min="21" max="21" width="20" customWidth="1"/>
    <col min="23" max="23" width="20" customWidth="1"/>
    <col min="25" max="25" width="22" customWidth="1"/>
  </cols>
  <sheetData>
    <row r="1" spans="1:25" ht="16.5" customHeight="1" x14ac:dyDescent="0.4">
      <c r="A1" s="12" t="s">
        <v>473</v>
      </c>
    </row>
    <row r="2" spans="1:25" ht="14.25" customHeight="1" x14ac:dyDescent="0.35">
      <c r="A2" s="20" t="s">
        <v>474</v>
      </c>
    </row>
    <row r="3" spans="1:25" ht="14.25" customHeight="1" x14ac:dyDescent="0.35">
      <c r="A3" s="13" t="s">
        <v>475</v>
      </c>
      <c r="C3" s="13" t="s">
        <v>476</v>
      </c>
      <c r="E3" s="13" t="s">
        <v>477</v>
      </c>
      <c r="G3" s="13" t="s">
        <v>478</v>
      </c>
      <c r="I3" s="13" t="s">
        <v>479</v>
      </c>
      <c r="K3" s="13" t="s">
        <v>480</v>
      </c>
      <c r="M3" s="13" t="s">
        <v>54</v>
      </c>
      <c r="O3" s="13" t="s">
        <v>481</v>
      </c>
      <c r="Q3" s="58" t="s">
        <v>482</v>
      </c>
      <c r="S3" s="59" t="s">
        <v>106</v>
      </c>
      <c r="U3" s="59" t="s">
        <v>483</v>
      </c>
      <c r="W3" s="59" t="s">
        <v>484</v>
      </c>
      <c r="Y3" s="59" t="s">
        <v>485</v>
      </c>
    </row>
    <row r="4" spans="1:25" ht="14.25" customHeight="1" x14ac:dyDescent="0.35">
      <c r="A4" s="11" t="s">
        <v>486</v>
      </c>
      <c r="C4" s="11" t="s">
        <v>487</v>
      </c>
      <c r="E4" s="11" t="s">
        <v>26</v>
      </c>
      <c r="G4" s="11" t="s">
        <v>361</v>
      </c>
      <c r="I4" s="11" t="s">
        <v>359</v>
      </c>
      <c r="K4" s="11" t="s">
        <v>42</v>
      </c>
      <c r="M4" s="11" t="s">
        <v>55</v>
      </c>
      <c r="O4" s="11" t="s">
        <v>237</v>
      </c>
      <c r="Q4" t="s">
        <v>3</v>
      </c>
      <c r="S4" t="s">
        <v>488</v>
      </c>
      <c r="U4" t="s">
        <v>72</v>
      </c>
      <c r="W4" t="s">
        <v>238</v>
      </c>
      <c r="Y4" t="s">
        <v>238</v>
      </c>
    </row>
    <row r="5" spans="1:25" ht="14.25" customHeight="1" x14ac:dyDescent="0.35">
      <c r="A5" s="11" t="s">
        <v>489</v>
      </c>
      <c r="C5" s="11" t="s">
        <v>490</v>
      </c>
      <c r="E5" s="11" t="s">
        <v>28</v>
      </c>
      <c r="G5" s="11" t="s">
        <v>491</v>
      </c>
      <c r="I5" s="11" t="s">
        <v>379</v>
      </c>
      <c r="K5" s="11" t="s">
        <v>43</v>
      </c>
      <c r="M5" s="11" t="s">
        <v>56</v>
      </c>
      <c r="O5" s="11" t="s">
        <v>248</v>
      </c>
      <c r="Q5" t="s">
        <v>243</v>
      </c>
      <c r="S5" t="s">
        <v>492</v>
      </c>
      <c r="U5" t="s">
        <v>493</v>
      </c>
      <c r="W5" t="s">
        <v>494</v>
      </c>
      <c r="Y5" t="s">
        <v>495</v>
      </c>
    </row>
    <row r="6" spans="1:25" ht="14.25" customHeight="1" x14ac:dyDescent="0.35">
      <c r="A6" t="s">
        <v>496</v>
      </c>
      <c r="C6" s="11" t="s">
        <v>497</v>
      </c>
      <c r="E6" s="11" t="s">
        <v>30</v>
      </c>
      <c r="G6" s="11" t="s">
        <v>498</v>
      </c>
      <c r="I6" s="11" t="s">
        <v>368</v>
      </c>
      <c r="K6" s="11" t="s">
        <v>44</v>
      </c>
      <c r="M6" s="11" t="s">
        <v>57</v>
      </c>
      <c r="O6" s="11" t="s">
        <v>499</v>
      </c>
      <c r="Q6" t="s">
        <v>272</v>
      </c>
      <c r="S6" t="s">
        <v>238</v>
      </c>
      <c r="U6" t="s">
        <v>500</v>
      </c>
    </row>
    <row r="7" spans="1:25" ht="14.25" customHeight="1" x14ac:dyDescent="0.35">
      <c r="A7" s="11" t="s">
        <v>501</v>
      </c>
      <c r="C7" s="11" t="s">
        <v>502</v>
      </c>
      <c r="E7" s="11" t="s">
        <v>32</v>
      </c>
      <c r="G7" s="11" t="s">
        <v>381</v>
      </c>
      <c r="I7" s="11" t="s">
        <v>411</v>
      </c>
      <c r="K7" s="11" t="s">
        <v>45</v>
      </c>
      <c r="M7" s="11" t="s">
        <v>58</v>
      </c>
      <c r="O7" s="11" t="s">
        <v>503</v>
      </c>
      <c r="Q7" t="s">
        <v>504</v>
      </c>
      <c r="U7" t="s">
        <v>505</v>
      </c>
    </row>
    <row r="8" spans="1:25" ht="14.25" customHeight="1" x14ac:dyDescent="0.35">
      <c r="A8" s="11" t="s">
        <v>506</v>
      </c>
      <c r="C8" s="11" t="s">
        <v>507</v>
      </c>
      <c r="E8" s="11" t="s">
        <v>34</v>
      </c>
      <c r="G8" s="11" t="s">
        <v>508</v>
      </c>
      <c r="I8" s="60" t="s">
        <v>394</v>
      </c>
      <c r="K8" s="11" t="s">
        <v>46</v>
      </c>
      <c r="M8" s="11" t="s">
        <v>59</v>
      </c>
      <c r="O8" s="11" t="s">
        <v>509</v>
      </c>
      <c r="Q8" t="s">
        <v>275</v>
      </c>
      <c r="U8" t="s">
        <v>510</v>
      </c>
    </row>
    <row r="9" spans="1:25" ht="14.25" customHeight="1" x14ac:dyDescent="0.35">
      <c r="A9" s="60" t="s">
        <v>511</v>
      </c>
      <c r="C9" s="11" t="s">
        <v>512</v>
      </c>
      <c r="I9" s="11" t="s">
        <v>52</v>
      </c>
      <c r="K9" s="11" t="s">
        <v>47</v>
      </c>
      <c r="M9" s="11" t="s">
        <v>60</v>
      </c>
      <c r="Q9" t="s">
        <v>513</v>
      </c>
    </row>
    <row r="10" spans="1:25" ht="14.25" customHeight="1" x14ac:dyDescent="0.35">
      <c r="C10" s="11" t="s">
        <v>514</v>
      </c>
      <c r="K10" s="11" t="s">
        <v>49</v>
      </c>
      <c r="M10" s="11" t="s">
        <v>252</v>
      </c>
      <c r="Q10" t="s">
        <v>240</v>
      </c>
    </row>
    <row r="11" spans="1:25" ht="14.25" customHeight="1" x14ac:dyDescent="0.35">
      <c r="K11" s="11" t="s">
        <v>50</v>
      </c>
      <c r="M11" s="11" t="s">
        <v>259</v>
      </c>
      <c r="Q11" t="s">
        <v>515</v>
      </c>
    </row>
    <row r="12" spans="1:25" ht="14.25" customHeight="1" x14ac:dyDescent="0.35">
      <c r="K12" s="11" t="s">
        <v>51</v>
      </c>
      <c r="M12" s="11" t="s">
        <v>267</v>
      </c>
      <c r="Q12" t="s">
        <v>250</v>
      </c>
    </row>
    <row r="13" spans="1:25" ht="14.25" customHeight="1" x14ac:dyDescent="0.35">
      <c r="K13" s="11" t="s">
        <v>120</v>
      </c>
      <c r="M13" s="11" t="s">
        <v>304</v>
      </c>
      <c r="Q13" t="s">
        <v>265</v>
      </c>
    </row>
    <row r="14" spans="1:25" ht="14.25" customHeight="1" x14ac:dyDescent="0.35">
      <c r="K14" s="11" t="s">
        <v>131</v>
      </c>
      <c r="M14" s="11" t="s">
        <v>310</v>
      </c>
      <c r="Q14" t="s">
        <v>269</v>
      </c>
    </row>
    <row r="15" spans="1:25" ht="14.25" customHeight="1" x14ac:dyDescent="0.35">
      <c r="K15" s="11" t="s">
        <v>158</v>
      </c>
      <c r="M15" s="11" t="s">
        <v>340</v>
      </c>
      <c r="Q15" t="s">
        <v>322</v>
      </c>
    </row>
    <row r="16" spans="1:25" ht="14.25" customHeight="1" x14ac:dyDescent="0.35">
      <c r="K16" s="11" t="s">
        <v>186</v>
      </c>
      <c r="Q16" t="s">
        <v>246</v>
      </c>
    </row>
    <row r="17" spans="11:17" ht="14.25" customHeight="1" x14ac:dyDescent="0.35">
      <c r="K17" s="11" t="s">
        <v>52</v>
      </c>
      <c r="Q17" t="s">
        <v>263</v>
      </c>
    </row>
    <row r="18" spans="11:17" ht="14.25" customHeight="1" x14ac:dyDescent="0.35">
      <c r="Q18" t="s">
        <v>516</v>
      </c>
    </row>
    <row r="19" spans="11:17" ht="14.25" customHeight="1" x14ac:dyDescent="0.35">
      <c r="Q19" t="s">
        <v>280</v>
      </c>
    </row>
    <row r="20" spans="11:17" ht="14.25" customHeight="1" x14ac:dyDescent="0.35">
      <c r="Q20" t="s">
        <v>517</v>
      </c>
    </row>
    <row r="21" spans="11:17" ht="14.25" customHeight="1" x14ac:dyDescent="0.35">
      <c r="Q21" t="s">
        <v>518</v>
      </c>
    </row>
    <row r="22" spans="11:17" ht="14.25" customHeight="1" x14ac:dyDescent="0.35">
      <c r="Q22" t="s">
        <v>519</v>
      </c>
    </row>
    <row r="23" spans="11:17" ht="14.25" customHeight="1" x14ac:dyDescent="0.35">
      <c r="Q23" t="s">
        <v>520</v>
      </c>
    </row>
    <row r="24" spans="11:17" ht="14.25" customHeight="1" x14ac:dyDescent="0.35">
      <c r="Q24" t="s">
        <v>521</v>
      </c>
    </row>
    <row r="25" spans="11:17" ht="14.25" customHeight="1" x14ac:dyDescent="0.35">
      <c r="Q25" t="s">
        <v>283</v>
      </c>
    </row>
    <row r="26" spans="11:17" ht="14.25" customHeight="1" x14ac:dyDescent="0.35">
      <c r="Q26" t="s">
        <v>288</v>
      </c>
    </row>
    <row r="27" spans="11:17" ht="14.25" customHeight="1" x14ac:dyDescent="0.35">
      <c r="Q27" t="s">
        <v>325</v>
      </c>
    </row>
    <row r="28" spans="11:17" ht="14.25" customHeight="1" x14ac:dyDescent="0.35">
      <c r="Q28" t="s">
        <v>336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 Dashboard Control</vt:lpstr>
      <vt:lpstr>📈 Resumen Dinámico</vt:lpstr>
      <vt:lpstr>🤸 Ingresos Pole</vt:lpstr>
      <vt:lpstr>📑 Resumen Contable</vt:lpstr>
      <vt:lpstr>💸 Gastos</vt:lpstr>
      <vt:lpstr>Marcancia</vt:lpstr>
      <vt:lpstr>🏢 Activos Fijos</vt:lpstr>
      <vt:lpstr>🛒 Ventas</vt:lpstr>
      <vt:lpstr>⚙️ Configuración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iavar3</cp:lastModifiedBy>
  <cp:revision>0</cp:revision>
  <dcterms:created xsi:type="dcterms:W3CDTF">2026-09-09T20:07:56Z</dcterms:created>
  <dcterms:modified xsi:type="dcterms:W3CDTF">2026-09-20T15:04:13Z</dcterms:modified>
  <dc:language>en-US</dc:language>
</cp:coreProperties>
</file>