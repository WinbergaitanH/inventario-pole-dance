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 Control" sheetId="1" state="visible" r:id="rId1"/>
    <sheet xmlns:r="http://schemas.openxmlformats.org/officeDocument/2006/relationships" name="⚙️ Configuración" sheetId="2" state="visible" r:id="rId2"/>
    <sheet xmlns:r="http://schemas.openxmlformats.org/officeDocument/2006/relationships" name="🏷️ Catálogo Productos" sheetId="3" state="visible" r:id="rId3"/>
    <sheet xmlns:r="http://schemas.openxmlformats.org/officeDocument/2006/relationships" name="📥 Entradas" sheetId="4" state="visible" r:id="rId4"/>
    <sheet xmlns:r="http://schemas.openxmlformats.org/officeDocument/2006/relationships" name="🛒 Ventas" sheetId="5" state="visible" r:id="rId5"/>
    <sheet xmlns:r="http://schemas.openxmlformats.org/officeDocument/2006/relationships" name="🏢 Activos Fij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1">
    <font>
      <name val="Calibri"/>
      <family val="2"/>
      <color theme="1"/>
      <sz val="11"/>
      <scheme val="minor"/>
    </font>
    <font>
      <name val="Calibri"/>
      <b val="1"/>
      <color rgb="004A1525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6"/>
    </font>
    <font>
      <name val="Calibri"/>
      <b val="1"/>
      <sz val="11"/>
    </font>
    <font>
      <name val="Calibri"/>
      <b val="1"/>
      <color rgb="004A1525"/>
      <sz val="14"/>
    </font>
    <font>
      <name val="Calibri"/>
      <b val="1"/>
      <color rgb="00000000"/>
      <sz val="18"/>
    </font>
    <font>
      <name val="Calibri"/>
      <b val="1"/>
      <color rgb="004A1525"/>
      <sz val="16"/>
    </font>
    <font>
      <name val="Calibri"/>
      <b val="1"/>
      <color rgb="00555555"/>
      <sz val="10"/>
    </font>
    <font>
      <name val="Calibri"/>
      <b val="1"/>
      <color rgb="004A1525"/>
      <sz val="20"/>
    </font>
  </fonts>
  <fills count="7">
    <fill>
      <patternFill/>
    </fill>
    <fill>
      <patternFill patternType="gray125"/>
    </fill>
    <fill>
      <patternFill patternType="solid">
        <fgColor rgb="008C2D4F"/>
        <bgColor rgb="008C2D4F"/>
      </patternFill>
    </fill>
    <fill>
      <patternFill patternType="solid">
        <fgColor rgb="004A1525"/>
        <bgColor rgb="004A1525"/>
      </patternFill>
    </fill>
    <fill>
      <patternFill patternType="solid">
        <fgColor rgb="00F9F2F5"/>
        <bgColor rgb="00F9F2F5"/>
      </patternFill>
    </fill>
    <fill>
      <patternFill patternType="solid">
        <fgColor rgb="00E8D4DC"/>
        <bgColor rgb="00E8D4DC"/>
      </patternFill>
    </fill>
    <fill>
      <patternFill patternType="solid">
        <fgColor rgb="00F4EBEF"/>
        <bgColor rgb="00F4EBEF"/>
      </patternFill>
    </fill>
  </fills>
  <borders count="3">
    <border>
      <left/>
      <right/>
      <top/>
      <bottom/>
      <diagonal/>
    </border>
    <border>
      <left style="thin">
        <color rgb="00D9C5CC"/>
      </left>
      <right style="thin">
        <color rgb="00D9C5CC"/>
      </right>
      <top style="thin">
        <color rgb="00D9C5CC"/>
      </top>
      <bottom style="thin">
        <color rgb="00D9C5CC"/>
      </bottom>
    </border>
    <border>
      <top style="thin">
        <color rgb="00D9C5CC"/>
      </top>
      <bottom style="double">
        <color rgb="004A1525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9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0" fontId="5" fillId="0" borderId="2" pivotButton="0" quotePrefix="0" xfId="0"/>
    <xf numFmtId="3" fontId="5" fillId="0" borderId="2" pivotButton="0" quotePrefix="0" xfId="0"/>
    <xf numFmtId="164" fontId="5" fillId="0" borderId="2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1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right" vertical="center"/>
    </xf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Unidades Vendidas por Tipo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 Dashboard Control'!B21</f>
            </strRef>
          </tx>
          <spPr>
            <a:ln xmlns:a="http://schemas.openxmlformats.org/drawingml/2006/main">
              <a:prstDash val="solid"/>
            </a:ln>
          </spPr>
          <cat>
            <numRef>
              <f>'📊 Dashboard Control'!$A$22:$A$26</f>
            </numRef>
          </cat>
          <val>
            <numRef>
              <f>'📊 Dashboard Control'!$B$22:$B$26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Prenda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Método de Pago</a:t>
            </a:r>
          </a:p>
        </rich>
      </tx>
    </title>
    <plotArea>
      <pieChart>
        <varyColors val="1"/>
        <ser>
          <idx val="0"/>
          <order val="0"/>
          <tx>
            <strRef>
              <f>'📊 Dashboard Control'!G21</f>
            </strRef>
          </tx>
          <spPr>
            <a:ln xmlns:a="http://schemas.openxmlformats.org/drawingml/2006/main">
              <a:prstDash val="solid"/>
            </a:ln>
          </spPr>
          <cat>
            <numRef>
              <f>'📊 Dashboard Control'!$E$22:$E$26</f>
            </numRef>
          </cat>
          <val>
            <numRef>
              <f>'📊 Dashboard Control'!$G$22:$G$26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28</row>
      <rowOff>0</rowOff>
    </from>
    <ext cx="50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8" customWidth="1" min="4" max="4"/>
    <col width="24" customWidth="1" min="5" max="5"/>
    <col width="18" customWidth="1" min="6" max="6"/>
    <col width="22" customWidth="1" min="7" max="7"/>
    <col width="12" customWidth="1" min="8" max="8"/>
    <col width="12" customWidth="1" min="9" max="9"/>
  </cols>
  <sheetData>
    <row r="1" ht="40" customHeight="1">
      <c r="A1" s="1" t="inlineStr">
        <is>
          <t>PANEL DE CONTROL E INVENTARIOS - POLE DANCE ACADEMY</t>
        </is>
      </c>
    </row>
    <row r="2"/>
    <row r="3" ht="26" customHeight="1">
      <c r="A3" s="2" t="inlineStr">
        <is>
          <t>⚡ CONSULTA RÁPIDA DE PRODUCTO Y CONSECUTIVO</t>
        </is>
      </c>
      <c r="B3" s="3" t="n"/>
      <c r="C3" s="3" t="n"/>
      <c r="D3" s="3" t="n"/>
    </row>
    <row r="4" ht="32" customHeight="1">
      <c r="A4" s="4" t="inlineStr">
        <is>
          <t>Escribe el Código de Prenda:</t>
        </is>
      </c>
      <c r="B4" s="3" t="n"/>
      <c r="C4" s="5" t="inlineStr">
        <is>
          <t>TM</t>
        </is>
      </c>
      <c r="D4" s="3" t="n"/>
    </row>
    <row r="5" ht="22" customHeight="1">
      <c r="A5" s="4" t="inlineStr">
        <is>
          <t>Descripción del Producto:</t>
        </is>
      </c>
      <c r="B5" s="3" t="n"/>
      <c r="C5" s="6">
        <f>IFERROR(VLOOKUP(C4, '🏷️ Catálogo Productos'!A:C, 3, FALSE), "⚠️ Código no encontrado")</f>
        <v/>
      </c>
      <c r="D5" s="3" t="n"/>
    </row>
    <row r="6" ht="22" customHeight="1">
      <c r="A6" s="4" t="inlineStr">
        <is>
          <t>Talla:</t>
        </is>
      </c>
      <c r="B6" s="3" t="n"/>
      <c r="C6" s="6">
        <f>IFERROR(VLOOKUP(C4, '🏷️ Catálogo Productos'!A:D, 4, FALSE), "-")</f>
        <v/>
      </c>
      <c r="D6" s="3" t="n"/>
    </row>
    <row r="7" ht="22" customHeight="1">
      <c r="A7" s="4" t="inlineStr">
        <is>
          <t>Precio de Venta Unitario:</t>
        </is>
      </c>
      <c r="B7" s="3" t="n"/>
      <c r="C7" s="7">
        <f>IFERROR(VLOOKUP(C4, '🏷️ Catálogo Productos'!A:F, 6, FALSE), 0)</f>
        <v/>
      </c>
      <c r="D7" s="3" t="n"/>
    </row>
    <row r="8" ht="22" customHeight="1">
      <c r="A8" s="4" t="inlineStr">
        <is>
          <t>Existencias Actuales (Stock):</t>
        </is>
      </c>
      <c r="B8" s="3" t="n"/>
      <c r="C8" s="8">
        <f>IFERROR(VLOOKUP(C4, '🏷️ Catálogo Productos'!A:J, 10, FALSE), 0)</f>
        <v/>
      </c>
      <c r="D8" s="3" t="n"/>
    </row>
    <row r="9" ht="22" customHeight="1">
      <c r="A9" s="4" t="inlineStr">
        <is>
          <t>Total Unidades Vendidas:</t>
        </is>
      </c>
      <c r="B9" s="3" t="n"/>
      <c r="C9" s="8">
        <f>SUMIF('🛒 Ventas'!C:C, C4, '🛒 Ventas'!F:F)</f>
        <v/>
      </c>
      <c r="D9" s="3" t="n"/>
    </row>
    <row r="10" ht="22" customHeight="1">
      <c r="A10" s="4" t="inlineStr">
        <is>
          <t>PRÓXIMO CONSECUTIVO DE VENTA:</t>
        </is>
      </c>
      <c r="B10" s="3" t="n"/>
      <c r="C10" s="9">
        <f>IF(C4="","", C4 &amp; (SUMIF('🛒 Ventas'!C:C, C4, '🛒 Ventas'!F:F) + 1))</f>
        <v/>
      </c>
      <c r="D10" s="3" t="n"/>
    </row>
    <row r="11"/>
    <row r="12">
      <c r="A12" s="10" t="inlineStr">
        <is>
          <t>RESUMEN GENERAL ACADEMIA</t>
        </is>
      </c>
    </row>
    <row r="13"/>
    <row r="14">
      <c r="A14" s="11" t="inlineStr">
        <is>
          <t>UNIDADES EN STOCK</t>
        </is>
      </c>
      <c r="B14" s="3" t="n"/>
      <c r="C14" s="11" t="inlineStr">
        <is>
          <t>VALOR INVENTARIO ROPA</t>
        </is>
      </c>
      <c r="D14" s="3" t="n"/>
      <c r="E14" s="11" t="inlineStr">
        <is>
          <t>VENTAS TOTALES ($)</t>
        </is>
      </c>
      <c r="F14" s="3" t="n"/>
      <c r="G14" s="11" t="inlineStr">
        <is>
          <t>VALOR ACTIVOS FIJOS ($)</t>
        </is>
      </c>
      <c r="H14" s="3" t="n"/>
    </row>
    <row r="15">
      <c r="A15" s="12">
        <f>SUM('🏷️ Catálogo Productos'!J4:J14)</f>
        <v/>
      </c>
      <c r="B15" s="3" t="n"/>
      <c r="C15" s="13">
        <f>SUM('🏷️ Catálogo Productos'!K4:K14)</f>
        <v/>
      </c>
      <c r="D15" s="3" t="n"/>
      <c r="E15" s="13">
        <f>SUM('🛒 Ventas'!H4:H60)</f>
        <v/>
      </c>
      <c r="F15" s="3" t="n"/>
      <c r="G15" s="13">
        <f>SUM('🏢 Activos Fijos'!H4:H11)</f>
        <v/>
      </c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/>
    <row r="18"/>
    <row r="19">
      <c r="A19" s="10" t="inlineStr">
        <is>
          <t>VENTAS POR TIPO DE PRENDA</t>
        </is>
      </c>
      <c r="E19" s="10" t="inlineStr">
        <is>
          <t>VENTAS POR MÉTODO DE PAGO</t>
        </is>
      </c>
    </row>
    <row r="20"/>
    <row r="21" ht="24" customHeight="1">
      <c r="A21" s="14" t="inlineStr">
        <is>
          <t>Tipo Prenda</t>
        </is>
      </c>
      <c r="B21" s="14" t="inlineStr">
        <is>
          <t>Unidades Vendidas</t>
        </is>
      </c>
      <c r="C21" s="14" t="inlineStr">
        <is>
          <t>Total Recaudado ($)</t>
        </is>
      </c>
      <c r="E21" s="14" t="inlineStr">
        <is>
          <t>Método Pago</t>
        </is>
      </c>
      <c r="F21" s="14" t="inlineStr">
        <is>
          <t>N° Transacciones</t>
        </is>
      </c>
      <c r="G21" s="14" t="inlineStr">
        <is>
          <t>Total ($)</t>
        </is>
      </c>
    </row>
    <row r="22">
      <c r="A22" s="15" t="inlineStr">
        <is>
          <t>Short (S)</t>
        </is>
      </c>
      <c r="B22" s="16">
        <f>SUMIF('🛒 Ventas'!C:C, "S*", '🛒 Ventas'!F:F)</f>
        <v/>
      </c>
      <c r="C22" s="17">
        <f>SUMIF('🛒 Ventas'!C:C, "S*", '🛒 Ventas'!H:H)</f>
        <v/>
      </c>
      <c r="E22" s="15" t="inlineStr">
        <is>
          <t>Nequi</t>
        </is>
      </c>
      <c r="F22" s="16">
        <f>COUNTIF('🛒 Ventas'!I:I, "Nequi")</f>
        <v/>
      </c>
      <c r="G22" s="17">
        <f>SUMIF('🛒 Ventas'!I:I, "Nequi", '🛒 Ventas'!H:H)</f>
        <v/>
      </c>
    </row>
    <row r="23">
      <c r="A23" s="15" t="inlineStr">
        <is>
          <t>Pantalón (P)</t>
        </is>
      </c>
      <c r="B23" s="16">
        <f>SUMIF('🛒 Ventas'!C:C, "P*", '🛒 Ventas'!F:F)</f>
        <v/>
      </c>
      <c r="C23" s="17">
        <f>SUMIF('🛒 Ventas'!C:C, "P*", '🛒 Ventas'!H:H)</f>
        <v/>
      </c>
      <c r="E23" s="15" t="inlineStr">
        <is>
          <t>Daviplata</t>
        </is>
      </c>
      <c r="F23" s="16">
        <f>COUNTIF('🛒 Ventas'!I:I, "Daviplata")</f>
        <v/>
      </c>
      <c r="G23" s="17">
        <f>SUMIF('🛒 Ventas'!I:I, "Daviplata", '🛒 Ventas'!H:H)</f>
        <v/>
      </c>
    </row>
    <row r="24">
      <c r="A24" s="15" t="inlineStr">
        <is>
          <t>Top (T)</t>
        </is>
      </c>
      <c r="B24" s="16">
        <f>SUMIF('🛒 Ventas'!C:C, "T*", '🛒 Ventas'!F:F)</f>
        <v/>
      </c>
      <c r="C24" s="17">
        <f>SUMIF('🛒 Ventas'!C:C, "T*", '🛒 Ventas'!H:H)</f>
        <v/>
      </c>
      <c r="E24" s="15" t="inlineStr">
        <is>
          <t>Efectivo</t>
        </is>
      </c>
      <c r="F24" s="16">
        <f>COUNTIF('🛒 Ventas'!I:I, "Efectivo")</f>
        <v/>
      </c>
      <c r="G24" s="17">
        <f>SUMIF('🛒 Ventas'!I:I, "Efectivo", '🛒 Ventas'!H:H)</f>
        <v/>
      </c>
    </row>
    <row r="25">
      <c r="A25" s="15" t="inlineStr">
        <is>
          <t>Body (B)</t>
        </is>
      </c>
      <c r="B25" s="16">
        <f>SUMIF('🛒 Ventas'!C:C, "B*", '🛒 Ventas'!F:F)</f>
        <v/>
      </c>
      <c r="C25" s="17">
        <f>SUMIF('🛒 Ventas'!C:C, "B*", '🛒 Ventas'!H:H)</f>
        <v/>
      </c>
      <c r="E25" s="15" t="inlineStr">
        <is>
          <t>Transferencia Bancaria</t>
        </is>
      </c>
      <c r="F25" s="16">
        <f>COUNTIF('🛒 Ventas'!I:I, "Transferencia Bancaria")</f>
        <v/>
      </c>
      <c r="G25" s="17">
        <f>SUMIF('🛒 Ventas'!I:I, "Transferencia Bancaria", '🛒 Ventas'!H:H)</f>
        <v/>
      </c>
    </row>
    <row r="26">
      <c r="A26" s="15" t="inlineStr">
        <is>
          <t>Accesorio (A)</t>
        </is>
      </c>
      <c r="B26" s="16">
        <f>SUMIF('🛒 Ventas'!C:C, "A*", '🛒 Ventas'!F:F)</f>
        <v/>
      </c>
      <c r="C26" s="17">
        <f>SUMIF('🛒 Ventas'!C:C, "A*", '🛒 Ventas'!H:H)</f>
        <v/>
      </c>
      <c r="E26" s="15" t="inlineStr">
        <is>
          <t>Tarjeta Débito/Crédito</t>
        </is>
      </c>
      <c r="F26" s="16">
        <f>COUNTIF('🛒 Ventas'!I:I, "Tarjeta Débito/Crédito")</f>
        <v/>
      </c>
      <c r="G26" s="17">
        <f>SUMIF('🛒 Ventas'!I:I, "Tarjeta Débito/Crédito", '🛒 Ventas'!H:H)</f>
        <v/>
      </c>
    </row>
    <row r="27">
      <c r="A27" s="18" t="inlineStr">
        <is>
          <t>TOTALES</t>
        </is>
      </c>
      <c r="B27" s="19">
        <f>SUM(B22:B26)</f>
        <v/>
      </c>
      <c r="C27" s="20">
        <f>SUM(C22:C26)</f>
        <v/>
      </c>
      <c r="E27" s="18" t="inlineStr">
        <is>
          <t>TOTALES</t>
        </is>
      </c>
      <c r="F27" s="19">
        <f>SUM(F22:F26)</f>
        <v/>
      </c>
      <c r="G27" s="20">
        <f>SUM(G22:G26)</f>
        <v/>
      </c>
    </row>
  </sheetData>
  <mergeCells count="24">
    <mergeCell ref="C6:D6"/>
    <mergeCell ref="E15:F16"/>
    <mergeCell ref="C5:D5"/>
    <mergeCell ref="G15:H16"/>
    <mergeCell ref="C14:D14"/>
    <mergeCell ref="E14:F14"/>
    <mergeCell ref="A6:B6"/>
    <mergeCell ref="C4:D4"/>
    <mergeCell ref="C10:D10"/>
    <mergeCell ref="A7:B7"/>
    <mergeCell ref="C9:D9"/>
    <mergeCell ref="A15:B16"/>
    <mergeCell ref="C15:D16"/>
    <mergeCell ref="A5:B5"/>
    <mergeCell ref="A14:B14"/>
    <mergeCell ref="G14:H14"/>
    <mergeCell ref="A8:B8"/>
    <mergeCell ref="C8:D8"/>
    <mergeCell ref="A4:B4"/>
    <mergeCell ref="C7:D7"/>
    <mergeCell ref="A3:D3"/>
    <mergeCell ref="A10:B10"/>
    <mergeCell ref="A1:I1"/>
    <mergeCell ref="A9:B9"/>
  </mergeCells>
  <dataValidations count="1">
    <dataValidation sqref="C4" showDropDown="0" showInputMessage="0" showErrorMessage="0" allowBlank="1" type="list">
      <formula1>'🏷️ Catálogo Productos'!$A$4:$A$15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26" customWidth="1" min="5" max="5"/>
    <col width="12" customWidth="1" min="6" max="6"/>
    <col width="27" customWidth="1" min="7" max="7"/>
    <col width="12" customWidth="1" min="8" max="8"/>
    <col width="24" customWidth="1" min="9" max="9"/>
  </cols>
  <sheetData>
    <row r="1">
      <c r="A1" s="10" t="inlineStr">
        <is>
          <t>LISTAS DE PARÁMETROS</t>
        </is>
      </c>
    </row>
    <row r="2"/>
    <row r="3">
      <c r="A3" s="21" t="inlineStr">
        <is>
          <t>Tipos Prenda</t>
        </is>
      </c>
      <c r="C3" s="21" t="inlineStr">
        <is>
          <t>Tallas</t>
        </is>
      </c>
      <c r="E3" s="21" t="inlineStr">
        <is>
          <t>Metodos Pago</t>
        </is>
      </c>
      <c r="G3" s="21" t="inlineStr">
        <is>
          <t>Estados Activo</t>
        </is>
      </c>
      <c r="I3" s="21" t="inlineStr">
        <is>
          <t>Categorias Activos</t>
        </is>
      </c>
    </row>
    <row r="4">
      <c r="A4" s="22" t="inlineStr">
        <is>
          <t>Short (S)</t>
        </is>
      </c>
      <c r="C4" s="22" t="inlineStr">
        <is>
          <t>XS</t>
        </is>
      </c>
      <c r="E4" s="22" t="inlineStr">
        <is>
          <t>Nequi</t>
        </is>
      </c>
      <c r="G4" s="22" t="inlineStr">
        <is>
          <t>Excelente</t>
        </is>
      </c>
      <c r="I4" s="22" t="inlineStr">
        <is>
          <t>Equipamiento Pole</t>
        </is>
      </c>
    </row>
    <row r="5">
      <c r="A5" s="22" t="inlineStr">
        <is>
          <t>Pantalón (P)</t>
        </is>
      </c>
      <c r="C5" s="22" t="inlineStr">
        <is>
          <t>S</t>
        </is>
      </c>
      <c r="E5" s="22" t="inlineStr">
        <is>
          <t>Daviplata</t>
        </is>
      </c>
      <c r="G5" s="22" t="inlineStr">
        <is>
          <t>Bueno</t>
        </is>
      </c>
      <c r="I5" s="22" t="inlineStr">
        <is>
          <t>Aseo y Limpieza</t>
        </is>
      </c>
    </row>
    <row r="6">
      <c r="A6" s="22" t="inlineStr">
        <is>
          <t>Top (T)</t>
        </is>
      </c>
      <c r="C6" s="22" t="inlineStr">
        <is>
          <t>M</t>
        </is>
      </c>
      <c r="E6" s="22" t="inlineStr">
        <is>
          <t>Efectivo</t>
        </is>
      </c>
      <c r="G6" s="22" t="inlineStr">
        <is>
          <t>Regular / Mantenimiento</t>
        </is>
      </c>
      <c r="I6" s="22" t="inlineStr">
        <is>
          <t>Mobiliario y Confort</t>
        </is>
      </c>
    </row>
    <row r="7">
      <c r="A7" s="22" t="inlineStr">
        <is>
          <t>Body (B)</t>
        </is>
      </c>
      <c r="C7" s="22" t="inlineStr">
        <is>
          <t>L</t>
        </is>
      </c>
      <c r="E7" s="22" t="inlineStr">
        <is>
          <t>Transferencia Bancaria</t>
        </is>
      </c>
      <c r="G7" s="22" t="inlineStr">
        <is>
          <t>Reemplazar</t>
        </is>
      </c>
      <c r="I7" s="22" t="inlineStr">
        <is>
          <t>Decoración y Plantas</t>
        </is>
      </c>
    </row>
    <row r="8">
      <c r="A8" s="22" t="inlineStr">
        <is>
          <t>Accesorio (A)</t>
        </is>
      </c>
      <c r="C8" s="22" t="inlineStr">
        <is>
          <t>XL</t>
        </is>
      </c>
      <c r="E8" s="22" t="inlineStr">
        <is>
          <t>Tarjeta Débito/Crédito</t>
        </is>
      </c>
      <c r="I8" s="22" t="inlineStr">
        <is>
          <t>Audio y Electrónica</t>
        </is>
      </c>
    </row>
    <row r="9">
      <c r="C9" s="22" t="inlineStr">
        <is>
          <t>Única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7" customWidth="1" min="2" max="2"/>
    <col width="32" customWidth="1" min="3" max="3"/>
    <col width="12" customWidth="1" min="4" max="4"/>
    <col width="19" customWidth="1" min="5" max="5"/>
    <col width="20" customWidth="1" min="6" max="6"/>
    <col width="18" customWidth="1" min="7" max="7"/>
    <col width="18" customWidth="1" min="8" max="8"/>
    <col width="18" customWidth="1" min="9" max="9"/>
    <col width="18" customWidth="1" min="10" max="10"/>
    <col width="19" customWidth="1" min="11" max="11"/>
    <col width="18" customWidth="1" min="12" max="12"/>
  </cols>
  <sheetData>
    <row r="1" ht="40" customHeight="1">
      <c r="A1" s="1" t="inlineStr">
        <is>
          <t>CATÁLOGO MASTER DE PRODUCTOS E INVENTARIO</t>
        </is>
      </c>
    </row>
    <row r="2"/>
    <row r="3" ht="28" customHeight="1">
      <c r="A3" s="23" t="inlineStr">
        <is>
          <t>SKU / Código</t>
        </is>
      </c>
      <c r="B3" s="23" t="inlineStr">
        <is>
          <t>Tipo Prenda</t>
        </is>
      </c>
      <c r="C3" s="23" t="inlineStr">
        <is>
          <t>Descripción / Estilo</t>
        </is>
      </c>
      <c r="D3" s="23" t="inlineStr">
        <is>
          <t>Talla</t>
        </is>
      </c>
      <c r="E3" s="23" t="inlineStr">
        <is>
          <t>Costo Unit. ($)</t>
        </is>
      </c>
      <c r="F3" s="23" t="inlineStr">
        <is>
          <t>Precio Venta ($)</t>
        </is>
      </c>
      <c r="G3" s="23" t="inlineStr">
        <is>
          <t>Stock Inicial</t>
        </is>
      </c>
      <c r="H3" s="23" t="inlineStr">
        <is>
          <t>Entradas (+)</t>
        </is>
      </c>
      <c r="I3" s="23" t="inlineStr">
        <is>
          <t>Ventas (-)</t>
        </is>
      </c>
      <c r="J3" s="23" t="inlineStr">
        <is>
          <t>Stock Actual</t>
        </is>
      </c>
      <c r="K3" s="23" t="inlineStr">
        <is>
          <t>Valor Stock ($)</t>
        </is>
      </c>
      <c r="L3" s="23" t="inlineStr">
        <is>
          <t>Estado Stock</t>
        </is>
      </c>
    </row>
    <row r="4" ht="20" customHeight="1">
      <c r="A4" s="24" t="inlineStr">
        <is>
          <t>TM</t>
        </is>
      </c>
      <c r="B4" s="15" t="inlineStr">
        <is>
          <t>Top (T)</t>
        </is>
      </c>
      <c r="C4" s="15" t="inlineStr">
        <is>
          <t>Top Velvet Negro</t>
        </is>
      </c>
      <c r="D4" s="24" t="inlineStr">
        <is>
          <t>M</t>
        </is>
      </c>
      <c r="E4" s="17" t="n">
        <v>25000</v>
      </c>
      <c r="F4" s="17" t="n">
        <v>55000</v>
      </c>
      <c r="G4" s="16" t="n">
        <v>12</v>
      </c>
      <c r="H4" s="16">
        <f>SUMIF('📥 Entradas'!C:C, A4, '📥 Entradas'!F:F)</f>
        <v/>
      </c>
      <c r="I4" s="16">
        <f>SUMIF('🛒 Ventas'!C:C, A4, '🛒 Ventas'!F:F)</f>
        <v/>
      </c>
      <c r="J4" s="8">
        <f>G4+H4-I4</f>
        <v/>
      </c>
      <c r="K4" s="17">
        <f>J4*E4</f>
        <v/>
      </c>
      <c r="L4" s="24">
        <f>IF(J4&lt;=0, "❌ Agotado", IF(J4&lt;=3, "⚠️ Stock Bajo", "✅ Disponible"))</f>
        <v/>
      </c>
    </row>
    <row r="5" ht="20" customHeight="1">
      <c r="A5" s="25" t="inlineStr">
        <is>
          <t>TS</t>
        </is>
      </c>
      <c r="B5" s="26" t="inlineStr">
        <is>
          <t>Top (T)</t>
        </is>
      </c>
      <c r="C5" s="26" t="inlineStr">
        <is>
          <t>Top Velvet Negro</t>
        </is>
      </c>
      <c r="D5" s="25" t="inlineStr">
        <is>
          <t>S</t>
        </is>
      </c>
      <c r="E5" s="27" t="n">
        <v>25000</v>
      </c>
      <c r="F5" s="27" t="n">
        <v>55000</v>
      </c>
      <c r="G5" s="28" t="n">
        <v>10</v>
      </c>
      <c r="H5" s="28">
        <f>SUMIF('📥 Entradas'!C:C, A5, '📥 Entradas'!F:F)</f>
        <v/>
      </c>
      <c r="I5" s="28">
        <f>SUMIF('🛒 Ventas'!C:C, A5, '🛒 Ventas'!F:F)</f>
        <v/>
      </c>
      <c r="J5" s="29">
        <f>G5+H5-I5</f>
        <v/>
      </c>
      <c r="K5" s="27">
        <f>J5*E5</f>
        <v/>
      </c>
      <c r="L5" s="25">
        <f>IF(J5&lt;=0, "❌ Agotado", IF(J5&lt;=3, "⚠️ Stock Bajo", "✅ Disponible"))</f>
        <v/>
      </c>
    </row>
    <row r="6" ht="20" customHeight="1">
      <c r="A6" s="24" t="inlineStr">
        <is>
          <t>TL</t>
        </is>
      </c>
      <c r="B6" s="15" t="inlineStr">
        <is>
          <t>Top (T)</t>
        </is>
      </c>
      <c r="C6" s="15" t="inlineStr">
        <is>
          <t>Top Velvet Negro</t>
        </is>
      </c>
      <c r="D6" s="24" t="inlineStr">
        <is>
          <t>L</t>
        </is>
      </c>
      <c r="E6" s="17" t="n">
        <v>25000</v>
      </c>
      <c r="F6" s="17" t="n">
        <v>55000</v>
      </c>
      <c r="G6" s="16" t="n">
        <v>8</v>
      </c>
      <c r="H6" s="16">
        <f>SUMIF('📥 Entradas'!C:C, A6, '📥 Entradas'!F:F)</f>
        <v/>
      </c>
      <c r="I6" s="16">
        <f>SUMIF('🛒 Ventas'!C:C, A6, '🛒 Ventas'!F:F)</f>
        <v/>
      </c>
      <c r="J6" s="8">
        <f>G6+H6-I6</f>
        <v/>
      </c>
      <c r="K6" s="17">
        <f>J6*E6</f>
        <v/>
      </c>
      <c r="L6" s="24">
        <f>IF(J6&lt;=0, "❌ Agotado", IF(J6&lt;=3, "⚠️ Stock Bajo", "✅ Disponible"))</f>
        <v/>
      </c>
    </row>
    <row r="7" ht="20" customHeight="1">
      <c r="A7" s="25" t="inlineStr">
        <is>
          <t>SM</t>
        </is>
      </c>
      <c r="B7" s="26" t="inlineStr">
        <is>
          <t>Short (S)</t>
        </is>
      </c>
      <c r="C7" s="26" t="inlineStr">
        <is>
          <t>Short Pole Grip Talle Alto</t>
        </is>
      </c>
      <c r="D7" s="25" t="inlineStr">
        <is>
          <t>M</t>
        </is>
      </c>
      <c r="E7" s="27" t="n">
        <v>30000</v>
      </c>
      <c r="F7" s="27" t="n">
        <v>65000</v>
      </c>
      <c r="G7" s="28" t="n">
        <v>15</v>
      </c>
      <c r="H7" s="28">
        <f>SUMIF('📥 Entradas'!C:C, A7, '📥 Entradas'!F:F)</f>
        <v/>
      </c>
      <c r="I7" s="28">
        <f>SUMIF('🛒 Ventas'!C:C, A7, '🛒 Ventas'!F:F)</f>
        <v/>
      </c>
      <c r="J7" s="29">
        <f>G7+H7-I7</f>
        <v/>
      </c>
      <c r="K7" s="27">
        <f>J7*E7</f>
        <v/>
      </c>
      <c r="L7" s="25">
        <f>IF(J7&lt;=0, "❌ Agotado", IF(J7&lt;=3, "⚠️ Stock Bajo", "✅ Disponible"))</f>
        <v/>
      </c>
    </row>
    <row r="8" ht="20" customHeight="1">
      <c r="A8" s="24" t="inlineStr">
        <is>
          <t>SS</t>
        </is>
      </c>
      <c r="B8" s="15" t="inlineStr">
        <is>
          <t>Short (S)</t>
        </is>
      </c>
      <c r="C8" s="15" t="inlineStr">
        <is>
          <t>Short Pole Grip Talle Alto</t>
        </is>
      </c>
      <c r="D8" s="24" t="inlineStr">
        <is>
          <t>S</t>
        </is>
      </c>
      <c r="E8" s="17" t="n">
        <v>30000</v>
      </c>
      <c r="F8" s="17" t="n">
        <v>65000</v>
      </c>
      <c r="G8" s="16" t="n">
        <v>15</v>
      </c>
      <c r="H8" s="16">
        <f>SUMIF('📥 Entradas'!C:C, A8, '📥 Entradas'!F:F)</f>
        <v/>
      </c>
      <c r="I8" s="16">
        <f>SUMIF('🛒 Ventas'!C:C, A8, '🛒 Ventas'!F:F)</f>
        <v/>
      </c>
      <c r="J8" s="8">
        <f>G8+H8-I8</f>
        <v/>
      </c>
      <c r="K8" s="17">
        <f>J8*E8</f>
        <v/>
      </c>
      <c r="L8" s="24">
        <f>IF(J8&lt;=0, "❌ Agotado", IF(J8&lt;=3, "⚠️ Stock Bajo", "✅ Disponible"))</f>
        <v/>
      </c>
    </row>
    <row r="9" ht="20" customHeight="1">
      <c r="A9" s="25" t="inlineStr">
        <is>
          <t>SL</t>
        </is>
      </c>
      <c r="B9" s="26" t="inlineStr">
        <is>
          <t>Short (S)</t>
        </is>
      </c>
      <c r="C9" s="26" t="inlineStr">
        <is>
          <t>Short Pole Grip Talle Alto</t>
        </is>
      </c>
      <c r="D9" s="25" t="inlineStr">
        <is>
          <t>L</t>
        </is>
      </c>
      <c r="E9" s="27" t="n">
        <v>30000</v>
      </c>
      <c r="F9" s="27" t="n">
        <v>65000</v>
      </c>
      <c r="G9" s="28" t="n">
        <v>10</v>
      </c>
      <c r="H9" s="28">
        <f>SUMIF('📥 Entradas'!C:C, A9, '📥 Entradas'!F:F)</f>
        <v/>
      </c>
      <c r="I9" s="28">
        <f>SUMIF('🛒 Ventas'!C:C, A9, '🛒 Ventas'!F:F)</f>
        <v/>
      </c>
      <c r="J9" s="29">
        <f>G9+H9-I9</f>
        <v/>
      </c>
      <c r="K9" s="27">
        <f>J9*E9</f>
        <v/>
      </c>
      <c r="L9" s="25">
        <f>IF(J9&lt;=0, "❌ Agotado", IF(J9&lt;=3, "⚠️ Stock Bajo", "✅ Disponible"))</f>
        <v/>
      </c>
    </row>
    <row r="10" ht="20" customHeight="1">
      <c r="A10" s="24" t="inlineStr">
        <is>
          <t>PS</t>
        </is>
      </c>
      <c r="B10" s="15" t="inlineStr">
        <is>
          <t>Pantalón (P)</t>
        </is>
      </c>
      <c r="C10" s="15" t="inlineStr">
        <is>
          <t>Pantalón Lycra Flare Studio</t>
        </is>
      </c>
      <c r="D10" s="24" t="inlineStr">
        <is>
          <t>S</t>
        </is>
      </c>
      <c r="E10" s="17" t="n">
        <v>40000</v>
      </c>
      <c r="F10" s="17" t="n">
        <v>85000</v>
      </c>
      <c r="G10" s="16" t="n">
        <v>6</v>
      </c>
      <c r="H10" s="16">
        <f>SUMIF('📥 Entradas'!C:C, A10, '📥 Entradas'!F:F)</f>
        <v/>
      </c>
      <c r="I10" s="16">
        <f>SUMIF('🛒 Ventas'!C:C, A10, '🛒 Ventas'!F:F)</f>
        <v/>
      </c>
      <c r="J10" s="8">
        <f>G10+H10-I10</f>
        <v/>
      </c>
      <c r="K10" s="17">
        <f>J10*E10</f>
        <v/>
      </c>
      <c r="L10" s="24">
        <f>IF(J10&lt;=0, "❌ Agotado", IF(J10&lt;=3, "⚠️ Stock Bajo", "✅ Disponible"))</f>
        <v/>
      </c>
    </row>
    <row r="11" ht="20" customHeight="1">
      <c r="A11" s="25" t="inlineStr">
        <is>
          <t>PM</t>
        </is>
      </c>
      <c r="B11" s="26" t="inlineStr">
        <is>
          <t>Pantalón (P)</t>
        </is>
      </c>
      <c r="C11" s="26" t="inlineStr">
        <is>
          <t>Pantalón Lycra Flare Studio</t>
        </is>
      </c>
      <c r="D11" s="25" t="inlineStr">
        <is>
          <t>M</t>
        </is>
      </c>
      <c r="E11" s="27" t="n">
        <v>40000</v>
      </c>
      <c r="F11" s="27" t="n">
        <v>85000</v>
      </c>
      <c r="G11" s="28" t="n">
        <v>8</v>
      </c>
      <c r="H11" s="28">
        <f>SUMIF('📥 Entradas'!C:C, A11, '📥 Entradas'!F:F)</f>
        <v/>
      </c>
      <c r="I11" s="28">
        <f>SUMIF('🛒 Ventas'!C:C, A11, '🛒 Ventas'!F:F)</f>
        <v/>
      </c>
      <c r="J11" s="29">
        <f>G11+H11-I11</f>
        <v/>
      </c>
      <c r="K11" s="27">
        <f>J11*E11</f>
        <v/>
      </c>
      <c r="L11" s="25">
        <f>IF(J11&lt;=0, "❌ Agotado", IF(J11&lt;=3, "⚠️ Stock Bajo", "✅ Disponible"))</f>
        <v/>
      </c>
    </row>
    <row r="12" ht="20" customHeight="1">
      <c r="A12" s="24" t="inlineStr">
        <is>
          <t>PL</t>
        </is>
      </c>
      <c r="B12" s="15" t="inlineStr">
        <is>
          <t>Pantalón (P)</t>
        </is>
      </c>
      <c r="C12" s="15" t="inlineStr">
        <is>
          <t>Pantalón Lycra Flare Studio</t>
        </is>
      </c>
      <c r="D12" s="24" t="inlineStr">
        <is>
          <t>L</t>
        </is>
      </c>
      <c r="E12" s="17" t="n">
        <v>40000</v>
      </c>
      <c r="F12" s="17" t="n">
        <v>85000</v>
      </c>
      <c r="G12" s="16" t="n">
        <v>5</v>
      </c>
      <c r="H12" s="16">
        <f>SUMIF('📥 Entradas'!C:C, A12, '📥 Entradas'!F:F)</f>
        <v/>
      </c>
      <c r="I12" s="16">
        <f>SUMIF('🛒 Ventas'!C:C, A12, '🛒 Ventas'!F:F)</f>
        <v/>
      </c>
      <c r="J12" s="8">
        <f>G12+H12-I12</f>
        <v/>
      </c>
      <c r="K12" s="17">
        <f>J12*E12</f>
        <v/>
      </c>
      <c r="L12" s="24">
        <f>IF(J12&lt;=0, "❌ Agotado", IF(J12&lt;=3, "⚠️ Stock Bajo", "✅ Disponible"))</f>
        <v/>
      </c>
    </row>
    <row r="13" ht="20" customHeight="1">
      <c r="A13" s="25" t="inlineStr">
        <is>
          <t>BM</t>
        </is>
      </c>
      <c r="B13" s="26" t="inlineStr">
        <is>
          <t>Body (B)</t>
        </is>
      </c>
      <c r="C13" s="26" t="inlineStr">
        <is>
          <t>Body Malla Transparente</t>
        </is>
      </c>
      <c r="D13" s="25" t="inlineStr">
        <is>
          <t>M</t>
        </is>
      </c>
      <c r="E13" s="27" t="n">
        <v>35000</v>
      </c>
      <c r="F13" s="27" t="n">
        <v>75000</v>
      </c>
      <c r="G13" s="28" t="n">
        <v>7</v>
      </c>
      <c r="H13" s="28">
        <f>SUMIF('📥 Entradas'!C:C, A13, '📥 Entradas'!F:F)</f>
        <v/>
      </c>
      <c r="I13" s="28">
        <f>SUMIF('🛒 Ventas'!C:C, A13, '🛒 Ventas'!F:F)</f>
        <v/>
      </c>
      <c r="J13" s="29">
        <f>G13+H13-I13</f>
        <v/>
      </c>
      <c r="K13" s="27">
        <f>J13*E13</f>
        <v/>
      </c>
      <c r="L13" s="25">
        <f>IF(J13&lt;=0, "❌ Agotado", IF(J13&lt;=3, "⚠️ Stock Bajo", "✅ Disponible"))</f>
        <v/>
      </c>
    </row>
    <row r="14" ht="20" customHeight="1">
      <c r="A14" s="24" t="inlineStr">
        <is>
          <t>AU</t>
        </is>
      </c>
      <c r="B14" s="15" t="inlineStr">
        <is>
          <t>Accesorio (A)</t>
        </is>
      </c>
      <c r="C14" s="15" t="inlineStr">
        <is>
          <t>Grip Pole Tacky Gel 50ml</t>
        </is>
      </c>
      <c r="D14" s="24" t="inlineStr">
        <is>
          <t>Única</t>
        </is>
      </c>
      <c r="E14" s="17" t="n">
        <v>15000</v>
      </c>
      <c r="F14" s="17" t="n">
        <v>35000</v>
      </c>
      <c r="G14" s="16" t="n">
        <v>20</v>
      </c>
      <c r="H14" s="16">
        <f>SUMIF('📥 Entradas'!C:C, A14, '📥 Entradas'!F:F)</f>
        <v/>
      </c>
      <c r="I14" s="16">
        <f>SUMIF('🛒 Ventas'!C:C, A14, '🛒 Ventas'!F:F)</f>
        <v/>
      </c>
      <c r="J14" s="8">
        <f>G14+H14-I14</f>
        <v/>
      </c>
      <c r="K14" s="17">
        <f>J14*E14</f>
        <v/>
      </c>
      <c r="L14" s="24">
        <f>IF(J14&lt;=0, "❌ Agotado", IF(J14&lt;=3, "⚠️ Stock Bajo", "✅ Disponible"))</f>
        <v/>
      </c>
    </row>
    <row r="15">
      <c r="A15" s="18" t="n"/>
      <c r="B15" s="18" t="n"/>
      <c r="C15" s="30" t="inlineStr">
        <is>
          <t>TOTALES INVENTARIO</t>
        </is>
      </c>
      <c r="D15" s="18" t="n"/>
      <c r="E15" s="18" t="n"/>
      <c r="F15" s="18" t="n"/>
      <c r="G15" s="19">
        <f>SUM(G4:G14)</f>
        <v/>
      </c>
      <c r="H15" s="19">
        <f>SUM(H4:H14)</f>
        <v/>
      </c>
      <c r="I15" s="19">
        <f>SUM(I4:I14)</f>
        <v/>
      </c>
      <c r="J15" s="19">
        <f>SUM(J4:J14)</f>
        <v/>
      </c>
      <c r="K15" s="20">
        <f>SUM(K4:K14)</f>
        <v/>
      </c>
      <c r="L15" s="18" t="n"/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28" customWidth="1" min="4" max="4"/>
    <col width="18" customWidth="1" min="5" max="5"/>
    <col width="16" customWidth="1" min="6" max="6"/>
    <col width="19" customWidth="1" min="7" max="7"/>
    <col width="19" customWidth="1" min="8" max="8"/>
    <col width="24" customWidth="1" min="9" max="9"/>
  </cols>
  <sheetData>
    <row r="1" ht="40" customHeight="1">
      <c r="A1" s="1" t="inlineStr">
        <is>
          <t>REGISTRO DE ENTRADAS Y REPOSICIONES DE INVENTARIO</t>
        </is>
      </c>
    </row>
    <row r="2"/>
    <row r="3" ht="28" customHeight="1">
      <c r="A3" s="23" t="inlineStr">
        <is>
          <t>ID Entrada</t>
        </is>
      </c>
      <c r="B3" s="23" t="inlineStr">
        <is>
          <t>Fecha</t>
        </is>
      </c>
      <c r="C3" s="23" t="inlineStr">
        <is>
          <t>Código Prenda</t>
        </is>
      </c>
      <c r="D3" s="23" t="inlineStr">
        <is>
          <t>Descripción</t>
        </is>
      </c>
      <c r="E3" s="23" t="inlineStr">
        <is>
          <t>Talla</t>
        </is>
      </c>
      <c r="F3" s="23" t="inlineStr">
        <is>
          <t>Cantidad (+)</t>
        </is>
      </c>
      <c r="G3" s="23" t="inlineStr">
        <is>
          <t>Costo Unit. ($)</t>
        </is>
      </c>
      <c r="H3" s="23" t="inlineStr">
        <is>
          <t>Costo Total ($)</t>
        </is>
      </c>
      <c r="I3" s="23" t="inlineStr">
        <is>
          <t>Proveedor / Notas</t>
        </is>
      </c>
    </row>
    <row r="4" ht="20" customHeight="1">
      <c r="A4" s="24" t="inlineStr">
        <is>
          <t>ENT-001</t>
        </is>
      </c>
      <c r="B4" s="24" t="inlineStr">
        <is>
          <t>2026-08-15</t>
        </is>
      </c>
      <c r="C4" s="24" t="inlineStr">
        <is>
          <t>TM</t>
        </is>
      </c>
      <c r="D4" s="15">
        <f>IFERROR(VLOOKUP(C4, '🏷️ Catálogo Productos'!A:C, 3, FALSE), "")</f>
        <v/>
      </c>
      <c r="E4" s="24">
        <f>IFERROR(VLOOKUP(C4, '🏷️ Catálogo Productos'!A:D, 4, FALSE), "")</f>
        <v/>
      </c>
      <c r="F4" s="16" t="n">
        <v>5</v>
      </c>
      <c r="G4" s="17">
        <f>IFERROR(VLOOKUP(C4, '🏷️ Catálogo Productos'!A:E, 5, FALSE), 0)</f>
        <v/>
      </c>
      <c r="H4" s="17">
        <f>F4*G4</f>
        <v/>
      </c>
      <c r="I4" s="15" t="inlineStr">
        <is>
          <t>Confecciones D'Luxe</t>
        </is>
      </c>
    </row>
    <row r="5" ht="20" customHeight="1">
      <c r="A5" s="24" t="inlineStr">
        <is>
          <t>ENT-002</t>
        </is>
      </c>
      <c r="B5" s="24" t="inlineStr">
        <is>
          <t>2026-08-15</t>
        </is>
      </c>
      <c r="C5" s="24" t="inlineStr">
        <is>
          <t>SM</t>
        </is>
      </c>
      <c r="D5" s="15">
        <f>IFERROR(VLOOKUP(C5, '🏷️ Catálogo Productos'!A:C, 3, FALSE), "")</f>
        <v/>
      </c>
      <c r="E5" s="24">
        <f>IFERROR(VLOOKUP(C5, '🏷️ Catálogo Productos'!A:D, 4, FALSE), "")</f>
        <v/>
      </c>
      <c r="F5" s="16" t="n">
        <v>5</v>
      </c>
      <c r="G5" s="17">
        <f>IFERROR(VLOOKUP(C5, '🏷️ Catálogo Productos'!A:E, 5, FALSE), 0)</f>
        <v/>
      </c>
      <c r="H5" s="17">
        <f>F5*G5</f>
        <v/>
      </c>
      <c r="I5" s="15" t="inlineStr">
        <is>
          <t>Confecciones D'Luxe</t>
        </is>
      </c>
    </row>
    <row r="6" ht="20" customHeight="1">
      <c r="A6" s="24" t="inlineStr">
        <is>
          <t>ENT-003</t>
        </is>
      </c>
      <c r="B6" s="24" t="inlineStr">
        <is>
          <t>2026-08-20</t>
        </is>
      </c>
      <c r="C6" s="24" t="inlineStr">
        <is>
          <t>AU</t>
        </is>
      </c>
      <c r="D6" s="15">
        <f>IFERROR(VLOOKUP(C6, '🏷️ Catálogo Productos'!A:C, 3, FALSE), "")</f>
        <v/>
      </c>
      <c r="E6" s="24">
        <f>IFERROR(VLOOKUP(C6, '🏷️ Catálogo Productos'!A:D, 4, FALSE), "")</f>
        <v/>
      </c>
      <c r="F6" s="16" t="n">
        <v>10</v>
      </c>
      <c r="G6" s="17">
        <f>IFERROR(VLOOKUP(C6, '🏷️ Catálogo Productos'!A:E, 5, FALSE), 0)</f>
        <v/>
      </c>
      <c r="H6" s="17">
        <f>F6*G6</f>
        <v/>
      </c>
      <c r="I6" s="15" t="inlineStr">
        <is>
          <t>Grip Colombia Import</t>
        </is>
      </c>
    </row>
    <row r="7" ht="20" customHeight="1">
      <c r="A7" s="24" t="inlineStr">
        <is>
          <t>ENT-004</t>
        </is>
      </c>
      <c r="B7" s="3" t="n"/>
      <c r="C7" s="3" t="n"/>
      <c r="D7" s="15">
        <f>IFERROR(IF(C7="","",VLOOKUP(C7, '🏷️ Catálogo Productos'!A:C, 3, FALSE)), "")</f>
        <v/>
      </c>
      <c r="E7" s="24">
        <f>IFERROR(IF(C7="","",VLOOKUP(C7, '🏷️ Catálogo Productos'!A:D, 4, FALSE)), "")</f>
        <v/>
      </c>
      <c r="F7" s="3" t="n"/>
      <c r="G7" s="31">
        <f>IFERROR(IF(C7="","",VLOOKUP(C7, '🏷️ Catálogo Productos'!A:E, 5, FALSE)), 0)</f>
        <v/>
      </c>
      <c r="H7" s="31">
        <f>IF(F7="","",F7*G7)</f>
        <v/>
      </c>
      <c r="I7" s="3" t="n"/>
    </row>
    <row r="8" ht="20" customHeight="1">
      <c r="A8" s="24" t="inlineStr">
        <is>
          <t>ENT-005</t>
        </is>
      </c>
      <c r="B8" s="3" t="n"/>
      <c r="C8" s="3" t="n"/>
      <c r="D8" s="15">
        <f>IFERROR(IF(C8="","",VLOOKUP(C8, '🏷️ Catálogo Productos'!A:C, 3, FALSE)), "")</f>
        <v/>
      </c>
      <c r="E8" s="24">
        <f>IFERROR(IF(C8="","",VLOOKUP(C8, '🏷️ Catálogo Productos'!A:D, 4, FALSE)), "")</f>
        <v/>
      </c>
      <c r="F8" s="3" t="n"/>
      <c r="G8" s="31">
        <f>IFERROR(IF(C8="","",VLOOKUP(C8, '🏷️ Catálogo Productos'!A:E, 5, FALSE)), 0)</f>
        <v/>
      </c>
      <c r="H8" s="31">
        <f>IF(F8="","",F8*G8)</f>
        <v/>
      </c>
      <c r="I8" s="3" t="n"/>
    </row>
    <row r="9" ht="20" customHeight="1">
      <c r="A9" s="24" t="inlineStr">
        <is>
          <t>ENT-006</t>
        </is>
      </c>
      <c r="B9" s="3" t="n"/>
      <c r="C9" s="3" t="n"/>
      <c r="D9" s="15">
        <f>IFERROR(IF(C9="","",VLOOKUP(C9, '🏷️ Catálogo Productos'!A:C, 3, FALSE)), "")</f>
        <v/>
      </c>
      <c r="E9" s="24">
        <f>IFERROR(IF(C9="","",VLOOKUP(C9, '🏷️ Catálogo Productos'!A:D, 4, FALSE)), "")</f>
        <v/>
      </c>
      <c r="F9" s="3" t="n"/>
      <c r="G9" s="31">
        <f>IFERROR(IF(C9="","",VLOOKUP(C9, '🏷️ Catálogo Productos'!A:E, 5, FALSE)), 0)</f>
        <v/>
      </c>
      <c r="H9" s="31">
        <f>IF(F9="","",F9*G9)</f>
        <v/>
      </c>
      <c r="I9" s="3" t="n"/>
    </row>
    <row r="10" ht="20" customHeight="1">
      <c r="A10" s="24" t="inlineStr">
        <is>
          <t>ENT-007</t>
        </is>
      </c>
      <c r="B10" s="3" t="n"/>
      <c r="C10" s="3" t="n"/>
      <c r="D10" s="15">
        <f>IFERROR(IF(C10="","",VLOOKUP(C10, '🏷️ Catálogo Productos'!A:C, 3, FALSE)), "")</f>
        <v/>
      </c>
      <c r="E10" s="24">
        <f>IFERROR(IF(C10="","",VLOOKUP(C10, '🏷️ Catálogo Productos'!A:D, 4, FALSE)), "")</f>
        <v/>
      </c>
      <c r="F10" s="3" t="n"/>
      <c r="G10" s="31">
        <f>IFERROR(IF(C10="","",VLOOKUP(C10, '🏷️ Catálogo Productos'!A:E, 5, FALSE)), 0)</f>
        <v/>
      </c>
      <c r="H10" s="31">
        <f>IF(F10="","",F10*G10)</f>
        <v/>
      </c>
      <c r="I10" s="3" t="n"/>
    </row>
    <row r="11" ht="20" customHeight="1">
      <c r="A11" s="24" t="inlineStr">
        <is>
          <t>ENT-008</t>
        </is>
      </c>
      <c r="B11" s="3" t="n"/>
      <c r="C11" s="3" t="n"/>
      <c r="D11" s="15">
        <f>IFERROR(IF(C11="","",VLOOKUP(C11, '🏷️ Catálogo Productos'!A:C, 3, FALSE)), "")</f>
        <v/>
      </c>
      <c r="E11" s="24">
        <f>IFERROR(IF(C11="","",VLOOKUP(C11, '🏷️ Catálogo Productos'!A:D, 4, FALSE)), "")</f>
        <v/>
      </c>
      <c r="F11" s="3" t="n"/>
      <c r="G11" s="31">
        <f>IFERROR(IF(C11="","",VLOOKUP(C11, '🏷️ Catálogo Productos'!A:E, 5, FALSE)), 0)</f>
        <v/>
      </c>
      <c r="H11" s="31">
        <f>IF(F11="","",F11*G11)</f>
        <v/>
      </c>
      <c r="I11" s="3" t="n"/>
    </row>
    <row r="12" ht="20" customHeight="1">
      <c r="A12" s="24" t="inlineStr">
        <is>
          <t>ENT-009</t>
        </is>
      </c>
      <c r="B12" s="3" t="n"/>
      <c r="C12" s="3" t="n"/>
      <c r="D12" s="15">
        <f>IFERROR(IF(C12="","",VLOOKUP(C12, '🏷️ Catálogo Productos'!A:C, 3, FALSE)), "")</f>
        <v/>
      </c>
      <c r="E12" s="24">
        <f>IFERROR(IF(C12="","",VLOOKUP(C12, '🏷️ Catálogo Productos'!A:D, 4, FALSE)), "")</f>
        <v/>
      </c>
      <c r="F12" s="3" t="n"/>
      <c r="G12" s="31">
        <f>IFERROR(IF(C12="","",VLOOKUP(C12, '🏷️ Catálogo Productos'!A:E, 5, FALSE)), 0)</f>
        <v/>
      </c>
      <c r="H12" s="31">
        <f>IF(F12="","",F12*G12)</f>
        <v/>
      </c>
      <c r="I12" s="3" t="n"/>
    </row>
    <row r="13" ht="20" customHeight="1">
      <c r="A13" s="24" t="inlineStr">
        <is>
          <t>ENT-010</t>
        </is>
      </c>
      <c r="B13" s="3" t="n"/>
      <c r="C13" s="3" t="n"/>
      <c r="D13" s="15">
        <f>IFERROR(IF(C13="","",VLOOKUP(C13, '🏷️ Catálogo Productos'!A:C, 3, FALSE)), "")</f>
        <v/>
      </c>
      <c r="E13" s="24">
        <f>IFERROR(IF(C13="","",VLOOKUP(C13, '🏷️ Catálogo Productos'!A:D, 4, FALSE)), "")</f>
        <v/>
      </c>
      <c r="F13" s="3" t="n"/>
      <c r="G13" s="31">
        <f>IFERROR(IF(C13="","",VLOOKUP(C13, '🏷️ Catálogo Productos'!A:E, 5, FALSE)), 0)</f>
        <v/>
      </c>
      <c r="H13" s="31">
        <f>IF(F13="","",F13*G13)</f>
        <v/>
      </c>
      <c r="I13" s="3" t="n"/>
    </row>
    <row r="14" ht="20" customHeight="1">
      <c r="A14" s="24" t="inlineStr">
        <is>
          <t>ENT-011</t>
        </is>
      </c>
      <c r="B14" s="3" t="n"/>
      <c r="C14" s="3" t="n"/>
      <c r="D14" s="15">
        <f>IFERROR(IF(C14="","",VLOOKUP(C14, '🏷️ Catálogo Productos'!A:C, 3, FALSE)), "")</f>
        <v/>
      </c>
      <c r="E14" s="24">
        <f>IFERROR(IF(C14="","",VLOOKUP(C14, '🏷️ Catálogo Productos'!A:D, 4, FALSE)), "")</f>
        <v/>
      </c>
      <c r="F14" s="3" t="n"/>
      <c r="G14" s="31">
        <f>IFERROR(IF(C14="","",VLOOKUP(C14, '🏷️ Catálogo Productos'!A:E, 5, FALSE)), 0)</f>
        <v/>
      </c>
      <c r="H14" s="31">
        <f>IF(F14="","",F14*G14)</f>
        <v/>
      </c>
      <c r="I14" s="3" t="n"/>
    </row>
    <row r="15" ht="20" customHeight="1">
      <c r="A15" s="24" t="inlineStr">
        <is>
          <t>ENT-012</t>
        </is>
      </c>
      <c r="B15" s="3" t="n"/>
      <c r="C15" s="3" t="n"/>
      <c r="D15" s="15">
        <f>IFERROR(IF(C15="","",VLOOKUP(C15, '🏷️ Catálogo Productos'!A:C, 3, FALSE)), "")</f>
        <v/>
      </c>
      <c r="E15" s="24">
        <f>IFERROR(IF(C15="","",VLOOKUP(C15, '🏷️ Catálogo Productos'!A:D, 4, FALSE)), "")</f>
        <v/>
      </c>
      <c r="F15" s="3" t="n"/>
      <c r="G15" s="31">
        <f>IFERROR(IF(C15="","",VLOOKUP(C15, '🏷️ Catálogo Productos'!A:E, 5, FALSE)), 0)</f>
        <v/>
      </c>
      <c r="H15" s="31">
        <f>IF(F15="","",F15*G15)</f>
        <v/>
      </c>
      <c r="I15" s="3" t="n"/>
    </row>
    <row r="16" ht="20" customHeight="1">
      <c r="A16" s="24" t="inlineStr">
        <is>
          <t>ENT-013</t>
        </is>
      </c>
      <c r="B16" s="3" t="n"/>
      <c r="C16" s="3" t="n"/>
      <c r="D16" s="15">
        <f>IFERROR(IF(C16="","",VLOOKUP(C16, '🏷️ Catálogo Productos'!A:C, 3, FALSE)), "")</f>
        <v/>
      </c>
      <c r="E16" s="24">
        <f>IFERROR(IF(C16="","",VLOOKUP(C16, '🏷️ Catálogo Productos'!A:D, 4, FALSE)), "")</f>
        <v/>
      </c>
      <c r="F16" s="3" t="n"/>
      <c r="G16" s="31">
        <f>IFERROR(IF(C16="","",VLOOKUP(C16, '🏷️ Catálogo Productos'!A:E, 5, FALSE)), 0)</f>
        <v/>
      </c>
      <c r="H16" s="31">
        <f>IF(F16="","",F16*G16)</f>
        <v/>
      </c>
      <c r="I16" s="3" t="n"/>
    </row>
    <row r="17" ht="20" customHeight="1">
      <c r="A17" s="24" t="inlineStr">
        <is>
          <t>ENT-014</t>
        </is>
      </c>
      <c r="B17" s="3" t="n"/>
      <c r="C17" s="3" t="n"/>
      <c r="D17" s="15">
        <f>IFERROR(IF(C17="","",VLOOKUP(C17, '🏷️ Catálogo Productos'!A:C, 3, FALSE)), "")</f>
        <v/>
      </c>
      <c r="E17" s="24">
        <f>IFERROR(IF(C17="","",VLOOKUP(C17, '🏷️ Catálogo Productos'!A:D, 4, FALSE)), "")</f>
        <v/>
      </c>
      <c r="F17" s="3" t="n"/>
      <c r="G17" s="31">
        <f>IFERROR(IF(C17="","",VLOOKUP(C17, '🏷️ Catálogo Productos'!A:E, 5, FALSE)), 0)</f>
        <v/>
      </c>
      <c r="H17" s="31">
        <f>IF(F17="","",F17*G17)</f>
        <v/>
      </c>
      <c r="I17" s="3" t="n"/>
    </row>
    <row r="18" ht="20" customHeight="1">
      <c r="A18" s="24" t="inlineStr">
        <is>
          <t>ENT-015</t>
        </is>
      </c>
      <c r="B18" s="3" t="n"/>
      <c r="C18" s="3" t="n"/>
      <c r="D18" s="15">
        <f>IFERROR(IF(C18="","",VLOOKUP(C18, '🏷️ Catálogo Productos'!A:C, 3, FALSE)), "")</f>
        <v/>
      </c>
      <c r="E18" s="24">
        <f>IFERROR(IF(C18="","",VLOOKUP(C18, '🏷️ Catálogo Productos'!A:D, 4, FALSE)), "")</f>
        <v/>
      </c>
      <c r="F18" s="3" t="n"/>
      <c r="G18" s="31">
        <f>IFERROR(IF(C18="","",VLOOKUP(C18, '🏷️ Catálogo Productos'!A:E, 5, FALSE)), 0)</f>
        <v/>
      </c>
      <c r="H18" s="31">
        <f>IF(F18="","",F18*G18)</f>
        <v/>
      </c>
      <c r="I18" s="3" t="n"/>
    </row>
    <row r="19" ht="20" customHeight="1">
      <c r="A19" s="24" t="inlineStr">
        <is>
          <t>ENT-016</t>
        </is>
      </c>
      <c r="B19" s="3" t="n"/>
      <c r="C19" s="3" t="n"/>
      <c r="D19" s="15">
        <f>IFERROR(IF(C19="","",VLOOKUP(C19, '🏷️ Catálogo Productos'!A:C, 3, FALSE)), "")</f>
        <v/>
      </c>
      <c r="E19" s="24">
        <f>IFERROR(IF(C19="","",VLOOKUP(C19, '🏷️ Catálogo Productos'!A:D, 4, FALSE)), "")</f>
        <v/>
      </c>
      <c r="F19" s="3" t="n"/>
      <c r="G19" s="31">
        <f>IFERROR(IF(C19="","",VLOOKUP(C19, '🏷️ Catálogo Productos'!A:E, 5, FALSE)), 0)</f>
        <v/>
      </c>
      <c r="H19" s="31">
        <f>IF(F19="","",F19*G19)</f>
        <v/>
      </c>
      <c r="I19" s="3" t="n"/>
    </row>
    <row r="20" ht="20" customHeight="1">
      <c r="A20" s="24" t="inlineStr">
        <is>
          <t>ENT-017</t>
        </is>
      </c>
      <c r="B20" s="3" t="n"/>
      <c r="C20" s="3" t="n"/>
      <c r="D20" s="15">
        <f>IFERROR(IF(C20="","",VLOOKUP(C20, '🏷️ Catálogo Productos'!A:C, 3, FALSE)), "")</f>
        <v/>
      </c>
      <c r="E20" s="24">
        <f>IFERROR(IF(C20="","",VLOOKUP(C20, '🏷️ Catálogo Productos'!A:D, 4, FALSE)), "")</f>
        <v/>
      </c>
      <c r="F20" s="3" t="n"/>
      <c r="G20" s="31">
        <f>IFERROR(IF(C20="","",VLOOKUP(C20, '🏷️ Catálogo Productos'!A:E, 5, FALSE)), 0)</f>
        <v/>
      </c>
      <c r="H20" s="31">
        <f>IF(F20="","",F20*G20)</f>
        <v/>
      </c>
      <c r="I20" s="3" t="n"/>
    </row>
    <row r="21" ht="20" customHeight="1">
      <c r="A21" s="24" t="inlineStr">
        <is>
          <t>ENT-018</t>
        </is>
      </c>
      <c r="B21" s="3" t="n"/>
      <c r="C21" s="3" t="n"/>
      <c r="D21" s="15">
        <f>IFERROR(IF(C21="","",VLOOKUP(C21, '🏷️ Catálogo Productos'!A:C, 3, FALSE)), "")</f>
        <v/>
      </c>
      <c r="E21" s="24">
        <f>IFERROR(IF(C21="","",VLOOKUP(C21, '🏷️ Catálogo Productos'!A:D, 4, FALSE)), "")</f>
        <v/>
      </c>
      <c r="F21" s="3" t="n"/>
      <c r="G21" s="31">
        <f>IFERROR(IF(C21="","",VLOOKUP(C21, '🏷️ Catálogo Productos'!A:E, 5, FALSE)), 0)</f>
        <v/>
      </c>
      <c r="H21" s="31">
        <f>IF(F21="","",F21*G21)</f>
        <v/>
      </c>
      <c r="I21" s="3" t="n"/>
    </row>
    <row r="22" ht="20" customHeight="1">
      <c r="A22" s="24" t="inlineStr">
        <is>
          <t>ENT-019</t>
        </is>
      </c>
      <c r="B22" s="3" t="n"/>
      <c r="C22" s="3" t="n"/>
      <c r="D22" s="15">
        <f>IFERROR(IF(C22="","",VLOOKUP(C22, '🏷️ Catálogo Productos'!A:C, 3, FALSE)), "")</f>
        <v/>
      </c>
      <c r="E22" s="24">
        <f>IFERROR(IF(C22="","",VLOOKUP(C22, '🏷️ Catálogo Productos'!A:D, 4, FALSE)), "")</f>
        <v/>
      </c>
      <c r="F22" s="3" t="n"/>
      <c r="G22" s="31">
        <f>IFERROR(IF(C22="","",VLOOKUP(C22, '🏷️ Catálogo Productos'!A:E, 5, FALSE)), 0)</f>
        <v/>
      </c>
      <c r="H22" s="31">
        <f>IF(F22="","",F22*G22)</f>
        <v/>
      </c>
      <c r="I22" s="3" t="n"/>
    </row>
    <row r="23" ht="20" customHeight="1">
      <c r="A23" s="24" t="inlineStr">
        <is>
          <t>ENT-020</t>
        </is>
      </c>
      <c r="B23" s="3" t="n"/>
      <c r="C23" s="3" t="n"/>
      <c r="D23" s="15">
        <f>IFERROR(IF(C23="","",VLOOKUP(C23, '🏷️ Catálogo Productos'!A:C, 3, FALSE)), "")</f>
        <v/>
      </c>
      <c r="E23" s="24">
        <f>IFERROR(IF(C23="","",VLOOKUP(C23, '🏷️ Catálogo Productos'!A:D, 4, FALSE)), "")</f>
        <v/>
      </c>
      <c r="F23" s="3" t="n"/>
      <c r="G23" s="31">
        <f>IFERROR(IF(C23="","",VLOOKUP(C23, '🏷️ Catálogo Productos'!A:E, 5, FALSE)), 0)</f>
        <v/>
      </c>
      <c r="H23" s="31">
        <f>IF(F23="","",F23*G23)</f>
        <v/>
      </c>
      <c r="I23" s="3" t="n"/>
    </row>
    <row r="24" ht="20" customHeight="1">
      <c r="A24" s="24" t="inlineStr">
        <is>
          <t>ENT-021</t>
        </is>
      </c>
      <c r="B24" s="3" t="n"/>
      <c r="C24" s="3" t="n"/>
      <c r="D24" s="15">
        <f>IFERROR(IF(C24="","",VLOOKUP(C24, '🏷️ Catálogo Productos'!A:C, 3, FALSE)), "")</f>
        <v/>
      </c>
      <c r="E24" s="24">
        <f>IFERROR(IF(C24="","",VLOOKUP(C24, '🏷️ Catálogo Productos'!A:D, 4, FALSE)), "")</f>
        <v/>
      </c>
      <c r="F24" s="3" t="n"/>
      <c r="G24" s="31">
        <f>IFERROR(IF(C24="","",VLOOKUP(C24, '🏷️ Catálogo Productos'!A:E, 5, FALSE)), 0)</f>
        <v/>
      </c>
      <c r="H24" s="31">
        <f>IF(F24="","",F24*G24)</f>
        <v/>
      </c>
      <c r="I24" s="3" t="n"/>
    </row>
    <row r="25" ht="20" customHeight="1">
      <c r="A25" s="24" t="inlineStr">
        <is>
          <t>ENT-022</t>
        </is>
      </c>
      <c r="B25" s="3" t="n"/>
      <c r="C25" s="3" t="n"/>
      <c r="D25" s="15">
        <f>IFERROR(IF(C25="","",VLOOKUP(C25, '🏷️ Catálogo Productos'!A:C, 3, FALSE)), "")</f>
        <v/>
      </c>
      <c r="E25" s="24">
        <f>IFERROR(IF(C25="","",VLOOKUP(C25, '🏷️ Catálogo Productos'!A:D, 4, FALSE)), "")</f>
        <v/>
      </c>
      <c r="F25" s="3" t="n"/>
      <c r="G25" s="31">
        <f>IFERROR(IF(C25="","",VLOOKUP(C25, '🏷️ Catálogo Productos'!A:E, 5, FALSE)), 0)</f>
        <v/>
      </c>
      <c r="H25" s="31">
        <f>IF(F25="","",F25*G25)</f>
        <v/>
      </c>
      <c r="I25" s="3" t="n"/>
    </row>
    <row r="26" ht="20" customHeight="1">
      <c r="A26" s="24" t="inlineStr">
        <is>
          <t>ENT-023</t>
        </is>
      </c>
      <c r="B26" s="3" t="n"/>
      <c r="C26" s="3" t="n"/>
      <c r="D26" s="15">
        <f>IFERROR(IF(C26="","",VLOOKUP(C26, '🏷️ Catálogo Productos'!A:C, 3, FALSE)), "")</f>
        <v/>
      </c>
      <c r="E26" s="24">
        <f>IFERROR(IF(C26="","",VLOOKUP(C26, '🏷️ Catálogo Productos'!A:D, 4, FALSE)), "")</f>
        <v/>
      </c>
      <c r="F26" s="3" t="n"/>
      <c r="G26" s="31">
        <f>IFERROR(IF(C26="","",VLOOKUP(C26, '🏷️ Catálogo Productos'!A:E, 5, FALSE)), 0)</f>
        <v/>
      </c>
      <c r="H26" s="31">
        <f>IF(F26="","",F26*G26)</f>
        <v/>
      </c>
      <c r="I26" s="3" t="n"/>
    </row>
    <row r="27" ht="20" customHeight="1">
      <c r="A27" s="24" t="inlineStr">
        <is>
          <t>ENT-024</t>
        </is>
      </c>
      <c r="B27" s="3" t="n"/>
      <c r="C27" s="3" t="n"/>
      <c r="D27" s="15">
        <f>IFERROR(IF(C27="","",VLOOKUP(C27, '🏷️ Catálogo Productos'!A:C, 3, FALSE)), "")</f>
        <v/>
      </c>
      <c r="E27" s="24">
        <f>IFERROR(IF(C27="","",VLOOKUP(C27, '🏷️ Catálogo Productos'!A:D, 4, FALSE)), "")</f>
        <v/>
      </c>
      <c r="F27" s="3" t="n"/>
      <c r="G27" s="31">
        <f>IFERROR(IF(C27="","",VLOOKUP(C27, '🏷️ Catálogo Productos'!A:E, 5, FALSE)), 0)</f>
        <v/>
      </c>
      <c r="H27" s="31">
        <f>IF(F27="","",F27*G27)</f>
        <v/>
      </c>
      <c r="I27" s="3" t="n"/>
    </row>
    <row r="28" ht="20" customHeight="1">
      <c r="A28" s="24" t="inlineStr">
        <is>
          <t>ENT-025</t>
        </is>
      </c>
      <c r="B28" s="3" t="n"/>
      <c r="C28" s="3" t="n"/>
      <c r="D28" s="15">
        <f>IFERROR(IF(C28="","",VLOOKUP(C28, '🏷️ Catálogo Productos'!A:C, 3, FALSE)), "")</f>
        <v/>
      </c>
      <c r="E28" s="24">
        <f>IFERROR(IF(C28="","",VLOOKUP(C28, '🏷️ Catálogo Productos'!A:D, 4, FALSE)), "")</f>
        <v/>
      </c>
      <c r="F28" s="3" t="n"/>
      <c r="G28" s="31">
        <f>IFERROR(IF(C28="","",VLOOKUP(C28, '🏷️ Catálogo Productos'!A:E, 5, FALSE)), 0)</f>
        <v/>
      </c>
      <c r="H28" s="31">
        <f>IF(F28="","",F28*G28)</f>
        <v/>
      </c>
      <c r="I28" s="3" t="n"/>
    </row>
    <row r="29" ht="20" customHeight="1">
      <c r="A29" s="24" t="inlineStr">
        <is>
          <t>ENT-026</t>
        </is>
      </c>
      <c r="B29" s="3" t="n"/>
      <c r="C29" s="3" t="n"/>
      <c r="D29" s="15">
        <f>IFERROR(IF(C29="","",VLOOKUP(C29, '🏷️ Catálogo Productos'!A:C, 3, FALSE)), "")</f>
        <v/>
      </c>
      <c r="E29" s="24">
        <f>IFERROR(IF(C29="","",VLOOKUP(C29, '🏷️ Catálogo Productos'!A:D, 4, FALSE)), "")</f>
        <v/>
      </c>
      <c r="F29" s="3" t="n"/>
      <c r="G29" s="31">
        <f>IFERROR(IF(C29="","",VLOOKUP(C29, '🏷️ Catálogo Productos'!A:E, 5, FALSE)), 0)</f>
        <v/>
      </c>
      <c r="H29" s="31">
        <f>IF(F29="","",F29*G29)</f>
        <v/>
      </c>
      <c r="I29" s="3" t="n"/>
    </row>
  </sheetData>
  <mergeCells count="1">
    <mergeCell ref="A1:I1"/>
  </mergeCells>
  <dataValidations count="1">
    <dataValidation sqref="C4:C30 C4:C60" showDropDown="0" showInputMessage="0" showErrorMessage="0" allowBlank="1" type="list">
      <formula1>'🏷️ Catálogo Productos'!$A$4:$A$15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28" customWidth="1" min="3" max="3"/>
    <col width="28" customWidth="1" min="4" max="4"/>
    <col width="18" customWidth="1" min="5" max="5"/>
    <col width="21" customWidth="1" min="6" max="6"/>
    <col width="20" customWidth="1" min="7" max="7"/>
    <col width="19" customWidth="1" min="8" max="8"/>
    <col width="15" customWidth="1" min="9" max="9"/>
    <col width="18" customWidth="1" min="10" max="10"/>
  </cols>
  <sheetData>
    <row r="1" ht="40" customHeight="1">
      <c r="A1" s="1" t="inlineStr">
        <is>
          <t>REGISTRO DIARIO DE VENTAS Y SALIDAS DE INVENTARIO</t>
        </is>
      </c>
    </row>
    <row r="2"/>
    <row r="3" ht="28" customHeight="1">
      <c r="A3" s="23" t="inlineStr">
        <is>
          <t>Ref Venta (Consecutivo)</t>
        </is>
      </c>
      <c r="B3" s="23" t="inlineStr">
        <is>
          <t>Fecha</t>
        </is>
      </c>
      <c r="C3" s="23" t="inlineStr">
        <is>
          <t>Código Prenda (Escribe p.ej. TM)</t>
        </is>
      </c>
      <c r="D3" s="23" t="inlineStr">
        <is>
          <t>Descripción</t>
        </is>
      </c>
      <c r="E3" s="23" t="inlineStr">
        <is>
          <t>Talla</t>
        </is>
      </c>
      <c r="F3" s="23" t="inlineStr">
        <is>
          <t>Cant. Vendida (-)</t>
        </is>
      </c>
      <c r="G3" s="23" t="inlineStr">
        <is>
          <t>Precio Unit. ($)</t>
        </is>
      </c>
      <c r="H3" s="23" t="inlineStr">
        <is>
          <t>Total Venta ($)</t>
        </is>
      </c>
      <c r="I3" s="23" t="inlineStr">
        <is>
          <t>Método Pago</t>
        </is>
      </c>
      <c r="J3" s="23" t="inlineStr">
        <is>
          <t>Registrado Por</t>
        </is>
      </c>
    </row>
    <row r="4" ht="20" customHeight="1">
      <c r="A4" s="6">
        <f>IF(C4="","", C4 &amp; COUNTIF($C$4:C4, C4))</f>
        <v/>
      </c>
      <c r="B4" s="24" t="inlineStr">
        <is>
          <t>2026-08-25</t>
        </is>
      </c>
      <c r="C4" s="24" t="inlineStr">
        <is>
          <t>TM</t>
        </is>
      </c>
      <c r="D4" s="15">
        <f>IFERROR(VLOOKUP(C4, '🏷️ Catálogo Productos'!A:C, 3, FALSE), "")</f>
        <v/>
      </c>
      <c r="E4" s="24">
        <f>IFERROR(VLOOKUP(C4, '🏷️ Catálogo Productos'!A:D, 4, FALSE), "")</f>
        <v/>
      </c>
      <c r="F4" s="16" t="n">
        <v>1</v>
      </c>
      <c r="G4" s="17">
        <f>IFERROR(VLOOKUP(C4, '🏷️ Catálogo Productos'!A:F, 6, FALSE), 0)</f>
        <v/>
      </c>
      <c r="H4" s="17">
        <f>F4*G4</f>
        <v/>
      </c>
      <c r="I4" s="24" t="inlineStr">
        <is>
          <t>Nequi</t>
        </is>
      </c>
      <c r="J4" s="15" t="inlineStr">
        <is>
          <t>Nicole</t>
        </is>
      </c>
    </row>
    <row r="5" ht="20" customHeight="1">
      <c r="A5" s="6">
        <f>IF(C5="","", C5 &amp; COUNTIF($C$4:C5, C5))</f>
        <v/>
      </c>
      <c r="B5" s="24" t="inlineStr">
        <is>
          <t>2026-08-26</t>
        </is>
      </c>
      <c r="C5" s="24" t="inlineStr">
        <is>
          <t>SM</t>
        </is>
      </c>
      <c r="D5" s="15">
        <f>IFERROR(VLOOKUP(C5, '🏷️ Catálogo Productos'!A:C, 3, FALSE), "")</f>
        <v/>
      </c>
      <c r="E5" s="24">
        <f>IFERROR(VLOOKUP(C5, '🏷️ Catálogo Productos'!A:D, 4, FALSE), "")</f>
        <v/>
      </c>
      <c r="F5" s="16" t="n">
        <v>1</v>
      </c>
      <c r="G5" s="17">
        <f>IFERROR(VLOOKUP(C5, '🏷️ Catálogo Productos'!A:F, 6, FALSE), 0)</f>
        <v/>
      </c>
      <c r="H5" s="17">
        <f>F5*G5</f>
        <v/>
      </c>
      <c r="I5" s="24" t="inlineStr">
        <is>
          <t>Nequi</t>
        </is>
      </c>
      <c r="J5" s="15" t="inlineStr">
        <is>
          <t>Nicole</t>
        </is>
      </c>
    </row>
    <row r="6" ht="20" customHeight="1">
      <c r="A6" s="6">
        <f>IF(C6="","", C6 &amp; COUNTIF($C$4:C6, C6))</f>
        <v/>
      </c>
      <c r="B6" s="24" t="inlineStr">
        <is>
          <t>2026-08-27</t>
        </is>
      </c>
      <c r="C6" s="24" t="inlineStr">
        <is>
          <t>PS</t>
        </is>
      </c>
      <c r="D6" s="15">
        <f>IFERROR(VLOOKUP(C6, '🏷️ Catálogo Productos'!A:C, 3, FALSE), "")</f>
        <v/>
      </c>
      <c r="E6" s="24">
        <f>IFERROR(VLOOKUP(C6, '🏷️ Catálogo Productos'!A:D, 4, FALSE), "")</f>
        <v/>
      </c>
      <c r="F6" s="16" t="n">
        <v>1</v>
      </c>
      <c r="G6" s="17">
        <f>IFERROR(VLOOKUP(C6, '🏷️ Catálogo Productos'!A:F, 6, FALSE), 0)</f>
        <v/>
      </c>
      <c r="H6" s="17">
        <f>F6*G6</f>
        <v/>
      </c>
      <c r="I6" s="24" t="inlineStr">
        <is>
          <t>Efectivo</t>
        </is>
      </c>
      <c r="J6" s="15" t="inlineStr">
        <is>
          <t>Recepción</t>
        </is>
      </c>
    </row>
    <row r="7" ht="20" customHeight="1">
      <c r="A7" s="6">
        <f>IF(C7="","", C7 &amp; COUNTIF($C$4:C7, C7))</f>
        <v/>
      </c>
      <c r="B7" s="24" t="inlineStr">
        <is>
          <t>2026-08-28</t>
        </is>
      </c>
      <c r="C7" s="24" t="inlineStr">
        <is>
          <t>AU</t>
        </is>
      </c>
      <c r="D7" s="15">
        <f>IFERROR(VLOOKUP(C7, '🏷️ Catálogo Productos'!A:C, 3, FALSE), "")</f>
        <v/>
      </c>
      <c r="E7" s="24">
        <f>IFERROR(VLOOKUP(C7, '🏷️ Catálogo Productos'!A:D, 4, FALSE), "")</f>
        <v/>
      </c>
      <c r="F7" s="16" t="n">
        <v>1</v>
      </c>
      <c r="G7" s="17">
        <f>IFERROR(VLOOKUP(C7, '🏷️ Catálogo Productos'!A:F, 6, FALSE), 0)</f>
        <v/>
      </c>
      <c r="H7" s="17">
        <f>F7*G7</f>
        <v/>
      </c>
      <c r="I7" s="24" t="inlineStr">
        <is>
          <t>Daviplata</t>
        </is>
      </c>
      <c r="J7" s="15" t="inlineStr">
        <is>
          <t>Nicole</t>
        </is>
      </c>
    </row>
    <row r="8" ht="20" customHeight="1">
      <c r="A8" s="6">
        <f>IF(C8="","", C8 &amp; COUNTIF($C$4:C8, C8))</f>
        <v/>
      </c>
      <c r="B8" s="24" t="inlineStr">
        <is>
          <t>2026-08-28</t>
        </is>
      </c>
      <c r="C8" s="24" t="inlineStr">
        <is>
          <t>TM</t>
        </is>
      </c>
      <c r="D8" s="15">
        <f>IFERROR(VLOOKUP(C8, '🏷️ Catálogo Productos'!A:C, 3, FALSE), "")</f>
        <v/>
      </c>
      <c r="E8" s="24">
        <f>IFERROR(VLOOKUP(C8, '🏷️ Catálogo Productos'!A:D, 4, FALSE), "")</f>
        <v/>
      </c>
      <c r="F8" s="16" t="n">
        <v>1</v>
      </c>
      <c r="G8" s="17">
        <f>IFERROR(VLOOKUP(C8, '🏷️ Catálogo Productos'!A:F, 6, FALSE), 0)</f>
        <v/>
      </c>
      <c r="H8" s="17">
        <f>F8*G8</f>
        <v/>
      </c>
      <c r="I8" s="24" t="inlineStr">
        <is>
          <t>Nequi</t>
        </is>
      </c>
      <c r="J8" s="15" t="inlineStr">
        <is>
          <t>Nicole</t>
        </is>
      </c>
    </row>
    <row r="9" ht="20" customHeight="1">
      <c r="A9" s="6">
        <f>IF(C9="","", C9 &amp; COUNTIF($C$4:C9, C9))</f>
        <v/>
      </c>
      <c r="B9" s="3" t="n"/>
      <c r="C9" s="3" t="n"/>
      <c r="D9" s="15">
        <f>IFERROR(IF(C9="","",VLOOKUP(C9, '🏷️ Catálogo Productos'!A:C, 3, FALSE)), "")</f>
        <v/>
      </c>
      <c r="E9" s="24">
        <f>IFERROR(IF(C9="","",VLOOKUP(C9, '🏷️ Catálogo Productos'!A:D, 4, FALSE)), "")</f>
        <v/>
      </c>
      <c r="F9" s="3" t="n"/>
      <c r="G9" s="31">
        <f>IFERROR(IF(C9="","",VLOOKUP(C9, '🏷️ Catálogo Productos'!A:F, 6, FALSE)), 0)</f>
        <v/>
      </c>
      <c r="H9" s="31">
        <f>IF(F9="","",F9*G9)</f>
        <v/>
      </c>
      <c r="I9" s="3" t="n"/>
      <c r="J9" s="3" t="n"/>
    </row>
    <row r="10" ht="20" customHeight="1">
      <c r="A10" s="6">
        <f>IF(C10="","", C10 &amp; COUNTIF($C$4:C10, C10))</f>
        <v/>
      </c>
      <c r="B10" s="3" t="n"/>
      <c r="C10" s="3" t="n"/>
      <c r="D10" s="15">
        <f>IFERROR(IF(C10="","",VLOOKUP(C10, '🏷️ Catálogo Productos'!A:C, 3, FALSE)), "")</f>
        <v/>
      </c>
      <c r="E10" s="24">
        <f>IFERROR(IF(C10="","",VLOOKUP(C10, '🏷️ Catálogo Productos'!A:D, 4, FALSE)), "")</f>
        <v/>
      </c>
      <c r="F10" s="3" t="n"/>
      <c r="G10" s="31">
        <f>IFERROR(IF(C10="","",VLOOKUP(C10, '🏷️ Catálogo Productos'!A:F, 6, FALSE)), 0)</f>
        <v/>
      </c>
      <c r="H10" s="31">
        <f>IF(F10="","",F10*G10)</f>
        <v/>
      </c>
      <c r="I10" s="3" t="n"/>
      <c r="J10" s="3" t="n"/>
    </row>
    <row r="11" ht="20" customHeight="1">
      <c r="A11" s="6">
        <f>IF(C11="","", C11 &amp; COUNTIF($C$4:C11, C11))</f>
        <v/>
      </c>
      <c r="B11" s="3" t="n"/>
      <c r="C11" s="3" t="n"/>
      <c r="D11" s="15">
        <f>IFERROR(IF(C11="","",VLOOKUP(C11, '🏷️ Catálogo Productos'!A:C, 3, FALSE)), "")</f>
        <v/>
      </c>
      <c r="E11" s="24">
        <f>IFERROR(IF(C11="","",VLOOKUP(C11, '🏷️ Catálogo Productos'!A:D, 4, FALSE)), "")</f>
        <v/>
      </c>
      <c r="F11" s="3" t="n"/>
      <c r="G11" s="31">
        <f>IFERROR(IF(C11="","",VLOOKUP(C11, '🏷️ Catálogo Productos'!A:F, 6, FALSE)), 0)</f>
        <v/>
      </c>
      <c r="H11" s="31">
        <f>IF(F11="","",F11*G11)</f>
        <v/>
      </c>
      <c r="I11" s="3" t="n"/>
      <c r="J11" s="3" t="n"/>
    </row>
    <row r="12" ht="20" customHeight="1">
      <c r="A12" s="6">
        <f>IF(C12="","", C12 &amp; COUNTIF($C$4:C12, C12))</f>
        <v/>
      </c>
      <c r="B12" s="3" t="n"/>
      <c r="C12" s="3" t="n"/>
      <c r="D12" s="15">
        <f>IFERROR(IF(C12="","",VLOOKUP(C12, '🏷️ Catálogo Productos'!A:C, 3, FALSE)), "")</f>
        <v/>
      </c>
      <c r="E12" s="24">
        <f>IFERROR(IF(C12="","",VLOOKUP(C12, '🏷️ Catálogo Productos'!A:D, 4, FALSE)), "")</f>
        <v/>
      </c>
      <c r="F12" s="3" t="n"/>
      <c r="G12" s="31">
        <f>IFERROR(IF(C12="","",VLOOKUP(C12, '🏷️ Catálogo Productos'!A:F, 6, FALSE)), 0)</f>
        <v/>
      </c>
      <c r="H12" s="31">
        <f>IF(F12="","",F12*G12)</f>
        <v/>
      </c>
      <c r="I12" s="3" t="n"/>
      <c r="J12" s="3" t="n"/>
    </row>
    <row r="13" ht="20" customHeight="1">
      <c r="A13" s="6">
        <f>IF(C13="","", C13 &amp; COUNTIF($C$4:C13, C13))</f>
        <v/>
      </c>
      <c r="B13" s="3" t="n"/>
      <c r="C13" s="3" t="n"/>
      <c r="D13" s="15">
        <f>IFERROR(IF(C13="","",VLOOKUP(C13, '🏷️ Catálogo Productos'!A:C, 3, FALSE)), "")</f>
        <v/>
      </c>
      <c r="E13" s="24">
        <f>IFERROR(IF(C13="","",VLOOKUP(C13, '🏷️ Catálogo Productos'!A:D, 4, FALSE)), "")</f>
        <v/>
      </c>
      <c r="F13" s="3" t="n"/>
      <c r="G13" s="31">
        <f>IFERROR(IF(C13="","",VLOOKUP(C13, '🏷️ Catálogo Productos'!A:F, 6, FALSE)), 0)</f>
        <v/>
      </c>
      <c r="H13" s="31">
        <f>IF(F13="","",F13*G13)</f>
        <v/>
      </c>
      <c r="I13" s="3" t="n"/>
      <c r="J13" s="3" t="n"/>
    </row>
    <row r="14" ht="20" customHeight="1">
      <c r="A14" s="6">
        <f>IF(C14="","", C14 &amp; COUNTIF($C$4:C14, C14))</f>
        <v/>
      </c>
      <c r="B14" s="3" t="n"/>
      <c r="C14" s="3" t="n"/>
      <c r="D14" s="15">
        <f>IFERROR(IF(C14="","",VLOOKUP(C14, '🏷️ Catálogo Productos'!A:C, 3, FALSE)), "")</f>
        <v/>
      </c>
      <c r="E14" s="24">
        <f>IFERROR(IF(C14="","",VLOOKUP(C14, '🏷️ Catálogo Productos'!A:D, 4, FALSE)), "")</f>
        <v/>
      </c>
      <c r="F14" s="3" t="n"/>
      <c r="G14" s="31">
        <f>IFERROR(IF(C14="","",VLOOKUP(C14, '🏷️ Catálogo Productos'!A:F, 6, FALSE)), 0)</f>
        <v/>
      </c>
      <c r="H14" s="31">
        <f>IF(F14="","",F14*G14)</f>
        <v/>
      </c>
      <c r="I14" s="3" t="n"/>
      <c r="J14" s="3" t="n"/>
    </row>
    <row r="15" ht="20" customHeight="1">
      <c r="A15" s="6">
        <f>IF(C15="","", C15 &amp; COUNTIF($C$4:C15, C15))</f>
        <v/>
      </c>
      <c r="B15" s="3" t="n"/>
      <c r="C15" s="3" t="n"/>
      <c r="D15" s="15">
        <f>IFERROR(IF(C15="","",VLOOKUP(C15, '🏷️ Catálogo Productos'!A:C, 3, FALSE)), "")</f>
        <v/>
      </c>
      <c r="E15" s="24">
        <f>IFERROR(IF(C15="","",VLOOKUP(C15, '🏷️ Catálogo Productos'!A:D, 4, FALSE)), "")</f>
        <v/>
      </c>
      <c r="F15" s="3" t="n"/>
      <c r="G15" s="31">
        <f>IFERROR(IF(C15="","",VLOOKUP(C15, '🏷️ Catálogo Productos'!A:F, 6, FALSE)), 0)</f>
        <v/>
      </c>
      <c r="H15" s="31">
        <f>IF(F15="","",F15*G15)</f>
        <v/>
      </c>
      <c r="I15" s="3" t="n"/>
      <c r="J15" s="3" t="n"/>
    </row>
    <row r="16" ht="20" customHeight="1">
      <c r="A16" s="6">
        <f>IF(C16="","", C16 &amp; COUNTIF($C$4:C16, C16))</f>
        <v/>
      </c>
      <c r="B16" s="3" t="n"/>
      <c r="C16" s="3" t="n"/>
      <c r="D16" s="15">
        <f>IFERROR(IF(C16="","",VLOOKUP(C16, '🏷️ Catálogo Productos'!A:C, 3, FALSE)), "")</f>
        <v/>
      </c>
      <c r="E16" s="24">
        <f>IFERROR(IF(C16="","",VLOOKUP(C16, '🏷️ Catálogo Productos'!A:D, 4, FALSE)), "")</f>
        <v/>
      </c>
      <c r="F16" s="3" t="n"/>
      <c r="G16" s="31">
        <f>IFERROR(IF(C16="","",VLOOKUP(C16, '🏷️ Catálogo Productos'!A:F, 6, FALSE)), 0)</f>
        <v/>
      </c>
      <c r="H16" s="31">
        <f>IF(F16="","",F16*G16)</f>
        <v/>
      </c>
      <c r="I16" s="3" t="n"/>
      <c r="J16" s="3" t="n"/>
    </row>
    <row r="17" ht="20" customHeight="1">
      <c r="A17" s="6">
        <f>IF(C17="","", C17 &amp; COUNTIF($C$4:C17, C17))</f>
        <v/>
      </c>
      <c r="B17" s="3" t="n"/>
      <c r="C17" s="3" t="n"/>
      <c r="D17" s="15">
        <f>IFERROR(IF(C17="","",VLOOKUP(C17, '🏷️ Catálogo Productos'!A:C, 3, FALSE)), "")</f>
        <v/>
      </c>
      <c r="E17" s="24">
        <f>IFERROR(IF(C17="","",VLOOKUP(C17, '🏷️ Catálogo Productos'!A:D, 4, FALSE)), "")</f>
        <v/>
      </c>
      <c r="F17" s="3" t="n"/>
      <c r="G17" s="31">
        <f>IFERROR(IF(C17="","",VLOOKUP(C17, '🏷️ Catálogo Productos'!A:F, 6, FALSE)), 0)</f>
        <v/>
      </c>
      <c r="H17" s="31">
        <f>IF(F17="","",F17*G17)</f>
        <v/>
      </c>
      <c r="I17" s="3" t="n"/>
      <c r="J17" s="3" t="n"/>
    </row>
    <row r="18" ht="20" customHeight="1">
      <c r="A18" s="6">
        <f>IF(C18="","", C18 &amp; COUNTIF($C$4:C18, C18))</f>
        <v/>
      </c>
      <c r="B18" s="3" t="n"/>
      <c r="C18" s="3" t="n"/>
      <c r="D18" s="15">
        <f>IFERROR(IF(C18="","",VLOOKUP(C18, '🏷️ Catálogo Productos'!A:C, 3, FALSE)), "")</f>
        <v/>
      </c>
      <c r="E18" s="24">
        <f>IFERROR(IF(C18="","",VLOOKUP(C18, '🏷️ Catálogo Productos'!A:D, 4, FALSE)), "")</f>
        <v/>
      </c>
      <c r="F18" s="3" t="n"/>
      <c r="G18" s="31">
        <f>IFERROR(IF(C18="","",VLOOKUP(C18, '🏷️ Catálogo Productos'!A:F, 6, FALSE)), 0)</f>
        <v/>
      </c>
      <c r="H18" s="31">
        <f>IF(F18="","",F18*G18)</f>
        <v/>
      </c>
      <c r="I18" s="3" t="n"/>
      <c r="J18" s="3" t="n"/>
    </row>
    <row r="19" ht="20" customHeight="1">
      <c r="A19" s="6">
        <f>IF(C19="","", C19 &amp; COUNTIF($C$4:C19, C19))</f>
        <v/>
      </c>
      <c r="B19" s="3" t="n"/>
      <c r="C19" s="3" t="n"/>
      <c r="D19" s="15">
        <f>IFERROR(IF(C19="","",VLOOKUP(C19, '🏷️ Catálogo Productos'!A:C, 3, FALSE)), "")</f>
        <v/>
      </c>
      <c r="E19" s="24">
        <f>IFERROR(IF(C19="","",VLOOKUP(C19, '🏷️ Catálogo Productos'!A:D, 4, FALSE)), "")</f>
        <v/>
      </c>
      <c r="F19" s="3" t="n"/>
      <c r="G19" s="31">
        <f>IFERROR(IF(C19="","",VLOOKUP(C19, '🏷️ Catálogo Productos'!A:F, 6, FALSE)), 0)</f>
        <v/>
      </c>
      <c r="H19" s="31">
        <f>IF(F19="","",F19*G19)</f>
        <v/>
      </c>
      <c r="I19" s="3" t="n"/>
      <c r="J19" s="3" t="n"/>
    </row>
    <row r="20" ht="20" customHeight="1">
      <c r="A20" s="6">
        <f>IF(C20="","", C20 &amp; COUNTIF($C$4:C20, C20))</f>
        <v/>
      </c>
      <c r="B20" s="3" t="n"/>
      <c r="C20" s="3" t="n"/>
      <c r="D20" s="15">
        <f>IFERROR(IF(C20="","",VLOOKUP(C20, '🏷️ Catálogo Productos'!A:C, 3, FALSE)), "")</f>
        <v/>
      </c>
      <c r="E20" s="24">
        <f>IFERROR(IF(C20="","",VLOOKUP(C20, '🏷️ Catálogo Productos'!A:D, 4, FALSE)), "")</f>
        <v/>
      </c>
      <c r="F20" s="3" t="n"/>
      <c r="G20" s="31">
        <f>IFERROR(IF(C20="","",VLOOKUP(C20, '🏷️ Catálogo Productos'!A:F, 6, FALSE)), 0)</f>
        <v/>
      </c>
      <c r="H20" s="31">
        <f>IF(F20="","",F20*G20)</f>
        <v/>
      </c>
      <c r="I20" s="3" t="n"/>
      <c r="J20" s="3" t="n"/>
    </row>
    <row r="21" ht="20" customHeight="1">
      <c r="A21" s="6">
        <f>IF(C21="","", C21 &amp; COUNTIF($C$4:C21, C21))</f>
        <v/>
      </c>
      <c r="B21" s="3" t="n"/>
      <c r="C21" s="3" t="n"/>
      <c r="D21" s="15">
        <f>IFERROR(IF(C21="","",VLOOKUP(C21, '🏷️ Catálogo Productos'!A:C, 3, FALSE)), "")</f>
        <v/>
      </c>
      <c r="E21" s="24">
        <f>IFERROR(IF(C21="","",VLOOKUP(C21, '🏷️ Catálogo Productos'!A:D, 4, FALSE)), "")</f>
        <v/>
      </c>
      <c r="F21" s="3" t="n"/>
      <c r="G21" s="31">
        <f>IFERROR(IF(C21="","",VLOOKUP(C21, '🏷️ Catálogo Productos'!A:F, 6, FALSE)), 0)</f>
        <v/>
      </c>
      <c r="H21" s="31">
        <f>IF(F21="","",F21*G21)</f>
        <v/>
      </c>
      <c r="I21" s="3" t="n"/>
      <c r="J21" s="3" t="n"/>
    </row>
    <row r="22" ht="20" customHeight="1">
      <c r="A22" s="6">
        <f>IF(C22="","", C22 &amp; COUNTIF($C$4:C22, C22))</f>
        <v/>
      </c>
      <c r="B22" s="3" t="n"/>
      <c r="C22" s="3" t="n"/>
      <c r="D22" s="15">
        <f>IFERROR(IF(C22="","",VLOOKUP(C22, '🏷️ Catálogo Productos'!A:C, 3, FALSE)), "")</f>
        <v/>
      </c>
      <c r="E22" s="24">
        <f>IFERROR(IF(C22="","",VLOOKUP(C22, '🏷️ Catálogo Productos'!A:D, 4, FALSE)), "")</f>
        <v/>
      </c>
      <c r="F22" s="3" t="n"/>
      <c r="G22" s="31">
        <f>IFERROR(IF(C22="","",VLOOKUP(C22, '🏷️ Catálogo Productos'!A:F, 6, FALSE)), 0)</f>
        <v/>
      </c>
      <c r="H22" s="31">
        <f>IF(F22="","",F22*G22)</f>
        <v/>
      </c>
      <c r="I22" s="3" t="n"/>
      <c r="J22" s="3" t="n"/>
    </row>
    <row r="23" ht="20" customHeight="1">
      <c r="A23" s="6">
        <f>IF(C23="","", C23 &amp; COUNTIF($C$4:C23, C23))</f>
        <v/>
      </c>
      <c r="B23" s="3" t="n"/>
      <c r="C23" s="3" t="n"/>
      <c r="D23" s="15">
        <f>IFERROR(IF(C23="","",VLOOKUP(C23, '🏷️ Catálogo Productos'!A:C, 3, FALSE)), "")</f>
        <v/>
      </c>
      <c r="E23" s="24">
        <f>IFERROR(IF(C23="","",VLOOKUP(C23, '🏷️ Catálogo Productos'!A:D, 4, FALSE)), "")</f>
        <v/>
      </c>
      <c r="F23" s="3" t="n"/>
      <c r="G23" s="31">
        <f>IFERROR(IF(C23="","",VLOOKUP(C23, '🏷️ Catálogo Productos'!A:F, 6, FALSE)), 0)</f>
        <v/>
      </c>
      <c r="H23" s="31">
        <f>IF(F23="","",F23*G23)</f>
        <v/>
      </c>
      <c r="I23" s="3" t="n"/>
      <c r="J23" s="3" t="n"/>
    </row>
    <row r="24" ht="20" customHeight="1">
      <c r="A24" s="6">
        <f>IF(C24="","", C24 &amp; COUNTIF($C$4:C24, C24))</f>
        <v/>
      </c>
      <c r="B24" s="3" t="n"/>
      <c r="C24" s="3" t="n"/>
      <c r="D24" s="15">
        <f>IFERROR(IF(C24="","",VLOOKUP(C24, '🏷️ Catálogo Productos'!A:C, 3, FALSE)), "")</f>
        <v/>
      </c>
      <c r="E24" s="24">
        <f>IFERROR(IF(C24="","",VLOOKUP(C24, '🏷️ Catálogo Productos'!A:D, 4, FALSE)), "")</f>
        <v/>
      </c>
      <c r="F24" s="3" t="n"/>
      <c r="G24" s="31">
        <f>IFERROR(IF(C24="","",VLOOKUP(C24, '🏷️ Catálogo Productos'!A:F, 6, FALSE)), 0)</f>
        <v/>
      </c>
      <c r="H24" s="31">
        <f>IF(F24="","",F24*G24)</f>
        <v/>
      </c>
      <c r="I24" s="3" t="n"/>
      <c r="J24" s="3" t="n"/>
    </row>
    <row r="25" ht="20" customHeight="1">
      <c r="A25" s="6">
        <f>IF(C25="","", C25 &amp; COUNTIF($C$4:C25, C25))</f>
        <v/>
      </c>
      <c r="B25" s="3" t="n"/>
      <c r="C25" s="3" t="n"/>
      <c r="D25" s="15">
        <f>IFERROR(IF(C25="","",VLOOKUP(C25, '🏷️ Catálogo Productos'!A:C, 3, FALSE)), "")</f>
        <v/>
      </c>
      <c r="E25" s="24">
        <f>IFERROR(IF(C25="","",VLOOKUP(C25, '🏷️ Catálogo Productos'!A:D, 4, FALSE)), "")</f>
        <v/>
      </c>
      <c r="F25" s="3" t="n"/>
      <c r="G25" s="31">
        <f>IFERROR(IF(C25="","",VLOOKUP(C25, '🏷️ Catálogo Productos'!A:F, 6, FALSE)), 0)</f>
        <v/>
      </c>
      <c r="H25" s="31">
        <f>IF(F25="","",F25*G25)</f>
        <v/>
      </c>
      <c r="I25" s="3" t="n"/>
      <c r="J25" s="3" t="n"/>
    </row>
    <row r="26" ht="20" customHeight="1">
      <c r="A26" s="6">
        <f>IF(C26="","", C26 &amp; COUNTIF($C$4:C26, C26))</f>
        <v/>
      </c>
      <c r="B26" s="3" t="n"/>
      <c r="C26" s="3" t="n"/>
      <c r="D26" s="15">
        <f>IFERROR(IF(C26="","",VLOOKUP(C26, '🏷️ Catálogo Productos'!A:C, 3, FALSE)), "")</f>
        <v/>
      </c>
      <c r="E26" s="24">
        <f>IFERROR(IF(C26="","",VLOOKUP(C26, '🏷️ Catálogo Productos'!A:D, 4, FALSE)), "")</f>
        <v/>
      </c>
      <c r="F26" s="3" t="n"/>
      <c r="G26" s="31">
        <f>IFERROR(IF(C26="","",VLOOKUP(C26, '🏷️ Catálogo Productos'!A:F, 6, FALSE)), 0)</f>
        <v/>
      </c>
      <c r="H26" s="31">
        <f>IF(F26="","",F26*G26)</f>
        <v/>
      </c>
      <c r="I26" s="3" t="n"/>
      <c r="J26" s="3" t="n"/>
    </row>
    <row r="27" ht="20" customHeight="1">
      <c r="A27" s="6">
        <f>IF(C27="","", C27 &amp; COUNTIF($C$4:C27, C27))</f>
        <v/>
      </c>
      <c r="B27" s="3" t="n"/>
      <c r="C27" s="3" t="n"/>
      <c r="D27" s="15">
        <f>IFERROR(IF(C27="","",VLOOKUP(C27, '🏷️ Catálogo Productos'!A:C, 3, FALSE)), "")</f>
        <v/>
      </c>
      <c r="E27" s="24">
        <f>IFERROR(IF(C27="","",VLOOKUP(C27, '🏷️ Catálogo Productos'!A:D, 4, FALSE)), "")</f>
        <v/>
      </c>
      <c r="F27" s="3" t="n"/>
      <c r="G27" s="31">
        <f>IFERROR(IF(C27="","",VLOOKUP(C27, '🏷️ Catálogo Productos'!A:F, 6, FALSE)), 0)</f>
        <v/>
      </c>
      <c r="H27" s="31">
        <f>IF(F27="","",F27*G27)</f>
        <v/>
      </c>
      <c r="I27" s="3" t="n"/>
      <c r="J27" s="3" t="n"/>
    </row>
    <row r="28" ht="20" customHeight="1">
      <c r="A28" s="6">
        <f>IF(C28="","", C28 &amp; COUNTIF($C$4:C28, C28))</f>
        <v/>
      </c>
      <c r="B28" s="3" t="n"/>
      <c r="C28" s="3" t="n"/>
      <c r="D28" s="15">
        <f>IFERROR(IF(C28="","",VLOOKUP(C28, '🏷️ Catálogo Productos'!A:C, 3, FALSE)), "")</f>
        <v/>
      </c>
      <c r="E28" s="24">
        <f>IFERROR(IF(C28="","",VLOOKUP(C28, '🏷️ Catálogo Productos'!A:D, 4, FALSE)), "")</f>
        <v/>
      </c>
      <c r="F28" s="3" t="n"/>
      <c r="G28" s="31">
        <f>IFERROR(IF(C28="","",VLOOKUP(C28, '🏷️ Catálogo Productos'!A:F, 6, FALSE)), 0)</f>
        <v/>
      </c>
      <c r="H28" s="31">
        <f>IF(F28="","",F28*G28)</f>
        <v/>
      </c>
      <c r="I28" s="3" t="n"/>
      <c r="J28" s="3" t="n"/>
    </row>
    <row r="29" ht="20" customHeight="1">
      <c r="A29" s="6">
        <f>IF(C29="","", C29 &amp; COUNTIF($C$4:C29, C29))</f>
        <v/>
      </c>
      <c r="B29" s="3" t="n"/>
      <c r="C29" s="3" t="n"/>
      <c r="D29" s="15">
        <f>IFERROR(IF(C29="","",VLOOKUP(C29, '🏷️ Catálogo Productos'!A:C, 3, FALSE)), "")</f>
        <v/>
      </c>
      <c r="E29" s="24">
        <f>IFERROR(IF(C29="","",VLOOKUP(C29, '🏷️ Catálogo Productos'!A:D, 4, FALSE)), "")</f>
        <v/>
      </c>
      <c r="F29" s="3" t="n"/>
      <c r="G29" s="31">
        <f>IFERROR(IF(C29="","",VLOOKUP(C29, '🏷️ Catálogo Productos'!A:F, 6, FALSE)), 0)</f>
        <v/>
      </c>
      <c r="H29" s="31">
        <f>IF(F29="","",F29*G29)</f>
        <v/>
      </c>
      <c r="I29" s="3" t="n"/>
      <c r="J29" s="3" t="n"/>
    </row>
    <row r="30" ht="20" customHeight="1">
      <c r="A30" s="6">
        <f>IF(C30="","", C30 &amp; COUNTIF($C$4:C30, C30))</f>
        <v/>
      </c>
      <c r="B30" s="3" t="n"/>
      <c r="C30" s="3" t="n"/>
      <c r="D30" s="15">
        <f>IFERROR(IF(C30="","",VLOOKUP(C30, '🏷️ Catálogo Productos'!A:C, 3, FALSE)), "")</f>
        <v/>
      </c>
      <c r="E30" s="24">
        <f>IFERROR(IF(C30="","",VLOOKUP(C30, '🏷️ Catálogo Productos'!A:D, 4, FALSE)), "")</f>
        <v/>
      </c>
      <c r="F30" s="3" t="n"/>
      <c r="G30" s="31">
        <f>IFERROR(IF(C30="","",VLOOKUP(C30, '🏷️ Catálogo Productos'!A:F, 6, FALSE)), 0)</f>
        <v/>
      </c>
      <c r="H30" s="31">
        <f>IF(F30="","",F30*G30)</f>
        <v/>
      </c>
      <c r="I30" s="3" t="n"/>
      <c r="J30" s="3" t="n"/>
    </row>
    <row r="31" ht="20" customHeight="1">
      <c r="A31" s="6">
        <f>IF(C31="","", C31 &amp; COUNTIF($C$4:C31, C31))</f>
        <v/>
      </c>
      <c r="B31" s="3" t="n"/>
      <c r="C31" s="3" t="n"/>
      <c r="D31" s="15">
        <f>IFERROR(IF(C31="","",VLOOKUP(C31, '🏷️ Catálogo Productos'!A:C, 3, FALSE)), "")</f>
        <v/>
      </c>
      <c r="E31" s="24">
        <f>IFERROR(IF(C31="","",VLOOKUP(C31, '🏷️ Catálogo Productos'!A:D, 4, FALSE)), "")</f>
        <v/>
      </c>
      <c r="F31" s="3" t="n"/>
      <c r="G31" s="31">
        <f>IFERROR(IF(C31="","",VLOOKUP(C31, '🏷️ Catálogo Productos'!A:F, 6, FALSE)), 0)</f>
        <v/>
      </c>
      <c r="H31" s="31">
        <f>IF(F31="","",F31*G31)</f>
        <v/>
      </c>
      <c r="I31" s="3" t="n"/>
      <c r="J31" s="3" t="n"/>
    </row>
    <row r="32" ht="20" customHeight="1">
      <c r="A32" s="6">
        <f>IF(C32="","", C32 &amp; COUNTIF($C$4:C32, C32))</f>
        <v/>
      </c>
      <c r="B32" s="3" t="n"/>
      <c r="C32" s="3" t="n"/>
      <c r="D32" s="15">
        <f>IFERROR(IF(C32="","",VLOOKUP(C32, '🏷️ Catálogo Productos'!A:C, 3, FALSE)), "")</f>
        <v/>
      </c>
      <c r="E32" s="24">
        <f>IFERROR(IF(C32="","",VLOOKUP(C32, '🏷️ Catálogo Productos'!A:D, 4, FALSE)), "")</f>
        <v/>
      </c>
      <c r="F32" s="3" t="n"/>
      <c r="G32" s="31">
        <f>IFERROR(IF(C32="","",VLOOKUP(C32, '🏷️ Catálogo Productos'!A:F, 6, FALSE)), 0)</f>
        <v/>
      </c>
      <c r="H32" s="31">
        <f>IF(F32="","",F32*G32)</f>
        <v/>
      </c>
      <c r="I32" s="3" t="n"/>
      <c r="J32" s="3" t="n"/>
    </row>
    <row r="33" ht="20" customHeight="1">
      <c r="A33" s="6">
        <f>IF(C33="","", C33 &amp; COUNTIF($C$4:C33, C33))</f>
        <v/>
      </c>
      <c r="B33" s="3" t="n"/>
      <c r="C33" s="3" t="n"/>
      <c r="D33" s="15">
        <f>IFERROR(IF(C33="","",VLOOKUP(C33, '🏷️ Catálogo Productos'!A:C, 3, FALSE)), "")</f>
        <v/>
      </c>
      <c r="E33" s="24">
        <f>IFERROR(IF(C33="","",VLOOKUP(C33, '🏷️ Catálogo Productos'!A:D, 4, FALSE)), "")</f>
        <v/>
      </c>
      <c r="F33" s="3" t="n"/>
      <c r="G33" s="31">
        <f>IFERROR(IF(C33="","",VLOOKUP(C33, '🏷️ Catálogo Productos'!A:F, 6, FALSE)), 0)</f>
        <v/>
      </c>
      <c r="H33" s="31">
        <f>IF(F33="","",F33*G33)</f>
        <v/>
      </c>
      <c r="I33" s="3" t="n"/>
      <c r="J33" s="3" t="n"/>
    </row>
    <row r="34" ht="20" customHeight="1">
      <c r="A34" s="6">
        <f>IF(C34="","", C34 &amp; COUNTIF($C$4:C34, C34))</f>
        <v/>
      </c>
      <c r="B34" s="3" t="n"/>
      <c r="C34" s="3" t="n"/>
      <c r="D34" s="15">
        <f>IFERROR(IF(C34="","",VLOOKUP(C34, '🏷️ Catálogo Productos'!A:C, 3, FALSE)), "")</f>
        <v/>
      </c>
      <c r="E34" s="24">
        <f>IFERROR(IF(C34="","",VLOOKUP(C34, '🏷️ Catálogo Productos'!A:D, 4, FALSE)), "")</f>
        <v/>
      </c>
      <c r="F34" s="3" t="n"/>
      <c r="G34" s="31">
        <f>IFERROR(IF(C34="","",VLOOKUP(C34, '🏷️ Catálogo Productos'!A:F, 6, FALSE)), 0)</f>
        <v/>
      </c>
      <c r="H34" s="31">
        <f>IF(F34="","",F34*G34)</f>
        <v/>
      </c>
      <c r="I34" s="3" t="n"/>
      <c r="J34" s="3" t="n"/>
    </row>
    <row r="35" ht="20" customHeight="1">
      <c r="A35" s="6">
        <f>IF(C35="","", C35 &amp; COUNTIF($C$4:C35, C35))</f>
        <v/>
      </c>
      <c r="B35" s="3" t="n"/>
      <c r="C35" s="3" t="n"/>
      <c r="D35" s="15">
        <f>IFERROR(IF(C35="","",VLOOKUP(C35, '🏷️ Catálogo Productos'!A:C, 3, FALSE)), "")</f>
        <v/>
      </c>
      <c r="E35" s="24">
        <f>IFERROR(IF(C35="","",VLOOKUP(C35, '🏷️ Catálogo Productos'!A:D, 4, FALSE)), "")</f>
        <v/>
      </c>
      <c r="F35" s="3" t="n"/>
      <c r="G35" s="31">
        <f>IFERROR(IF(C35="","",VLOOKUP(C35, '🏷️ Catálogo Productos'!A:F, 6, FALSE)), 0)</f>
        <v/>
      </c>
      <c r="H35" s="31">
        <f>IF(F35="","",F35*G35)</f>
        <v/>
      </c>
      <c r="I35" s="3" t="n"/>
      <c r="J35" s="3" t="n"/>
    </row>
    <row r="36" ht="20" customHeight="1">
      <c r="A36" s="6">
        <f>IF(C36="","", C36 &amp; COUNTIF($C$4:C36, C36))</f>
        <v/>
      </c>
      <c r="B36" s="3" t="n"/>
      <c r="C36" s="3" t="n"/>
      <c r="D36" s="15">
        <f>IFERROR(IF(C36="","",VLOOKUP(C36, '🏷️ Catálogo Productos'!A:C, 3, FALSE)), "")</f>
        <v/>
      </c>
      <c r="E36" s="24">
        <f>IFERROR(IF(C36="","",VLOOKUP(C36, '🏷️ Catálogo Productos'!A:D, 4, FALSE)), "")</f>
        <v/>
      </c>
      <c r="F36" s="3" t="n"/>
      <c r="G36" s="31">
        <f>IFERROR(IF(C36="","",VLOOKUP(C36, '🏷️ Catálogo Productos'!A:F, 6, FALSE)), 0)</f>
        <v/>
      </c>
      <c r="H36" s="31">
        <f>IF(F36="","",F36*G36)</f>
        <v/>
      </c>
      <c r="I36" s="3" t="n"/>
      <c r="J36" s="3" t="n"/>
    </row>
    <row r="37" ht="20" customHeight="1">
      <c r="A37" s="6">
        <f>IF(C37="","", C37 &amp; COUNTIF($C$4:C37, C37))</f>
        <v/>
      </c>
      <c r="B37" s="3" t="n"/>
      <c r="C37" s="3" t="n"/>
      <c r="D37" s="15">
        <f>IFERROR(IF(C37="","",VLOOKUP(C37, '🏷️ Catálogo Productos'!A:C, 3, FALSE)), "")</f>
        <v/>
      </c>
      <c r="E37" s="24">
        <f>IFERROR(IF(C37="","",VLOOKUP(C37, '🏷️ Catálogo Productos'!A:D, 4, FALSE)), "")</f>
        <v/>
      </c>
      <c r="F37" s="3" t="n"/>
      <c r="G37" s="31">
        <f>IFERROR(IF(C37="","",VLOOKUP(C37, '🏷️ Catálogo Productos'!A:F, 6, FALSE)), 0)</f>
        <v/>
      </c>
      <c r="H37" s="31">
        <f>IF(F37="","",F37*G37)</f>
        <v/>
      </c>
      <c r="I37" s="3" t="n"/>
      <c r="J37" s="3" t="n"/>
    </row>
    <row r="38" ht="20" customHeight="1">
      <c r="A38" s="6">
        <f>IF(C38="","", C38 &amp; COUNTIF($C$4:C38, C38))</f>
        <v/>
      </c>
      <c r="B38" s="3" t="n"/>
      <c r="C38" s="3" t="n"/>
      <c r="D38" s="15">
        <f>IFERROR(IF(C38="","",VLOOKUP(C38, '🏷️ Catálogo Productos'!A:C, 3, FALSE)), "")</f>
        <v/>
      </c>
      <c r="E38" s="24">
        <f>IFERROR(IF(C38="","",VLOOKUP(C38, '🏷️ Catálogo Productos'!A:D, 4, FALSE)), "")</f>
        <v/>
      </c>
      <c r="F38" s="3" t="n"/>
      <c r="G38" s="31">
        <f>IFERROR(IF(C38="","",VLOOKUP(C38, '🏷️ Catálogo Productos'!A:F, 6, FALSE)), 0)</f>
        <v/>
      </c>
      <c r="H38" s="31">
        <f>IF(F38="","",F38*G38)</f>
        <v/>
      </c>
      <c r="I38" s="3" t="n"/>
      <c r="J38" s="3" t="n"/>
    </row>
    <row r="39" ht="20" customHeight="1">
      <c r="A39" s="6">
        <f>IF(C39="","", C39 &amp; COUNTIF($C$4:C39, C39))</f>
        <v/>
      </c>
      <c r="B39" s="3" t="n"/>
      <c r="C39" s="3" t="n"/>
      <c r="D39" s="15">
        <f>IFERROR(IF(C39="","",VLOOKUP(C39, '🏷️ Catálogo Productos'!A:C, 3, FALSE)), "")</f>
        <v/>
      </c>
      <c r="E39" s="24">
        <f>IFERROR(IF(C39="","",VLOOKUP(C39, '🏷️ Catálogo Productos'!A:D, 4, FALSE)), "")</f>
        <v/>
      </c>
      <c r="F39" s="3" t="n"/>
      <c r="G39" s="31">
        <f>IFERROR(IF(C39="","",VLOOKUP(C39, '🏷️ Catálogo Productos'!A:F, 6, FALSE)), 0)</f>
        <v/>
      </c>
      <c r="H39" s="31">
        <f>IF(F39="","",F39*G39)</f>
        <v/>
      </c>
      <c r="I39" s="3" t="n"/>
      <c r="J39" s="3" t="n"/>
    </row>
    <row r="40" ht="20" customHeight="1">
      <c r="A40" s="6">
        <f>IF(C40="","", C40 &amp; COUNTIF($C$4:C40, C40))</f>
        <v/>
      </c>
      <c r="B40" s="3" t="n"/>
      <c r="C40" s="3" t="n"/>
      <c r="D40" s="15">
        <f>IFERROR(IF(C40="","",VLOOKUP(C40, '🏷️ Catálogo Productos'!A:C, 3, FALSE)), "")</f>
        <v/>
      </c>
      <c r="E40" s="24">
        <f>IFERROR(IF(C40="","",VLOOKUP(C40, '🏷️ Catálogo Productos'!A:D, 4, FALSE)), "")</f>
        <v/>
      </c>
      <c r="F40" s="3" t="n"/>
      <c r="G40" s="31">
        <f>IFERROR(IF(C40="","",VLOOKUP(C40, '🏷️ Catálogo Productos'!A:F, 6, FALSE)), 0)</f>
        <v/>
      </c>
      <c r="H40" s="31">
        <f>IF(F40="","",F40*G40)</f>
        <v/>
      </c>
      <c r="I40" s="3" t="n"/>
      <c r="J40" s="3" t="n"/>
    </row>
    <row r="41" ht="20" customHeight="1">
      <c r="A41" s="6">
        <f>IF(C41="","", C41 &amp; COUNTIF($C$4:C41, C41))</f>
        <v/>
      </c>
      <c r="B41" s="3" t="n"/>
      <c r="C41" s="3" t="n"/>
      <c r="D41" s="15">
        <f>IFERROR(IF(C41="","",VLOOKUP(C41, '🏷️ Catálogo Productos'!A:C, 3, FALSE)), "")</f>
        <v/>
      </c>
      <c r="E41" s="24">
        <f>IFERROR(IF(C41="","",VLOOKUP(C41, '🏷️ Catálogo Productos'!A:D, 4, FALSE)), "")</f>
        <v/>
      </c>
      <c r="F41" s="3" t="n"/>
      <c r="G41" s="31">
        <f>IFERROR(IF(C41="","",VLOOKUP(C41, '🏷️ Catálogo Productos'!A:F, 6, FALSE)), 0)</f>
        <v/>
      </c>
      <c r="H41" s="31">
        <f>IF(F41="","",F41*G41)</f>
        <v/>
      </c>
      <c r="I41" s="3" t="n"/>
      <c r="J41" s="3" t="n"/>
    </row>
    <row r="42" ht="20" customHeight="1">
      <c r="A42" s="6">
        <f>IF(C42="","", C42 &amp; COUNTIF($C$4:C42, C42))</f>
        <v/>
      </c>
      <c r="B42" s="3" t="n"/>
      <c r="C42" s="3" t="n"/>
      <c r="D42" s="15">
        <f>IFERROR(IF(C42="","",VLOOKUP(C42, '🏷️ Catálogo Productos'!A:C, 3, FALSE)), "")</f>
        <v/>
      </c>
      <c r="E42" s="24">
        <f>IFERROR(IF(C42="","",VLOOKUP(C42, '🏷️ Catálogo Productos'!A:D, 4, FALSE)), "")</f>
        <v/>
      </c>
      <c r="F42" s="3" t="n"/>
      <c r="G42" s="31">
        <f>IFERROR(IF(C42="","",VLOOKUP(C42, '🏷️ Catálogo Productos'!A:F, 6, FALSE)), 0)</f>
        <v/>
      </c>
      <c r="H42" s="31">
        <f>IF(F42="","",F42*G42)</f>
        <v/>
      </c>
      <c r="I42" s="3" t="n"/>
      <c r="J42" s="3" t="n"/>
    </row>
    <row r="43" ht="20" customHeight="1">
      <c r="A43" s="6">
        <f>IF(C43="","", C43 &amp; COUNTIF($C$4:C43, C43))</f>
        <v/>
      </c>
      <c r="B43" s="3" t="n"/>
      <c r="C43" s="3" t="n"/>
      <c r="D43" s="15">
        <f>IFERROR(IF(C43="","",VLOOKUP(C43, '🏷️ Catálogo Productos'!A:C, 3, FALSE)), "")</f>
        <v/>
      </c>
      <c r="E43" s="24">
        <f>IFERROR(IF(C43="","",VLOOKUP(C43, '🏷️ Catálogo Productos'!A:D, 4, FALSE)), "")</f>
        <v/>
      </c>
      <c r="F43" s="3" t="n"/>
      <c r="G43" s="31">
        <f>IFERROR(IF(C43="","",VLOOKUP(C43, '🏷️ Catálogo Productos'!A:F, 6, FALSE)), 0)</f>
        <v/>
      </c>
      <c r="H43" s="31">
        <f>IF(F43="","",F43*G43)</f>
        <v/>
      </c>
      <c r="I43" s="3" t="n"/>
      <c r="J43" s="3" t="n"/>
    </row>
    <row r="44" ht="20" customHeight="1">
      <c r="A44" s="6">
        <f>IF(C44="","", C44 &amp; COUNTIF($C$4:C44, C44))</f>
        <v/>
      </c>
      <c r="B44" s="3" t="n"/>
      <c r="C44" s="3" t="n"/>
      <c r="D44" s="15">
        <f>IFERROR(IF(C44="","",VLOOKUP(C44, '🏷️ Catálogo Productos'!A:C, 3, FALSE)), "")</f>
        <v/>
      </c>
      <c r="E44" s="24">
        <f>IFERROR(IF(C44="","",VLOOKUP(C44, '🏷️ Catálogo Productos'!A:D, 4, FALSE)), "")</f>
        <v/>
      </c>
      <c r="F44" s="3" t="n"/>
      <c r="G44" s="31">
        <f>IFERROR(IF(C44="","",VLOOKUP(C44, '🏷️ Catálogo Productos'!A:F, 6, FALSE)), 0)</f>
        <v/>
      </c>
      <c r="H44" s="31">
        <f>IF(F44="","",F44*G44)</f>
        <v/>
      </c>
      <c r="I44" s="3" t="n"/>
      <c r="J44" s="3" t="n"/>
    </row>
    <row r="45" ht="20" customHeight="1">
      <c r="A45" s="6">
        <f>IF(C45="","", C45 &amp; COUNTIF($C$4:C45, C45))</f>
        <v/>
      </c>
      <c r="B45" s="3" t="n"/>
      <c r="C45" s="3" t="n"/>
      <c r="D45" s="15">
        <f>IFERROR(IF(C45="","",VLOOKUP(C45, '🏷️ Catálogo Productos'!A:C, 3, FALSE)), "")</f>
        <v/>
      </c>
      <c r="E45" s="24">
        <f>IFERROR(IF(C45="","",VLOOKUP(C45, '🏷️ Catálogo Productos'!A:D, 4, FALSE)), "")</f>
        <v/>
      </c>
      <c r="F45" s="3" t="n"/>
      <c r="G45" s="31">
        <f>IFERROR(IF(C45="","",VLOOKUP(C45, '🏷️ Catálogo Productos'!A:F, 6, FALSE)), 0)</f>
        <v/>
      </c>
      <c r="H45" s="31">
        <f>IF(F45="","",F45*G45)</f>
        <v/>
      </c>
      <c r="I45" s="3" t="n"/>
      <c r="J45" s="3" t="n"/>
    </row>
    <row r="46" ht="20" customHeight="1">
      <c r="A46" s="6">
        <f>IF(C46="","", C46 &amp; COUNTIF($C$4:C46, C46))</f>
        <v/>
      </c>
      <c r="B46" s="3" t="n"/>
      <c r="C46" s="3" t="n"/>
      <c r="D46" s="15">
        <f>IFERROR(IF(C46="","",VLOOKUP(C46, '🏷️ Catálogo Productos'!A:C, 3, FALSE)), "")</f>
        <v/>
      </c>
      <c r="E46" s="24">
        <f>IFERROR(IF(C46="","",VLOOKUP(C46, '🏷️ Catálogo Productos'!A:D, 4, FALSE)), "")</f>
        <v/>
      </c>
      <c r="F46" s="3" t="n"/>
      <c r="G46" s="31">
        <f>IFERROR(IF(C46="","",VLOOKUP(C46, '🏷️ Catálogo Productos'!A:F, 6, FALSE)), 0)</f>
        <v/>
      </c>
      <c r="H46" s="31">
        <f>IF(F46="","",F46*G46)</f>
        <v/>
      </c>
      <c r="I46" s="3" t="n"/>
      <c r="J46" s="3" t="n"/>
    </row>
    <row r="47" ht="20" customHeight="1">
      <c r="A47" s="6">
        <f>IF(C47="","", C47 &amp; COUNTIF($C$4:C47, C47))</f>
        <v/>
      </c>
      <c r="B47" s="3" t="n"/>
      <c r="C47" s="3" t="n"/>
      <c r="D47" s="15">
        <f>IFERROR(IF(C47="","",VLOOKUP(C47, '🏷️ Catálogo Productos'!A:C, 3, FALSE)), "")</f>
        <v/>
      </c>
      <c r="E47" s="24">
        <f>IFERROR(IF(C47="","",VLOOKUP(C47, '🏷️ Catálogo Productos'!A:D, 4, FALSE)), "")</f>
        <v/>
      </c>
      <c r="F47" s="3" t="n"/>
      <c r="G47" s="31">
        <f>IFERROR(IF(C47="","",VLOOKUP(C47, '🏷️ Catálogo Productos'!A:F, 6, FALSE)), 0)</f>
        <v/>
      </c>
      <c r="H47" s="31">
        <f>IF(F47="","",F47*G47)</f>
        <v/>
      </c>
      <c r="I47" s="3" t="n"/>
      <c r="J47" s="3" t="n"/>
    </row>
    <row r="48" ht="20" customHeight="1">
      <c r="A48" s="6">
        <f>IF(C48="","", C48 &amp; COUNTIF($C$4:C48, C48))</f>
        <v/>
      </c>
      <c r="B48" s="3" t="n"/>
      <c r="C48" s="3" t="n"/>
      <c r="D48" s="15">
        <f>IFERROR(IF(C48="","",VLOOKUP(C48, '🏷️ Catálogo Productos'!A:C, 3, FALSE)), "")</f>
        <v/>
      </c>
      <c r="E48" s="24">
        <f>IFERROR(IF(C48="","",VLOOKUP(C48, '🏷️ Catálogo Productos'!A:D, 4, FALSE)), "")</f>
        <v/>
      </c>
      <c r="F48" s="3" t="n"/>
      <c r="G48" s="31">
        <f>IFERROR(IF(C48="","",VLOOKUP(C48, '🏷️ Catálogo Productos'!A:F, 6, FALSE)), 0)</f>
        <v/>
      </c>
      <c r="H48" s="31">
        <f>IF(F48="","",F48*G48)</f>
        <v/>
      </c>
      <c r="I48" s="3" t="n"/>
      <c r="J48" s="3" t="n"/>
    </row>
    <row r="49" ht="20" customHeight="1">
      <c r="A49" s="6">
        <f>IF(C49="","", C49 &amp; COUNTIF($C$4:C49, C49))</f>
        <v/>
      </c>
      <c r="B49" s="3" t="n"/>
      <c r="C49" s="3" t="n"/>
      <c r="D49" s="15">
        <f>IFERROR(IF(C49="","",VLOOKUP(C49, '🏷️ Catálogo Productos'!A:C, 3, FALSE)), "")</f>
        <v/>
      </c>
      <c r="E49" s="24">
        <f>IFERROR(IF(C49="","",VLOOKUP(C49, '🏷️ Catálogo Productos'!A:D, 4, FALSE)), "")</f>
        <v/>
      </c>
      <c r="F49" s="3" t="n"/>
      <c r="G49" s="31">
        <f>IFERROR(IF(C49="","",VLOOKUP(C49, '🏷️ Catálogo Productos'!A:F, 6, FALSE)), 0)</f>
        <v/>
      </c>
      <c r="H49" s="31">
        <f>IF(F49="","",F49*G49)</f>
        <v/>
      </c>
      <c r="I49" s="3" t="n"/>
      <c r="J49" s="3" t="n"/>
    </row>
    <row r="50" ht="20" customHeight="1">
      <c r="A50" s="6">
        <f>IF(C50="","", C50 &amp; COUNTIF($C$4:C50, C50))</f>
        <v/>
      </c>
      <c r="B50" s="3" t="n"/>
      <c r="C50" s="3" t="n"/>
      <c r="D50" s="15">
        <f>IFERROR(IF(C50="","",VLOOKUP(C50, '🏷️ Catálogo Productos'!A:C, 3, FALSE)), "")</f>
        <v/>
      </c>
      <c r="E50" s="24">
        <f>IFERROR(IF(C50="","",VLOOKUP(C50, '🏷️ Catálogo Productos'!A:D, 4, FALSE)), "")</f>
        <v/>
      </c>
      <c r="F50" s="3" t="n"/>
      <c r="G50" s="31">
        <f>IFERROR(IF(C50="","",VLOOKUP(C50, '🏷️ Catálogo Productos'!A:F, 6, FALSE)), 0)</f>
        <v/>
      </c>
      <c r="H50" s="31">
        <f>IF(F50="","",F50*G50)</f>
        <v/>
      </c>
      <c r="I50" s="3" t="n"/>
      <c r="J50" s="3" t="n"/>
    </row>
    <row r="51" ht="20" customHeight="1">
      <c r="A51" s="6">
        <f>IF(C51="","", C51 &amp; COUNTIF($C$4:C51, C51))</f>
        <v/>
      </c>
      <c r="B51" s="3" t="n"/>
      <c r="C51" s="3" t="n"/>
      <c r="D51" s="15">
        <f>IFERROR(IF(C51="","",VLOOKUP(C51, '🏷️ Catálogo Productos'!A:C, 3, FALSE)), "")</f>
        <v/>
      </c>
      <c r="E51" s="24">
        <f>IFERROR(IF(C51="","",VLOOKUP(C51, '🏷️ Catálogo Productos'!A:D, 4, FALSE)), "")</f>
        <v/>
      </c>
      <c r="F51" s="3" t="n"/>
      <c r="G51" s="31">
        <f>IFERROR(IF(C51="","",VLOOKUP(C51, '🏷️ Catálogo Productos'!A:F, 6, FALSE)), 0)</f>
        <v/>
      </c>
      <c r="H51" s="31">
        <f>IF(F51="","",F51*G51)</f>
        <v/>
      </c>
      <c r="I51" s="3" t="n"/>
      <c r="J51" s="3" t="n"/>
    </row>
    <row r="52" ht="20" customHeight="1">
      <c r="A52" s="6">
        <f>IF(C52="","", C52 &amp; COUNTIF($C$4:C52, C52))</f>
        <v/>
      </c>
      <c r="B52" s="3" t="n"/>
      <c r="C52" s="3" t="n"/>
      <c r="D52" s="15">
        <f>IFERROR(IF(C52="","",VLOOKUP(C52, '🏷️ Catálogo Productos'!A:C, 3, FALSE)), "")</f>
        <v/>
      </c>
      <c r="E52" s="24">
        <f>IFERROR(IF(C52="","",VLOOKUP(C52, '🏷️ Catálogo Productos'!A:D, 4, FALSE)), "")</f>
        <v/>
      </c>
      <c r="F52" s="3" t="n"/>
      <c r="G52" s="31">
        <f>IFERROR(IF(C52="","",VLOOKUP(C52, '🏷️ Catálogo Productos'!A:F, 6, FALSE)), 0)</f>
        <v/>
      </c>
      <c r="H52" s="31">
        <f>IF(F52="","",F52*G52)</f>
        <v/>
      </c>
      <c r="I52" s="3" t="n"/>
      <c r="J52" s="3" t="n"/>
    </row>
    <row r="53" ht="20" customHeight="1">
      <c r="A53" s="6">
        <f>IF(C53="","", C53 &amp; COUNTIF($C$4:C53, C53))</f>
        <v/>
      </c>
      <c r="B53" s="3" t="n"/>
      <c r="C53" s="3" t="n"/>
      <c r="D53" s="15">
        <f>IFERROR(IF(C53="","",VLOOKUP(C53, '🏷️ Catálogo Productos'!A:C, 3, FALSE)), "")</f>
        <v/>
      </c>
      <c r="E53" s="24">
        <f>IFERROR(IF(C53="","",VLOOKUP(C53, '🏷️ Catálogo Productos'!A:D, 4, FALSE)), "")</f>
        <v/>
      </c>
      <c r="F53" s="3" t="n"/>
      <c r="G53" s="31">
        <f>IFERROR(IF(C53="","",VLOOKUP(C53, '🏷️ Catálogo Productos'!A:F, 6, FALSE)), 0)</f>
        <v/>
      </c>
      <c r="H53" s="31">
        <f>IF(F53="","",F53*G53)</f>
        <v/>
      </c>
      <c r="I53" s="3" t="n"/>
      <c r="J53" s="3" t="n"/>
    </row>
    <row r="54" ht="20" customHeight="1">
      <c r="A54" s="6">
        <f>IF(C54="","", C54 &amp; COUNTIF($C$4:C54, C54))</f>
        <v/>
      </c>
      <c r="B54" s="3" t="n"/>
      <c r="C54" s="3" t="n"/>
      <c r="D54" s="15">
        <f>IFERROR(IF(C54="","",VLOOKUP(C54, '🏷️ Catálogo Productos'!A:C, 3, FALSE)), "")</f>
        <v/>
      </c>
      <c r="E54" s="24">
        <f>IFERROR(IF(C54="","",VLOOKUP(C54, '🏷️ Catálogo Productos'!A:D, 4, FALSE)), "")</f>
        <v/>
      </c>
      <c r="F54" s="3" t="n"/>
      <c r="G54" s="31">
        <f>IFERROR(IF(C54="","",VLOOKUP(C54, '🏷️ Catálogo Productos'!A:F, 6, FALSE)), 0)</f>
        <v/>
      </c>
      <c r="H54" s="31">
        <f>IF(F54="","",F54*G54)</f>
        <v/>
      </c>
      <c r="I54" s="3" t="n"/>
      <c r="J54" s="3" t="n"/>
    </row>
    <row r="55" ht="20" customHeight="1">
      <c r="A55" s="6">
        <f>IF(C55="","", C55 &amp; COUNTIF($C$4:C55, C55))</f>
        <v/>
      </c>
      <c r="B55" s="3" t="n"/>
      <c r="C55" s="3" t="n"/>
      <c r="D55" s="15">
        <f>IFERROR(IF(C55="","",VLOOKUP(C55, '🏷️ Catálogo Productos'!A:C, 3, FALSE)), "")</f>
        <v/>
      </c>
      <c r="E55" s="24">
        <f>IFERROR(IF(C55="","",VLOOKUP(C55, '🏷️ Catálogo Productos'!A:D, 4, FALSE)), "")</f>
        <v/>
      </c>
      <c r="F55" s="3" t="n"/>
      <c r="G55" s="31">
        <f>IFERROR(IF(C55="","",VLOOKUP(C55, '🏷️ Catálogo Productos'!A:F, 6, FALSE)), 0)</f>
        <v/>
      </c>
      <c r="H55" s="31">
        <f>IF(F55="","",F55*G55)</f>
        <v/>
      </c>
      <c r="I55" s="3" t="n"/>
      <c r="J55" s="3" t="n"/>
    </row>
    <row r="56" ht="20" customHeight="1">
      <c r="A56" s="6">
        <f>IF(C56="","", C56 &amp; COUNTIF($C$4:C56, C56))</f>
        <v/>
      </c>
      <c r="B56" s="3" t="n"/>
      <c r="C56" s="3" t="n"/>
      <c r="D56" s="15">
        <f>IFERROR(IF(C56="","",VLOOKUP(C56, '🏷️ Catálogo Productos'!A:C, 3, FALSE)), "")</f>
        <v/>
      </c>
      <c r="E56" s="24">
        <f>IFERROR(IF(C56="","",VLOOKUP(C56, '🏷️ Catálogo Productos'!A:D, 4, FALSE)), "")</f>
        <v/>
      </c>
      <c r="F56" s="3" t="n"/>
      <c r="G56" s="31">
        <f>IFERROR(IF(C56="","",VLOOKUP(C56, '🏷️ Catálogo Productos'!A:F, 6, FALSE)), 0)</f>
        <v/>
      </c>
      <c r="H56" s="31">
        <f>IF(F56="","",F56*G56)</f>
        <v/>
      </c>
      <c r="I56" s="3" t="n"/>
      <c r="J56" s="3" t="n"/>
    </row>
    <row r="57" ht="20" customHeight="1">
      <c r="A57" s="6">
        <f>IF(C57="","", C57 &amp; COUNTIF($C$4:C57, C57))</f>
        <v/>
      </c>
      <c r="B57" s="3" t="n"/>
      <c r="C57" s="3" t="n"/>
      <c r="D57" s="15">
        <f>IFERROR(IF(C57="","",VLOOKUP(C57, '🏷️ Catálogo Productos'!A:C, 3, FALSE)), "")</f>
        <v/>
      </c>
      <c r="E57" s="24">
        <f>IFERROR(IF(C57="","",VLOOKUP(C57, '🏷️ Catálogo Productos'!A:D, 4, FALSE)), "")</f>
        <v/>
      </c>
      <c r="F57" s="3" t="n"/>
      <c r="G57" s="31">
        <f>IFERROR(IF(C57="","",VLOOKUP(C57, '🏷️ Catálogo Productos'!A:F, 6, FALSE)), 0)</f>
        <v/>
      </c>
      <c r="H57" s="31">
        <f>IF(F57="","",F57*G57)</f>
        <v/>
      </c>
      <c r="I57" s="3" t="n"/>
      <c r="J57" s="3" t="n"/>
    </row>
    <row r="58" ht="20" customHeight="1">
      <c r="A58" s="6">
        <f>IF(C58="","", C58 &amp; COUNTIF($C$4:C58, C58))</f>
        <v/>
      </c>
      <c r="B58" s="3" t="n"/>
      <c r="C58" s="3" t="n"/>
      <c r="D58" s="15">
        <f>IFERROR(IF(C58="","",VLOOKUP(C58, '🏷️ Catálogo Productos'!A:C, 3, FALSE)), "")</f>
        <v/>
      </c>
      <c r="E58" s="24">
        <f>IFERROR(IF(C58="","",VLOOKUP(C58, '🏷️ Catálogo Productos'!A:D, 4, FALSE)), "")</f>
        <v/>
      </c>
      <c r="F58" s="3" t="n"/>
      <c r="G58" s="31">
        <f>IFERROR(IF(C58="","",VLOOKUP(C58, '🏷️ Catálogo Productos'!A:F, 6, FALSE)), 0)</f>
        <v/>
      </c>
      <c r="H58" s="31">
        <f>IF(F58="","",F58*G58)</f>
        <v/>
      </c>
      <c r="I58" s="3" t="n"/>
      <c r="J58" s="3" t="n"/>
    </row>
    <row r="59" ht="20" customHeight="1">
      <c r="A59" s="6">
        <f>IF(C59="","", C59 &amp; COUNTIF($C$4:C59, C59))</f>
        <v/>
      </c>
      <c r="B59" s="3" t="n"/>
      <c r="C59" s="3" t="n"/>
      <c r="D59" s="15">
        <f>IFERROR(IF(C59="","",VLOOKUP(C59, '🏷️ Catálogo Productos'!A:C, 3, FALSE)), "")</f>
        <v/>
      </c>
      <c r="E59" s="24">
        <f>IFERROR(IF(C59="","",VLOOKUP(C59, '🏷️ Catálogo Productos'!A:D, 4, FALSE)), "")</f>
        <v/>
      </c>
      <c r="F59" s="3" t="n"/>
      <c r="G59" s="31">
        <f>IFERROR(IF(C59="","",VLOOKUP(C59, '🏷️ Catálogo Productos'!A:F, 6, FALSE)), 0)</f>
        <v/>
      </c>
      <c r="H59" s="31">
        <f>IF(F59="","",F59*G59)</f>
        <v/>
      </c>
      <c r="I59" s="3" t="n"/>
      <c r="J59" s="3" t="n"/>
    </row>
  </sheetData>
  <mergeCells count="1">
    <mergeCell ref="A1:J1"/>
  </mergeCells>
  <dataValidations count="2">
    <dataValidation sqref="C4:C30 C4:C60" showDropDown="0" showInputMessage="0" showErrorMessage="0" allowBlank="1" type="list">
      <formula1>'🏷️ Catálogo Productos'!$A$4:$A$15</formula1>
    </dataValidation>
    <dataValidation sqref="I4:I60" showDropDown="0" showInputMessage="0" showErrorMessage="0" allowBlank="1" type="list">
      <formula1>'⚙️ Configuración'!$E$4:$E$8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35" customWidth="1" min="2" max="2"/>
    <col width="24" customWidth="1" min="3" max="3"/>
    <col width="23" customWidth="1" min="4" max="4"/>
    <col width="18" customWidth="1" min="5" max="5"/>
    <col width="13" customWidth="1" min="6" max="6"/>
    <col width="23" customWidth="1" min="7" max="7"/>
    <col width="19" customWidth="1" min="8" max="8"/>
    <col width="21" customWidth="1" min="9" max="9"/>
    <col width="32" customWidth="1" min="10" max="10"/>
  </cols>
  <sheetData>
    <row r="1" ht="40" customHeight="1">
      <c r="A1" s="1" t="inlineStr">
        <is>
          <t>INVENTARIO DE ACTIVOS FIJOS Y EQUIPAMIENTO DE LA ACADEMIA</t>
        </is>
      </c>
    </row>
    <row r="2"/>
    <row r="3" ht="28" customHeight="1">
      <c r="A3" s="23" t="inlineStr">
        <is>
          <t>Código Activo</t>
        </is>
      </c>
      <c r="B3" s="23" t="inlineStr">
        <is>
          <t>Nombre del Activo</t>
        </is>
      </c>
      <c r="C3" s="23" t="inlineStr">
        <is>
          <t>Categoría</t>
        </is>
      </c>
      <c r="D3" s="23" t="inlineStr">
        <is>
          <t>Ubicación</t>
        </is>
      </c>
      <c r="E3" s="23" t="inlineStr">
        <is>
          <t>Cantidad</t>
        </is>
      </c>
      <c r="F3" s="23" t="inlineStr">
        <is>
          <t>Estado</t>
        </is>
      </c>
      <c r="G3" s="23" t="inlineStr">
        <is>
          <t>Valor Est. Unit ($)</t>
        </is>
      </c>
      <c r="H3" s="23" t="inlineStr">
        <is>
          <t>Valor Total ($)</t>
        </is>
      </c>
      <c r="I3" s="23" t="inlineStr">
        <is>
          <t>Fecha Adquisición</t>
        </is>
      </c>
      <c r="J3" s="23" t="inlineStr">
        <is>
          <t>Observaciones</t>
        </is>
      </c>
    </row>
    <row r="4" ht="20" customHeight="1">
      <c r="A4" s="24" t="inlineStr">
        <is>
          <t>ACT-001</t>
        </is>
      </c>
      <c r="B4" s="15" t="inlineStr">
        <is>
          <t>Barra / Pole Profesional 45mm Inox</t>
        </is>
      </c>
      <c r="C4" s="15" t="inlineStr">
        <is>
          <t>Equipamiento Pole</t>
        </is>
      </c>
      <c r="D4" s="15" t="inlineStr">
        <is>
          <t>Salón Principal</t>
        </is>
      </c>
      <c r="E4" s="16" t="n">
        <v>6</v>
      </c>
      <c r="F4" s="24" t="inlineStr">
        <is>
          <t>Excelente</t>
        </is>
      </c>
      <c r="G4" s="17" t="n">
        <v>1200000</v>
      </c>
      <c r="H4" s="17">
        <f>E4*G4</f>
        <v/>
      </c>
      <c r="I4" s="24" t="inlineStr">
        <is>
          <t>2025-01-10</t>
        </is>
      </c>
      <c r="J4" s="15" t="inlineStr">
        <is>
          <t>Poles de acero inoxidable removibles</t>
        </is>
      </c>
    </row>
    <row r="5" ht="20" customHeight="1">
      <c r="A5" s="25" t="inlineStr">
        <is>
          <t>ACT-002</t>
        </is>
      </c>
      <c r="B5" s="26" t="inlineStr">
        <is>
          <t>Colchoneta de Caída para Pole 10cm</t>
        </is>
      </c>
      <c r="C5" s="26" t="inlineStr">
        <is>
          <t>Equipamiento Pole</t>
        </is>
      </c>
      <c r="D5" s="26" t="inlineStr">
        <is>
          <t>Salón Principal</t>
        </is>
      </c>
      <c r="E5" s="28" t="n">
        <v>6</v>
      </c>
      <c r="F5" s="25" t="inlineStr">
        <is>
          <t>Bueno</t>
        </is>
      </c>
      <c r="G5" s="27" t="n">
        <v>350000</v>
      </c>
      <c r="H5" s="27">
        <f>E5*G5</f>
        <v/>
      </c>
      <c r="I5" s="25" t="inlineStr">
        <is>
          <t>2025-01-10</t>
        </is>
      </c>
      <c r="J5" s="26" t="inlineStr">
        <is>
          <t>Espuma alta densidad</t>
        </is>
      </c>
    </row>
    <row r="6" ht="20" customHeight="1">
      <c r="A6" s="24" t="inlineStr">
        <is>
          <t>ACT-003</t>
        </is>
      </c>
      <c r="B6" s="15" t="inlineStr">
        <is>
          <t>Atomizador Spray de Alcohol/Limpieza</t>
        </is>
      </c>
      <c r="C6" s="15" t="inlineStr">
        <is>
          <t>Aseo y Limpieza</t>
        </is>
      </c>
      <c r="D6" s="15" t="inlineStr">
        <is>
          <t>Salón / Recepción</t>
        </is>
      </c>
      <c r="E6" s="16" t="n">
        <v>8</v>
      </c>
      <c r="F6" s="24" t="inlineStr">
        <is>
          <t>Excelente</t>
        </is>
      </c>
      <c r="G6" s="17" t="n">
        <v>15000</v>
      </c>
      <c r="H6" s="17">
        <f>E6*G6</f>
        <v/>
      </c>
      <c r="I6" s="24" t="inlineStr">
        <is>
          <t>2026-02-01</t>
        </is>
      </c>
      <c r="J6" s="15" t="inlineStr">
        <is>
          <t>Para desinfección de poles</t>
        </is>
      </c>
    </row>
    <row r="7" ht="20" customHeight="1">
      <c r="A7" s="25" t="inlineStr">
        <is>
          <t>ACT-004</t>
        </is>
      </c>
      <c r="B7" s="26" t="inlineStr">
        <is>
          <t>Canastas de Almacenamiento Objetos</t>
        </is>
      </c>
      <c r="C7" s="26" t="inlineStr">
        <is>
          <t>Mobiliario y Confort</t>
        </is>
      </c>
      <c r="D7" s="26" t="inlineStr">
        <is>
          <t>Vestier / Salón</t>
        </is>
      </c>
      <c r="E7" s="28" t="n">
        <v>5</v>
      </c>
      <c r="F7" s="25" t="inlineStr">
        <is>
          <t>Bueno</t>
        </is>
      </c>
      <c r="G7" s="27" t="n">
        <v>45000</v>
      </c>
      <c r="H7" s="27">
        <f>E7*G7</f>
        <v/>
      </c>
      <c r="I7" s="25" t="inlineStr">
        <is>
          <t>2025-06-15</t>
        </is>
      </c>
      <c r="J7" s="26" t="inlineStr">
        <is>
          <t>Canastas organizadoras alumnas</t>
        </is>
      </c>
    </row>
    <row r="8" ht="20" customHeight="1">
      <c r="A8" s="24" t="inlineStr">
        <is>
          <t>ACT-005</t>
        </is>
      </c>
      <c r="B8" s="15" t="inlineStr">
        <is>
          <t>Mats / Colchonetas de Estiramiento</t>
        </is>
      </c>
      <c r="C8" s="15" t="inlineStr">
        <is>
          <t>Equipamiento Pole</t>
        </is>
      </c>
      <c r="D8" s="15" t="inlineStr">
        <is>
          <t>Salón Principal</t>
        </is>
      </c>
      <c r="E8" s="16" t="n">
        <v>12</v>
      </c>
      <c r="F8" s="24" t="inlineStr">
        <is>
          <t>Bueno</t>
        </is>
      </c>
      <c r="G8" s="17" t="n">
        <v>60000</v>
      </c>
      <c r="H8" s="17">
        <f>E8*G8</f>
        <v/>
      </c>
      <c r="I8" s="24" t="inlineStr">
        <is>
          <t>2025-03-20</t>
        </is>
      </c>
      <c r="J8" s="15" t="inlineStr">
        <is>
          <t>Yoga mats antideslizantes</t>
        </is>
      </c>
    </row>
    <row r="9" ht="20" customHeight="1">
      <c r="A9" s="25" t="inlineStr">
        <is>
          <t>ACT-006</t>
        </is>
      </c>
      <c r="B9" s="26" t="inlineStr">
        <is>
          <t>Poltrona Confort Recepción</t>
        </is>
      </c>
      <c r="C9" s="26" t="inlineStr">
        <is>
          <t>Mobiliario y Confort</t>
        </is>
      </c>
      <c r="D9" s="26" t="inlineStr">
        <is>
          <t>Recepción</t>
        </is>
      </c>
      <c r="E9" s="28" t="n">
        <v>2</v>
      </c>
      <c r="F9" s="25" t="inlineStr">
        <is>
          <t>Excelente</t>
        </is>
      </c>
      <c r="G9" s="27" t="n">
        <v>450000</v>
      </c>
      <c r="H9" s="27">
        <f>E9*G9</f>
        <v/>
      </c>
      <c r="I9" s="25" t="inlineStr">
        <is>
          <t>2025-01-15</t>
        </is>
      </c>
      <c r="J9" s="26" t="inlineStr">
        <is>
          <t>Sillas de espera clientes</t>
        </is>
      </c>
    </row>
    <row r="10" ht="20" customHeight="1">
      <c r="A10" s="24" t="inlineStr">
        <is>
          <t>ACT-007</t>
        </is>
      </c>
      <c r="B10" s="15" t="inlineStr">
        <is>
          <t>Materas Decorativas con Plantas</t>
        </is>
      </c>
      <c r="C10" s="15" t="inlineStr">
        <is>
          <t>Decoración y Plantas</t>
        </is>
      </c>
      <c r="D10" s="15" t="inlineStr">
        <is>
          <t>Entrada / Recepción</t>
        </is>
      </c>
      <c r="E10" s="16" t="n">
        <v>4</v>
      </c>
      <c r="F10" s="24" t="inlineStr">
        <is>
          <t>Excelente</t>
        </is>
      </c>
      <c r="G10" s="17" t="n">
        <v>80000</v>
      </c>
      <c r="H10" s="17">
        <f>E10*G10</f>
        <v/>
      </c>
      <c r="I10" s="24" t="inlineStr">
        <is>
          <t>2025-05-10</t>
        </is>
      </c>
      <c r="J10" s="15" t="inlineStr">
        <is>
          <t>Planta natural de interior</t>
        </is>
      </c>
    </row>
    <row r="11" ht="20" customHeight="1">
      <c r="A11" s="25" t="inlineStr">
        <is>
          <t>ACT-008</t>
        </is>
      </c>
      <c r="B11" s="26" t="inlineStr">
        <is>
          <t>Sistema de Sonido Bluetooth 200W</t>
        </is>
      </c>
      <c r="C11" s="26" t="inlineStr">
        <is>
          <t>Audio y Electrónica</t>
        </is>
      </c>
      <c r="D11" s="26" t="inlineStr">
        <is>
          <t>Salón Principal</t>
        </is>
      </c>
      <c r="E11" s="28" t="n">
        <v>1</v>
      </c>
      <c r="F11" s="25" t="inlineStr">
        <is>
          <t>Excelente</t>
        </is>
      </c>
      <c r="G11" s="27" t="n">
        <v>850000</v>
      </c>
      <c r="H11" s="27">
        <f>E11*G11</f>
        <v/>
      </c>
      <c r="I11" s="25" t="inlineStr">
        <is>
          <t>2025-01-12</t>
        </is>
      </c>
      <c r="J11" s="26" t="inlineStr">
        <is>
          <t>Torre de sonido con micrófono</t>
        </is>
      </c>
    </row>
    <row r="12">
      <c r="A12" s="18" t="n"/>
      <c r="B12" s="18" t="n"/>
      <c r="C12" s="18" t="n"/>
      <c r="D12" s="30" t="inlineStr">
        <is>
          <t>TOTAL VALOR ACTIVOS</t>
        </is>
      </c>
      <c r="E12" s="19">
        <f>SUM(E4:E11)</f>
        <v/>
      </c>
      <c r="F12" s="18" t="n"/>
      <c r="G12" s="18" t="n"/>
      <c r="H12" s="20">
        <f>SUM(H4:H11)</f>
        <v/>
      </c>
      <c r="I12" s="18" t="n"/>
      <c r="J12" s="18" t="n"/>
    </row>
    <row r="13" ht="20" customHeight="1">
      <c r="A13" s="24" t="inlineStr">
        <is>
          <t>ACT-010</t>
        </is>
      </c>
      <c r="B13" s="3" t="n"/>
      <c r="C13" s="3" t="n"/>
      <c r="D13" s="3" t="n"/>
      <c r="E13" s="3" t="n"/>
      <c r="F13" s="3" t="n"/>
      <c r="G13" s="3" t="n"/>
      <c r="H13" s="31">
        <f>IF(E13="","",E13*G13)</f>
        <v/>
      </c>
      <c r="I13" s="3" t="n"/>
      <c r="J13" s="3" t="n"/>
    </row>
    <row r="14" ht="20" customHeight="1">
      <c r="A14" s="24" t="inlineStr">
        <is>
          <t>ACT-011</t>
        </is>
      </c>
      <c r="B14" s="3" t="n"/>
      <c r="C14" s="3" t="n"/>
      <c r="D14" s="3" t="n"/>
      <c r="E14" s="3" t="n"/>
      <c r="F14" s="3" t="n"/>
      <c r="G14" s="3" t="n"/>
      <c r="H14" s="31">
        <f>IF(E14="","",E14*G14)</f>
        <v/>
      </c>
      <c r="I14" s="3" t="n"/>
      <c r="J14" s="3" t="n"/>
    </row>
    <row r="15" ht="20" customHeight="1">
      <c r="A15" s="24" t="inlineStr">
        <is>
          <t>ACT-012</t>
        </is>
      </c>
      <c r="B15" s="3" t="n"/>
      <c r="C15" s="3" t="n"/>
      <c r="D15" s="3" t="n"/>
      <c r="E15" s="3" t="n"/>
      <c r="F15" s="3" t="n"/>
      <c r="G15" s="3" t="n"/>
      <c r="H15" s="31">
        <f>IF(E15="","",E15*G15)</f>
        <v/>
      </c>
      <c r="I15" s="3" t="n"/>
      <c r="J15" s="3" t="n"/>
    </row>
    <row r="16" ht="20" customHeight="1">
      <c r="A16" s="24" t="inlineStr">
        <is>
          <t>ACT-013</t>
        </is>
      </c>
      <c r="B16" s="3" t="n"/>
      <c r="C16" s="3" t="n"/>
      <c r="D16" s="3" t="n"/>
      <c r="E16" s="3" t="n"/>
      <c r="F16" s="3" t="n"/>
      <c r="G16" s="3" t="n"/>
      <c r="H16" s="31">
        <f>IF(E16="","",E16*G16)</f>
        <v/>
      </c>
      <c r="I16" s="3" t="n"/>
      <c r="J16" s="3" t="n"/>
    </row>
    <row r="17" ht="20" customHeight="1">
      <c r="A17" s="24" t="inlineStr">
        <is>
          <t>ACT-014</t>
        </is>
      </c>
      <c r="B17" s="3" t="n"/>
      <c r="C17" s="3" t="n"/>
      <c r="D17" s="3" t="n"/>
      <c r="E17" s="3" t="n"/>
      <c r="F17" s="3" t="n"/>
      <c r="G17" s="3" t="n"/>
      <c r="H17" s="31">
        <f>IF(E17="","",E17*G17)</f>
        <v/>
      </c>
      <c r="I17" s="3" t="n"/>
      <c r="J17" s="3" t="n"/>
    </row>
    <row r="18" ht="20" customHeight="1">
      <c r="A18" s="24" t="inlineStr">
        <is>
          <t>ACT-015</t>
        </is>
      </c>
      <c r="B18" s="3" t="n"/>
      <c r="C18" s="3" t="n"/>
      <c r="D18" s="3" t="n"/>
      <c r="E18" s="3" t="n"/>
      <c r="F18" s="3" t="n"/>
      <c r="G18" s="3" t="n"/>
      <c r="H18" s="31">
        <f>IF(E18="","",E18*G18)</f>
        <v/>
      </c>
      <c r="I18" s="3" t="n"/>
      <c r="J18" s="3" t="n"/>
    </row>
    <row r="19" ht="20" customHeight="1">
      <c r="A19" s="24" t="inlineStr">
        <is>
          <t>ACT-016</t>
        </is>
      </c>
      <c r="B19" s="3" t="n"/>
      <c r="C19" s="3" t="n"/>
      <c r="D19" s="3" t="n"/>
      <c r="E19" s="3" t="n"/>
      <c r="F19" s="3" t="n"/>
      <c r="G19" s="3" t="n"/>
      <c r="H19" s="31">
        <f>IF(E19="","",E19*G19)</f>
        <v/>
      </c>
      <c r="I19" s="3" t="n"/>
      <c r="J19" s="3" t="n"/>
    </row>
    <row r="20" ht="20" customHeight="1">
      <c r="A20" s="24" t="inlineStr">
        <is>
          <t>ACT-017</t>
        </is>
      </c>
      <c r="B20" s="3" t="n"/>
      <c r="C20" s="3" t="n"/>
      <c r="D20" s="3" t="n"/>
      <c r="E20" s="3" t="n"/>
      <c r="F20" s="3" t="n"/>
      <c r="G20" s="3" t="n"/>
      <c r="H20" s="31">
        <f>IF(E20="","",E20*G20)</f>
        <v/>
      </c>
      <c r="I20" s="3" t="n"/>
      <c r="J20" s="3" t="n"/>
    </row>
    <row r="21" ht="20" customHeight="1">
      <c r="A21" s="24" t="inlineStr">
        <is>
          <t>ACT-018</t>
        </is>
      </c>
      <c r="B21" s="3" t="n"/>
      <c r="C21" s="3" t="n"/>
      <c r="D21" s="3" t="n"/>
      <c r="E21" s="3" t="n"/>
      <c r="F21" s="3" t="n"/>
      <c r="G21" s="3" t="n"/>
      <c r="H21" s="31">
        <f>IF(E21="","",E21*G21)</f>
        <v/>
      </c>
      <c r="I21" s="3" t="n"/>
      <c r="J21" s="3" t="n"/>
    </row>
    <row r="22" ht="20" customHeight="1">
      <c r="A22" s="24" t="inlineStr">
        <is>
          <t>ACT-019</t>
        </is>
      </c>
      <c r="B22" s="3" t="n"/>
      <c r="C22" s="3" t="n"/>
      <c r="D22" s="3" t="n"/>
      <c r="E22" s="3" t="n"/>
      <c r="F22" s="3" t="n"/>
      <c r="G22" s="3" t="n"/>
      <c r="H22" s="31">
        <f>IF(E22="","",E22*G22)</f>
        <v/>
      </c>
      <c r="I22" s="3" t="n"/>
      <c r="J22" s="3" t="n"/>
    </row>
    <row r="23" ht="20" customHeight="1">
      <c r="A23" s="24" t="inlineStr">
        <is>
          <t>ACT-020</t>
        </is>
      </c>
      <c r="B23" s="3" t="n"/>
      <c r="C23" s="3" t="n"/>
      <c r="D23" s="3" t="n"/>
      <c r="E23" s="3" t="n"/>
      <c r="F23" s="3" t="n"/>
      <c r="G23" s="3" t="n"/>
      <c r="H23" s="31">
        <f>IF(E23="","",E23*G23)</f>
        <v/>
      </c>
      <c r="I23" s="3" t="n"/>
      <c r="J23" s="3" t="n"/>
    </row>
    <row r="24" ht="20" customHeight="1">
      <c r="A24" s="24" t="inlineStr">
        <is>
          <t>ACT-021</t>
        </is>
      </c>
      <c r="B24" s="3" t="n"/>
      <c r="C24" s="3" t="n"/>
      <c r="D24" s="3" t="n"/>
      <c r="E24" s="3" t="n"/>
      <c r="F24" s="3" t="n"/>
      <c r="G24" s="3" t="n"/>
      <c r="H24" s="31">
        <f>IF(E24="","",E24*G24)</f>
        <v/>
      </c>
      <c r="I24" s="3" t="n"/>
      <c r="J24" s="3" t="n"/>
    </row>
    <row r="25" ht="20" customHeight="1">
      <c r="A25" s="24" t="inlineStr">
        <is>
          <t>ACT-022</t>
        </is>
      </c>
      <c r="B25" s="3" t="n"/>
      <c r="C25" s="3" t="n"/>
      <c r="D25" s="3" t="n"/>
      <c r="E25" s="3" t="n"/>
      <c r="F25" s="3" t="n"/>
      <c r="G25" s="3" t="n"/>
      <c r="H25" s="31">
        <f>IF(E25="","",E25*G25)</f>
        <v/>
      </c>
      <c r="I25" s="3" t="n"/>
      <c r="J25" s="3" t="n"/>
    </row>
    <row r="26" ht="20" customHeight="1">
      <c r="A26" s="24" t="inlineStr">
        <is>
          <t>ACT-023</t>
        </is>
      </c>
      <c r="B26" s="3" t="n"/>
      <c r="C26" s="3" t="n"/>
      <c r="D26" s="3" t="n"/>
      <c r="E26" s="3" t="n"/>
      <c r="F26" s="3" t="n"/>
      <c r="G26" s="3" t="n"/>
      <c r="H26" s="31">
        <f>IF(E26="","",E26*G26)</f>
        <v/>
      </c>
      <c r="I26" s="3" t="n"/>
      <c r="J26" s="3" t="n"/>
    </row>
  </sheetData>
  <mergeCells count="1">
    <mergeCell ref="A1:J1"/>
  </mergeCells>
  <dataValidations count="2">
    <dataValidation sqref="C4:C30" showDropDown="0" showInputMessage="0" showErrorMessage="0" allowBlank="1" type="list">
      <formula1>'⚙️ Configuración'!$I$4:$I$8</formula1>
    </dataValidation>
    <dataValidation sqref="F4:F30" showDropDown="0" showInputMessage="0" showErrorMessage="0" allowBlank="1" type="list">
      <formula1>'⚙️ Configuración'!$G$4:$G$7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2026-08-28T21:44:00Z</dcterms:created>
  <dcterms:modified xmlns:dcterms="http://purl.org/dc/terms/" xmlns:xsi="http://www.w3.org/2001/XMLSchema-instance" xsi:type="dcterms:W3CDTF">2026-08-28T21:44:00Z</dcterms:modified>
</cp:coreProperties>
</file>