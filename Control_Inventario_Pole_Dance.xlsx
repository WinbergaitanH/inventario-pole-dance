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cenicanaoff365-my.sharepoint.com/personal/iavar3_cenicanaoff365_onmicrosoft_com/Documents/Escritorio/Academia/"/>
    </mc:Choice>
  </mc:AlternateContent>
  <xr:revisionPtr revIDLastSave="21" documentId="13_ncr:1_{D8F039D2-5B30-42AD-85ED-01D7E78216B1}" xr6:coauthVersionLast="47" xr6:coauthVersionMax="47" xr10:uidLastSave="{9A9FECFD-AF0B-4891-848D-55B74A6FD964}"/>
  <bookViews>
    <workbookView xWindow="-110" yWindow="-110" windowWidth="19420" windowHeight="10300" firstSheet="2" activeTab="5" xr2:uid="{00000000-000D-0000-FFFF-FFFF00000000}"/>
  </bookViews>
  <sheets>
    <sheet name="📊 Dashboard Control" sheetId="1" r:id="rId1"/>
    <sheet name="⚙️ Configuración" sheetId="2" r:id="rId2"/>
    <sheet name="🏷️ Catálogo Productos" sheetId="3" r:id="rId3"/>
    <sheet name="📥 Entradas" sheetId="4" r:id="rId4"/>
    <sheet name="🛒 Ventas" sheetId="5" r:id="rId5"/>
    <sheet name="🏢 Activos Fijo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6" l="1"/>
  <c r="H4" i="6"/>
  <c r="E21" i="6"/>
  <c r="H11" i="6"/>
  <c r="H10" i="6"/>
  <c r="H9" i="6"/>
  <c r="H8" i="6"/>
  <c r="H7" i="6"/>
  <c r="H6" i="6"/>
  <c r="H35" i="6"/>
  <c r="H34" i="6"/>
  <c r="H33" i="6"/>
  <c r="H32" i="6"/>
  <c r="H31" i="6"/>
  <c r="H30" i="6"/>
  <c r="H29" i="6"/>
  <c r="H28" i="6"/>
  <c r="H27" i="6"/>
  <c r="H26" i="6"/>
  <c r="H25" i="6"/>
  <c r="H24" i="6"/>
  <c r="H23" i="6"/>
  <c r="H22" i="6"/>
  <c r="H3" i="6"/>
  <c r="H2" i="6"/>
  <c r="H57" i="5"/>
  <c r="G57" i="5"/>
  <c r="E57" i="5"/>
  <c r="D57" i="5"/>
  <c r="A57" i="5"/>
  <c r="H56" i="5"/>
  <c r="G56" i="5"/>
  <c r="E56" i="5"/>
  <c r="D56" i="5"/>
  <c r="A56" i="5"/>
  <c r="H55" i="5"/>
  <c r="G55" i="5"/>
  <c r="E55" i="5"/>
  <c r="D55" i="5"/>
  <c r="A55" i="5"/>
  <c r="H54" i="5"/>
  <c r="G54" i="5"/>
  <c r="E54" i="5"/>
  <c r="D54" i="5"/>
  <c r="A54" i="5"/>
  <c r="H53" i="5"/>
  <c r="G53" i="5"/>
  <c r="E53" i="5"/>
  <c r="D53" i="5"/>
  <c r="A53" i="5"/>
  <c r="H52" i="5"/>
  <c r="G52" i="5"/>
  <c r="E52" i="5"/>
  <c r="D52" i="5"/>
  <c r="A52" i="5"/>
  <c r="H51" i="5"/>
  <c r="G51" i="5"/>
  <c r="E51" i="5"/>
  <c r="D51" i="5"/>
  <c r="A51" i="5"/>
  <c r="H50" i="5"/>
  <c r="G50" i="5"/>
  <c r="E50" i="5"/>
  <c r="D50" i="5"/>
  <c r="A50" i="5"/>
  <c r="H49" i="5"/>
  <c r="G49" i="5"/>
  <c r="E49" i="5"/>
  <c r="D49" i="5"/>
  <c r="A49" i="5"/>
  <c r="H48" i="5"/>
  <c r="G48" i="5"/>
  <c r="E48" i="5"/>
  <c r="D48" i="5"/>
  <c r="A48" i="5"/>
  <c r="H47" i="5"/>
  <c r="G47" i="5"/>
  <c r="E47" i="5"/>
  <c r="D47" i="5"/>
  <c r="A47" i="5"/>
  <c r="H46" i="5"/>
  <c r="G46" i="5"/>
  <c r="E46" i="5"/>
  <c r="D46" i="5"/>
  <c r="A46" i="5"/>
  <c r="H45" i="5"/>
  <c r="G45" i="5"/>
  <c r="E45" i="5"/>
  <c r="D45" i="5"/>
  <c r="A45" i="5"/>
  <c r="H44" i="5"/>
  <c r="G44" i="5"/>
  <c r="E44" i="5"/>
  <c r="D44" i="5"/>
  <c r="A44" i="5"/>
  <c r="H43" i="5"/>
  <c r="G43" i="5"/>
  <c r="E43" i="5"/>
  <c r="D43" i="5"/>
  <c r="A43" i="5"/>
  <c r="H42" i="5"/>
  <c r="G42" i="5"/>
  <c r="E42" i="5"/>
  <c r="D42" i="5"/>
  <c r="A42" i="5"/>
  <c r="H41" i="5"/>
  <c r="G41" i="5"/>
  <c r="E41" i="5"/>
  <c r="D41" i="5"/>
  <c r="A41" i="5"/>
  <c r="H40" i="5"/>
  <c r="G40" i="5"/>
  <c r="E40" i="5"/>
  <c r="D40" i="5"/>
  <c r="A40" i="5"/>
  <c r="H39" i="5"/>
  <c r="G39" i="5"/>
  <c r="E39" i="5"/>
  <c r="D39" i="5"/>
  <c r="A39" i="5"/>
  <c r="H38" i="5"/>
  <c r="G38" i="5"/>
  <c r="E38" i="5"/>
  <c r="D38" i="5"/>
  <c r="A38" i="5"/>
  <c r="H37" i="5"/>
  <c r="G37" i="5"/>
  <c r="E37" i="5"/>
  <c r="D37" i="5"/>
  <c r="A37" i="5"/>
  <c r="H36" i="5"/>
  <c r="G36" i="5"/>
  <c r="E36" i="5"/>
  <c r="D36" i="5"/>
  <c r="A36" i="5"/>
  <c r="H35" i="5"/>
  <c r="G35" i="5"/>
  <c r="E35" i="5"/>
  <c r="D35" i="5"/>
  <c r="A35" i="5"/>
  <c r="H34" i="5"/>
  <c r="G34" i="5"/>
  <c r="E34" i="5"/>
  <c r="D34" i="5"/>
  <c r="A34" i="5"/>
  <c r="H33" i="5"/>
  <c r="G33" i="5"/>
  <c r="E33" i="5"/>
  <c r="D33" i="5"/>
  <c r="A33" i="5"/>
  <c r="H32" i="5"/>
  <c r="G32" i="5"/>
  <c r="E32" i="5"/>
  <c r="D32" i="5"/>
  <c r="A32" i="5"/>
  <c r="H31" i="5"/>
  <c r="G31" i="5"/>
  <c r="E31" i="5"/>
  <c r="D31" i="5"/>
  <c r="A31" i="5"/>
  <c r="H30" i="5"/>
  <c r="G30" i="5"/>
  <c r="E30" i="5"/>
  <c r="D30" i="5"/>
  <c r="A30" i="5"/>
  <c r="H29" i="5"/>
  <c r="G29" i="5"/>
  <c r="E29" i="5"/>
  <c r="D29" i="5"/>
  <c r="A29" i="5"/>
  <c r="H28" i="5"/>
  <c r="G28" i="5"/>
  <c r="E28" i="5"/>
  <c r="D28" i="5"/>
  <c r="A28" i="5"/>
  <c r="H27" i="5"/>
  <c r="G27" i="5"/>
  <c r="E27" i="5"/>
  <c r="D27" i="5"/>
  <c r="A27" i="5"/>
  <c r="H26" i="5"/>
  <c r="G26" i="5"/>
  <c r="E26" i="5"/>
  <c r="D26" i="5"/>
  <c r="A26" i="5"/>
  <c r="H25" i="5"/>
  <c r="G25" i="5"/>
  <c r="E25" i="5"/>
  <c r="D25" i="5"/>
  <c r="A25" i="5"/>
  <c r="H24" i="5"/>
  <c r="G24" i="5"/>
  <c r="E24" i="5"/>
  <c r="D24" i="5"/>
  <c r="A24" i="5"/>
  <c r="H23" i="5"/>
  <c r="G23" i="5"/>
  <c r="E23" i="5"/>
  <c r="D23" i="5"/>
  <c r="A23" i="5"/>
  <c r="H22" i="5"/>
  <c r="G22" i="5"/>
  <c r="E22" i="5"/>
  <c r="D22" i="5"/>
  <c r="A22" i="5"/>
  <c r="H21" i="5"/>
  <c r="G21" i="5"/>
  <c r="E21" i="5"/>
  <c r="D21" i="5"/>
  <c r="A21" i="5"/>
  <c r="H20" i="5"/>
  <c r="G20" i="5"/>
  <c r="E20" i="5"/>
  <c r="D20" i="5"/>
  <c r="A20" i="5"/>
  <c r="H19" i="5"/>
  <c r="G19" i="5"/>
  <c r="E19" i="5"/>
  <c r="D19" i="5"/>
  <c r="A19" i="5"/>
  <c r="H18" i="5"/>
  <c r="G18" i="5"/>
  <c r="E18" i="5"/>
  <c r="D18" i="5"/>
  <c r="A18" i="5"/>
  <c r="H17" i="5"/>
  <c r="G17" i="5"/>
  <c r="E17" i="5"/>
  <c r="D17" i="5"/>
  <c r="A17" i="5"/>
  <c r="H16" i="5"/>
  <c r="G16" i="5"/>
  <c r="E16" i="5"/>
  <c r="D16" i="5"/>
  <c r="A16" i="5"/>
  <c r="H15" i="5"/>
  <c r="G15" i="5"/>
  <c r="E15" i="5"/>
  <c r="D15" i="5"/>
  <c r="A15" i="5"/>
  <c r="H14" i="5"/>
  <c r="G14" i="5"/>
  <c r="E14" i="5"/>
  <c r="D14" i="5"/>
  <c r="A14" i="5"/>
  <c r="H13" i="5"/>
  <c r="G13" i="5"/>
  <c r="E13" i="5"/>
  <c r="D13" i="5"/>
  <c r="A13" i="5"/>
  <c r="H12" i="5"/>
  <c r="G12" i="5"/>
  <c r="E12" i="5"/>
  <c r="D12" i="5"/>
  <c r="A12" i="5"/>
  <c r="H11" i="5"/>
  <c r="G11" i="5"/>
  <c r="E11" i="5"/>
  <c r="D11" i="5"/>
  <c r="A11" i="5"/>
  <c r="H10" i="5"/>
  <c r="G10" i="5"/>
  <c r="E10" i="5"/>
  <c r="D10" i="5"/>
  <c r="A10" i="5"/>
  <c r="H9" i="5"/>
  <c r="G9" i="5"/>
  <c r="E9" i="5"/>
  <c r="D9" i="5"/>
  <c r="A9" i="5"/>
  <c r="H8" i="5"/>
  <c r="G8" i="5"/>
  <c r="E8" i="5"/>
  <c r="D8" i="5"/>
  <c r="A8" i="5"/>
  <c r="H7" i="5"/>
  <c r="G7" i="5"/>
  <c r="E7" i="5"/>
  <c r="D7" i="5"/>
  <c r="A7" i="5"/>
  <c r="G6" i="5"/>
  <c r="H6" i="5" s="1"/>
  <c r="E6" i="5"/>
  <c r="D6" i="5"/>
  <c r="A6" i="5"/>
  <c r="G5" i="5"/>
  <c r="H5" i="5" s="1"/>
  <c r="E5" i="5"/>
  <c r="D5" i="5"/>
  <c r="A5" i="5"/>
  <c r="G4" i="5"/>
  <c r="H4" i="5" s="1"/>
  <c r="E4" i="5"/>
  <c r="D4" i="5"/>
  <c r="A4" i="5"/>
  <c r="G3" i="5"/>
  <c r="H3" i="5" s="1"/>
  <c r="C22" i="1" s="1"/>
  <c r="E3" i="5"/>
  <c r="D3" i="5"/>
  <c r="A3" i="5"/>
  <c r="G2" i="5"/>
  <c r="H2" i="5" s="1"/>
  <c r="E2" i="5"/>
  <c r="D2" i="5"/>
  <c r="A2" i="5"/>
  <c r="H27" i="4"/>
  <c r="G27" i="4"/>
  <c r="E27" i="4"/>
  <c r="D27" i="4"/>
  <c r="H26" i="4"/>
  <c r="G26" i="4"/>
  <c r="E26" i="4"/>
  <c r="D26" i="4"/>
  <c r="H25" i="4"/>
  <c r="G25" i="4"/>
  <c r="E25" i="4"/>
  <c r="D25" i="4"/>
  <c r="H24" i="4"/>
  <c r="G24" i="4"/>
  <c r="E24" i="4"/>
  <c r="D24" i="4"/>
  <c r="H23" i="4"/>
  <c r="G23" i="4"/>
  <c r="E23" i="4"/>
  <c r="D23" i="4"/>
  <c r="H22" i="4"/>
  <c r="G22" i="4"/>
  <c r="E22" i="4"/>
  <c r="D22" i="4"/>
  <c r="H21" i="4"/>
  <c r="G21" i="4"/>
  <c r="E21" i="4"/>
  <c r="D21" i="4"/>
  <c r="H20" i="4"/>
  <c r="G20" i="4"/>
  <c r="E20" i="4"/>
  <c r="D20" i="4"/>
  <c r="H19" i="4"/>
  <c r="G19" i="4"/>
  <c r="E19" i="4"/>
  <c r="D19" i="4"/>
  <c r="H18" i="4"/>
  <c r="G18" i="4"/>
  <c r="E18" i="4"/>
  <c r="D18" i="4"/>
  <c r="H17" i="4"/>
  <c r="G17" i="4"/>
  <c r="E17" i="4"/>
  <c r="D17" i="4"/>
  <c r="H16" i="4"/>
  <c r="G16" i="4"/>
  <c r="E16" i="4"/>
  <c r="D16" i="4"/>
  <c r="H15" i="4"/>
  <c r="G15" i="4"/>
  <c r="E15" i="4"/>
  <c r="D15" i="4"/>
  <c r="H14" i="4"/>
  <c r="G14" i="4"/>
  <c r="E14" i="4"/>
  <c r="D14" i="4"/>
  <c r="H13" i="4"/>
  <c r="G13" i="4"/>
  <c r="E13" i="4"/>
  <c r="D13" i="4"/>
  <c r="H12" i="4"/>
  <c r="G12" i="4"/>
  <c r="E12" i="4"/>
  <c r="D12" i="4"/>
  <c r="H11" i="4"/>
  <c r="G11" i="4"/>
  <c r="E11" i="4"/>
  <c r="D11" i="4"/>
  <c r="H10" i="4"/>
  <c r="G10" i="4"/>
  <c r="E10" i="4"/>
  <c r="D10" i="4"/>
  <c r="H9" i="4"/>
  <c r="G9" i="4"/>
  <c r="E9" i="4"/>
  <c r="D9" i="4"/>
  <c r="H8" i="4"/>
  <c r="G8" i="4"/>
  <c r="E8" i="4"/>
  <c r="D8" i="4"/>
  <c r="H7" i="4"/>
  <c r="G7" i="4"/>
  <c r="E7" i="4"/>
  <c r="D7" i="4"/>
  <c r="H6" i="4"/>
  <c r="G6" i="4"/>
  <c r="E6" i="4"/>
  <c r="D6" i="4"/>
  <c r="H5" i="4"/>
  <c r="G5" i="4"/>
  <c r="E5" i="4"/>
  <c r="D5" i="4"/>
  <c r="G4" i="4"/>
  <c r="H4" i="4" s="1"/>
  <c r="E4" i="4"/>
  <c r="D4" i="4"/>
  <c r="G3" i="4"/>
  <c r="H3" i="4" s="1"/>
  <c r="E3" i="4"/>
  <c r="D3" i="4"/>
  <c r="G2" i="4"/>
  <c r="H2" i="4" s="1"/>
  <c r="E2" i="4"/>
  <c r="D2" i="4"/>
  <c r="I12" i="3"/>
  <c r="H12" i="3"/>
  <c r="I11" i="3"/>
  <c r="H11" i="3"/>
  <c r="I10" i="3"/>
  <c r="H10" i="3"/>
  <c r="I9" i="3"/>
  <c r="H9" i="3"/>
  <c r="I8" i="3"/>
  <c r="H8" i="3"/>
  <c r="I7" i="3"/>
  <c r="H7" i="3"/>
  <c r="I6" i="3"/>
  <c r="H6" i="3"/>
  <c r="I5" i="3"/>
  <c r="H5" i="3"/>
  <c r="I4" i="3"/>
  <c r="H4" i="3"/>
  <c r="I3" i="3"/>
  <c r="H3" i="3"/>
  <c r="I2" i="3"/>
  <c r="I13" i="3" s="1"/>
  <c r="H2" i="3"/>
  <c r="G26" i="1"/>
  <c r="F26" i="1"/>
  <c r="B26" i="1"/>
  <c r="G25" i="1"/>
  <c r="F25" i="1"/>
  <c r="C25" i="1"/>
  <c r="B25" i="1"/>
  <c r="F24" i="1"/>
  <c r="B24" i="1"/>
  <c r="F23" i="1"/>
  <c r="B23" i="1"/>
  <c r="F22" i="1"/>
  <c r="F27" i="1" s="1"/>
  <c r="B22" i="1"/>
  <c r="B27" i="1" s="1"/>
  <c r="C10" i="1"/>
  <c r="C9" i="1"/>
  <c r="C7" i="1"/>
  <c r="C6" i="1"/>
  <c r="C5" i="1"/>
  <c r="J7" i="3" l="1"/>
  <c r="J8" i="3"/>
  <c r="J6" i="3"/>
  <c r="J11" i="3"/>
  <c r="J5" i="3"/>
  <c r="J10" i="3"/>
  <c r="J9" i="3"/>
  <c r="J4" i="3"/>
  <c r="J12" i="3"/>
  <c r="J3" i="3"/>
  <c r="G15" i="1"/>
  <c r="H21" i="6"/>
  <c r="C26" i="1"/>
  <c r="G23" i="1"/>
  <c r="C23" i="1"/>
  <c r="G24" i="1"/>
  <c r="C24" i="1"/>
  <c r="E15" i="1"/>
  <c r="G22" i="1"/>
  <c r="H13" i="3"/>
  <c r="J2" i="3"/>
  <c r="C27" i="1" l="1"/>
  <c r="G27" i="1"/>
  <c r="K7" i="3"/>
  <c r="L7" i="3"/>
  <c r="K8" i="3"/>
  <c r="L8" i="3"/>
  <c r="K6" i="3"/>
  <c r="L6" i="3"/>
  <c r="K5" i="3"/>
  <c r="L5" i="3"/>
  <c r="L4" i="3"/>
  <c r="K4" i="3"/>
  <c r="L3" i="3"/>
  <c r="K3" i="3"/>
  <c r="L11" i="3"/>
  <c r="K11" i="3"/>
  <c r="K10" i="3"/>
  <c r="L10" i="3"/>
  <c r="L9" i="3"/>
  <c r="K9" i="3"/>
  <c r="K12" i="3"/>
  <c r="L12" i="3"/>
  <c r="K2" i="3"/>
  <c r="L2" i="3"/>
  <c r="J13" i="3"/>
  <c r="C8" i="1"/>
  <c r="A15" i="1"/>
  <c r="K13" i="3" l="1"/>
  <c r="C15" i="1"/>
</calcChain>
</file>

<file path=xl/sharedStrings.xml><?xml version="1.0" encoding="utf-8"?>
<sst xmlns="http://schemas.openxmlformats.org/spreadsheetml/2006/main" count="302" uniqueCount="195">
  <si>
    <t>PANEL DE CONTROL E INVENTARIOS - POLE DANCE ACADEMY</t>
  </si>
  <si>
    <t>⚡ CONSULTA RÁPIDA DE PRODUCTO Y CONSECUTIVO</t>
  </si>
  <si>
    <t>Escribe el Código de Prenda:</t>
  </si>
  <si>
    <t>TM</t>
  </si>
  <si>
    <t>Descripción del Producto:</t>
  </si>
  <si>
    <t>Talla:</t>
  </si>
  <si>
    <t>Precio de Venta Unitario:</t>
  </si>
  <si>
    <t>Existencias Actuales (Stock):</t>
  </si>
  <si>
    <t>Total Unidades Vendidas:</t>
  </si>
  <si>
    <t>PRÓXIMO CONSECUTIVO DE VENTA:</t>
  </si>
  <si>
    <t>RESUMEN GENERAL ACADEMIA</t>
  </si>
  <si>
    <t>UNIDADES EN STOCK</t>
  </si>
  <si>
    <t>VALOR INVENTARIO ROPA</t>
  </si>
  <si>
    <t>VENTAS TOTALES ($)</t>
  </si>
  <si>
    <t>VALOR ACTIVOS FIJOS ($)</t>
  </si>
  <si>
    <t>VENTAS POR TIPO DE PRENDA</t>
  </si>
  <si>
    <t>VENTAS POR MÉTODO DE PAGO</t>
  </si>
  <si>
    <t>Tipo Prenda</t>
  </si>
  <si>
    <t>Unidades Vendidas</t>
  </si>
  <si>
    <t>Total Recaudado ($)</t>
  </si>
  <si>
    <t>Método Pago</t>
  </si>
  <si>
    <t>N° Transacciones</t>
  </si>
  <si>
    <t>Total ($)</t>
  </si>
  <si>
    <t>Short (S)</t>
  </si>
  <si>
    <t>Nequi</t>
  </si>
  <si>
    <t>Pantalón (P)</t>
  </si>
  <si>
    <t>Daviplata</t>
  </si>
  <si>
    <t>Top (T)</t>
  </si>
  <si>
    <t>Efectivo</t>
  </si>
  <si>
    <t>Body (B)</t>
  </si>
  <si>
    <t>Transferencia Bancaria</t>
  </si>
  <si>
    <t>Accesorio (A)</t>
  </si>
  <si>
    <t>Tarjeta Débito/Crédito</t>
  </si>
  <si>
    <t>TOTALES</t>
  </si>
  <si>
    <t>LISTAS DE PARÁMETROS</t>
  </si>
  <si>
    <t>Tipos Prenda</t>
  </si>
  <si>
    <t>Tallas</t>
  </si>
  <si>
    <t>Metodos Pago</t>
  </si>
  <si>
    <t>Estados Activo</t>
  </si>
  <si>
    <t>Categorias Activos</t>
  </si>
  <si>
    <t>XS</t>
  </si>
  <si>
    <t>Excelente</t>
  </si>
  <si>
    <t>Equipamiento Pole</t>
  </si>
  <si>
    <t>S</t>
  </si>
  <si>
    <t>Bueno</t>
  </si>
  <si>
    <t>Aseo y Limpieza</t>
  </si>
  <si>
    <t>M</t>
  </si>
  <si>
    <t>Regular / Mantenimiento</t>
  </si>
  <si>
    <t>Mobiliario y Confort</t>
  </si>
  <si>
    <t>L</t>
  </si>
  <si>
    <t>Reemplazar</t>
  </si>
  <si>
    <t>Decoración y Plantas</t>
  </si>
  <si>
    <t>XL</t>
  </si>
  <si>
    <t>Audio y Electrónica</t>
  </si>
  <si>
    <t>Única</t>
  </si>
  <si>
    <t>SKU / Código</t>
  </si>
  <si>
    <t>Descripción / Estilo</t>
  </si>
  <si>
    <t>Talla</t>
  </si>
  <si>
    <t>Costo Unit. ($)</t>
  </si>
  <si>
    <t>Precio Venta ($)</t>
  </si>
  <si>
    <t>Stock Inicial</t>
  </si>
  <si>
    <t>Entradas (+)</t>
  </si>
  <si>
    <t>Ventas (-)</t>
  </si>
  <si>
    <t>Stock Actual</t>
  </si>
  <si>
    <t>Valor Stock ($)</t>
  </si>
  <si>
    <t>Estado Stock</t>
  </si>
  <si>
    <t>Top Velvet Negro</t>
  </si>
  <si>
    <t>TS</t>
  </si>
  <si>
    <t>TL</t>
  </si>
  <si>
    <t>SM</t>
  </si>
  <si>
    <t>Short Pole Grip Talle Alto</t>
  </si>
  <si>
    <t>SS</t>
  </si>
  <si>
    <t>SL</t>
  </si>
  <si>
    <t>PS</t>
  </si>
  <si>
    <t>Pantalón Lycra Flare Studio</t>
  </si>
  <si>
    <t>PM</t>
  </si>
  <si>
    <t>PL</t>
  </si>
  <si>
    <t>BM</t>
  </si>
  <si>
    <t>Body Malla Transparente</t>
  </si>
  <si>
    <t>AU</t>
  </si>
  <si>
    <t>Grip Pole Tacky Gel 50ml</t>
  </si>
  <si>
    <t>TOTALES INVENTARIO</t>
  </si>
  <si>
    <t>ID Entrada</t>
  </si>
  <si>
    <t>Fecha</t>
  </si>
  <si>
    <t>Código Prenda</t>
  </si>
  <si>
    <t>Descripción</t>
  </si>
  <si>
    <t>Cantidad (+)</t>
  </si>
  <si>
    <t>Costo Total ($)</t>
  </si>
  <si>
    <t>Proveedor / Notas</t>
  </si>
  <si>
    <t>ENT-001</t>
  </si>
  <si>
    <t>2026-08-15</t>
  </si>
  <si>
    <t>Confecciones D'Luxe</t>
  </si>
  <si>
    <t>ENT-002</t>
  </si>
  <si>
    <t>ENT-003</t>
  </si>
  <si>
    <t>2026-08-20</t>
  </si>
  <si>
    <t>Grip Colombia Import</t>
  </si>
  <si>
    <t>ENT-004</t>
  </si>
  <si>
    <t>ENT-005</t>
  </si>
  <si>
    <t>ENT-006</t>
  </si>
  <si>
    <t>ENT-007</t>
  </si>
  <si>
    <t>ENT-008</t>
  </si>
  <si>
    <t>ENT-009</t>
  </si>
  <si>
    <t>ENT-010</t>
  </si>
  <si>
    <t>ENT-011</t>
  </si>
  <si>
    <t>ENT-012</t>
  </si>
  <si>
    <t>ENT-013</t>
  </si>
  <si>
    <t>ENT-014</t>
  </si>
  <si>
    <t>ENT-015</t>
  </si>
  <si>
    <t>ENT-016</t>
  </si>
  <si>
    <t>ENT-017</t>
  </si>
  <si>
    <t>ENT-018</t>
  </si>
  <si>
    <t>ENT-019</t>
  </si>
  <si>
    <t>ENT-020</t>
  </si>
  <si>
    <t>ENT-021</t>
  </si>
  <si>
    <t>ENT-022</t>
  </si>
  <si>
    <t>ENT-023</t>
  </si>
  <si>
    <t>ENT-024</t>
  </si>
  <si>
    <t>ENT-025</t>
  </si>
  <si>
    <t>ENT-026</t>
  </si>
  <si>
    <t>Ref Venta (Consecutivo)</t>
  </si>
  <si>
    <t>Código Prenda (Escribe p.ej. TM)</t>
  </si>
  <si>
    <t>Cant. Vendida (-)</t>
  </si>
  <si>
    <t>Precio Unit. ($)</t>
  </si>
  <si>
    <t>Total Venta ($)</t>
  </si>
  <si>
    <t>Registrado Por</t>
  </si>
  <si>
    <t>2026-08-25</t>
  </si>
  <si>
    <t>Nicole</t>
  </si>
  <si>
    <t>2026-08-26</t>
  </si>
  <si>
    <t>2026-08-27</t>
  </si>
  <si>
    <t>Recepción</t>
  </si>
  <si>
    <t>2026-08-28</t>
  </si>
  <si>
    <t>Código Activo</t>
  </si>
  <si>
    <t>Nombre del Activo</t>
  </si>
  <si>
    <t>Categoría</t>
  </si>
  <si>
    <t>Ubicación</t>
  </si>
  <si>
    <t>Cantidad</t>
  </si>
  <si>
    <t>Estado</t>
  </si>
  <si>
    <t>Valor Est. Unit ($)</t>
  </si>
  <si>
    <t>Valor Total ($)</t>
  </si>
  <si>
    <t>Fecha Adquisición</t>
  </si>
  <si>
    <t>Observaciones</t>
  </si>
  <si>
    <t>ACT-001</t>
  </si>
  <si>
    <t>Salón Principal</t>
  </si>
  <si>
    <t>2025-01-10</t>
  </si>
  <si>
    <t>Poles de acero inoxidable removibles</t>
  </si>
  <si>
    <t>ACT-002</t>
  </si>
  <si>
    <t>Espuma alta densidad</t>
  </si>
  <si>
    <t>ACT-003</t>
  </si>
  <si>
    <t>Atomizador Spray de Alcohol/Limpieza</t>
  </si>
  <si>
    <t>Salón / Recepción</t>
  </si>
  <si>
    <t>2026-02-01</t>
  </si>
  <si>
    <t>Para desinfección de poles</t>
  </si>
  <si>
    <t>ACT-004</t>
  </si>
  <si>
    <t>Canastas de Almacenamiento Objetos</t>
  </si>
  <si>
    <t>Vestier / Salón</t>
  </si>
  <si>
    <t>2025-06-15</t>
  </si>
  <si>
    <t>Canastas organizadoras alumnas</t>
  </si>
  <si>
    <t>ACT-005</t>
  </si>
  <si>
    <t>Mats / Colchonetas de Estiramiento</t>
  </si>
  <si>
    <t>2025-03-20</t>
  </si>
  <si>
    <t>Yoga mats antideslizantes</t>
  </si>
  <si>
    <t>ACT-006</t>
  </si>
  <si>
    <t>Poltrona Confort Recepción</t>
  </si>
  <si>
    <t>2025-01-15</t>
  </si>
  <si>
    <t>Sillas de espera clientes</t>
  </si>
  <si>
    <t>ACT-007</t>
  </si>
  <si>
    <t>Materas Decorativas con Plantas</t>
  </si>
  <si>
    <t>Entrada / Recepción</t>
  </si>
  <si>
    <t>2025-05-10</t>
  </si>
  <si>
    <t>Planta natural de interior</t>
  </si>
  <si>
    <t>ACT-008</t>
  </si>
  <si>
    <t>2025-01-12</t>
  </si>
  <si>
    <t>Torre de sonido con micrófono</t>
  </si>
  <si>
    <t>TOTAL VALOR ACTIVOS</t>
  </si>
  <si>
    <t>ACT-010</t>
  </si>
  <si>
    <t>ACT-011</t>
  </si>
  <si>
    <t>ACT-012</t>
  </si>
  <si>
    <t>ACT-013</t>
  </si>
  <si>
    <t>ACT-014</t>
  </si>
  <si>
    <t>ACT-015</t>
  </si>
  <si>
    <t>ACT-016</t>
  </si>
  <si>
    <t>ACT-017</t>
  </si>
  <si>
    <t>ACT-018</t>
  </si>
  <si>
    <t>ACT-019</t>
  </si>
  <si>
    <t>ACT-020</t>
  </si>
  <si>
    <t>ACT-021</t>
  </si>
  <si>
    <t>ACT-022</t>
  </si>
  <si>
    <t>ACT-023</t>
  </si>
  <si>
    <t>Barra / Pole Profesional Dorado</t>
  </si>
  <si>
    <t>Colchoneta de Caída para Pole solo espuma</t>
  </si>
  <si>
    <t>ACT-009</t>
  </si>
  <si>
    <t>Barra / Pole Profesional Plateado</t>
  </si>
  <si>
    <t>Espuma + casata</t>
  </si>
  <si>
    <t>Colchoneta de Caída para Pole espuma + casata</t>
  </si>
  <si>
    <t xml:space="preserve">Sistema de Sonido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</si>
</sst>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"/>
  </numFmts>
  <fonts count="12" x14ac:knownFonts="1">
    <font>
      <sz val="11"/>
      <color theme="1"/>
      <name val="Calibri"/>
      <family val="2"/>
      <scheme val="minor"/>
    </font>
    <font>
      <b/>
      <sz val="13"/>
      <color rgb="FF4A1525"/>
      <name val="Calibri"/>
    </font>
    <font>
      <b/>
      <sz val="11"/>
      <color rgb="FFFFFFFF"/>
      <name val="Calibri"/>
    </font>
    <font>
      <sz val="11"/>
      <name val="Calibri"/>
    </font>
    <font>
      <b/>
      <sz val="16"/>
      <color rgb="FFFFFFFF"/>
      <name val="Calibri"/>
    </font>
    <font>
      <b/>
      <sz val="11"/>
      <name val="Calibri"/>
    </font>
    <font>
      <b/>
      <sz val="14"/>
      <color rgb="FF4A1525"/>
      <name val="Calibri"/>
    </font>
    <font>
      <b/>
      <sz val="18"/>
      <color rgb="FF000000"/>
      <name val="Calibri"/>
    </font>
    <font>
      <b/>
      <sz val="16"/>
      <color rgb="FF4A1525"/>
      <name val="Calibri"/>
    </font>
    <font>
      <b/>
      <sz val="10"/>
      <color rgb="FF555555"/>
      <name val="Calibri"/>
    </font>
    <font>
      <b/>
      <sz val="20"/>
      <color rgb="FF4A1525"/>
      <name val="Calibri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8C2D4F"/>
        <bgColor rgb="FF8C2D4F"/>
      </patternFill>
    </fill>
    <fill>
      <patternFill patternType="solid">
        <fgColor rgb="FF4A1525"/>
        <bgColor rgb="FF4A1525"/>
      </patternFill>
    </fill>
    <fill>
      <patternFill patternType="solid">
        <fgColor rgb="FFF9F2F5"/>
        <bgColor rgb="FFF9F2F5"/>
      </patternFill>
    </fill>
    <fill>
      <patternFill patternType="solid">
        <fgColor rgb="FFE8D4DC"/>
        <bgColor rgb="FFE8D4DC"/>
      </patternFill>
    </fill>
    <fill>
      <patternFill patternType="solid">
        <fgColor rgb="FFF4EBEF"/>
        <bgColor rgb="FFF4EBEF"/>
      </patternFill>
    </fill>
  </fills>
  <borders count="3">
    <border>
      <left/>
      <right/>
      <top/>
      <bottom/>
      <diagonal/>
    </border>
    <border>
      <left style="thin">
        <color rgb="FFD9C5CC"/>
      </left>
      <right style="thin">
        <color rgb="FFD9C5CC"/>
      </right>
      <top style="thin">
        <color rgb="FFD9C5CC"/>
      </top>
      <bottom style="thin">
        <color rgb="FFD9C5CC"/>
      </bottom>
      <diagonal/>
    </border>
    <border>
      <left/>
      <right/>
      <top style="thin">
        <color rgb="FFD9C5CC"/>
      </top>
      <bottom style="double">
        <color rgb="FF4A1525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1" xfId="0" applyBorder="1"/>
    <xf numFmtId="0" fontId="5" fillId="0" borderId="1" xfId="0" applyFont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 vertical="center"/>
    </xf>
    <xf numFmtId="0" fontId="1" fillId="0" borderId="0" xfId="0" applyFont="1"/>
    <xf numFmtId="0" fontId="2" fillId="2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3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right" vertical="center"/>
    </xf>
    <xf numFmtId="0" fontId="5" fillId="0" borderId="2" xfId="0" applyFont="1" applyBorder="1"/>
    <xf numFmtId="3" fontId="5" fillId="0" borderId="2" xfId="0" applyNumberFormat="1" applyFont="1" applyBorder="1"/>
    <xf numFmtId="164" fontId="5" fillId="0" borderId="2" xfId="0" applyNumberFormat="1" applyFont="1" applyBorder="1"/>
    <xf numFmtId="0" fontId="2" fillId="2" borderId="0" xfId="0" applyFont="1" applyFill="1" applyAlignment="1">
      <alignment horizontal="center" vertical="center"/>
    </xf>
    <xf numFmtId="0" fontId="3" fillId="0" borderId="1" xfId="0" applyFont="1" applyBorder="1"/>
    <xf numFmtId="0" fontId="2" fillId="3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164" fontId="0" fillId="4" borderId="1" xfId="0" applyNumberFormat="1" applyFill="1" applyBorder="1" applyAlignment="1">
      <alignment horizontal="right" vertical="center"/>
    </xf>
    <xf numFmtId="3" fontId="0" fillId="4" borderId="1" xfId="0" applyNumberFormat="1" applyFill="1" applyBorder="1" applyAlignment="1">
      <alignment horizontal="center" vertical="center"/>
    </xf>
    <xf numFmtId="3" fontId="5" fillId="4" borderId="1" xfId="0" applyNumberFormat="1" applyFont="1" applyFill="1" applyBorder="1" applyAlignment="1">
      <alignment horizontal="center" vertical="center"/>
    </xf>
    <xf numFmtId="0" fontId="5" fillId="0" borderId="2" xfId="0" applyFont="1" applyBorder="1" applyAlignment="1">
      <alignment horizontal="right" vertical="center"/>
    </xf>
    <xf numFmtId="164" fontId="0" fillId="0" borderId="1" xfId="0" applyNumberFormat="1" applyBorder="1"/>
    <xf numFmtId="0" fontId="0" fillId="4" borderId="0" xfId="0" applyFill="1" applyAlignment="1">
      <alignment horizontal="left" vertical="center"/>
    </xf>
    <xf numFmtId="0" fontId="4" fillId="3" borderId="0" xfId="0" applyFont="1" applyFill="1" applyAlignment="1">
      <alignment horizontal="center" vertical="center"/>
    </xf>
    <xf numFmtId="0" fontId="0" fillId="0" borderId="0" xfId="0"/>
    <xf numFmtId="0" fontId="6" fillId="2" borderId="1" xfId="0" applyFont="1" applyFill="1" applyBorder="1" applyAlignment="1">
      <alignment horizontal="center" vertical="center"/>
    </xf>
    <xf numFmtId="0" fontId="0" fillId="0" borderId="1" xfId="0" applyBorder="1"/>
    <xf numFmtId="0" fontId="5" fillId="0" borderId="1" xfId="0" applyFont="1" applyBorder="1" applyAlignment="1">
      <alignment horizontal="right" vertical="center"/>
    </xf>
    <xf numFmtId="3" fontId="10" fillId="6" borderId="1" xfId="0" applyNumberFormat="1" applyFont="1" applyFill="1" applyBorder="1" applyAlignment="1">
      <alignment horizontal="center" vertical="center"/>
    </xf>
    <xf numFmtId="164" fontId="10" fillId="6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10"/>
    </mc:Choice>
    <mc:Fallback>
      <c:style val="10"/>
    </mc:Fallback>
  </mc:AlternateContent>
  <c:chart>
    <c:title>
      <c:tx>
        <c:rich>
          <a:bodyPr/>
          <a:lstStyle/>
          <a:p>
            <a:pPr>
              <a:defRPr/>
            </a:pPr>
            <a:r>
              <a:rPr lang="es-MX"/>
              <a:t>Unidades Vendidas por Tipo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'📊 Dashboard Control'!$B$21</c:f>
              <c:strCache>
                <c:ptCount val="1"/>
                <c:pt idx="0">
                  <c:v>Unidades Vendidas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'📊 Dashboard Control'!$A$22:$A$26</c:f>
              <c:strCache>
                <c:ptCount val="5"/>
                <c:pt idx="0">
                  <c:v>Short (S)</c:v>
                </c:pt>
                <c:pt idx="1">
                  <c:v>Pantalón (P)</c:v>
                </c:pt>
                <c:pt idx="2">
                  <c:v>Top (T)</c:v>
                </c:pt>
                <c:pt idx="3">
                  <c:v>Body (B)</c:v>
                </c:pt>
                <c:pt idx="4">
                  <c:v>Accesorio (A)</c:v>
                </c:pt>
              </c:strCache>
            </c:strRef>
          </c:cat>
          <c:val>
            <c:numRef>
              <c:f>'📊 Dashboard Control'!$B$22:$B$26</c:f>
              <c:numCache>
                <c:formatCode>#,##0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BB-42A4-89F9-ACA4F3E8EF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s-MX"/>
                  <a:t>Prenda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MX"/>
                  <a:t>Unidades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s-MX"/>
              <a:t>Ingresos por Método de Pago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strRef>
              <c:f>'📊 Dashboard Control'!$G$21</c:f>
              <c:strCache>
                <c:ptCount val="1"/>
                <c:pt idx="0">
                  <c:v>Total ($)</c:v>
                </c:pt>
              </c:strCache>
            </c:strRef>
          </c:tx>
          <c:spPr>
            <a:ln>
              <a:prstDash val="solid"/>
            </a:ln>
          </c:spPr>
          <c:cat>
            <c:strRef>
              <c:f>'📊 Dashboard Control'!$E$22:$E$26</c:f>
              <c:strCache>
                <c:ptCount val="5"/>
                <c:pt idx="0">
                  <c:v>Nequi</c:v>
                </c:pt>
                <c:pt idx="1">
                  <c:v>Daviplata</c:v>
                </c:pt>
                <c:pt idx="2">
                  <c:v>Efectivo</c:v>
                </c:pt>
                <c:pt idx="3">
                  <c:v>Transferencia Bancaria</c:v>
                </c:pt>
                <c:pt idx="4">
                  <c:v>Tarjeta Débito/Crédito</c:v>
                </c:pt>
              </c:strCache>
            </c:strRef>
          </c:cat>
          <c:val>
            <c:numRef>
              <c:f>'📊 Dashboard Control'!$G$22:$G$26</c:f>
              <c:numCache>
                <c:formatCode>\$#,##0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3D-4881-827C-FECBD64E65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28</xdr:row>
      <xdr:rowOff>0</xdr:rowOff>
    </xdr:from>
    <xdr:ext cx="504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4</xdr:col>
      <xdr:colOff>0</xdr:colOff>
      <xdr:row>28</xdr:row>
      <xdr:rowOff>0</xdr:rowOff>
    </xdr:from>
    <xdr:ext cx="5040000" cy="324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7"/>
  <sheetViews>
    <sheetView topLeftCell="A2" workbookViewId="0">
      <selection sqref="A1:I1"/>
    </sheetView>
  </sheetViews>
  <sheetFormatPr baseColWidth="10" defaultColWidth="8.7265625" defaultRowHeight="14.5" x14ac:dyDescent="0.35"/>
  <cols>
    <col min="1" max="1" width="28" customWidth="1"/>
    <col min="2" max="2" width="18" customWidth="1"/>
    <col min="3" max="3" width="22" customWidth="1"/>
    <col min="4" max="4" width="18" customWidth="1"/>
    <col min="5" max="5" width="24" customWidth="1"/>
    <col min="6" max="6" width="18" customWidth="1"/>
    <col min="7" max="7" width="22" customWidth="1"/>
    <col min="8" max="9" width="12" customWidth="1"/>
  </cols>
  <sheetData>
    <row r="1" spans="1:9" ht="40" customHeight="1" x14ac:dyDescent="0.35">
      <c r="A1" s="24" t="s">
        <v>0</v>
      </c>
      <c r="B1" s="25"/>
      <c r="C1" s="25"/>
      <c r="D1" s="25"/>
      <c r="E1" s="25"/>
      <c r="F1" s="25"/>
      <c r="G1" s="25"/>
      <c r="H1" s="25"/>
      <c r="I1" s="25"/>
    </row>
    <row r="3" spans="1:9" ht="26" customHeight="1" x14ac:dyDescent="0.35">
      <c r="A3" s="26" t="s">
        <v>1</v>
      </c>
      <c r="B3" s="27"/>
      <c r="C3" s="27"/>
      <c r="D3" s="27"/>
    </row>
    <row r="4" spans="1:9" ht="32" customHeight="1" x14ac:dyDescent="0.35">
      <c r="A4" s="28" t="s">
        <v>2</v>
      </c>
      <c r="B4" s="27"/>
      <c r="C4" s="34" t="s">
        <v>3</v>
      </c>
      <c r="D4" s="27"/>
    </row>
    <row r="5" spans="1:9" ht="22" customHeight="1" x14ac:dyDescent="0.35">
      <c r="A5" s="28" t="s">
        <v>4</v>
      </c>
      <c r="B5" s="27"/>
      <c r="C5" s="36" t="str">
        <f>IFERROR(VLOOKUP(C4, '🏷️ Catálogo Productos'!A:C, 3, FALSE), "⚠️ Código no encontrado")</f>
        <v>Top Velvet Negro</v>
      </c>
      <c r="D5" s="27"/>
    </row>
    <row r="6" spans="1:9" ht="22" customHeight="1" x14ac:dyDescent="0.35">
      <c r="A6" s="28" t="s">
        <v>5</v>
      </c>
      <c r="B6" s="27"/>
      <c r="C6" s="36" t="str">
        <f>IFERROR(VLOOKUP(C4, '🏷️ Catálogo Productos'!A:D, 4, FALSE), "-")</f>
        <v>M</v>
      </c>
      <c r="D6" s="27"/>
    </row>
    <row r="7" spans="1:9" ht="22" customHeight="1" x14ac:dyDescent="0.35">
      <c r="A7" s="28" t="s">
        <v>6</v>
      </c>
      <c r="B7" s="27"/>
      <c r="C7" s="33">
        <f>IFERROR(VLOOKUP(C4, '🏷️ Catálogo Productos'!A:F, 6, FALSE), 0)</f>
        <v>55000</v>
      </c>
      <c r="D7" s="27"/>
    </row>
    <row r="8" spans="1:9" ht="22" customHeight="1" x14ac:dyDescent="0.35">
      <c r="A8" s="28" t="s">
        <v>7</v>
      </c>
      <c r="B8" s="27"/>
      <c r="C8" s="32">
        <f>IFERROR(VLOOKUP(C4, '🏷️ Catálogo Productos'!A:J, 10, FALSE), 0)</f>
        <v>2</v>
      </c>
      <c r="D8" s="27"/>
    </row>
    <row r="9" spans="1:9" ht="22" customHeight="1" x14ac:dyDescent="0.35">
      <c r="A9" s="28" t="s">
        <v>8</v>
      </c>
      <c r="B9" s="27"/>
      <c r="C9" s="32">
        <f>SUMIF('🛒 Ventas'!C:C, C4, '🛒 Ventas'!F:F)</f>
        <v>0</v>
      </c>
      <c r="D9" s="27"/>
    </row>
    <row r="10" spans="1:9" ht="22" customHeight="1" x14ac:dyDescent="0.35">
      <c r="A10" s="28" t="s">
        <v>9</v>
      </c>
      <c r="B10" s="27"/>
      <c r="C10" s="35" t="str">
        <f>IF(C4="","", C4 &amp; (SUMIF('🛒 Ventas'!C:C, C4, '🛒 Ventas'!F:F) + 1))</f>
        <v>TM1</v>
      </c>
      <c r="D10" s="27"/>
    </row>
    <row r="12" spans="1:9" ht="17" x14ac:dyDescent="0.4">
      <c r="A12" s="4" t="s">
        <v>10</v>
      </c>
    </row>
    <row r="14" spans="1:9" x14ac:dyDescent="0.35">
      <c r="A14" s="31" t="s">
        <v>11</v>
      </c>
      <c r="B14" s="27"/>
      <c r="C14" s="31" t="s">
        <v>12</v>
      </c>
      <c r="D14" s="27"/>
      <c r="E14" s="31" t="s">
        <v>13</v>
      </c>
      <c r="F14" s="27"/>
      <c r="G14" s="31" t="s">
        <v>14</v>
      </c>
      <c r="H14" s="27"/>
    </row>
    <row r="15" spans="1:9" x14ac:dyDescent="0.35">
      <c r="A15" s="29">
        <f>SUM('🏷️ Catálogo Productos'!J2:J12)</f>
        <v>14</v>
      </c>
      <c r="B15" s="27"/>
      <c r="C15" s="30">
        <f>SUM('🏷️ Catálogo Productos'!K2:K12)</f>
        <v>405000</v>
      </c>
      <c r="D15" s="27"/>
      <c r="E15" s="30">
        <f>SUM('🛒 Ventas'!H2:H58)</f>
        <v>0</v>
      </c>
      <c r="F15" s="27"/>
      <c r="G15" s="30">
        <f>SUM('🏢 Activos Fijos'!H2:H11)</f>
        <v>4150000</v>
      </c>
      <c r="H15" s="27"/>
    </row>
    <row r="16" spans="1:9" x14ac:dyDescent="0.35">
      <c r="A16" s="27"/>
      <c r="B16" s="27"/>
      <c r="C16" s="27"/>
      <c r="D16" s="27"/>
      <c r="E16" s="27"/>
      <c r="F16" s="27"/>
      <c r="G16" s="27"/>
      <c r="H16" s="27"/>
    </row>
    <row r="19" spans="1:7" ht="17" x14ac:dyDescent="0.4">
      <c r="A19" s="4" t="s">
        <v>15</v>
      </c>
      <c r="E19" s="4" t="s">
        <v>16</v>
      </c>
    </row>
    <row r="21" spans="1:7" ht="24" customHeight="1" x14ac:dyDescent="0.35">
      <c r="A21" s="5" t="s">
        <v>17</v>
      </c>
      <c r="B21" s="5" t="s">
        <v>18</v>
      </c>
      <c r="C21" s="5" t="s">
        <v>19</v>
      </c>
      <c r="E21" s="5" t="s">
        <v>20</v>
      </c>
      <c r="F21" s="5" t="s">
        <v>21</v>
      </c>
      <c r="G21" s="5" t="s">
        <v>22</v>
      </c>
    </row>
    <row r="22" spans="1:7" x14ac:dyDescent="0.35">
      <c r="A22" s="6" t="s">
        <v>23</v>
      </c>
      <c r="B22" s="7">
        <f>SUMIF('🛒 Ventas'!C:C, "S*", '🛒 Ventas'!F:F)</f>
        <v>0</v>
      </c>
      <c r="C22" s="8">
        <f>SUMIF('🛒 Ventas'!C:C, "S*", '🛒 Ventas'!H:H)</f>
        <v>0</v>
      </c>
      <c r="E22" s="6" t="s">
        <v>24</v>
      </c>
      <c r="F22" s="7">
        <f>COUNTIF('🛒 Ventas'!I:I, "Nequi")</f>
        <v>3</v>
      </c>
      <c r="G22" s="8">
        <f>SUMIF('🛒 Ventas'!I:I, "Nequi", '🛒 Ventas'!H:H)</f>
        <v>0</v>
      </c>
    </row>
    <row r="23" spans="1:7" x14ac:dyDescent="0.35">
      <c r="A23" s="6" t="s">
        <v>25</v>
      </c>
      <c r="B23" s="7">
        <f>SUMIF('🛒 Ventas'!C:C, "P*", '🛒 Ventas'!F:F)</f>
        <v>0</v>
      </c>
      <c r="C23" s="8">
        <f>SUMIF('🛒 Ventas'!C:C, "P*", '🛒 Ventas'!H:H)</f>
        <v>0</v>
      </c>
      <c r="E23" s="6" t="s">
        <v>26</v>
      </c>
      <c r="F23" s="7">
        <f>COUNTIF('🛒 Ventas'!I:I, "Daviplata")</f>
        <v>1</v>
      </c>
      <c r="G23" s="8">
        <f>SUMIF('🛒 Ventas'!I:I, "Daviplata", '🛒 Ventas'!H:H)</f>
        <v>0</v>
      </c>
    </row>
    <row r="24" spans="1:7" x14ac:dyDescent="0.35">
      <c r="A24" s="6" t="s">
        <v>27</v>
      </c>
      <c r="B24" s="7">
        <f>SUMIF('🛒 Ventas'!C:C, "T*", '🛒 Ventas'!F:F)</f>
        <v>0</v>
      </c>
      <c r="C24" s="8">
        <f>SUMIF('🛒 Ventas'!C:C, "T*", '🛒 Ventas'!H:H)</f>
        <v>0</v>
      </c>
      <c r="E24" s="6" t="s">
        <v>28</v>
      </c>
      <c r="F24" s="7">
        <f>COUNTIF('🛒 Ventas'!I:I, "Efectivo")</f>
        <v>1</v>
      </c>
      <c r="G24" s="8">
        <f>SUMIF('🛒 Ventas'!I:I, "Efectivo", '🛒 Ventas'!H:H)</f>
        <v>0</v>
      </c>
    </row>
    <row r="25" spans="1:7" x14ac:dyDescent="0.35">
      <c r="A25" s="6" t="s">
        <v>29</v>
      </c>
      <c r="B25" s="7">
        <f>SUMIF('🛒 Ventas'!C:C, "B*", '🛒 Ventas'!F:F)</f>
        <v>0</v>
      </c>
      <c r="C25" s="8">
        <f>SUMIF('🛒 Ventas'!C:C, "B*", '🛒 Ventas'!H:H)</f>
        <v>0</v>
      </c>
      <c r="E25" s="6" t="s">
        <v>30</v>
      </c>
      <c r="F25" s="7">
        <f>COUNTIF('🛒 Ventas'!I:I, "Transferencia Bancaria")</f>
        <v>0</v>
      </c>
      <c r="G25" s="8">
        <f>SUMIF('🛒 Ventas'!I:I, "Transferencia Bancaria", '🛒 Ventas'!H:H)</f>
        <v>0</v>
      </c>
    </row>
    <row r="26" spans="1:7" x14ac:dyDescent="0.35">
      <c r="A26" s="6" t="s">
        <v>31</v>
      </c>
      <c r="B26" s="7">
        <f>SUMIF('🛒 Ventas'!C:C, "A*", '🛒 Ventas'!F:F)</f>
        <v>0</v>
      </c>
      <c r="C26" s="8">
        <f>SUMIF('🛒 Ventas'!C:C, "A*", '🛒 Ventas'!H:H)</f>
        <v>0</v>
      </c>
      <c r="E26" s="6" t="s">
        <v>32</v>
      </c>
      <c r="F26" s="7">
        <f>COUNTIF('🛒 Ventas'!I:I, "Tarjeta Débito/Crédito")</f>
        <v>0</v>
      </c>
      <c r="G26" s="8">
        <f>SUMIF('🛒 Ventas'!I:I, "Tarjeta Débito/Crédito", '🛒 Ventas'!H:H)</f>
        <v>0</v>
      </c>
    </row>
    <row r="27" spans="1:7" x14ac:dyDescent="0.35">
      <c r="A27" s="9" t="s">
        <v>33</v>
      </c>
      <c r="B27" s="10">
        <f>SUM(B22:B26)</f>
        <v>0</v>
      </c>
      <c r="C27" s="11">
        <f>SUM(C22:C26)</f>
        <v>0</v>
      </c>
      <c r="E27" s="9" t="s">
        <v>33</v>
      </c>
      <c r="F27" s="10">
        <f>SUM(F22:F26)</f>
        <v>5</v>
      </c>
      <c r="G27" s="11">
        <f>SUM(G22:G26)</f>
        <v>0</v>
      </c>
    </row>
  </sheetData>
  <mergeCells count="24">
    <mergeCell ref="G15:H16"/>
    <mergeCell ref="C14:D14"/>
    <mergeCell ref="E14:F14"/>
    <mergeCell ref="C9:D9"/>
    <mergeCell ref="A4:B4"/>
    <mergeCell ref="C6:D6"/>
    <mergeCell ref="E15:F16"/>
    <mergeCell ref="C5:D5"/>
    <mergeCell ref="A3:D3"/>
    <mergeCell ref="A10:B10"/>
    <mergeCell ref="A1:I1"/>
    <mergeCell ref="A9:B9"/>
    <mergeCell ref="A15:B16"/>
    <mergeCell ref="C15:D16"/>
    <mergeCell ref="A5:B5"/>
    <mergeCell ref="A14:B14"/>
    <mergeCell ref="G14:H14"/>
    <mergeCell ref="A8:B8"/>
    <mergeCell ref="C8:D8"/>
    <mergeCell ref="C7:D7"/>
    <mergeCell ref="A6:B6"/>
    <mergeCell ref="C4:D4"/>
    <mergeCell ref="C10:D10"/>
    <mergeCell ref="A7:B7"/>
  </mergeCells>
  <pageMargins left="0.75" right="0.75" top="1" bottom="1" header="0.5" footer="0.5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000-000000000000}">
          <x14:formula1>
            <xm:f>'🏷️ Catálogo Productos'!$A$2:$A$13</xm:f>
          </x14:formula1>
          <xm:sqref>C4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9"/>
  <sheetViews>
    <sheetView workbookViewId="0"/>
  </sheetViews>
  <sheetFormatPr baseColWidth="10" defaultColWidth="8.7265625" defaultRowHeight="14.5" x14ac:dyDescent="0.35"/>
  <cols>
    <col min="1" max="1" width="24" customWidth="1"/>
    <col min="2" max="4" width="12" customWidth="1"/>
    <col min="5" max="5" width="26" customWidth="1"/>
    <col min="6" max="6" width="12" customWidth="1"/>
    <col min="7" max="7" width="27" customWidth="1"/>
    <col min="8" max="8" width="12" customWidth="1"/>
    <col min="9" max="9" width="24" customWidth="1"/>
  </cols>
  <sheetData>
    <row r="1" spans="1:9" ht="17" x14ac:dyDescent="0.4">
      <c r="A1" s="4" t="s">
        <v>34</v>
      </c>
    </row>
    <row r="3" spans="1:9" x14ac:dyDescent="0.35">
      <c r="A3" s="12" t="s">
        <v>35</v>
      </c>
      <c r="C3" s="12" t="s">
        <v>36</v>
      </c>
      <c r="E3" s="12" t="s">
        <v>37</v>
      </c>
      <c r="G3" s="12" t="s">
        <v>38</v>
      </c>
      <c r="I3" s="12" t="s">
        <v>39</v>
      </c>
    </row>
    <row r="4" spans="1:9" x14ac:dyDescent="0.35">
      <c r="A4" s="13" t="s">
        <v>23</v>
      </c>
      <c r="C4" s="13" t="s">
        <v>40</v>
      </c>
      <c r="E4" s="13" t="s">
        <v>24</v>
      </c>
      <c r="G4" s="13" t="s">
        <v>41</v>
      </c>
      <c r="I4" s="13" t="s">
        <v>42</v>
      </c>
    </row>
    <row r="5" spans="1:9" x14ac:dyDescent="0.35">
      <c r="A5" s="13" t="s">
        <v>25</v>
      </c>
      <c r="C5" s="13" t="s">
        <v>43</v>
      </c>
      <c r="E5" s="13" t="s">
        <v>26</v>
      </c>
      <c r="G5" s="13" t="s">
        <v>44</v>
      </c>
      <c r="I5" s="13" t="s">
        <v>45</v>
      </c>
    </row>
    <row r="6" spans="1:9" x14ac:dyDescent="0.35">
      <c r="A6" s="13" t="s">
        <v>27</v>
      </c>
      <c r="C6" s="13" t="s">
        <v>46</v>
      </c>
      <c r="E6" s="13" t="s">
        <v>28</v>
      </c>
      <c r="G6" s="13" t="s">
        <v>47</v>
      </c>
      <c r="I6" s="13" t="s">
        <v>48</v>
      </c>
    </row>
    <row r="7" spans="1:9" x14ac:dyDescent="0.35">
      <c r="A7" s="13" t="s">
        <v>29</v>
      </c>
      <c r="C7" s="13" t="s">
        <v>49</v>
      </c>
      <c r="E7" s="13" t="s">
        <v>30</v>
      </c>
      <c r="G7" s="13" t="s">
        <v>50</v>
      </c>
      <c r="I7" s="13" t="s">
        <v>51</v>
      </c>
    </row>
    <row r="8" spans="1:9" x14ac:dyDescent="0.35">
      <c r="A8" s="13" t="s">
        <v>31</v>
      </c>
      <c r="C8" s="13" t="s">
        <v>52</v>
      </c>
      <c r="E8" s="13" t="s">
        <v>32</v>
      </c>
      <c r="I8" s="13" t="s">
        <v>53</v>
      </c>
    </row>
    <row r="9" spans="1:9" x14ac:dyDescent="0.35">
      <c r="C9" s="13" t="s">
        <v>54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3"/>
  <sheetViews>
    <sheetView workbookViewId="0">
      <selection sqref="A1:XFD2"/>
    </sheetView>
  </sheetViews>
  <sheetFormatPr baseColWidth="10" defaultColWidth="8.7265625" defaultRowHeight="14.5" x14ac:dyDescent="0.35"/>
  <cols>
    <col min="1" max="1" width="16" customWidth="1"/>
    <col min="2" max="2" width="17" customWidth="1"/>
    <col min="3" max="3" width="32" customWidth="1"/>
    <col min="4" max="4" width="12" customWidth="1"/>
    <col min="5" max="5" width="19" customWidth="1"/>
    <col min="6" max="6" width="20" customWidth="1"/>
    <col min="7" max="10" width="18" customWidth="1"/>
    <col min="11" max="11" width="19" customWidth="1"/>
    <col min="12" max="12" width="18" customWidth="1"/>
  </cols>
  <sheetData>
    <row r="1" spans="1:12" ht="28" customHeight="1" x14ac:dyDescent="0.35">
      <c r="A1" s="14" t="s">
        <v>55</v>
      </c>
      <c r="B1" s="14" t="s">
        <v>17</v>
      </c>
      <c r="C1" s="14" t="s">
        <v>56</v>
      </c>
      <c r="D1" s="14" t="s">
        <v>57</v>
      </c>
      <c r="E1" s="14" t="s">
        <v>58</v>
      </c>
      <c r="F1" s="14" t="s">
        <v>59</v>
      </c>
      <c r="G1" s="14" t="s">
        <v>60</v>
      </c>
      <c r="H1" s="14" t="s">
        <v>61</v>
      </c>
      <c r="I1" s="14" t="s">
        <v>62</v>
      </c>
      <c r="J1" s="14" t="s">
        <v>63</v>
      </c>
      <c r="K1" s="14" t="s">
        <v>64</v>
      </c>
      <c r="L1" s="14" t="s">
        <v>65</v>
      </c>
    </row>
    <row r="2" spans="1:12" ht="20" customHeight="1" x14ac:dyDescent="0.35">
      <c r="A2" s="15" t="s">
        <v>3</v>
      </c>
      <c r="B2" s="6" t="s">
        <v>27</v>
      </c>
      <c r="C2" s="6" t="s">
        <v>66</v>
      </c>
      <c r="D2" s="15" t="s">
        <v>46</v>
      </c>
      <c r="E2" s="8">
        <v>25000</v>
      </c>
      <c r="F2" s="8">
        <v>55000</v>
      </c>
      <c r="G2" s="7">
        <v>1</v>
      </c>
      <c r="H2" s="7">
        <f>SUMIF('📥 Entradas'!C:C, A2, '📥 Entradas'!F:F)</f>
        <v>1</v>
      </c>
      <c r="I2" s="7">
        <f>SUMIF('🛒 Ventas'!C:C, A2, '🛒 Ventas'!F:F)</f>
        <v>0</v>
      </c>
      <c r="J2" s="3">
        <f t="shared" ref="J2:J12" si="0">G2+H2-I2</f>
        <v>2</v>
      </c>
      <c r="K2" s="8">
        <f t="shared" ref="K2:K12" si="1">J2*E2</f>
        <v>50000</v>
      </c>
      <c r="L2" s="15" t="str">
        <f t="shared" ref="L2:L12" si="2">IF(J2&lt;=0, "❌ Agotado", IF(J2&lt;=3, "⚠️ Stock Bajo", "✅ Disponible"))</f>
        <v>⚠️ Stock Bajo</v>
      </c>
    </row>
    <row r="3" spans="1:12" ht="20" customHeight="1" x14ac:dyDescent="0.35">
      <c r="A3" s="16" t="s">
        <v>67</v>
      </c>
      <c r="B3" s="17" t="s">
        <v>27</v>
      </c>
      <c r="C3" s="17" t="s">
        <v>66</v>
      </c>
      <c r="D3" s="16" t="s">
        <v>43</v>
      </c>
      <c r="E3" s="18">
        <v>25000</v>
      </c>
      <c r="F3" s="18">
        <v>55000</v>
      </c>
      <c r="G3" s="7">
        <v>1</v>
      </c>
      <c r="H3" s="19">
        <f>SUMIF('📥 Entradas'!C:C, A3, '📥 Entradas'!F:F)</f>
        <v>0</v>
      </c>
      <c r="I3" s="19">
        <f>SUMIF('🛒 Ventas'!C:C, A3, '🛒 Ventas'!F:F)</f>
        <v>0</v>
      </c>
      <c r="J3" s="20">
        <f t="shared" si="0"/>
        <v>1</v>
      </c>
      <c r="K3" s="18">
        <f t="shared" si="1"/>
        <v>25000</v>
      </c>
      <c r="L3" s="16" t="str">
        <f t="shared" si="2"/>
        <v>⚠️ Stock Bajo</v>
      </c>
    </row>
    <row r="4" spans="1:12" ht="20" customHeight="1" x14ac:dyDescent="0.35">
      <c r="A4" s="15" t="s">
        <v>68</v>
      </c>
      <c r="B4" s="6" t="s">
        <v>27</v>
      </c>
      <c r="C4" s="6" t="s">
        <v>66</v>
      </c>
      <c r="D4" s="15" t="s">
        <v>49</v>
      </c>
      <c r="E4" s="8">
        <v>25000</v>
      </c>
      <c r="F4" s="8">
        <v>55000</v>
      </c>
      <c r="G4" s="7">
        <v>1</v>
      </c>
      <c r="H4" s="7">
        <f>SUMIF('📥 Entradas'!C:C, A4, '📥 Entradas'!F:F)</f>
        <v>0</v>
      </c>
      <c r="I4" s="7">
        <f>SUMIF('🛒 Ventas'!C:C, A4, '🛒 Ventas'!F:F)</f>
        <v>0</v>
      </c>
      <c r="J4" s="3">
        <f t="shared" si="0"/>
        <v>1</v>
      </c>
      <c r="K4" s="8">
        <f t="shared" si="1"/>
        <v>25000</v>
      </c>
      <c r="L4" s="15" t="str">
        <f t="shared" si="2"/>
        <v>⚠️ Stock Bajo</v>
      </c>
    </row>
    <row r="5" spans="1:12" ht="20" customHeight="1" x14ac:dyDescent="0.35">
      <c r="A5" s="16" t="s">
        <v>69</v>
      </c>
      <c r="B5" s="17" t="s">
        <v>23</v>
      </c>
      <c r="C5" s="17" t="s">
        <v>70</v>
      </c>
      <c r="D5" s="16" t="s">
        <v>46</v>
      </c>
      <c r="E5" s="18">
        <v>30000</v>
      </c>
      <c r="F5" s="18">
        <v>65000</v>
      </c>
      <c r="G5" s="7">
        <v>1</v>
      </c>
      <c r="H5" s="19">
        <f>SUMIF('📥 Entradas'!C:C, A5, '📥 Entradas'!F:F)</f>
        <v>1</v>
      </c>
      <c r="I5" s="19">
        <f>SUMIF('🛒 Ventas'!C:C, A5, '🛒 Ventas'!F:F)</f>
        <v>0</v>
      </c>
      <c r="J5" s="20">
        <f t="shared" si="0"/>
        <v>2</v>
      </c>
      <c r="K5" s="18">
        <f t="shared" si="1"/>
        <v>60000</v>
      </c>
      <c r="L5" s="16" t="str">
        <f t="shared" si="2"/>
        <v>⚠️ Stock Bajo</v>
      </c>
    </row>
    <row r="6" spans="1:12" ht="20" customHeight="1" x14ac:dyDescent="0.35">
      <c r="A6" s="15" t="s">
        <v>71</v>
      </c>
      <c r="B6" s="6" t="s">
        <v>23</v>
      </c>
      <c r="C6" s="6" t="s">
        <v>70</v>
      </c>
      <c r="D6" s="15" t="s">
        <v>43</v>
      </c>
      <c r="E6" s="8">
        <v>30000</v>
      </c>
      <c r="F6" s="8">
        <v>65000</v>
      </c>
      <c r="G6" s="7">
        <v>1</v>
      </c>
      <c r="H6" s="7">
        <f>SUMIF('📥 Entradas'!C:C, A6, '📥 Entradas'!F:F)</f>
        <v>0</v>
      </c>
      <c r="I6" s="7">
        <f>SUMIF('🛒 Ventas'!C:C, A6, '🛒 Ventas'!F:F)</f>
        <v>0</v>
      </c>
      <c r="J6" s="3">
        <f t="shared" si="0"/>
        <v>1</v>
      </c>
      <c r="K6" s="8">
        <f t="shared" si="1"/>
        <v>30000</v>
      </c>
      <c r="L6" s="15" t="str">
        <f t="shared" si="2"/>
        <v>⚠️ Stock Bajo</v>
      </c>
    </row>
    <row r="7" spans="1:12" ht="20" customHeight="1" x14ac:dyDescent="0.35">
      <c r="A7" s="16" t="s">
        <v>72</v>
      </c>
      <c r="B7" s="17" t="s">
        <v>23</v>
      </c>
      <c r="C7" s="17" t="s">
        <v>70</v>
      </c>
      <c r="D7" s="16" t="s">
        <v>49</v>
      </c>
      <c r="E7" s="18">
        <v>30000</v>
      </c>
      <c r="F7" s="18">
        <v>65000</v>
      </c>
      <c r="G7" s="7">
        <v>1</v>
      </c>
      <c r="H7" s="19">
        <f>SUMIF('📥 Entradas'!C:C, A7, '📥 Entradas'!F:F)</f>
        <v>0</v>
      </c>
      <c r="I7" s="19">
        <f>SUMIF('🛒 Ventas'!C:C, A7, '🛒 Ventas'!F:F)</f>
        <v>0</v>
      </c>
      <c r="J7" s="20">
        <f t="shared" si="0"/>
        <v>1</v>
      </c>
      <c r="K7" s="18">
        <f t="shared" si="1"/>
        <v>30000</v>
      </c>
      <c r="L7" s="16" t="str">
        <f t="shared" si="2"/>
        <v>⚠️ Stock Bajo</v>
      </c>
    </row>
    <row r="8" spans="1:12" ht="20" customHeight="1" x14ac:dyDescent="0.35">
      <c r="A8" s="15" t="s">
        <v>73</v>
      </c>
      <c r="B8" s="6" t="s">
        <v>25</v>
      </c>
      <c r="C8" s="6" t="s">
        <v>74</v>
      </c>
      <c r="D8" s="15" t="s">
        <v>43</v>
      </c>
      <c r="E8" s="8">
        <v>40000</v>
      </c>
      <c r="F8" s="8">
        <v>85000</v>
      </c>
      <c r="G8" s="7">
        <v>1</v>
      </c>
      <c r="H8" s="7">
        <f>SUMIF('📥 Entradas'!C:C, A8, '📥 Entradas'!F:F)</f>
        <v>0</v>
      </c>
      <c r="I8" s="7">
        <f>SUMIF('🛒 Ventas'!C:C, A8, '🛒 Ventas'!F:F)</f>
        <v>0</v>
      </c>
      <c r="J8" s="3">
        <f t="shared" si="0"/>
        <v>1</v>
      </c>
      <c r="K8" s="8">
        <f t="shared" si="1"/>
        <v>40000</v>
      </c>
      <c r="L8" s="15" t="str">
        <f t="shared" si="2"/>
        <v>⚠️ Stock Bajo</v>
      </c>
    </row>
    <row r="9" spans="1:12" ht="20" customHeight="1" x14ac:dyDescent="0.35">
      <c r="A9" s="16" t="s">
        <v>75</v>
      </c>
      <c r="B9" s="17" t="s">
        <v>25</v>
      </c>
      <c r="C9" s="17" t="s">
        <v>74</v>
      </c>
      <c r="D9" s="16" t="s">
        <v>46</v>
      </c>
      <c r="E9" s="18">
        <v>40000</v>
      </c>
      <c r="F9" s="18">
        <v>85000</v>
      </c>
      <c r="G9" s="7">
        <v>1</v>
      </c>
      <c r="H9" s="19">
        <f>SUMIF('📥 Entradas'!C:C, A9, '📥 Entradas'!F:F)</f>
        <v>0</v>
      </c>
      <c r="I9" s="19">
        <f>SUMIF('🛒 Ventas'!C:C, A9, '🛒 Ventas'!F:F)</f>
        <v>0</v>
      </c>
      <c r="J9" s="20">
        <f t="shared" si="0"/>
        <v>1</v>
      </c>
      <c r="K9" s="18">
        <f t="shared" si="1"/>
        <v>40000</v>
      </c>
      <c r="L9" s="16" t="str">
        <f t="shared" si="2"/>
        <v>⚠️ Stock Bajo</v>
      </c>
    </row>
    <row r="10" spans="1:12" ht="20" customHeight="1" x14ac:dyDescent="0.35">
      <c r="A10" s="15" t="s">
        <v>76</v>
      </c>
      <c r="B10" s="6" t="s">
        <v>25</v>
      </c>
      <c r="C10" s="6" t="s">
        <v>74</v>
      </c>
      <c r="D10" s="15" t="s">
        <v>49</v>
      </c>
      <c r="E10" s="8">
        <v>40000</v>
      </c>
      <c r="F10" s="8">
        <v>85000</v>
      </c>
      <c r="G10" s="7">
        <v>1</v>
      </c>
      <c r="H10" s="7">
        <f>SUMIF('📥 Entradas'!C:C, A10, '📥 Entradas'!F:F)</f>
        <v>0</v>
      </c>
      <c r="I10" s="7">
        <f>SUMIF('🛒 Ventas'!C:C, A10, '🛒 Ventas'!F:F)</f>
        <v>0</v>
      </c>
      <c r="J10" s="3">
        <f t="shared" si="0"/>
        <v>1</v>
      </c>
      <c r="K10" s="8">
        <f t="shared" si="1"/>
        <v>40000</v>
      </c>
      <c r="L10" s="15" t="str">
        <f t="shared" si="2"/>
        <v>⚠️ Stock Bajo</v>
      </c>
    </row>
    <row r="11" spans="1:12" ht="20" customHeight="1" x14ac:dyDescent="0.35">
      <c r="A11" s="16" t="s">
        <v>77</v>
      </c>
      <c r="B11" s="17" t="s">
        <v>29</v>
      </c>
      <c r="C11" s="17" t="s">
        <v>78</v>
      </c>
      <c r="D11" s="16" t="s">
        <v>46</v>
      </c>
      <c r="E11" s="18">
        <v>35000</v>
      </c>
      <c r="F11" s="18">
        <v>75000</v>
      </c>
      <c r="G11" s="7">
        <v>1</v>
      </c>
      <c r="H11" s="19">
        <f>SUMIF('📥 Entradas'!C:C, A11, '📥 Entradas'!F:F)</f>
        <v>0</v>
      </c>
      <c r="I11" s="19">
        <f>SUMIF('🛒 Ventas'!C:C, A11, '🛒 Ventas'!F:F)</f>
        <v>0</v>
      </c>
      <c r="J11" s="20">
        <f t="shared" si="0"/>
        <v>1</v>
      </c>
      <c r="K11" s="18">
        <f t="shared" si="1"/>
        <v>35000</v>
      </c>
      <c r="L11" s="16" t="str">
        <f t="shared" si="2"/>
        <v>⚠️ Stock Bajo</v>
      </c>
    </row>
    <row r="12" spans="1:12" ht="20" customHeight="1" x14ac:dyDescent="0.35">
      <c r="A12" s="15" t="s">
        <v>79</v>
      </c>
      <c r="B12" s="6" t="s">
        <v>31</v>
      </c>
      <c r="C12" s="6" t="s">
        <v>80</v>
      </c>
      <c r="D12" s="15" t="s">
        <v>54</v>
      </c>
      <c r="E12" s="8">
        <v>15000</v>
      </c>
      <c r="F12" s="8">
        <v>35000</v>
      </c>
      <c r="G12" s="7">
        <v>1</v>
      </c>
      <c r="H12" s="7">
        <f>SUMIF('📥 Entradas'!C:C, A12, '📥 Entradas'!F:F)</f>
        <v>1</v>
      </c>
      <c r="I12" s="7">
        <f>SUMIF('🛒 Ventas'!C:C, A12, '🛒 Ventas'!F:F)</f>
        <v>0</v>
      </c>
      <c r="J12" s="3">
        <f t="shared" si="0"/>
        <v>2</v>
      </c>
      <c r="K12" s="8">
        <f t="shared" si="1"/>
        <v>30000</v>
      </c>
      <c r="L12" s="15" t="str">
        <f t="shared" si="2"/>
        <v>⚠️ Stock Bajo</v>
      </c>
    </row>
    <row r="13" spans="1:12" x14ac:dyDescent="0.35">
      <c r="A13" s="9"/>
      <c r="B13" s="9"/>
      <c r="C13" s="21" t="s">
        <v>81</v>
      </c>
      <c r="D13" s="9"/>
      <c r="E13" s="9"/>
      <c r="F13" s="9"/>
      <c r="G13" s="10"/>
      <c r="H13" s="10">
        <f>SUM(H2:H12)</f>
        <v>3</v>
      </c>
      <c r="I13" s="10">
        <f>SUM(I2:I12)</f>
        <v>0</v>
      </c>
      <c r="J13" s="10">
        <f>SUM(J2:J12)</f>
        <v>14</v>
      </c>
      <c r="K13" s="11">
        <f>SUM(K2:K12)</f>
        <v>405000</v>
      </c>
      <c r="L13" s="9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7"/>
  <sheetViews>
    <sheetView workbookViewId="0">
      <selection sqref="A1:XFD2"/>
    </sheetView>
  </sheetViews>
  <sheetFormatPr baseColWidth="10" defaultColWidth="8.7265625" defaultRowHeight="14.5" x14ac:dyDescent="0.35"/>
  <cols>
    <col min="1" max="2" width="14" customWidth="1"/>
    <col min="3" max="3" width="17" customWidth="1"/>
    <col min="4" max="4" width="28" customWidth="1"/>
    <col min="5" max="5" width="18" customWidth="1"/>
    <col min="6" max="6" width="16" customWidth="1"/>
    <col min="7" max="8" width="19" customWidth="1"/>
    <col min="9" max="9" width="24" customWidth="1"/>
  </cols>
  <sheetData>
    <row r="1" spans="1:9" ht="28" customHeight="1" x14ac:dyDescent="0.35">
      <c r="A1" s="14" t="s">
        <v>82</v>
      </c>
      <c r="B1" s="14" t="s">
        <v>83</v>
      </c>
      <c r="C1" s="14" t="s">
        <v>84</v>
      </c>
      <c r="D1" s="14" t="s">
        <v>85</v>
      </c>
      <c r="E1" s="14" t="s">
        <v>57</v>
      </c>
      <c r="F1" s="14" t="s">
        <v>86</v>
      </c>
      <c r="G1" s="14" t="s">
        <v>58</v>
      </c>
      <c r="H1" s="14" t="s">
        <v>87</v>
      </c>
      <c r="I1" s="14" t="s">
        <v>88</v>
      </c>
    </row>
    <row r="2" spans="1:9" ht="20" customHeight="1" x14ac:dyDescent="0.35">
      <c r="A2" s="15" t="s">
        <v>89</v>
      </c>
      <c r="B2" s="15" t="s">
        <v>90</v>
      </c>
      <c r="C2" s="15" t="s">
        <v>3</v>
      </c>
      <c r="D2" s="6" t="str">
        <f>IFERROR(VLOOKUP(C2, '🏷️ Catálogo Productos'!A:C, 3, FALSE), "")</f>
        <v>Top Velvet Negro</v>
      </c>
      <c r="E2" s="15" t="str">
        <f>IFERROR(VLOOKUP(C2, '🏷️ Catálogo Productos'!A:D, 4, FALSE), "")</f>
        <v>M</v>
      </c>
      <c r="F2" s="7">
        <v>1</v>
      </c>
      <c r="G2" s="8">
        <f>IFERROR(VLOOKUP(C2, '🏷️ Catálogo Productos'!A:E, 5, FALSE), 0)</f>
        <v>25000</v>
      </c>
      <c r="H2" s="8">
        <f>F2*G2</f>
        <v>25000</v>
      </c>
      <c r="I2" s="6" t="s">
        <v>91</v>
      </c>
    </row>
    <row r="3" spans="1:9" ht="20" customHeight="1" x14ac:dyDescent="0.35">
      <c r="A3" s="15" t="s">
        <v>92</v>
      </c>
      <c r="B3" s="15" t="s">
        <v>90</v>
      </c>
      <c r="C3" s="15" t="s">
        <v>69</v>
      </c>
      <c r="D3" s="6" t="str">
        <f>IFERROR(VLOOKUP(C3, '🏷️ Catálogo Productos'!A:C, 3, FALSE), "")</f>
        <v>Short Pole Grip Talle Alto</v>
      </c>
      <c r="E3" s="15" t="str">
        <f>IFERROR(VLOOKUP(C3, '🏷️ Catálogo Productos'!A:D, 4, FALSE), "")</f>
        <v>M</v>
      </c>
      <c r="F3" s="7">
        <v>1</v>
      </c>
      <c r="G3" s="8">
        <f>IFERROR(VLOOKUP(C3, '🏷️ Catálogo Productos'!A:E, 5, FALSE), 0)</f>
        <v>30000</v>
      </c>
      <c r="H3" s="8">
        <f>F3*G3</f>
        <v>30000</v>
      </c>
      <c r="I3" s="6" t="s">
        <v>91</v>
      </c>
    </row>
    <row r="4" spans="1:9" ht="20" customHeight="1" x14ac:dyDescent="0.35">
      <c r="A4" s="15" t="s">
        <v>93</v>
      </c>
      <c r="B4" s="15" t="s">
        <v>94</v>
      </c>
      <c r="C4" s="15" t="s">
        <v>79</v>
      </c>
      <c r="D4" s="6" t="str">
        <f>IFERROR(VLOOKUP(C4, '🏷️ Catálogo Productos'!A:C, 3, FALSE), "")</f>
        <v>Grip Pole Tacky Gel 50ml</v>
      </c>
      <c r="E4" s="15" t="str">
        <f>IFERROR(VLOOKUP(C4, '🏷️ Catálogo Productos'!A:D, 4, FALSE), "")</f>
        <v>Única</v>
      </c>
      <c r="F4" s="7">
        <v>1</v>
      </c>
      <c r="G4" s="8">
        <f>IFERROR(VLOOKUP(C4, '🏷️ Catálogo Productos'!A:E, 5, FALSE), 0)</f>
        <v>15000</v>
      </c>
      <c r="H4" s="8">
        <f>F4*G4</f>
        <v>15000</v>
      </c>
      <c r="I4" s="6" t="s">
        <v>95</v>
      </c>
    </row>
    <row r="5" spans="1:9" ht="20" customHeight="1" x14ac:dyDescent="0.35">
      <c r="A5" s="15" t="s">
        <v>96</v>
      </c>
      <c r="B5" s="1"/>
      <c r="C5" s="1"/>
      <c r="D5" s="6" t="str">
        <f>IFERROR(IF(C5="","",VLOOKUP(C5, '🏷️ Catálogo Productos'!A:C, 3, FALSE)), "")</f>
        <v/>
      </c>
      <c r="E5" s="15" t="str">
        <f>IFERROR(IF(C5="","",VLOOKUP(C5, '🏷️ Catálogo Productos'!A:D, 4, FALSE)), "")</f>
        <v/>
      </c>
      <c r="F5" s="1"/>
      <c r="G5" s="22" t="str">
        <f>IFERROR(IF(C5="","",VLOOKUP(C5, '🏷️ Catálogo Productos'!A:E, 5, FALSE)), 0)</f>
        <v/>
      </c>
      <c r="H5" s="22" t="str">
        <f t="shared" ref="H5:H27" si="0">IF(F5="","",F5*G5)</f>
        <v/>
      </c>
      <c r="I5" s="1"/>
    </row>
    <row r="6" spans="1:9" ht="20" customHeight="1" x14ac:dyDescent="0.35">
      <c r="A6" s="15" t="s">
        <v>97</v>
      </c>
      <c r="B6" s="1"/>
      <c r="C6" s="1"/>
      <c r="D6" s="6" t="str">
        <f>IFERROR(IF(C6="","",VLOOKUP(C6, '🏷️ Catálogo Productos'!A:C, 3, FALSE)), "")</f>
        <v/>
      </c>
      <c r="E6" s="15" t="str">
        <f>IFERROR(IF(C6="","",VLOOKUP(C6, '🏷️ Catálogo Productos'!A:D, 4, FALSE)), "")</f>
        <v/>
      </c>
      <c r="F6" s="1"/>
      <c r="G6" s="22" t="str">
        <f>IFERROR(IF(C6="","",VLOOKUP(C6, '🏷️ Catálogo Productos'!A:E, 5, FALSE)), 0)</f>
        <v/>
      </c>
      <c r="H6" s="22" t="str">
        <f t="shared" si="0"/>
        <v/>
      </c>
      <c r="I6" s="1"/>
    </row>
    <row r="7" spans="1:9" ht="20" customHeight="1" x14ac:dyDescent="0.35">
      <c r="A7" s="15" t="s">
        <v>98</v>
      </c>
      <c r="B7" s="1"/>
      <c r="C7" s="1"/>
      <c r="D7" s="6" t="str">
        <f>IFERROR(IF(C7="","",VLOOKUP(C7, '🏷️ Catálogo Productos'!A:C, 3, FALSE)), "")</f>
        <v/>
      </c>
      <c r="E7" s="15" t="str">
        <f>IFERROR(IF(C7="","",VLOOKUP(C7, '🏷️ Catálogo Productos'!A:D, 4, FALSE)), "")</f>
        <v/>
      </c>
      <c r="F7" s="1"/>
      <c r="G7" s="22" t="str">
        <f>IFERROR(IF(C7="","",VLOOKUP(C7, '🏷️ Catálogo Productos'!A:E, 5, FALSE)), 0)</f>
        <v/>
      </c>
      <c r="H7" s="22" t="str">
        <f t="shared" si="0"/>
        <v/>
      </c>
      <c r="I7" s="1"/>
    </row>
    <row r="8" spans="1:9" ht="20" customHeight="1" x14ac:dyDescent="0.35">
      <c r="A8" s="15" t="s">
        <v>99</v>
      </c>
      <c r="B8" s="1"/>
      <c r="C8" s="1"/>
      <c r="D8" s="6" t="str">
        <f>IFERROR(IF(C8="","",VLOOKUP(C8, '🏷️ Catálogo Productos'!A:C, 3, FALSE)), "")</f>
        <v/>
      </c>
      <c r="E8" s="15" t="str">
        <f>IFERROR(IF(C8="","",VLOOKUP(C8, '🏷️ Catálogo Productos'!A:D, 4, FALSE)), "")</f>
        <v/>
      </c>
      <c r="F8" s="1"/>
      <c r="G8" s="22" t="str">
        <f>IFERROR(IF(C8="","",VLOOKUP(C8, '🏷️ Catálogo Productos'!A:E, 5, FALSE)), 0)</f>
        <v/>
      </c>
      <c r="H8" s="22" t="str">
        <f t="shared" si="0"/>
        <v/>
      </c>
      <c r="I8" s="1"/>
    </row>
    <row r="9" spans="1:9" ht="20" customHeight="1" x14ac:dyDescent="0.35">
      <c r="A9" s="15" t="s">
        <v>100</v>
      </c>
      <c r="B9" s="1"/>
      <c r="C9" s="1"/>
      <c r="D9" s="6" t="str">
        <f>IFERROR(IF(C9="","",VLOOKUP(C9, '🏷️ Catálogo Productos'!A:C, 3, FALSE)), "")</f>
        <v/>
      </c>
      <c r="E9" s="15" t="str">
        <f>IFERROR(IF(C9="","",VLOOKUP(C9, '🏷️ Catálogo Productos'!A:D, 4, FALSE)), "")</f>
        <v/>
      </c>
      <c r="F9" s="1"/>
      <c r="G9" s="22" t="str">
        <f>IFERROR(IF(C9="","",VLOOKUP(C9, '🏷️ Catálogo Productos'!A:E, 5, FALSE)), 0)</f>
        <v/>
      </c>
      <c r="H9" s="22" t="str">
        <f t="shared" si="0"/>
        <v/>
      </c>
      <c r="I9" s="1"/>
    </row>
    <row r="10" spans="1:9" ht="20" customHeight="1" x14ac:dyDescent="0.35">
      <c r="A10" s="15" t="s">
        <v>101</v>
      </c>
      <c r="B10" s="1"/>
      <c r="C10" s="1"/>
      <c r="D10" s="6" t="str">
        <f>IFERROR(IF(C10="","",VLOOKUP(C10, '🏷️ Catálogo Productos'!A:C, 3, FALSE)), "")</f>
        <v/>
      </c>
      <c r="E10" s="15" t="str">
        <f>IFERROR(IF(C10="","",VLOOKUP(C10, '🏷️ Catálogo Productos'!A:D, 4, FALSE)), "")</f>
        <v/>
      </c>
      <c r="F10" s="1"/>
      <c r="G10" s="22" t="str">
        <f>IFERROR(IF(C10="","",VLOOKUP(C10, '🏷️ Catálogo Productos'!A:E, 5, FALSE)), 0)</f>
        <v/>
      </c>
      <c r="H10" s="22" t="str">
        <f t="shared" si="0"/>
        <v/>
      </c>
      <c r="I10" s="1"/>
    </row>
    <row r="11" spans="1:9" ht="20" customHeight="1" x14ac:dyDescent="0.35">
      <c r="A11" s="15" t="s">
        <v>102</v>
      </c>
      <c r="B11" s="1"/>
      <c r="C11" s="1"/>
      <c r="D11" s="6" t="str">
        <f>IFERROR(IF(C11="","",VLOOKUP(C11, '🏷️ Catálogo Productos'!A:C, 3, FALSE)), "")</f>
        <v/>
      </c>
      <c r="E11" s="15" t="str">
        <f>IFERROR(IF(C11="","",VLOOKUP(C11, '🏷️ Catálogo Productos'!A:D, 4, FALSE)), "")</f>
        <v/>
      </c>
      <c r="F11" s="1"/>
      <c r="G11" s="22" t="str">
        <f>IFERROR(IF(C11="","",VLOOKUP(C11, '🏷️ Catálogo Productos'!A:E, 5, FALSE)), 0)</f>
        <v/>
      </c>
      <c r="H11" s="22" t="str">
        <f t="shared" si="0"/>
        <v/>
      </c>
      <c r="I11" s="1"/>
    </row>
    <row r="12" spans="1:9" ht="20" customHeight="1" x14ac:dyDescent="0.35">
      <c r="A12" s="15" t="s">
        <v>103</v>
      </c>
      <c r="B12" s="1"/>
      <c r="C12" s="1"/>
      <c r="D12" s="6" t="str">
        <f>IFERROR(IF(C12="","",VLOOKUP(C12, '🏷️ Catálogo Productos'!A:C, 3, FALSE)), "")</f>
        <v/>
      </c>
      <c r="E12" s="15" t="str">
        <f>IFERROR(IF(C12="","",VLOOKUP(C12, '🏷️ Catálogo Productos'!A:D, 4, FALSE)), "")</f>
        <v/>
      </c>
      <c r="F12" s="1"/>
      <c r="G12" s="22" t="str">
        <f>IFERROR(IF(C12="","",VLOOKUP(C12, '🏷️ Catálogo Productos'!A:E, 5, FALSE)), 0)</f>
        <v/>
      </c>
      <c r="H12" s="22" t="str">
        <f t="shared" si="0"/>
        <v/>
      </c>
      <c r="I12" s="1"/>
    </row>
    <row r="13" spans="1:9" ht="20" customHeight="1" x14ac:dyDescent="0.35">
      <c r="A13" s="15" t="s">
        <v>104</v>
      </c>
      <c r="B13" s="1"/>
      <c r="C13" s="1"/>
      <c r="D13" s="6" t="str">
        <f>IFERROR(IF(C13="","",VLOOKUP(C13, '🏷️ Catálogo Productos'!A:C, 3, FALSE)), "")</f>
        <v/>
      </c>
      <c r="E13" s="15" t="str">
        <f>IFERROR(IF(C13="","",VLOOKUP(C13, '🏷️ Catálogo Productos'!A:D, 4, FALSE)), "")</f>
        <v/>
      </c>
      <c r="F13" s="1"/>
      <c r="G13" s="22" t="str">
        <f>IFERROR(IF(C13="","",VLOOKUP(C13, '🏷️ Catálogo Productos'!A:E, 5, FALSE)), 0)</f>
        <v/>
      </c>
      <c r="H13" s="22" t="str">
        <f t="shared" si="0"/>
        <v/>
      </c>
      <c r="I13" s="1"/>
    </row>
    <row r="14" spans="1:9" ht="20" customHeight="1" x14ac:dyDescent="0.35">
      <c r="A14" s="15" t="s">
        <v>105</v>
      </c>
      <c r="B14" s="1"/>
      <c r="C14" s="1"/>
      <c r="D14" s="6" t="str">
        <f>IFERROR(IF(C14="","",VLOOKUP(C14, '🏷️ Catálogo Productos'!A:C, 3, FALSE)), "")</f>
        <v/>
      </c>
      <c r="E14" s="15" t="str">
        <f>IFERROR(IF(C14="","",VLOOKUP(C14, '🏷️ Catálogo Productos'!A:D, 4, FALSE)), "")</f>
        <v/>
      </c>
      <c r="F14" s="1"/>
      <c r="G14" s="22" t="str">
        <f>IFERROR(IF(C14="","",VLOOKUP(C14, '🏷️ Catálogo Productos'!A:E, 5, FALSE)), 0)</f>
        <v/>
      </c>
      <c r="H14" s="22" t="str">
        <f t="shared" si="0"/>
        <v/>
      </c>
      <c r="I14" s="1"/>
    </row>
    <row r="15" spans="1:9" ht="20" customHeight="1" x14ac:dyDescent="0.35">
      <c r="A15" s="15" t="s">
        <v>106</v>
      </c>
      <c r="B15" s="1"/>
      <c r="C15" s="1"/>
      <c r="D15" s="6" t="str">
        <f>IFERROR(IF(C15="","",VLOOKUP(C15, '🏷️ Catálogo Productos'!A:C, 3, FALSE)), "")</f>
        <v/>
      </c>
      <c r="E15" s="15" t="str">
        <f>IFERROR(IF(C15="","",VLOOKUP(C15, '🏷️ Catálogo Productos'!A:D, 4, FALSE)), "")</f>
        <v/>
      </c>
      <c r="F15" s="1"/>
      <c r="G15" s="22" t="str">
        <f>IFERROR(IF(C15="","",VLOOKUP(C15, '🏷️ Catálogo Productos'!A:E, 5, FALSE)), 0)</f>
        <v/>
      </c>
      <c r="H15" s="22" t="str">
        <f t="shared" si="0"/>
        <v/>
      </c>
      <c r="I15" s="1"/>
    </row>
    <row r="16" spans="1:9" ht="20" customHeight="1" x14ac:dyDescent="0.35">
      <c r="A16" s="15" t="s">
        <v>107</v>
      </c>
      <c r="B16" s="1"/>
      <c r="C16" s="1"/>
      <c r="D16" s="6" t="str">
        <f>IFERROR(IF(C16="","",VLOOKUP(C16, '🏷️ Catálogo Productos'!A:C, 3, FALSE)), "")</f>
        <v/>
      </c>
      <c r="E16" s="15" t="str">
        <f>IFERROR(IF(C16="","",VLOOKUP(C16, '🏷️ Catálogo Productos'!A:D, 4, FALSE)), "")</f>
        <v/>
      </c>
      <c r="F16" s="1"/>
      <c r="G16" s="22" t="str">
        <f>IFERROR(IF(C16="","",VLOOKUP(C16, '🏷️ Catálogo Productos'!A:E, 5, FALSE)), 0)</f>
        <v/>
      </c>
      <c r="H16" s="22" t="str">
        <f t="shared" si="0"/>
        <v/>
      </c>
      <c r="I16" s="1"/>
    </row>
    <row r="17" spans="1:9" ht="20" customHeight="1" x14ac:dyDescent="0.35">
      <c r="A17" s="15" t="s">
        <v>108</v>
      </c>
      <c r="B17" s="1"/>
      <c r="C17" s="1"/>
      <c r="D17" s="6" t="str">
        <f>IFERROR(IF(C17="","",VLOOKUP(C17, '🏷️ Catálogo Productos'!A:C, 3, FALSE)), "")</f>
        <v/>
      </c>
      <c r="E17" s="15" t="str">
        <f>IFERROR(IF(C17="","",VLOOKUP(C17, '🏷️ Catálogo Productos'!A:D, 4, FALSE)), "")</f>
        <v/>
      </c>
      <c r="F17" s="1"/>
      <c r="G17" s="22" t="str">
        <f>IFERROR(IF(C17="","",VLOOKUP(C17, '🏷️ Catálogo Productos'!A:E, 5, FALSE)), 0)</f>
        <v/>
      </c>
      <c r="H17" s="22" t="str">
        <f t="shared" si="0"/>
        <v/>
      </c>
      <c r="I17" s="1"/>
    </row>
    <row r="18" spans="1:9" ht="20" customHeight="1" x14ac:dyDescent="0.35">
      <c r="A18" s="15" t="s">
        <v>109</v>
      </c>
      <c r="B18" s="1"/>
      <c r="C18" s="1"/>
      <c r="D18" s="6" t="str">
        <f>IFERROR(IF(C18="","",VLOOKUP(C18, '🏷️ Catálogo Productos'!A:C, 3, FALSE)), "")</f>
        <v/>
      </c>
      <c r="E18" s="15" t="str">
        <f>IFERROR(IF(C18="","",VLOOKUP(C18, '🏷️ Catálogo Productos'!A:D, 4, FALSE)), "")</f>
        <v/>
      </c>
      <c r="F18" s="1"/>
      <c r="G18" s="22" t="str">
        <f>IFERROR(IF(C18="","",VLOOKUP(C18, '🏷️ Catálogo Productos'!A:E, 5, FALSE)), 0)</f>
        <v/>
      </c>
      <c r="H18" s="22" t="str">
        <f t="shared" si="0"/>
        <v/>
      </c>
      <c r="I18" s="1"/>
    </row>
    <row r="19" spans="1:9" ht="20" customHeight="1" x14ac:dyDescent="0.35">
      <c r="A19" s="15" t="s">
        <v>110</v>
      </c>
      <c r="B19" s="1"/>
      <c r="C19" s="1"/>
      <c r="D19" s="6" t="str">
        <f>IFERROR(IF(C19="","",VLOOKUP(C19, '🏷️ Catálogo Productos'!A:C, 3, FALSE)), "")</f>
        <v/>
      </c>
      <c r="E19" s="15" t="str">
        <f>IFERROR(IF(C19="","",VLOOKUP(C19, '🏷️ Catálogo Productos'!A:D, 4, FALSE)), "")</f>
        <v/>
      </c>
      <c r="F19" s="1"/>
      <c r="G19" s="22" t="str">
        <f>IFERROR(IF(C19="","",VLOOKUP(C19, '🏷️ Catálogo Productos'!A:E, 5, FALSE)), 0)</f>
        <v/>
      </c>
      <c r="H19" s="22" t="str">
        <f t="shared" si="0"/>
        <v/>
      </c>
      <c r="I19" s="1"/>
    </row>
    <row r="20" spans="1:9" ht="20" customHeight="1" x14ac:dyDescent="0.35">
      <c r="A20" s="15" t="s">
        <v>111</v>
      </c>
      <c r="B20" s="1"/>
      <c r="C20" s="1"/>
      <c r="D20" s="6" t="str">
        <f>IFERROR(IF(C20="","",VLOOKUP(C20, '🏷️ Catálogo Productos'!A:C, 3, FALSE)), "")</f>
        <v/>
      </c>
      <c r="E20" s="15" t="str">
        <f>IFERROR(IF(C20="","",VLOOKUP(C20, '🏷️ Catálogo Productos'!A:D, 4, FALSE)), "")</f>
        <v/>
      </c>
      <c r="F20" s="1"/>
      <c r="G20" s="22" t="str">
        <f>IFERROR(IF(C20="","",VLOOKUP(C20, '🏷️ Catálogo Productos'!A:E, 5, FALSE)), 0)</f>
        <v/>
      </c>
      <c r="H20" s="22" t="str">
        <f t="shared" si="0"/>
        <v/>
      </c>
      <c r="I20" s="1"/>
    </row>
    <row r="21" spans="1:9" ht="20" customHeight="1" x14ac:dyDescent="0.35">
      <c r="A21" s="15" t="s">
        <v>112</v>
      </c>
      <c r="B21" s="1"/>
      <c r="C21" s="1"/>
      <c r="D21" s="6" t="str">
        <f>IFERROR(IF(C21="","",VLOOKUP(C21, '🏷️ Catálogo Productos'!A:C, 3, FALSE)), "")</f>
        <v/>
      </c>
      <c r="E21" s="15" t="str">
        <f>IFERROR(IF(C21="","",VLOOKUP(C21, '🏷️ Catálogo Productos'!A:D, 4, FALSE)), "")</f>
        <v/>
      </c>
      <c r="F21" s="1"/>
      <c r="G21" s="22" t="str">
        <f>IFERROR(IF(C21="","",VLOOKUP(C21, '🏷️ Catálogo Productos'!A:E, 5, FALSE)), 0)</f>
        <v/>
      </c>
      <c r="H21" s="22" t="str">
        <f t="shared" si="0"/>
        <v/>
      </c>
      <c r="I21" s="1"/>
    </row>
    <row r="22" spans="1:9" ht="20" customHeight="1" x14ac:dyDescent="0.35">
      <c r="A22" s="15" t="s">
        <v>113</v>
      </c>
      <c r="B22" s="1"/>
      <c r="C22" s="1"/>
      <c r="D22" s="6" t="str">
        <f>IFERROR(IF(C22="","",VLOOKUP(C22, '🏷️ Catálogo Productos'!A:C, 3, FALSE)), "")</f>
        <v/>
      </c>
      <c r="E22" s="15" t="str">
        <f>IFERROR(IF(C22="","",VLOOKUP(C22, '🏷️ Catálogo Productos'!A:D, 4, FALSE)), "")</f>
        <v/>
      </c>
      <c r="F22" s="1"/>
      <c r="G22" s="22" t="str">
        <f>IFERROR(IF(C22="","",VLOOKUP(C22, '🏷️ Catálogo Productos'!A:E, 5, FALSE)), 0)</f>
        <v/>
      </c>
      <c r="H22" s="22" t="str">
        <f t="shared" si="0"/>
        <v/>
      </c>
      <c r="I22" s="1"/>
    </row>
    <row r="23" spans="1:9" ht="20" customHeight="1" x14ac:dyDescent="0.35">
      <c r="A23" s="15" t="s">
        <v>114</v>
      </c>
      <c r="B23" s="1"/>
      <c r="C23" s="1"/>
      <c r="D23" s="6" t="str">
        <f>IFERROR(IF(C23="","",VLOOKUP(C23, '🏷️ Catálogo Productos'!A:C, 3, FALSE)), "")</f>
        <v/>
      </c>
      <c r="E23" s="15" t="str">
        <f>IFERROR(IF(C23="","",VLOOKUP(C23, '🏷️ Catálogo Productos'!A:D, 4, FALSE)), "")</f>
        <v/>
      </c>
      <c r="F23" s="1"/>
      <c r="G23" s="22" t="str">
        <f>IFERROR(IF(C23="","",VLOOKUP(C23, '🏷️ Catálogo Productos'!A:E, 5, FALSE)), 0)</f>
        <v/>
      </c>
      <c r="H23" s="22" t="str">
        <f t="shared" si="0"/>
        <v/>
      </c>
      <c r="I23" s="1"/>
    </row>
    <row r="24" spans="1:9" ht="20" customHeight="1" x14ac:dyDescent="0.35">
      <c r="A24" s="15" t="s">
        <v>115</v>
      </c>
      <c r="B24" s="1"/>
      <c r="C24" s="1"/>
      <c r="D24" s="6" t="str">
        <f>IFERROR(IF(C24="","",VLOOKUP(C24, '🏷️ Catálogo Productos'!A:C, 3, FALSE)), "")</f>
        <v/>
      </c>
      <c r="E24" s="15" t="str">
        <f>IFERROR(IF(C24="","",VLOOKUP(C24, '🏷️ Catálogo Productos'!A:D, 4, FALSE)), "")</f>
        <v/>
      </c>
      <c r="F24" s="1"/>
      <c r="G24" s="22" t="str">
        <f>IFERROR(IF(C24="","",VLOOKUP(C24, '🏷️ Catálogo Productos'!A:E, 5, FALSE)), 0)</f>
        <v/>
      </c>
      <c r="H24" s="22" t="str">
        <f t="shared" si="0"/>
        <v/>
      </c>
      <c r="I24" s="1"/>
    </row>
    <row r="25" spans="1:9" ht="20" customHeight="1" x14ac:dyDescent="0.35">
      <c r="A25" s="15" t="s">
        <v>116</v>
      </c>
      <c r="B25" s="1"/>
      <c r="C25" s="1"/>
      <c r="D25" s="6" t="str">
        <f>IFERROR(IF(C25="","",VLOOKUP(C25, '🏷️ Catálogo Productos'!A:C, 3, FALSE)), "")</f>
        <v/>
      </c>
      <c r="E25" s="15" t="str">
        <f>IFERROR(IF(C25="","",VLOOKUP(C25, '🏷️ Catálogo Productos'!A:D, 4, FALSE)), "")</f>
        <v/>
      </c>
      <c r="F25" s="1"/>
      <c r="G25" s="22" t="str">
        <f>IFERROR(IF(C25="","",VLOOKUP(C25, '🏷️ Catálogo Productos'!A:E, 5, FALSE)), 0)</f>
        <v/>
      </c>
      <c r="H25" s="22" t="str">
        <f t="shared" si="0"/>
        <v/>
      </c>
      <c r="I25" s="1"/>
    </row>
    <row r="26" spans="1:9" ht="20" customHeight="1" x14ac:dyDescent="0.35">
      <c r="A26" s="15" t="s">
        <v>117</v>
      </c>
      <c r="B26" s="1"/>
      <c r="C26" s="1"/>
      <c r="D26" s="6" t="str">
        <f>IFERROR(IF(C26="","",VLOOKUP(C26, '🏷️ Catálogo Productos'!A:C, 3, FALSE)), "")</f>
        <v/>
      </c>
      <c r="E26" s="15" t="str">
        <f>IFERROR(IF(C26="","",VLOOKUP(C26, '🏷️ Catálogo Productos'!A:D, 4, FALSE)), "")</f>
        <v/>
      </c>
      <c r="F26" s="1"/>
      <c r="G26" s="22" t="str">
        <f>IFERROR(IF(C26="","",VLOOKUP(C26, '🏷️ Catálogo Productos'!A:E, 5, FALSE)), 0)</f>
        <v/>
      </c>
      <c r="H26" s="22" t="str">
        <f t="shared" si="0"/>
        <v/>
      </c>
      <c r="I26" s="1"/>
    </row>
    <row r="27" spans="1:9" ht="20" customHeight="1" x14ac:dyDescent="0.35">
      <c r="A27" s="15" t="s">
        <v>118</v>
      </c>
      <c r="B27" s="1"/>
      <c r="C27" s="1"/>
      <c r="D27" s="6" t="str">
        <f>IFERROR(IF(C27="","",VLOOKUP(C27, '🏷️ Catálogo Productos'!A:C, 3, FALSE)), "")</f>
        <v/>
      </c>
      <c r="E27" s="15" t="str">
        <f>IFERROR(IF(C27="","",VLOOKUP(C27, '🏷️ Catálogo Productos'!A:D, 4, FALSE)), "")</f>
        <v/>
      </c>
      <c r="F27" s="1"/>
      <c r="G27" s="22" t="str">
        <f>IFERROR(IF(C27="","",VLOOKUP(C27, '🏷️ Catálogo Productos'!A:E, 5, FALSE)), 0)</f>
        <v/>
      </c>
      <c r="H27" s="22" t="str">
        <f t="shared" si="0"/>
        <v/>
      </c>
      <c r="I27" s="1"/>
    </row>
  </sheetData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300-000000000000}">
          <x14:formula1>
            <xm:f>'🏷️ Catálogo Productos'!$A$2:$A$13</xm:f>
          </x14:formula1>
          <xm:sqref>C2:C58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57"/>
  <sheetViews>
    <sheetView workbookViewId="0">
      <selection sqref="A1:XFD2"/>
    </sheetView>
  </sheetViews>
  <sheetFormatPr baseColWidth="10" defaultColWidth="8.7265625" defaultRowHeight="14.5" x14ac:dyDescent="0.35"/>
  <cols>
    <col min="1" max="1" width="24" customWidth="1"/>
    <col min="2" max="2" width="14" customWidth="1"/>
    <col min="3" max="4" width="28" customWidth="1"/>
    <col min="5" max="5" width="18" customWidth="1"/>
    <col min="6" max="6" width="21" customWidth="1"/>
    <col min="7" max="7" width="20" customWidth="1"/>
    <col min="8" max="8" width="19" customWidth="1"/>
    <col min="9" max="9" width="15" customWidth="1"/>
    <col min="10" max="10" width="18" customWidth="1"/>
  </cols>
  <sheetData>
    <row r="1" spans="1:10" ht="28" customHeight="1" x14ac:dyDescent="0.35">
      <c r="A1" s="14" t="s">
        <v>119</v>
      </c>
      <c r="B1" s="14" t="s">
        <v>83</v>
      </c>
      <c r="C1" s="14" t="s">
        <v>120</v>
      </c>
      <c r="D1" s="14" t="s">
        <v>85</v>
      </c>
      <c r="E1" s="14" t="s">
        <v>57</v>
      </c>
      <c r="F1" s="14" t="s">
        <v>121</v>
      </c>
      <c r="G1" s="14" t="s">
        <v>122</v>
      </c>
      <c r="H1" s="14" t="s">
        <v>123</v>
      </c>
      <c r="I1" s="14" t="s">
        <v>20</v>
      </c>
      <c r="J1" s="14" t="s">
        <v>124</v>
      </c>
    </row>
    <row r="2" spans="1:10" ht="20" customHeight="1" x14ac:dyDescent="0.35">
      <c r="A2" s="2" t="str">
        <f>IF(C2="","", C2 &amp; COUNTIF($C$2:C2, C2))</f>
        <v>TM1</v>
      </c>
      <c r="B2" s="15" t="s">
        <v>125</v>
      </c>
      <c r="C2" s="15" t="s">
        <v>3</v>
      </c>
      <c r="D2" s="6" t="str">
        <f>IFERROR(VLOOKUP(C2, '🏷️ Catálogo Productos'!A:C, 3, FALSE), "")</f>
        <v>Top Velvet Negro</v>
      </c>
      <c r="E2" s="15" t="str">
        <f>IFERROR(VLOOKUP(C2, '🏷️ Catálogo Productos'!A:D, 4, FALSE), "")</f>
        <v>M</v>
      </c>
      <c r="F2" s="7"/>
      <c r="G2" s="8">
        <f>IFERROR(VLOOKUP(C2, '🏷️ Catálogo Productos'!A:F, 6, FALSE), 0)</f>
        <v>55000</v>
      </c>
      <c r="H2" s="8">
        <f>F2*G2</f>
        <v>0</v>
      </c>
      <c r="I2" s="15" t="s">
        <v>24</v>
      </c>
      <c r="J2" s="6" t="s">
        <v>126</v>
      </c>
    </row>
    <row r="3" spans="1:10" ht="20" customHeight="1" x14ac:dyDescent="0.35">
      <c r="A3" s="2" t="str">
        <f>IF(C3="","", C3 &amp; COUNTIF($C$2:C3, C3))</f>
        <v>SM1</v>
      </c>
      <c r="B3" s="15" t="s">
        <v>127</v>
      </c>
      <c r="C3" s="15" t="s">
        <v>69</v>
      </c>
      <c r="D3" s="6" t="str">
        <f>IFERROR(VLOOKUP(C3, '🏷️ Catálogo Productos'!A:C, 3, FALSE), "")</f>
        <v>Short Pole Grip Talle Alto</v>
      </c>
      <c r="E3" s="15" t="str">
        <f>IFERROR(VLOOKUP(C3, '🏷️ Catálogo Productos'!A:D, 4, FALSE), "")</f>
        <v>M</v>
      </c>
      <c r="F3" s="7"/>
      <c r="G3" s="8">
        <f>IFERROR(VLOOKUP(C3, '🏷️ Catálogo Productos'!A:F, 6, FALSE), 0)</f>
        <v>65000</v>
      </c>
      <c r="H3" s="8">
        <f>F3*G3</f>
        <v>0</v>
      </c>
      <c r="I3" s="15" t="s">
        <v>24</v>
      </c>
      <c r="J3" s="6" t="s">
        <v>126</v>
      </c>
    </row>
    <row r="4" spans="1:10" ht="20" customHeight="1" x14ac:dyDescent="0.35">
      <c r="A4" s="2" t="str">
        <f>IF(C4="","", C4 &amp; COUNTIF($C$2:C4, C4))</f>
        <v>PS1</v>
      </c>
      <c r="B4" s="15" t="s">
        <v>128</v>
      </c>
      <c r="C4" s="15" t="s">
        <v>73</v>
      </c>
      <c r="D4" s="6" t="str">
        <f>IFERROR(VLOOKUP(C4, '🏷️ Catálogo Productos'!A:C, 3, FALSE), "")</f>
        <v>Pantalón Lycra Flare Studio</v>
      </c>
      <c r="E4" s="15" t="str">
        <f>IFERROR(VLOOKUP(C4, '🏷️ Catálogo Productos'!A:D, 4, FALSE), "")</f>
        <v>S</v>
      </c>
      <c r="F4" s="7"/>
      <c r="G4" s="8">
        <f>IFERROR(VLOOKUP(C4, '🏷️ Catálogo Productos'!A:F, 6, FALSE), 0)</f>
        <v>85000</v>
      </c>
      <c r="H4" s="8">
        <f>F4*G4</f>
        <v>0</v>
      </c>
      <c r="I4" s="15" t="s">
        <v>28</v>
      </c>
      <c r="J4" s="6" t="s">
        <v>129</v>
      </c>
    </row>
    <row r="5" spans="1:10" ht="20" customHeight="1" x14ac:dyDescent="0.35">
      <c r="A5" s="2" t="str">
        <f>IF(C5="","", C5 &amp; COUNTIF($C$2:C5, C5))</f>
        <v>AU1</v>
      </c>
      <c r="B5" s="15" t="s">
        <v>130</v>
      </c>
      <c r="C5" s="15" t="s">
        <v>79</v>
      </c>
      <c r="D5" s="6" t="str">
        <f>IFERROR(VLOOKUP(C5, '🏷️ Catálogo Productos'!A:C, 3, FALSE), "")</f>
        <v>Grip Pole Tacky Gel 50ml</v>
      </c>
      <c r="E5" s="15" t="str">
        <f>IFERROR(VLOOKUP(C5, '🏷️ Catálogo Productos'!A:D, 4, FALSE), "")</f>
        <v>Única</v>
      </c>
      <c r="F5" s="7"/>
      <c r="G5" s="8">
        <f>IFERROR(VLOOKUP(C5, '🏷️ Catálogo Productos'!A:F, 6, FALSE), 0)</f>
        <v>35000</v>
      </c>
      <c r="H5" s="8">
        <f>F5*G5</f>
        <v>0</v>
      </c>
      <c r="I5" s="15" t="s">
        <v>26</v>
      </c>
      <c r="J5" s="6" t="s">
        <v>126</v>
      </c>
    </row>
    <row r="6" spans="1:10" ht="20" customHeight="1" x14ac:dyDescent="0.35">
      <c r="A6" s="2" t="str">
        <f>IF(C6="","", C6 &amp; COUNTIF($C$2:C6, C6))</f>
        <v>TM2</v>
      </c>
      <c r="B6" s="15" t="s">
        <v>130</v>
      </c>
      <c r="C6" s="15" t="s">
        <v>3</v>
      </c>
      <c r="D6" s="6" t="str">
        <f>IFERROR(VLOOKUP(C6, '🏷️ Catálogo Productos'!A:C, 3, FALSE), "")</f>
        <v>Top Velvet Negro</v>
      </c>
      <c r="E6" s="15" t="str">
        <f>IFERROR(VLOOKUP(C6, '🏷️ Catálogo Productos'!A:D, 4, FALSE), "")</f>
        <v>M</v>
      </c>
      <c r="F6" s="7"/>
      <c r="G6" s="8">
        <f>IFERROR(VLOOKUP(C6, '🏷️ Catálogo Productos'!A:F, 6, FALSE), 0)</f>
        <v>55000</v>
      </c>
      <c r="H6" s="8">
        <f>F6*G6</f>
        <v>0</v>
      </c>
      <c r="I6" s="15" t="s">
        <v>24</v>
      </c>
      <c r="J6" s="6" t="s">
        <v>126</v>
      </c>
    </row>
    <row r="7" spans="1:10" ht="20" customHeight="1" x14ac:dyDescent="0.35">
      <c r="A7" s="2" t="str">
        <f>IF(C7="","", C7 &amp; COUNTIF($C$2:C7, C7))</f>
        <v/>
      </c>
      <c r="B7" s="1"/>
      <c r="C7" s="1"/>
      <c r="D7" s="6" t="str">
        <f>IFERROR(IF(C7="","",VLOOKUP(C7, '🏷️ Catálogo Productos'!A:C, 3, FALSE)), "")</f>
        <v/>
      </c>
      <c r="E7" s="15" t="str">
        <f>IFERROR(IF(C7="","",VLOOKUP(C7, '🏷️ Catálogo Productos'!A:D, 4, FALSE)), "")</f>
        <v/>
      </c>
      <c r="F7" s="1"/>
      <c r="G7" s="22" t="str">
        <f>IFERROR(IF(C7="","",VLOOKUP(C7, '🏷️ Catálogo Productos'!A:F, 6, FALSE)), 0)</f>
        <v/>
      </c>
      <c r="H7" s="22" t="str">
        <f t="shared" ref="H7:H38" si="0">IF(F7="","",F7*G7)</f>
        <v/>
      </c>
      <c r="I7" s="1"/>
      <c r="J7" s="1"/>
    </row>
    <row r="8" spans="1:10" ht="20" customHeight="1" x14ac:dyDescent="0.35">
      <c r="A8" s="2" t="str">
        <f>IF(C8="","", C8 &amp; COUNTIF($C$2:C8, C8))</f>
        <v/>
      </c>
      <c r="B8" s="1"/>
      <c r="C8" s="1"/>
      <c r="D8" s="6" t="str">
        <f>IFERROR(IF(C8="","",VLOOKUP(C8, '🏷️ Catálogo Productos'!A:C, 3, FALSE)), "")</f>
        <v/>
      </c>
      <c r="E8" s="15" t="str">
        <f>IFERROR(IF(C8="","",VLOOKUP(C8, '🏷️ Catálogo Productos'!A:D, 4, FALSE)), "")</f>
        <v/>
      </c>
      <c r="F8" s="1"/>
      <c r="G8" s="22" t="str">
        <f>IFERROR(IF(C8="","",VLOOKUP(C8, '🏷️ Catálogo Productos'!A:F, 6, FALSE)), 0)</f>
        <v/>
      </c>
      <c r="H8" s="22" t="str">
        <f t="shared" si="0"/>
        <v/>
      </c>
      <c r="I8" s="1"/>
      <c r="J8" s="1"/>
    </row>
    <row r="9" spans="1:10" ht="20" customHeight="1" x14ac:dyDescent="0.35">
      <c r="A9" s="2" t="str">
        <f>IF(C9="","", C9 &amp; COUNTIF($C$2:C9, C9))</f>
        <v/>
      </c>
      <c r="B9" s="1"/>
      <c r="C9" s="1"/>
      <c r="D9" s="6" t="str">
        <f>IFERROR(IF(C9="","",VLOOKUP(C9, '🏷️ Catálogo Productos'!A:C, 3, FALSE)), "")</f>
        <v/>
      </c>
      <c r="E9" s="15" t="str">
        <f>IFERROR(IF(C9="","",VLOOKUP(C9, '🏷️ Catálogo Productos'!A:D, 4, FALSE)), "")</f>
        <v/>
      </c>
      <c r="F9" s="1"/>
      <c r="G9" s="22" t="str">
        <f>IFERROR(IF(C9="","",VLOOKUP(C9, '🏷️ Catálogo Productos'!A:F, 6, FALSE)), 0)</f>
        <v/>
      </c>
      <c r="H9" s="22" t="str">
        <f t="shared" si="0"/>
        <v/>
      </c>
      <c r="I9" s="1"/>
      <c r="J9" s="1"/>
    </row>
    <row r="10" spans="1:10" ht="20" customHeight="1" x14ac:dyDescent="0.35">
      <c r="A10" s="2" t="str">
        <f>IF(C10="","", C10 &amp; COUNTIF($C$2:C10, C10))</f>
        <v/>
      </c>
      <c r="B10" s="1"/>
      <c r="C10" s="1"/>
      <c r="D10" s="6" t="str">
        <f>IFERROR(IF(C10="","",VLOOKUP(C10, '🏷️ Catálogo Productos'!A:C, 3, FALSE)), "")</f>
        <v/>
      </c>
      <c r="E10" s="15" t="str">
        <f>IFERROR(IF(C10="","",VLOOKUP(C10, '🏷️ Catálogo Productos'!A:D, 4, FALSE)), "")</f>
        <v/>
      </c>
      <c r="F10" s="1"/>
      <c r="G10" s="22" t="str">
        <f>IFERROR(IF(C10="","",VLOOKUP(C10, '🏷️ Catálogo Productos'!A:F, 6, FALSE)), 0)</f>
        <v/>
      </c>
      <c r="H10" s="22" t="str">
        <f t="shared" si="0"/>
        <v/>
      </c>
      <c r="I10" s="1"/>
      <c r="J10" s="1"/>
    </row>
    <row r="11" spans="1:10" ht="20" customHeight="1" x14ac:dyDescent="0.35">
      <c r="A11" s="2" t="str">
        <f>IF(C11="","", C11 &amp; COUNTIF($C$2:C11, C11))</f>
        <v/>
      </c>
      <c r="B11" s="1"/>
      <c r="C11" s="1"/>
      <c r="D11" s="6" t="str">
        <f>IFERROR(IF(C11="","",VLOOKUP(C11, '🏷️ Catálogo Productos'!A:C, 3, FALSE)), "")</f>
        <v/>
      </c>
      <c r="E11" s="15" t="str">
        <f>IFERROR(IF(C11="","",VLOOKUP(C11, '🏷️ Catálogo Productos'!A:D, 4, FALSE)), "")</f>
        <v/>
      </c>
      <c r="F11" s="1"/>
      <c r="G11" s="22" t="str">
        <f>IFERROR(IF(C11="","",VLOOKUP(C11, '🏷️ Catálogo Productos'!A:F, 6, FALSE)), 0)</f>
        <v/>
      </c>
      <c r="H11" s="22" t="str">
        <f t="shared" si="0"/>
        <v/>
      </c>
      <c r="I11" s="1"/>
      <c r="J11" s="1"/>
    </row>
    <row r="12" spans="1:10" ht="20" customHeight="1" x14ac:dyDescent="0.35">
      <c r="A12" s="2" t="str">
        <f>IF(C12="","", C12 &amp; COUNTIF($C$2:C12, C12))</f>
        <v/>
      </c>
      <c r="B12" s="1"/>
      <c r="C12" s="1"/>
      <c r="D12" s="6" t="str">
        <f>IFERROR(IF(C12="","",VLOOKUP(C12, '🏷️ Catálogo Productos'!A:C, 3, FALSE)), "")</f>
        <v/>
      </c>
      <c r="E12" s="15" t="str">
        <f>IFERROR(IF(C12="","",VLOOKUP(C12, '🏷️ Catálogo Productos'!A:D, 4, FALSE)), "")</f>
        <v/>
      </c>
      <c r="F12" s="1"/>
      <c r="G12" s="22" t="str">
        <f>IFERROR(IF(C12="","",VLOOKUP(C12, '🏷️ Catálogo Productos'!A:F, 6, FALSE)), 0)</f>
        <v/>
      </c>
      <c r="H12" s="22" t="str">
        <f t="shared" si="0"/>
        <v/>
      </c>
      <c r="I12" s="1"/>
      <c r="J12" s="1"/>
    </row>
    <row r="13" spans="1:10" ht="20" customHeight="1" x14ac:dyDescent="0.35">
      <c r="A13" s="2" t="str">
        <f>IF(C13="","", C13 &amp; COUNTIF($C$2:C13, C13))</f>
        <v/>
      </c>
      <c r="B13" s="1"/>
      <c r="C13" s="1"/>
      <c r="D13" s="6" t="str">
        <f>IFERROR(IF(C13="","",VLOOKUP(C13, '🏷️ Catálogo Productos'!A:C, 3, FALSE)), "")</f>
        <v/>
      </c>
      <c r="E13" s="15" t="str">
        <f>IFERROR(IF(C13="","",VLOOKUP(C13, '🏷️ Catálogo Productos'!A:D, 4, FALSE)), "")</f>
        <v/>
      </c>
      <c r="F13" s="1"/>
      <c r="G13" s="22" t="str">
        <f>IFERROR(IF(C13="","",VLOOKUP(C13, '🏷️ Catálogo Productos'!A:F, 6, FALSE)), 0)</f>
        <v/>
      </c>
      <c r="H13" s="22" t="str">
        <f t="shared" si="0"/>
        <v/>
      </c>
      <c r="I13" s="1"/>
      <c r="J13" s="1"/>
    </row>
    <row r="14" spans="1:10" ht="20" customHeight="1" x14ac:dyDescent="0.35">
      <c r="A14" s="2" t="str">
        <f>IF(C14="","", C14 &amp; COUNTIF($C$2:C14, C14))</f>
        <v/>
      </c>
      <c r="B14" s="1"/>
      <c r="C14" s="1"/>
      <c r="D14" s="6" t="str">
        <f>IFERROR(IF(C14="","",VLOOKUP(C14, '🏷️ Catálogo Productos'!A:C, 3, FALSE)), "")</f>
        <v/>
      </c>
      <c r="E14" s="15" t="str">
        <f>IFERROR(IF(C14="","",VLOOKUP(C14, '🏷️ Catálogo Productos'!A:D, 4, FALSE)), "")</f>
        <v/>
      </c>
      <c r="F14" s="1"/>
      <c r="G14" s="22" t="str">
        <f>IFERROR(IF(C14="","",VLOOKUP(C14, '🏷️ Catálogo Productos'!A:F, 6, FALSE)), 0)</f>
        <v/>
      </c>
      <c r="H14" s="22" t="str">
        <f t="shared" si="0"/>
        <v/>
      </c>
      <c r="I14" s="1"/>
      <c r="J14" s="1"/>
    </row>
    <row r="15" spans="1:10" ht="20" customHeight="1" x14ac:dyDescent="0.35">
      <c r="A15" s="2" t="str">
        <f>IF(C15="","", C15 &amp; COUNTIF($C$2:C15, C15))</f>
        <v/>
      </c>
      <c r="B15" s="1"/>
      <c r="C15" s="1"/>
      <c r="D15" s="6" t="str">
        <f>IFERROR(IF(C15="","",VLOOKUP(C15, '🏷️ Catálogo Productos'!A:C, 3, FALSE)), "")</f>
        <v/>
      </c>
      <c r="E15" s="15" t="str">
        <f>IFERROR(IF(C15="","",VLOOKUP(C15, '🏷️ Catálogo Productos'!A:D, 4, FALSE)), "")</f>
        <v/>
      </c>
      <c r="F15" s="1"/>
      <c r="G15" s="22" t="str">
        <f>IFERROR(IF(C15="","",VLOOKUP(C15, '🏷️ Catálogo Productos'!A:F, 6, FALSE)), 0)</f>
        <v/>
      </c>
      <c r="H15" s="22" t="str">
        <f t="shared" si="0"/>
        <v/>
      </c>
      <c r="I15" s="1"/>
      <c r="J15" s="1"/>
    </row>
    <row r="16" spans="1:10" ht="20" customHeight="1" x14ac:dyDescent="0.35">
      <c r="A16" s="2" t="str">
        <f>IF(C16="","", C16 &amp; COUNTIF($C$2:C16, C16))</f>
        <v/>
      </c>
      <c r="B16" s="1"/>
      <c r="C16" s="1"/>
      <c r="D16" s="6" t="str">
        <f>IFERROR(IF(C16="","",VLOOKUP(C16, '🏷️ Catálogo Productos'!A:C, 3, FALSE)), "")</f>
        <v/>
      </c>
      <c r="E16" s="15" t="str">
        <f>IFERROR(IF(C16="","",VLOOKUP(C16, '🏷️ Catálogo Productos'!A:D, 4, FALSE)), "")</f>
        <v/>
      </c>
      <c r="F16" s="1"/>
      <c r="G16" s="22" t="str">
        <f>IFERROR(IF(C16="","",VLOOKUP(C16, '🏷️ Catálogo Productos'!A:F, 6, FALSE)), 0)</f>
        <v/>
      </c>
      <c r="H16" s="22" t="str">
        <f t="shared" si="0"/>
        <v/>
      </c>
      <c r="I16" s="1"/>
      <c r="J16" s="1"/>
    </row>
    <row r="17" spans="1:10" ht="20" customHeight="1" x14ac:dyDescent="0.35">
      <c r="A17" s="2" t="str">
        <f>IF(C17="","", C17 &amp; COUNTIF($C$2:C17, C17))</f>
        <v/>
      </c>
      <c r="B17" s="1"/>
      <c r="C17" s="1"/>
      <c r="D17" s="6" t="str">
        <f>IFERROR(IF(C17="","",VLOOKUP(C17, '🏷️ Catálogo Productos'!A:C, 3, FALSE)), "")</f>
        <v/>
      </c>
      <c r="E17" s="15" t="str">
        <f>IFERROR(IF(C17="","",VLOOKUP(C17, '🏷️ Catálogo Productos'!A:D, 4, FALSE)), "")</f>
        <v/>
      </c>
      <c r="F17" s="1"/>
      <c r="G17" s="22" t="str">
        <f>IFERROR(IF(C17="","",VLOOKUP(C17, '🏷️ Catálogo Productos'!A:F, 6, FALSE)), 0)</f>
        <v/>
      </c>
      <c r="H17" s="22" t="str">
        <f t="shared" si="0"/>
        <v/>
      </c>
      <c r="I17" s="1"/>
      <c r="J17" s="1"/>
    </row>
    <row r="18" spans="1:10" ht="20" customHeight="1" x14ac:dyDescent="0.35">
      <c r="A18" s="2" t="str">
        <f>IF(C18="","", C18 &amp; COUNTIF($C$2:C18, C18))</f>
        <v/>
      </c>
      <c r="B18" s="1"/>
      <c r="C18" s="1"/>
      <c r="D18" s="6" t="str">
        <f>IFERROR(IF(C18="","",VLOOKUP(C18, '🏷️ Catálogo Productos'!A:C, 3, FALSE)), "")</f>
        <v/>
      </c>
      <c r="E18" s="15" t="str">
        <f>IFERROR(IF(C18="","",VLOOKUP(C18, '🏷️ Catálogo Productos'!A:D, 4, FALSE)), "")</f>
        <v/>
      </c>
      <c r="F18" s="1"/>
      <c r="G18" s="22" t="str">
        <f>IFERROR(IF(C18="","",VLOOKUP(C18, '🏷️ Catálogo Productos'!A:F, 6, FALSE)), 0)</f>
        <v/>
      </c>
      <c r="H18" s="22" t="str">
        <f t="shared" si="0"/>
        <v/>
      </c>
      <c r="I18" s="1"/>
      <c r="J18" s="1"/>
    </row>
    <row r="19" spans="1:10" ht="20" customHeight="1" x14ac:dyDescent="0.35">
      <c r="A19" s="2" t="str">
        <f>IF(C19="","", C19 &amp; COUNTIF($C$2:C19, C19))</f>
        <v/>
      </c>
      <c r="B19" s="1"/>
      <c r="C19" s="1"/>
      <c r="D19" s="6" t="str">
        <f>IFERROR(IF(C19="","",VLOOKUP(C19, '🏷️ Catálogo Productos'!A:C, 3, FALSE)), "")</f>
        <v/>
      </c>
      <c r="E19" s="15" t="str">
        <f>IFERROR(IF(C19="","",VLOOKUP(C19, '🏷️ Catálogo Productos'!A:D, 4, FALSE)), "")</f>
        <v/>
      </c>
      <c r="F19" s="1"/>
      <c r="G19" s="22" t="str">
        <f>IFERROR(IF(C19="","",VLOOKUP(C19, '🏷️ Catálogo Productos'!A:F, 6, FALSE)), 0)</f>
        <v/>
      </c>
      <c r="H19" s="22" t="str">
        <f t="shared" si="0"/>
        <v/>
      </c>
      <c r="I19" s="1"/>
      <c r="J19" s="1"/>
    </row>
    <row r="20" spans="1:10" ht="20" customHeight="1" x14ac:dyDescent="0.35">
      <c r="A20" s="2" t="str">
        <f>IF(C20="","", C20 &amp; COUNTIF($C$2:C20, C20))</f>
        <v/>
      </c>
      <c r="B20" s="1"/>
      <c r="C20" s="1"/>
      <c r="D20" s="6" t="str">
        <f>IFERROR(IF(C20="","",VLOOKUP(C20, '🏷️ Catálogo Productos'!A:C, 3, FALSE)), "")</f>
        <v/>
      </c>
      <c r="E20" s="15" t="str">
        <f>IFERROR(IF(C20="","",VLOOKUP(C20, '🏷️ Catálogo Productos'!A:D, 4, FALSE)), "")</f>
        <v/>
      </c>
      <c r="F20" s="1"/>
      <c r="G20" s="22" t="str">
        <f>IFERROR(IF(C20="","",VLOOKUP(C20, '🏷️ Catálogo Productos'!A:F, 6, FALSE)), 0)</f>
        <v/>
      </c>
      <c r="H20" s="22" t="str">
        <f t="shared" si="0"/>
        <v/>
      </c>
      <c r="I20" s="1"/>
      <c r="J20" s="1"/>
    </row>
    <row r="21" spans="1:10" ht="20" customHeight="1" x14ac:dyDescent="0.35">
      <c r="A21" s="2" t="str">
        <f>IF(C21="","", C21 &amp; COUNTIF($C$2:C21, C21))</f>
        <v/>
      </c>
      <c r="B21" s="1"/>
      <c r="C21" s="1"/>
      <c r="D21" s="6" t="str">
        <f>IFERROR(IF(C21="","",VLOOKUP(C21, '🏷️ Catálogo Productos'!A:C, 3, FALSE)), "")</f>
        <v/>
      </c>
      <c r="E21" s="15" t="str">
        <f>IFERROR(IF(C21="","",VLOOKUP(C21, '🏷️ Catálogo Productos'!A:D, 4, FALSE)), "")</f>
        <v/>
      </c>
      <c r="F21" s="1"/>
      <c r="G21" s="22" t="str">
        <f>IFERROR(IF(C21="","",VLOOKUP(C21, '🏷️ Catálogo Productos'!A:F, 6, FALSE)), 0)</f>
        <v/>
      </c>
      <c r="H21" s="22" t="str">
        <f t="shared" si="0"/>
        <v/>
      </c>
      <c r="I21" s="1"/>
      <c r="J21" s="1"/>
    </row>
    <row r="22" spans="1:10" ht="20" customHeight="1" x14ac:dyDescent="0.35">
      <c r="A22" s="2" t="str">
        <f>IF(C22="","", C22 &amp; COUNTIF($C$2:C22, C22))</f>
        <v/>
      </c>
      <c r="B22" s="1"/>
      <c r="C22" s="1"/>
      <c r="D22" s="6" t="str">
        <f>IFERROR(IF(C22="","",VLOOKUP(C22, '🏷️ Catálogo Productos'!A:C, 3, FALSE)), "")</f>
        <v/>
      </c>
      <c r="E22" s="15" t="str">
        <f>IFERROR(IF(C22="","",VLOOKUP(C22, '🏷️ Catálogo Productos'!A:D, 4, FALSE)), "")</f>
        <v/>
      </c>
      <c r="F22" s="1"/>
      <c r="G22" s="22" t="str">
        <f>IFERROR(IF(C22="","",VLOOKUP(C22, '🏷️ Catálogo Productos'!A:F, 6, FALSE)), 0)</f>
        <v/>
      </c>
      <c r="H22" s="22" t="str">
        <f t="shared" si="0"/>
        <v/>
      </c>
      <c r="I22" s="1"/>
      <c r="J22" s="1"/>
    </row>
    <row r="23" spans="1:10" ht="20" customHeight="1" x14ac:dyDescent="0.35">
      <c r="A23" s="2" t="str">
        <f>IF(C23="","", C23 &amp; COUNTIF($C$2:C23, C23))</f>
        <v/>
      </c>
      <c r="B23" s="1"/>
      <c r="C23" s="1"/>
      <c r="D23" s="6" t="str">
        <f>IFERROR(IF(C23="","",VLOOKUP(C23, '🏷️ Catálogo Productos'!A:C, 3, FALSE)), "")</f>
        <v/>
      </c>
      <c r="E23" s="15" t="str">
        <f>IFERROR(IF(C23="","",VLOOKUP(C23, '🏷️ Catálogo Productos'!A:D, 4, FALSE)), "")</f>
        <v/>
      </c>
      <c r="F23" s="1"/>
      <c r="G23" s="22" t="str">
        <f>IFERROR(IF(C23="","",VLOOKUP(C23, '🏷️ Catálogo Productos'!A:F, 6, FALSE)), 0)</f>
        <v/>
      </c>
      <c r="H23" s="22" t="str">
        <f t="shared" si="0"/>
        <v/>
      </c>
      <c r="I23" s="1"/>
      <c r="J23" s="1"/>
    </row>
    <row r="24" spans="1:10" ht="20" customHeight="1" x14ac:dyDescent="0.35">
      <c r="A24" s="2" t="str">
        <f>IF(C24="","", C24 &amp; COUNTIF($C$2:C24, C24))</f>
        <v/>
      </c>
      <c r="B24" s="1"/>
      <c r="C24" s="1"/>
      <c r="D24" s="6" t="str">
        <f>IFERROR(IF(C24="","",VLOOKUP(C24, '🏷️ Catálogo Productos'!A:C, 3, FALSE)), "")</f>
        <v/>
      </c>
      <c r="E24" s="15" t="str">
        <f>IFERROR(IF(C24="","",VLOOKUP(C24, '🏷️ Catálogo Productos'!A:D, 4, FALSE)), "")</f>
        <v/>
      </c>
      <c r="F24" s="1"/>
      <c r="G24" s="22" t="str">
        <f>IFERROR(IF(C24="","",VLOOKUP(C24, '🏷️ Catálogo Productos'!A:F, 6, FALSE)), 0)</f>
        <v/>
      </c>
      <c r="H24" s="22" t="str">
        <f t="shared" si="0"/>
        <v/>
      </c>
      <c r="I24" s="1"/>
      <c r="J24" s="1"/>
    </row>
    <row r="25" spans="1:10" ht="20" customHeight="1" x14ac:dyDescent="0.35">
      <c r="A25" s="2" t="str">
        <f>IF(C25="","", C25 &amp; COUNTIF($C$2:C25, C25))</f>
        <v/>
      </c>
      <c r="B25" s="1"/>
      <c r="C25" s="1"/>
      <c r="D25" s="6" t="str">
        <f>IFERROR(IF(C25="","",VLOOKUP(C25, '🏷️ Catálogo Productos'!A:C, 3, FALSE)), "")</f>
        <v/>
      </c>
      <c r="E25" s="15" t="str">
        <f>IFERROR(IF(C25="","",VLOOKUP(C25, '🏷️ Catálogo Productos'!A:D, 4, FALSE)), "")</f>
        <v/>
      </c>
      <c r="F25" s="1"/>
      <c r="G25" s="22" t="str">
        <f>IFERROR(IF(C25="","",VLOOKUP(C25, '🏷️ Catálogo Productos'!A:F, 6, FALSE)), 0)</f>
        <v/>
      </c>
      <c r="H25" s="22" t="str">
        <f t="shared" si="0"/>
        <v/>
      </c>
      <c r="I25" s="1"/>
      <c r="J25" s="1"/>
    </row>
    <row r="26" spans="1:10" ht="20" customHeight="1" x14ac:dyDescent="0.35">
      <c r="A26" s="2" t="str">
        <f>IF(C26="","", C26 &amp; COUNTIF($C$2:C26, C26))</f>
        <v/>
      </c>
      <c r="B26" s="1"/>
      <c r="C26" s="1"/>
      <c r="D26" s="6" t="str">
        <f>IFERROR(IF(C26="","",VLOOKUP(C26, '🏷️ Catálogo Productos'!A:C, 3, FALSE)), "")</f>
        <v/>
      </c>
      <c r="E26" s="15" t="str">
        <f>IFERROR(IF(C26="","",VLOOKUP(C26, '🏷️ Catálogo Productos'!A:D, 4, FALSE)), "")</f>
        <v/>
      </c>
      <c r="F26" s="1"/>
      <c r="G26" s="22" t="str">
        <f>IFERROR(IF(C26="","",VLOOKUP(C26, '🏷️ Catálogo Productos'!A:F, 6, FALSE)), 0)</f>
        <v/>
      </c>
      <c r="H26" s="22" t="str">
        <f t="shared" si="0"/>
        <v/>
      </c>
      <c r="I26" s="1"/>
      <c r="J26" s="1"/>
    </row>
    <row r="27" spans="1:10" ht="20" customHeight="1" x14ac:dyDescent="0.35">
      <c r="A27" s="2" t="str">
        <f>IF(C27="","", C27 &amp; COUNTIF($C$2:C27, C27))</f>
        <v/>
      </c>
      <c r="B27" s="1"/>
      <c r="C27" s="1"/>
      <c r="D27" s="6" t="str">
        <f>IFERROR(IF(C27="","",VLOOKUP(C27, '🏷️ Catálogo Productos'!A:C, 3, FALSE)), "")</f>
        <v/>
      </c>
      <c r="E27" s="15" t="str">
        <f>IFERROR(IF(C27="","",VLOOKUP(C27, '🏷️ Catálogo Productos'!A:D, 4, FALSE)), "")</f>
        <v/>
      </c>
      <c r="F27" s="1"/>
      <c r="G27" s="22" t="str">
        <f>IFERROR(IF(C27="","",VLOOKUP(C27, '🏷️ Catálogo Productos'!A:F, 6, FALSE)), 0)</f>
        <v/>
      </c>
      <c r="H27" s="22" t="str">
        <f t="shared" si="0"/>
        <v/>
      </c>
      <c r="I27" s="1"/>
      <c r="J27" s="1"/>
    </row>
    <row r="28" spans="1:10" ht="20" customHeight="1" x14ac:dyDescent="0.35">
      <c r="A28" s="2" t="str">
        <f>IF(C28="","", C28 &amp; COUNTIF($C$2:C28, C28))</f>
        <v/>
      </c>
      <c r="B28" s="1"/>
      <c r="C28" s="1"/>
      <c r="D28" s="6" t="str">
        <f>IFERROR(IF(C28="","",VLOOKUP(C28, '🏷️ Catálogo Productos'!A:C, 3, FALSE)), "")</f>
        <v/>
      </c>
      <c r="E28" s="15" t="str">
        <f>IFERROR(IF(C28="","",VLOOKUP(C28, '🏷️ Catálogo Productos'!A:D, 4, FALSE)), "")</f>
        <v/>
      </c>
      <c r="F28" s="1"/>
      <c r="G28" s="22" t="str">
        <f>IFERROR(IF(C28="","",VLOOKUP(C28, '🏷️ Catálogo Productos'!A:F, 6, FALSE)), 0)</f>
        <v/>
      </c>
      <c r="H28" s="22" t="str">
        <f t="shared" si="0"/>
        <v/>
      </c>
      <c r="I28" s="1"/>
      <c r="J28" s="1"/>
    </row>
    <row r="29" spans="1:10" ht="20" customHeight="1" x14ac:dyDescent="0.35">
      <c r="A29" s="2" t="str">
        <f>IF(C29="","", C29 &amp; COUNTIF($C$2:C29, C29))</f>
        <v/>
      </c>
      <c r="B29" s="1"/>
      <c r="C29" s="1"/>
      <c r="D29" s="6" t="str">
        <f>IFERROR(IF(C29="","",VLOOKUP(C29, '🏷️ Catálogo Productos'!A:C, 3, FALSE)), "")</f>
        <v/>
      </c>
      <c r="E29" s="15" t="str">
        <f>IFERROR(IF(C29="","",VLOOKUP(C29, '🏷️ Catálogo Productos'!A:D, 4, FALSE)), "")</f>
        <v/>
      </c>
      <c r="F29" s="1"/>
      <c r="G29" s="22" t="str">
        <f>IFERROR(IF(C29="","",VLOOKUP(C29, '🏷️ Catálogo Productos'!A:F, 6, FALSE)), 0)</f>
        <v/>
      </c>
      <c r="H29" s="22" t="str">
        <f t="shared" si="0"/>
        <v/>
      </c>
      <c r="I29" s="1"/>
      <c r="J29" s="1"/>
    </row>
    <row r="30" spans="1:10" ht="20" customHeight="1" x14ac:dyDescent="0.35">
      <c r="A30" s="2" t="str">
        <f>IF(C30="","", C30 &amp; COUNTIF($C$2:C30, C30))</f>
        <v/>
      </c>
      <c r="B30" s="1"/>
      <c r="C30" s="1"/>
      <c r="D30" s="6" t="str">
        <f>IFERROR(IF(C30="","",VLOOKUP(C30, '🏷️ Catálogo Productos'!A:C, 3, FALSE)), "")</f>
        <v/>
      </c>
      <c r="E30" s="15" t="str">
        <f>IFERROR(IF(C30="","",VLOOKUP(C30, '🏷️ Catálogo Productos'!A:D, 4, FALSE)), "")</f>
        <v/>
      </c>
      <c r="F30" s="1"/>
      <c r="G30" s="22" t="str">
        <f>IFERROR(IF(C30="","",VLOOKUP(C30, '🏷️ Catálogo Productos'!A:F, 6, FALSE)), 0)</f>
        <v/>
      </c>
      <c r="H30" s="22" t="str">
        <f t="shared" si="0"/>
        <v/>
      </c>
      <c r="I30" s="1"/>
      <c r="J30" s="1"/>
    </row>
    <row r="31" spans="1:10" ht="20" customHeight="1" x14ac:dyDescent="0.35">
      <c r="A31" s="2" t="str">
        <f>IF(C31="","", C31 &amp; COUNTIF($C$2:C31, C31))</f>
        <v/>
      </c>
      <c r="B31" s="1"/>
      <c r="C31" s="1"/>
      <c r="D31" s="6" t="str">
        <f>IFERROR(IF(C31="","",VLOOKUP(C31, '🏷️ Catálogo Productos'!A:C, 3, FALSE)), "")</f>
        <v/>
      </c>
      <c r="E31" s="15" t="str">
        <f>IFERROR(IF(C31="","",VLOOKUP(C31, '🏷️ Catálogo Productos'!A:D, 4, FALSE)), "")</f>
        <v/>
      </c>
      <c r="F31" s="1"/>
      <c r="G31" s="22" t="str">
        <f>IFERROR(IF(C31="","",VLOOKUP(C31, '🏷️ Catálogo Productos'!A:F, 6, FALSE)), 0)</f>
        <v/>
      </c>
      <c r="H31" s="22" t="str">
        <f t="shared" si="0"/>
        <v/>
      </c>
      <c r="I31" s="1"/>
      <c r="J31" s="1"/>
    </row>
    <row r="32" spans="1:10" ht="20" customHeight="1" x14ac:dyDescent="0.35">
      <c r="A32" s="2" t="str">
        <f>IF(C32="","", C32 &amp; COUNTIF($C$2:C32, C32))</f>
        <v/>
      </c>
      <c r="B32" s="1"/>
      <c r="C32" s="1"/>
      <c r="D32" s="6" t="str">
        <f>IFERROR(IF(C32="","",VLOOKUP(C32, '🏷️ Catálogo Productos'!A:C, 3, FALSE)), "")</f>
        <v/>
      </c>
      <c r="E32" s="15" t="str">
        <f>IFERROR(IF(C32="","",VLOOKUP(C32, '🏷️ Catálogo Productos'!A:D, 4, FALSE)), "")</f>
        <v/>
      </c>
      <c r="F32" s="1"/>
      <c r="G32" s="22" t="str">
        <f>IFERROR(IF(C32="","",VLOOKUP(C32, '🏷️ Catálogo Productos'!A:F, 6, FALSE)), 0)</f>
        <v/>
      </c>
      <c r="H32" s="22" t="str">
        <f t="shared" si="0"/>
        <v/>
      </c>
      <c r="I32" s="1"/>
      <c r="J32" s="1"/>
    </row>
    <row r="33" spans="1:10" ht="20" customHeight="1" x14ac:dyDescent="0.35">
      <c r="A33" s="2" t="str">
        <f>IF(C33="","", C33 &amp; COUNTIF($C$2:C33, C33))</f>
        <v/>
      </c>
      <c r="B33" s="1"/>
      <c r="C33" s="1"/>
      <c r="D33" s="6" t="str">
        <f>IFERROR(IF(C33="","",VLOOKUP(C33, '🏷️ Catálogo Productos'!A:C, 3, FALSE)), "")</f>
        <v/>
      </c>
      <c r="E33" s="15" t="str">
        <f>IFERROR(IF(C33="","",VLOOKUP(C33, '🏷️ Catálogo Productos'!A:D, 4, FALSE)), "")</f>
        <v/>
      </c>
      <c r="F33" s="1"/>
      <c r="G33" s="22" t="str">
        <f>IFERROR(IF(C33="","",VLOOKUP(C33, '🏷️ Catálogo Productos'!A:F, 6, FALSE)), 0)</f>
        <v/>
      </c>
      <c r="H33" s="22" t="str">
        <f t="shared" si="0"/>
        <v/>
      </c>
      <c r="I33" s="1"/>
      <c r="J33" s="1"/>
    </row>
    <row r="34" spans="1:10" ht="20" customHeight="1" x14ac:dyDescent="0.35">
      <c r="A34" s="2" t="str">
        <f>IF(C34="","", C34 &amp; COUNTIF($C$2:C34, C34))</f>
        <v/>
      </c>
      <c r="B34" s="1"/>
      <c r="C34" s="1"/>
      <c r="D34" s="6" t="str">
        <f>IFERROR(IF(C34="","",VLOOKUP(C34, '🏷️ Catálogo Productos'!A:C, 3, FALSE)), "")</f>
        <v/>
      </c>
      <c r="E34" s="15" t="str">
        <f>IFERROR(IF(C34="","",VLOOKUP(C34, '🏷️ Catálogo Productos'!A:D, 4, FALSE)), "")</f>
        <v/>
      </c>
      <c r="F34" s="1"/>
      <c r="G34" s="22" t="str">
        <f>IFERROR(IF(C34="","",VLOOKUP(C34, '🏷️ Catálogo Productos'!A:F, 6, FALSE)), 0)</f>
        <v/>
      </c>
      <c r="H34" s="22" t="str">
        <f t="shared" si="0"/>
        <v/>
      </c>
      <c r="I34" s="1"/>
      <c r="J34" s="1"/>
    </row>
    <row r="35" spans="1:10" ht="20" customHeight="1" x14ac:dyDescent="0.35">
      <c r="A35" s="2" t="str">
        <f>IF(C35="","", C35 &amp; COUNTIF($C$2:C35, C35))</f>
        <v/>
      </c>
      <c r="B35" s="1"/>
      <c r="C35" s="1"/>
      <c r="D35" s="6" t="str">
        <f>IFERROR(IF(C35="","",VLOOKUP(C35, '🏷️ Catálogo Productos'!A:C, 3, FALSE)), "")</f>
        <v/>
      </c>
      <c r="E35" s="15" t="str">
        <f>IFERROR(IF(C35="","",VLOOKUP(C35, '🏷️ Catálogo Productos'!A:D, 4, FALSE)), "")</f>
        <v/>
      </c>
      <c r="F35" s="1"/>
      <c r="G35" s="22" t="str">
        <f>IFERROR(IF(C35="","",VLOOKUP(C35, '🏷️ Catálogo Productos'!A:F, 6, FALSE)), 0)</f>
        <v/>
      </c>
      <c r="H35" s="22" t="str">
        <f t="shared" si="0"/>
        <v/>
      </c>
      <c r="I35" s="1"/>
      <c r="J35" s="1"/>
    </row>
    <row r="36" spans="1:10" ht="20" customHeight="1" x14ac:dyDescent="0.35">
      <c r="A36" s="2" t="str">
        <f>IF(C36="","", C36 &amp; COUNTIF($C$2:C36, C36))</f>
        <v/>
      </c>
      <c r="B36" s="1"/>
      <c r="C36" s="1"/>
      <c r="D36" s="6" t="str">
        <f>IFERROR(IF(C36="","",VLOOKUP(C36, '🏷️ Catálogo Productos'!A:C, 3, FALSE)), "")</f>
        <v/>
      </c>
      <c r="E36" s="15" t="str">
        <f>IFERROR(IF(C36="","",VLOOKUP(C36, '🏷️ Catálogo Productos'!A:D, 4, FALSE)), "")</f>
        <v/>
      </c>
      <c r="F36" s="1"/>
      <c r="G36" s="22" t="str">
        <f>IFERROR(IF(C36="","",VLOOKUP(C36, '🏷️ Catálogo Productos'!A:F, 6, FALSE)), 0)</f>
        <v/>
      </c>
      <c r="H36" s="22" t="str">
        <f t="shared" si="0"/>
        <v/>
      </c>
      <c r="I36" s="1"/>
      <c r="J36" s="1"/>
    </row>
    <row r="37" spans="1:10" ht="20" customHeight="1" x14ac:dyDescent="0.35">
      <c r="A37" s="2" t="str">
        <f>IF(C37="","", C37 &amp; COUNTIF($C$2:C37, C37))</f>
        <v/>
      </c>
      <c r="B37" s="1"/>
      <c r="C37" s="1"/>
      <c r="D37" s="6" t="str">
        <f>IFERROR(IF(C37="","",VLOOKUP(C37, '🏷️ Catálogo Productos'!A:C, 3, FALSE)), "")</f>
        <v/>
      </c>
      <c r="E37" s="15" t="str">
        <f>IFERROR(IF(C37="","",VLOOKUP(C37, '🏷️ Catálogo Productos'!A:D, 4, FALSE)), "")</f>
        <v/>
      </c>
      <c r="F37" s="1"/>
      <c r="G37" s="22" t="str">
        <f>IFERROR(IF(C37="","",VLOOKUP(C37, '🏷️ Catálogo Productos'!A:F, 6, FALSE)), 0)</f>
        <v/>
      </c>
      <c r="H37" s="22" t="str">
        <f t="shared" si="0"/>
        <v/>
      </c>
      <c r="I37" s="1"/>
      <c r="J37" s="1"/>
    </row>
    <row r="38" spans="1:10" ht="20" customHeight="1" x14ac:dyDescent="0.35">
      <c r="A38" s="2" t="str">
        <f>IF(C38="","", C38 &amp; COUNTIF($C$2:C38, C38))</f>
        <v/>
      </c>
      <c r="B38" s="1"/>
      <c r="C38" s="1"/>
      <c r="D38" s="6" t="str">
        <f>IFERROR(IF(C38="","",VLOOKUP(C38, '🏷️ Catálogo Productos'!A:C, 3, FALSE)), "")</f>
        <v/>
      </c>
      <c r="E38" s="15" t="str">
        <f>IFERROR(IF(C38="","",VLOOKUP(C38, '🏷️ Catálogo Productos'!A:D, 4, FALSE)), "")</f>
        <v/>
      </c>
      <c r="F38" s="1"/>
      <c r="G38" s="22" t="str">
        <f>IFERROR(IF(C38="","",VLOOKUP(C38, '🏷️ Catálogo Productos'!A:F, 6, FALSE)), 0)</f>
        <v/>
      </c>
      <c r="H38" s="22" t="str">
        <f t="shared" si="0"/>
        <v/>
      </c>
      <c r="I38" s="1"/>
      <c r="J38" s="1"/>
    </row>
    <row r="39" spans="1:10" ht="20" customHeight="1" x14ac:dyDescent="0.35">
      <c r="A39" s="2" t="str">
        <f>IF(C39="","", C39 &amp; COUNTIF($C$2:C39, C39))</f>
        <v/>
      </c>
      <c r="B39" s="1"/>
      <c r="C39" s="1"/>
      <c r="D39" s="6" t="str">
        <f>IFERROR(IF(C39="","",VLOOKUP(C39, '🏷️ Catálogo Productos'!A:C, 3, FALSE)), "")</f>
        <v/>
      </c>
      <c r="E39" s="15" t="str">
        <f>IFERROR(IF(C39="","",VLOOKUP(C39, '🏷️ Catálogo Productos'!A:D, 4, FALSE)), "")</f>
        <v/>
      </c>
      <c r="F39" s="1"/>
      <c r="G39" s="22" t="str">
        <f>IFERROR(IF(C39="","",VLOOKUP(C39, '🏷️ Catálogo Productos'!A:F, 6, FALSE)), 0)</f>
        <v/>
      </c>
      <c r="H39" s="22" t="str">
        <f t="shared" ref="H39:H57" si="1">IF(F39="","",F39*G39)</f>
        <v/>
      </c>
      <c r="I39" s="1"/>
      <c r="J39" s="1"/>
    </row>
    <row r="40" spans="1:10" ht="20" customHeight="1" x14ac:dyDescent="0.35">
      <c r="A40" s="2" t="str">
        <f>IF(C40="","", C40 &amp; COUNTIF($C$2:C40, C40))</f>
        <v/>
      </c>
      <c r="B40" s="1"/>
      <c r="C40" s="1"/>
      <c r="D40" s="6" t="str">
        <f>IFERROR(IF(C40="","",VLOOKUP(C40, '🏷️ Catálogo Productos'!A:C, 3, FALSE)), "")</f>
        <v/>
      </c>
      <c r="E40" s="15" t="str">
        <f>IFERROR(IF(C40="","",VLOOKUP(C40, '🏷️ Catálogo Productos'!A:D, 4, FALSE)), "")</f>
        <v/>
      </c>
      <c r="F40" s="1"/>
      <c r="G40" s="22" t="str">
        <f>IFERROR(IF(C40="","",VLOOKUP(C40, '🏷️ Catálogo Productos'!A:F, 6, FALSE)), 0)</f>
        <v/>
      </c>
      <c r="H40" s="22" t="str">
        <f t="shared" si="1"/>
        <v/>
      </c>
      <c r="I40" s="1"/>
      <c r="J40" s="1"/>
    </row>
    <row r="41" spans="1:10" ht="20" customHeight="1" x14ac:dyDescent="0.35">
      <c r="A41" s="2" t="str">
        <f>IF(C41="","", C41 &amp; COUNTIF($C$2:C41, C41))</f>
        <v/>
      </c>
      <c r="B41" s="1"/>
      <c r="C41" s="1"/>
      <c r="D41" s="6" t="str">
        <f>IFERROR(IF(C41="","",VLOOKUP(C41, '🏷️ Catálogo Productos'!A:C, 3, FALSE)), "")</f>
        <v/>
      </c>
      <c r="E41" s="15" t="str">
        <f>IFERROR(IF(C41="","",VLOOKUP(C41, '🏷️ Catálogo Productos'!A:D, 4, FALSE)), "")</f>
        <v/>
      </c>
      <c r="F41" s="1"/>
      <c r="G41" s="22" t="str">
        <f>IFERROR(IF(C41="","",VLOOKUP(C41, '🏷️ Catálogo Productos'!A:F, 6, FALSE)), 0)</f>
        <v/>
      </c>
      <c r="H41" s="22" t="str">
        <f t="shared" si="1"/>
        <v/>
      </c>
      <c r="I41" s="1"/>
      <c r="J41" s="1"/>
    </row>
    <row r="42" spans="1:10" ht="20" customHeight="1" x14ac:dyDescent="0.35">
      <c r="A42" s="2" t="str">
        <f>IF(C42="","", C42 &amp; COUNTIF($C$2:C42, C42))</f>
        <v/>
      </c>
      <c r="B42" s="1"/>
      <c r="C42" s="1"/>
      <c r="D42" s="6" t="str">
        <f>IFERROR(IF(C42="","",VLOOKUP(C42, '🏷️ Catálogo Productos'!A:C, 3, FALSE)), "")</f>
        <v/>
      </c>
      <c r="E42" s="15" t="str">
        <f>IFERROR(IF(C42="","",VLOOKUP(C42, '🏷️ Catálogo Productos'!A:D, 4, FALSE)), "")</f>
        <v/>
      </c>
      <c r="F42" s="1"/>
      <c r="G42" s="22" t="str">
        <f>IFERROR(IF(C42="","",VLOOKUP(C42, '🏷️ Catálogo Productos'!A:F, 6, FALSE)), 0)</f>
        <v/>
      </c>
      <c r="H42" s="22" t="str">
        <f t="shared" si="1"/>
        <v/>
      </c>
      <c r="I42" s="1"/>
      <c r="J42" s="1"/>
    </row>
    <row r="43" spans="1:10" ht="20" customHeight="1" x14ac:dyDescent="0.35">
      <c r="A43" s="2" t="str">
        <f>IF(C43="","", C43 &amp; COUNTIF($C$2:C43, C43))</f>
        <v/>
      </c>
      <c r="B43" s="1"/>
      <c r="C43" s="1"/>
      <c r="D43" s="6" t="str">
        <f>IFERROR(IF(C43="","",VLOOKUP(C43, '🏷️ Catálogo Productos'!A:C, 3, FALSE)), "")</f>
        <v/>
      </c>
      <c r="E43" s="15" t="str">
        <f>IFERROR(IF(C43="","",VLOOKUP(C43, '🏷️ Catálogo Productos'!A:D, 4, FALSE)), "")</f>
        <v/>
      </c>
      <c r="F43" s="1"/>
      <c r="G43" s="22" t="str">
        <f>IFERROR(IF(C43="","",VLOOKUP(C43, '🏷️ Catálogo Productos'!A:F, 6, FALSE)), 0)</f>
        <v/>
      </c>
      <c r="H43" s="22" t="str">
        <f t="shared" si="1"/>
        <v/>
      </c>
      <c r="I43" s="1"/>
      <c r="J43" s="1"/>
    </row>
    <row r="44" spans="1:10" ht="20" customHeight="1" x14ac:dyDescent="0.35">
      <c r="A44" s="2" t="str">
        <f>IF(C44="","", C44 &amp; COUNTIF($C$2:C44, C44))</f>
        <v/>
      </c>
      <c r="B44" s="1"/>
      <c r="C44" s="1"/>
      <c r="D44" s="6" t="str">
        <f>IFERROR(IF(C44="","",VLOOKUP(C44, '🏷️ Catálogo Productos'!A:C, 3, FALSE)), "")</f>
        <v/>
      </c>
      <c r="E44" s="15" t="str">
        <f>IFERROR(IF(C44="","",VLOOKUP(C44, '🏷️ Catálogo Productos'!A:D, 4, FALSE)), "")</f>
        <v/>
      </c>
      <c r="F44" s="1"/>
      <c r="G44" s="22" t="str">
        <f>IFERROR(IF(C44="","",VLOOKUP(C44, '🏷️ Catálogo Productos'!A:F, 6, FALSE)), 0)</f>
        <v/>
      </c>
      <c r="H44" s="22" t="str">
        <f t="shared" si="1"/>
        <v/>
      </c>
      <c r="I44" s="1"/>
      <c r="J44" s="1"/>
    </row>
    <row r="45" spans="1:10" ht="20" customHeight="1" x14ac:dyDescent="0.35">
      <c r="A45" s="2" t="str">
        <f>IF(C45="","", C45 &amp; COUNTIF($C$2:C45, C45))</f>
        <v/>
      </c>
      <c r="B45" s="1"/>
      <c r="C45" s="1"/>
      <c r="D45" s="6" t="str">
        <f>IFERROR(IF(C45="","",VLOOKUP(C45, '🏷️ Catálogo Productos'!A:C, 3, FALSE)), "")</f>
        <v/>
      </c>
      <c r="E45" s="15" t="str">
        <f>IFERROR(IF(C45="","",VLOOKUP(C45, '🏷️ Catálogo Productos'!A:D, 4, FALSE)), "")</f>
        <v/>
      </c>
      <c r="F45" s="1"/>
      <c r="G45" s="22" t="str">
        <f>IFERROR(IF(C45="","",VLOOKUP(C45, '🏷️ Catálogo Productos'!A:F, 6, FALSE)), 0)</f>
        <v/>
      </c>
      <c r="H45" s="22" t="str">
        <f t="shared" si="1"/>
        <v/>
      </c>
      <c r="I45" s="1"/>
      <c r="J45" s="1"/>
    </row>
    <row r="46" spans="1:10" ht="20" customHeight="1" x14ac:dyDescent="0.35">
      <c r="A46" s="2" t="str">
        <f>IF(C46="","", C46 &amp; COUNTIF($C$2:C46, C46))</f>
        <v/>
      </c>
      <c r="B46" s="1"/>
      <c r="C46" s="1"/>
      <c r="D46" s="6" t="str">
        <f>IFERROR(IF(C46="","",VLOOKUP(C46, '🏷️ Catálogo Productos'!A:C, 3, FALSE)), "")</f>
        <v/>
      </c>
      <c r="E46" s="15" t="str">
        <f>IFERROR(IF(C46="","",VLOOKUP(C46, '🏷️ Catálogo Productos'!A:D, 4, FALSE)), "")</f>
        <v/>
      </c>
      <c r="F46" s="1"/>
      <c r="G46" s="22" t="str">
        <f>IFERROR(IF(C46="","",VLOOKUP(C46, '🏷️ Catálogo Productos'!A:F, 6, FALSE)), 0)</f>
        <v/>
      </c>
      <c r="H46" s="22" t="str">
        <f t="shared" si="1"/>
        <v/>
      </c>
      <c r="I46" s="1"/>
      <c r="J46" s="1"/>
    </row>
    <row r="47" spans="1:10" ht="20" customHeight="1" x14ac:dyDescent="0.35">
      <c r="A47" s="2" t="str">
        <f>IF(C47="","", C47 &amp; COUNTIF($C$2:C47, C47))</f>
        <v/>
      </c>
      <c r="B47" s="1"/>
      <c r="C47" s="1"/>
      <c r="D47" s="6" t="str">
        <f>IFERROR(IF(C47="","",VLOOKUP(C47, '🏷️ Catálogo Productos'!A:C, 3, FALSE)), "")</f>
        <v/>
      </c>
      <c r="E47" s="15" t="str">
        <f>IFERROR(IF(C47="","",VLOOKUP(C47, '🏷️ Catálogo Productos'!A:D, 4, FALSE)), "")</f>
        <v/>
      </c>
      <c r="F47" s="1"/>
      <c r="G47" s="22" t="str">
        <f>IFERROR(IF(C47="","",VLOOKUP(C47, '🏷️ Catálogo Productos'!A:F, 6, FALSE)), 0)</f>
        <v/>
      </c>
      <c r="H47" s="22" t="str">
        <f t="shared" si="1"/>
        <v/>
      </c>
      <c r="I47" s="1"/>
      <c r="J47" s="1"/>
    </row>
    <row r="48" spans="1:10" ht="20" customHeight="1" x14ac:dyDescent="0.35">
      <c r="A48" s="2" t="str">
        <f>IF(C48="","", C48 &amp; COUNTIF($C$2:C48, C48))</f>
        <v/>
      </c>
      <c r="B48" s="1"/>
      <c r="C48" s="1"/>
      <c r="D48" s="6" t="str">
        <f>IFERROR(IF(C48="","",VLOOKUP(C48, '🏷️ Catálogo Productos'!A:C, 3, FALSE)), "")</f>
        <v/>
      </c>
      <c r="E48" s="15" t="str">
        <f>IFERROR(IF(C48="","",VLOOKUP(C48, '🏷️ Catálogo Productos'!A:D, 4, FALSE)), "")</f>
        <v/>
      </c>
      <c r="F48" s="1"/>
      <c r="G48" s="22" t="str">
        <f>IFERROR(IF(C48="","",VLOOKUP(C48, '🏷️ Catálogo Productos'!A:F, 6, FALSE)), 0)</f>
        <v/>
      </c>
      <c r="H48" s="22" t="str">
        <f t="shared" si="1"/>
        <v/>
      </c>
      <c r="I48" s="1"/>
      <c r="J48" s="1"/>
    </row>
    <row r="49" spans="1:10" ht="20" customHeight="1" x14ac:dyDescent="0.35">
      <c r="A49" s="2" t="str">
        <f>IF(C49="","", C49 &amp; COUNTIF($C$2:C49, C49))</f>
        <v/>
      </c>
      <c r="B49" s="1"/>
      <c r="C49" s="1"/>
      <c r="D49" s="6" t="str">
        <f>IFERROR(IF(C49="","",VLOOKUP(C49, '🏷️ Catálogo Productos'!A:C, 3, FALSE)), "")</f>
        <v/>
      </c>
      <c r="E49" s="15" t="str">
        <f>IFERROR(IF(C49="","",VLOOKUP(C49, '🏷️ Catálogo Productos'!A:D, 4, FALSE)), "")</f>
        <v/>
      </c>
      <c r="F49" s="1"/>
      <c r="G49" s="22" t="str">
        <f>IFERROR(IF(C49="","",VLOOKUP(C49, '🏷️ Catálogo Productos'!A:F, 6, FALSE)), 0)</f>
        <v/>
      </c>
      <c r="H49" s="22" t="str">
        <f t="shared" si="1"/>
        <v/>
      </c>
      <c r="I49" s="1"/>
      <c r="J49" s="1"/>
    </row>
    <row r="50" spans="1:10" ht="20" customHeight="1" x14ac:dyDescent="0.35">
      <c r="A50" s="2" t="str">
        <f>IF(C50="","", C50 &amp; COUNTIF($C$2:C50, C50))</f>
        <v/>
      </c>
      <c r="B50" s="1"/>
      <c r="C50" s="1"/>
      <c r="D50" s="6" t="str">
        <f>IFERROR(IF(C50="","",VLOOKUP(C50, '🏷️ Catálogo Productos'!A:C, 3, FALSE)), "")</f>
        <v/>
      </c>
      <c r="E50" s="15" t="str">
        <f>IFERROR(IF(C50="","",VLOOKUP(C50, '🏷️ Catálogo Productos'!A:D, 4, FALSE)), "")</f>
        <v/>
      </c>
      <c r="F50" s="1"/>
      <c r="G50" s="22" t="str">
        <f>IFERROR(IF(C50="","",VLOOKUP(C50, '🏷️ Catálogo Productos'!A:F, 6, FALSE)), 0)</f>
        <v/>
      </c>
      <c r="H50" s="22" t="str">
        <f t="shared" si="1"/>
        <v/>
      </c>
      <c r="I50" s="1"/>
      <c r="J50" s="1"/>
    </row>
    <row r="51" spans="1:10" ht="20" customHeight="1" x14ac:dyDescent="0.35">
      <c r="A51" s="2" t="str">
        <f>IF(C51="","", C51 &amp; COUNTIF($C$2:C51, C51))</f>
        <v/>
      </c>
      <c r="B51" s="1"/>
      <c r="C51" s="1"/>
      <c r="D51" s="6" t="str">
        <f>IFERROR(IF(C51="","",VLOOKUP(C51, '🏷️ Catálogo Productos'!A:C, 3, FALSE)), "")</f>
        <v/>
      </c>
      <c r="E51" s="15" t="str">
        <f>IFERROR(IF(C51="","",VLOOKUP(C51, '🏷️ Catálogo Productos'!A:D, 4, FALSE)), "")</f>
        <v/>
      </c>
      <c r="F51" s="1"/>
      <c r="G51" s="22" t="str">
        <f>IFERROR(IF(C51="","",VLOOKUP(C51, '🏷️ Catálogo Productos'!A:F, 6, FALSE)), 0)</f>
        <v/>
      </c>
      <c r="H51" s="22" t="str">
        <f t="shared" si="1"/>
        <v/>
      </c>
      <c r="I51" s="1"/>
      <c r="J51" s="1"/>
    </row>
    <row r="52" spans="1:10" ht="20" customHeight="1" x14ac:dyDescent="0.35">
      <c r="A52" s="2" t="str">
        <f>IF(C52="","", C52 &amp; COUNTIF($C$2:C52, C52))</f>
        <v/>
      </c>
      <c r="B52" s="1"/>
      <c r="C52" s="1"/>
      <c r="D52" s="6" t="str">
        <f>IFERROR(IF(C52="","",VLOOKUP(C52, '🏷️ Catálogo Productos'!A:C, 3, FALSE)), "")</f>
        <v/>
      </c>
      <c r="E52" s="15" t="str">
        <f>IFERROR(IF(C52="","",VLOOKUP(C52, '🏷️ Catálogo Productos'!A:D, 4, FALSE)), "")</f>
        <v/>
      </c>
      <c r="F52" s="1"/>
      <c r="G52" s="22" t="str">
        <f>IFERROR(IF(C52="","",VLOOKUP(C52, '🏷️ Catálogo Productos'!A:F, 6, FALSE)), 0)</f>
        <v/>
      </c>
      <c r="H52" s="22" t="str">
        <f t="shared" si="1"/>
        <v/>
      </c>
      <c r="I52" s="1"/>
      <c r="J52" s="1"/>
    </row>
    <row r="53" spans="1:10" ht="20" customHeight="1" x14ac:dyDescent="0.35">
      <c r="A53" s="2" t="str">
        <f>IF(C53="","", C53 &amp; COUNTIF($C$2:C53, C53))</f>
        <v/>
      </c>
      <c r="B53" s="1"/>
      <c r="C53" s="1"/>
      <c r="D53" s="6" t="str">
        <f>IFERROR(IF(C53="","",VLOOKUP(C53, '🏷️ Catálogo Productos'!A:C, 3, FALSE)), "")</f>
        <v/>
      </c>
      <c r="E53" s="15" t="str">
        <f>IFERROR(IF(C53="","",VLOOKUP(C53, '🏷️ Catálogo Productos'!A:D, 4, FALSE)), "")</f>
        <v/>
      </c>
      <c r="F53" s="1"/>
      <c r="G53" s="22" t="str">
        <f>IFERROR(IF(C53="","",VLOOKUP(C53, '🏷️ Catálogo Productos'!A:F, 6, FALSE)), 0)</f>
        <v/>
      </c>
      <c r="H53" s="22" t="str">
        <f t="shared" si="1"/>
        <v/>
      </c>
      <c r="I53" s="1"/>
      <c r="J53" s="1"/>
    </row>
    <row r="54" spans="1:10" ht="20" customHeight="1" x14ac:dyDescent="0.35">
      <c r="A54" s="2" t="str">
        <f>IF(C54="","", C54 &amp; COUNTIF($C$2:C54, C54))</f>
        <v/>
      </c>
      <c r="B54" s="1"/>
      <c r="C54" s="1"/>
      <c r="D54" s="6" t="str">
        <f>IFERROR(IF(C54="","",VLOOKUP(C54, '🏷️ Catálogo Productos'!A:C, 3, FALSE)), "")</f>
        <v/>
      </c>
      <c r="E54" s="15" t="str">
        <f>IFERROR(IF(C54="","",VLOOKUP(C54, '🏷️ Catálogo Productos'!A:D, 4, FALSE)), "")</f>
        <v/>
      </c>
      <c r="F54" s="1"/>
      <c r="G54" s="22" t="str">
        <f>IFERROR(IF(C54="","",VLOOKUP(C54, '🏷️ Catálogo Productos'!A:F, 6, FALSE)), 0)</f>
        <v/>
      </c>
      <c r="H54" s="22" t="str">
        <f t="shared" si="1"/>
        <v/>
      </c>
      <c r="I54" s="1"/>
      <c r="J54" s="1"/>
    </row>
    <row r="55" spans="1:10" ht="20" customHeight="1" x14ac:dyDescent="0.35">
      <c r="A55" s="2" t="str">
        <f>IF(C55="","", C55 &amp; COUNTIF($C$2:C55, C55))</f>
        <v/>
      </c>
      <c r="B55" s="1"/>
      <c r="C55" s="1"/>
      <c r="D55" s="6" t="str">
        <f>IFERROR(IF(C55="","",VLOOKUP(C55, '🏷️ Catálogo Productos'!A:C, 3, FALSE)), "")</f>
        <v/>
      </c>
      <c r="E55" s="15" t="str">
        <f>IFERROR(IF(C55="","",VLOOKUP(C55, '🏷️ Catálogo Productos'!A:D, 4, FALSE)), "")</f>
        <v/>
      </c>
      <c r="F55" s="1"/>
      <c r="G55" s="22" t="str">
        <f>IFERROR(IF(C55="","",VLOOKUP(C55, '🏷️ Catálogo Productos'!A:F, 6, FALSE)), 0)</f>
        <v/>
      </c>
      <c r="H55" s="22" t="str">
        <f t="shared" si="1"/>
        <v/>
      </c>
      <c r="I55" s="1"/>
      <c r="J55" s="1"/>
    </row>
    <row r="56" spans="1:10" ht="20" customHeight="1" x14ac:dyDescent="0.35">
      <c r="A56" s="2" t="str">
        <f>IF(C56="","", C56 &amp; COUNTIF($C$2:C56, C56))</f>
        <v/>
      </c>
      <c r="B56" s="1"/>
      <c r="C56" s="1"/>
      <c r="D56" s="6" t="str">
        <f>IFERROR(IF(C56="","",VLOOKUP(C56, '🏷️ Catálogo Productos'!A:C, 3, FALSE)), "")</f>
        <v/>
      </c>
      <c r="E56" s="15" t="str">
        <f>IFERROR(IF(C56="","",VLOOKUP(C56, '🏷️ Catálogo Productos'!A:D, 4, FALSE)), "")</f>
        <v/>
      </c>
      <c r="F56" s="1"/>
      <c r="G56" s="22" t="str">
        <f>IFERROR(IF(C56="","",VLOOKUP(C56, '🏷️ Catálogo Productos'!A:F, 6, FALSE)), 0)</f>
        <v/>
      </c>
      <c r="H56" s="22" t="str">
        <f t="shared" si="1"/>
        <v/>
      </c>
      <c r="I56" s="1"/>
      <c r="J56" s="1"/>
    </row>
    <row r="57" spans="1:10" ht="20" customHeight="1" x14ac:dyDescent="0.35">
      <c r="A57" s="2" t="str">
        <f>IF(C57="","", C57 &amp; COUNTIF($C$2:C57, C57))</f>
        <v/>
      </c>
      <c r="B57" s="1"/>
      <c r="C57" s="1"/>
      <c r="D57" s="6" t="str">
        <f>IFERROR(IF(C57="","",VLOOKUP(C57, '🏷️ Catálogo Productos'!A:C, 3, FALSE)), "")</f>
        <v/>
      </c>
      <c r="E57" s="15" t="str">
        <f>IFERROR(IF(C57="","",VLOOKUP(C57, '🏷️ Catálogo Productos'!A:D, 4, FALSE)), "")</f>
        <v/>
      </c>
      <c r="F57" s="1"/>
      <c r="G57" s="22" t="str">
        <f>IFERROR(IF(C57="","",VLOOKUP(C57, '🏷️ Catálogo Productos'!A:F, 6, FALSE)), 0)</f>
        <v/>
      </c>
      <c r="H57" s="22" t="str">
        <f t="shared" si="1"/>
        <v/>
      </c>
      <c r="I57" s="1"/>
      <c r="J57" s="1"/>
    </row>
  </sheetData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400-000000000000}">
          <x14:formula1>
            <xm:f>'🏷️ Catálogo Productos'!$A$2:$A$13</xm:f>
          </x14:formula1>
          <xm:sqref>C2:C58</xm:sqref>
        </x14:dataValidation>
        <x14:dataValidation type="list" allowBlank="1" xr:uid="{00000000-0002-0000-0400-000001000000}">
          <x14:formula1>
            <xm:f>'⚙️ Configuración'!$E$4:$E$8</xm:f>
          </x14:formula1>
          <xm:sqref>I2:I58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35"/>
  <sheetViews>
    <sheetView tabSelected="1" workbookViewId="0">
      <selection sqref="A1:XFD2"/>
    </sheetView>
  </sheetViews>
  <sheetFormatPr baseColWidth="10" defaultColWidth="8.7265625" defaultRowHeight="14.5" x14ac:dyDescent="0.35"/>
  <cols>
    <col min="1" max="1" width="17" customWidth="1"/>
    <col min="2" max="2" width="40.81640625" bestFit="1" customWidth="1"/>
    <col min="3" max="3" width="24" customWidth="1"/>
    <col min="4" max="4" width="23" customWidth="1"/>
    <col min="5" max="5" width="18" customWidth="1"/>
    <col min="6" max="6" width="13" customWidth="1"/>
    <col min="7" max="7" width="23" customWidth="1"/>
    <col min="8" max="8" width="19" customWidth="1"/>
    <col min="9" max="9" width="21" customWidth="1"/>
    <col min="10" max="10" width="32" customWidth="1"/>
  </cols>
  <sheetData>
    <row r="1" spans="1:10" ht="28" customHeight="1" x14ac:dyDescent="0.35">
      <c r="A1" s="14" t="s">
        <v>131</v>
      </c>
      <c r="B1" s="14" t="s">
        <v>132</v>
      </c>
      <c r="C1" s="14" t="s">
        <v>133</v>
      </c>
      <c r="D1" s="14" t="s">
        <v>134</v>
      </c>
      <c r="E1" s="14" t="s">
        <v>135</v>
      </c>
      <c r="F1" s="14" t="s">
        <v>136</v>
      </c>
      <c r="G1" s="14" t="s">
        <v>137</v>
      </c>
      <c r="H1" s="14" t="s">
        <v>138</v>
      </c>
      <c r="I1" s="14" t="s">
        <v>139</v>
      </c>
      <c r="J1" s="14" t="s">
        <v>140</v>
      </c>
    </row>
    <row r="2" spans="1:10" ht="20" customHeight="1" x14ac:dyDescent="0.35">
      <c r="A2" s="15" t="s">
        <v>141</v>
      </c>
      <c r="B2" s="6" t="s">
        <v>188</v>
      </c>
      <c r="C2" s="6" t="s">
        <v>42</v>
      </c>
      <c r="D2" s="6" t="s">
        <v>142</v>
      </c>
      <c r="E2" s="7">
        <v>2</v>
      </c>
      <c r="F2" s="15" t="s">
        <v>41</v>
      </c>
      <c r="G2" s="8">
        <v>1200000</v>
      </c>
      <c r="H2" s="8">
        <f t="shared" ref="H2:H3" si="0">E2*G2</f>
        <v>2400000</v>
      </c>
      <c r="I2" s="15" t="s">
        <v>143</v>
      </c>
      <c r="J2" s="6" t="s">
        <v>144</v>
      </c>
    </row>
    <row r="3" spans="1:10" ht="20" customHeight="1" x14ac:dyDescent="0.35">
      <c r="A3" s="16" t="s">
        <v>145</v>
      </c>
      <c r="B3" s="6" t="s">
        <v>191</v>
      </c>
      <c r="C3" s="17" t="s">
        <v>42</v>
      </c>
      <c r="D3" s="17" t="s">
        <v>142</v>
      </c>
      <c r="E3" s="19">
        <v>3</v>
      </c>
      <c r="F3" s="15" t="s">
        <v>41</v>
      </c>
      <c r="G3" s="18">
        <v>350000</v>
      </c>
      <c r="H3" s="18">
        <f t="shared" si="0"/>
        <v>1050000</v>
      </c>
      <c r="I3" s="16" t="s">
        <v>143</v>
      </c>
      <c r="J3" s="17" t="s">
        <v>146</v>
      </c>
    </row>
    <row r="4" spans="1:10" ht="20" customHeight="1" x14ac:dyDescent="0.35">
      <c r="A4" s="15" t="s">
        <v>147</v>
      </c>
      <c r="B4" s="17" t="s">
        <v>189</v>
      </c>
      <c r="C4" s="17" t="s">
        <v>42</v>
      </c>
      <c r="D4" s="17" t="s">
        <v>142</v>
      </c>
      <c r="E4" s="19">
        <v>1</v>
      </c>
      <c r="F4" s="15" t="s">
        <v>41</v>
      </c>
      <c r="G4" s="18">
        <v>350000</v>
      </c>
      <c r="H4" s="18">
        <f t="shared" ref="H4" si="1">E4*G4</f>
        <v>350000</v>
      </c>
      <c r="I4" s="16" t="s">
        <v>143</v>
      </c>
      <c r="J4" s="17" t="s">
        <v>146</v>
      </c>
    </row>
    <row r="5" spans="1:10" ht="20" customHeight="1" x14ac:dyDescent="0.35">
      <c r="A5" s="16" t="s">
        <v>152</v>
      </c>
      <c r="B5" s="17" t="s">
        <v>193</v>
      </c>
      <c r="C5" s="17" t="s">
        <v>42</v>
      </c>
      <c r="D5" s="17" t="s">
        <v>142</v>
      </c>
      <c r="E5" s="19">
        <v>1</v>
      </c>
      <c r="F5" s="15" t="s">
        <v>41</v>
      </c>
      <c r="G5" s="18">
        <v>350000</v>
      </c>
      <c r="H5" s="18">
        <f t="shared" ref="H5" si="2">E5*G5</f>
        <v>350000</v>
      </c>
      <c r="I5" s="16" t="s">
        <v>143</v>
      </c>
      <c r="J5" s="17" t="s">
        <v>192</v>
      </c>
    </row>
    <row r="6" spans="1:10" ht="20" customHeight="1" x14ac:dyDescent="0.35">
      <c r="A6" s="15" t="s">
        <v>157</v>
      </c>
      <c r="B6" s="6" t="s">
        <v>148</v>
      </c>
      <c r="C6" s="6" t="s">
        <v>45</v>
      </c>
      <c r="D6" s="6" t="s">
        <v>149</v>
      </c>
      <c r="E6" s="7"/>
      <c r="F6" s="15" t="s">
        <v>41</v>
      </c>
      <c r="G6" s="8">
        <v>15000</v>
      </c>
      <c r="H6" s="8">
        <f t="shared" ref="H6:H11" si="3">E6*G6</f>
        <v>0</v>
      </c>
      <c r="I6" s="15" t="s">
        <v>150</v>
      </c>
      <c r="J6" s="6" t="s">
        <v>151</v>
      </c>
    </row>
    <row r="7" spans="1:10" ht="20" customHeight="1" x14ac:dyDescent="0.35">
      <c r="A7" s="16" t="s">
        <v>161</v>
      </c>
      <c r="B7" s="17" t="s">
        <v>153</v>
      </c>
      <c r="C7" s="17" t="s">
        <v>48</v>
      </c>
      <c r="D7" s="17" t="s">
        <v>154</v>
      </c>
      <c r="E7" s="19"/>
      <c r="F7" s="15" t="s">
        <v>41</v>
      </c>
      <c r="G7" s="18">
        <v>45000</v>
      </c>
      <c r="H7" s="18">
        <f t="shared" si="3"/>
        <v>0</v>
      </c>
      <c r="I7" s="16" t="s">
        <v>155</v>
      </c>
      <c r="J7" s="17" t="s">
        <v>156</v>
      </c>
    </row>
    <row r="8" spans="1:10" ht="20" customHeight="1" x14ac:dyDescent="0.35">
      <c r="A8" s="15" t="s">
        <v>165</v>
      </c>
      <c r="B8" s="6" t="s">
        <v>158</v>
      </c>
      <c r="C8" s="6" t="s">
        <v>42</v>
      </c>
      <c r="D8" s="6" t="s">
        <v>142</v>
      </c>
      <c r="E8" s="7"/>
      <c r="F8" s="15" t="s">
        <v>41</v>
      </c>
      <c r="G8" s="8">
        <v>60000</v>
      </c>
      <c r="H8" s="8">
        <f t="shared" si="3"/>
        <v>0</v>
      </c>
      <c r="I8" s="15" t="s">
        <v>159</v>
      </c>
      <c r="J8" s="6" t="s">
        <v>160</v>
      </c>
    </row>
    <row r="9" spans="1:10" ht="20" customHeight="1" x14ac:dyDescent="0.35">
      <c r="A9" s="16" t="s">
        <v>170</v>
      </c>
      <c r="B9" s="17" t="s">
        <v>162</v>
      </c>
      <c r="C9" s="17" t="s">
        <v>48</v>
      </c>
      <c r="D9" s="17" t="s">
        <v>129</v>
      </c>
      <c r="E9" s="19"/>
      <c r="F9" s="15" t="s">
        <v>41</v>
      </c>
      <c r="G9" s="18">
        <v>450000</v>
      </c>
      <c r="H9" s="18">
        <f t="shared" si="3"/>
        <v>0</v>
      </c>
      <c r="I9" s="16" t="s">
        <v>163</v>
      </c>
      <c r="J9" s="17" t="s">
        <v>164</v>
      </c>
    </row>
    <row r="10" spans="1:10" ht="20" customHeight="1" x14ac:dyDescent="0.35">
      <c r="A10" s="16" t="s">
        <v>190</v>
      </c>
      <c r="B10" s="6" t="s">
        <v>166</v>
      </c>
      <c r="C10" s="6" t="s">
        <v>51</v>
      </c>
      <c r="D10" s="6" t="s">
        <v>167</v>
      </c>
      <c r="E10" s="7"/>
      <c r="F10" s="15" t="s">
        <v>41</v>
      </c>
      <c r="G10" s="8">
        <v>80000</v>
      </c>
      <c r="H10" s="8">
        <f t="shared" si="3"/>
        <v>0</v>
      </c>
      <c r="I10" s="15" t="s">
        <v>168</v>
      </c>
      <c r="J10" s="6" t="s">
        <v>169</v>
      </c>
    </row>
    <row r="11" spans="1:10" ht="20" customHeight="1" x14ac:dyDescent="0.35">
      <c r="A11" s="15" t="s">
        <v>174</v>
      </c>
      <c r="B11" s="17" t="s">
        <v>194</v>
      </c>
      <c r="C11" s="17" t="s">
        <v>53</v>
      </c>
      <c r="D11" s="17" t="s">
        <v>142</v>
      </c>
      <c r="E11" s="19"/>
      <c r="F11" s="15" t="s">
        <v>41</v>
      </c>
      <c r="G11" s="18">
        <v>850000</v>
      </c>
      <c r="H11" s="18">
        <f t="shared" si="3"/>
        <v>0</v>
      </c>
      <c r="I11" s="16" t="s">
        <v>171</v>
      </c>
      <c r="J11" s="17" t="s">
        <v>172</v>
      </c>
    </row>
    <row r="12" spans="1:10" ht="20" customHeight="1" x14ac:dyDescent="0.35">
      <c r="A12" s="15" t="s">
        <v>175</v>
      </c>
      <c r="B12" s="17"/>
      <c r="C12" s="17"/>
      <c r="D12" s="17"/>
      <c r="E12" s="19"/>
      <c r="F12" s="16"/>
      <c r="G12" s="18"/>
      <c r="H12" s="18"/>
      <c r="I12" s="16"/>
      <c r="J12" s="23"/>
    </row>
    <row r="13" spans="1:10" ht="20" customHeight="1" x14ac:dyDescent="0.35">
      <c r="A13" s="15" t="s">
        <v>176</v>
      </c>
      <c r="B13" s="17"/>
      <c r="C13" s="17"/>
      <c r="D13" s="17"/>
      <c r="E13" s="19"/>
      <c r="F13" s="16"/>
      <c r="G13" s="18"/>
      <c r="H13" s="18"/>
      <c r="I13" s="16"/>
      <c r="J13" s="23"/>
    </row>
    <row r="14" spans="1:10" ht="20" customHeight="1" x14ac:dyDescent="0.35">
      <c r="A14" s="15" t="s">
        <v>177</v>
      </c>
      <c r="B14" s="17"/>
      <c r="C14" s="17"/>
      <c r="D14" s="17"/>
      <c r="E14" s="19"/>
      <c r="F14" s="16"/>
      <c r="G14" s="18"/>
      <c r="H14" s="18"/>
      <c r="I14" s="16"/>
      <c r="J14" s="23"/>
    </row>
    <row r="15" spans="1:10" ht="20" customHeight="1" x14ac:dyDescent="0.35">
      <c r="A15" s="15" t="s">
        <v>178</v>
      </c>
      <c r="B15" s="17"/>
      <c r="C15" s="17"/>
      <c r="D15" s="17"/>
      <c r="E15" s="19"/>
      <c r="F15" s="16"/>
      <c r="G15" s="18"/>
      <c r="H15" s="18"/>
      <c r="I15" s="16"/>
      <c r="J15" s="23"/>
    </row>
    <row r="16" spans="1:10" ht="20" customHeight="1" x14ac:dyDescent="0.35">
      <c r="A16" s="15" t="s">
        <v>179</v>
      </c>
      <c r="B16" s="17"/>
      <c r="C16" s="17"/>
      <c r="D16" s="17"/>
      <c r="E16" s="19"/>
      <c r="F16" s="16"/>
      <c r="G16" s="18"/>
      <c r="H16" s="18"/>
      <c r="I16" s="16"/>
      <c r="J16" s="23"/>
    </row>
    <row r="17" spans="1:10" ht="20" customHeight="1" x14ac:dyDescent="0.35">
      <c r="A17" s="15" t="s">
        <v>180</v>
      </c>
      <c r="B17" s="17"/>
      <c r="C17" s="17"/>
      <c r="D17" s="17"/>
      <c r="E17" s="19"/>
      <c r="F17" s="16"/>
      <c r="G17" s="18"/>
      <c r="H17" s="18"/>
      <c r="I17" s="16"/>
      <c r="J17" s="23"/>
    </row>
    <row r="18" spans="1:10" ht="20" customHeight="1" x14ac:dyDescent="0.35">
      <c r="A18" s="15" t="s">
        <v>181</v>
      </c>
      <c r="B18" s="17"/>
      <c r="C18" s="17"/>
      <c r="D18" s="17"/>
      <c r="E18" s="19"/>
      <c r="F18" s="16"/>
      <c r="G18" s="18"/>
      <c r="H18" s="18"/>
      <c r="I18" s="16"/>
      <c r="J18" s="23"/>
    </row>
    <row r="19" spans="1:10" ht="20" customHeight="1" x14ac:dyDescent="0.35">
      <c r="A19" s="15" t="s">
        <v>182</v>
      </c>
      <c r="B19" s="17"/>
      <c r="C19" s="17"/>
      <c r="D19" s="19"/>
      <c r="E19" s="16"/>
      <c r="F19" s="18"/>
      <c r="G19" s="18"/>
      <c r="H19" s="16"/>
      <c r="I19" s="17"/>
    </row>
    <row r="20" spans="1:10" ht="15" thickBot="1" x14ac:dyDescent="0.4">
      <c r="A20" s="15" t="s">
        <v>183</v>
      </c>
      <c r="J20" s="9"/>
    </row>
    <row r="21" spans="1:10" ht="20" customHeight="1" thickTop="1" thickBot="1" x14ac:dyDescent="0.4">
      <c r="A21" s="15" t="s">
        <v>184</v>
      </c>
      <c r="B21" s="9"/>
      <c r="C21" s="9"/>
      <c r="D21" s="21" t="s">
        <v>173</v>
      </c>
      <c r="E21" s="10">
        <f>SUM(E2:E11)</f>
        <v>7</v>
      </c>
      <c r="F21" s="9"/>
      <c r="G21" s="9"/>
      <c r="H21" s="11">
        <f>SUM(H2:H11)</f>
        <v>4150000</v>
      </c>
      <c r="I21" s="9"/>
      <c r="J21" s="1"/>
    </row>
    <row r="22" spans="1:10" ht="20" customHeight="1" thickTop="1" x14ac:dyDescent="0.35">
      <c r="A22" s="15" t="s">
        <v>185</v>
      </c>
      <c r="B22" s="1"/>
      <c r="C22" s="1"/>
      <c r="D22" s="1"/>
      <c r="E22" s="1"/>
      <c r="F22" s="1"/>
      <c r="G22" s="1"/>
      <c r="H22" s="22" t="str">
        <f t="shared" ref="H22:H35" si="4">IF(E22="","",E22*G22)</f>
        <v/>
      </c>
      <c r="I22" s="1"/>
      <c r="J22" s="1"/>
    </row>
    <row r="23" spans="1:10" ht="20" customHeight="1" x14ac:dyDescent="0.35">
      <c r="A23" s="15" t="s">
        <v>186</v>
      </c>
      <c r="B23" s="1"/>
      <c r="C23" s="1"/>
      <c r="D23" s="1"/>
      <c r="E23" s="1"/>
      <c r="F23" s="1"/>
      <c r="G23" s="1"/>
      <c r="H23" s="22" t="str">
        <f t="shared" si="4"/>
        <v/>
      </c>
      <c r="I23" s="1"/>
      <c r="J23" s="1"/>
    </row>
    <row r="24" spans="1:10" ht="20" customHeight="1" x14ac:dyDescent="0.35">
      <c r="A24" s="15" t="s">
        <v>187</v>
      </c>
      <c r="B24" s="1"/>
      <c r="C24" s="1"/>
      <c r="D24" s="1"/>
      <c r="E24" s="1"/>
      <c r="F24" s="1"/>
      <c r="G24" s="1"/>
      <c r="H24" s="22" t="str">
        <f t="shared" si="4"/>
        <v/>
      </c>
      <c r="I24" s="1"/>
      <c r="J24" s="1"/>
    </row>
    <row r="25" spans="1:10" ht="20" customHeight="1" x14ac:dyDescent="0.35">
      <c r="A25" s="15" t="s">
        <v>177</v>
      </c>
      <c r="B25" s="1"/>
      <c r="C25" s="1"/>
      <c r="D25" s="1"/>
      <c r="E25" s="1"/>
      <c r="F25" s="1"/>
      <c r="G25" s="1"/>
      <c r="H25" s="22" t="str">
        <f t="shared" si="4"/>
        <v/>
      </c>
      <c r="I25" s="1"/>
      <c r="J25" s="1"/>
    </row>
    <row r="26" spans="1:10" ht="20" customHeight="1" x14ac:dyDescent="0.35">
      <c r="A26" s="15" t="s">
        <v>178</v>
      </c>
      <c r="B26" s="1"/>
      <c r="C26" s="1"/>
      <c r="D26" s="1"/>
      <c r="E26" s="1"/>
      <c r="F26" s="1"/>
      <c r="G26" s="1"/>
      <c r="H26" s="22" t="str">
        <f t="shared" si="4"/>
        <v/>
      </c>
      <c r="I26" s="1"/>
      <c r="J26" s="1"/>
    </row>
    <row r="27" spans="1:10" ht="20" customHeight="1" x14ac:dyDescent="0.35">
      <c r="A27" s="15" t="s">
        <v>179</v>
      </c>
      <c r="B27" s="1"/>
      <c r="C27" s="1"/>
      <c r="D27" s="1"/>
      <c r="E27" s="1"/>
      <c r="F27" s="1"/>
      <c r="G27" s="1"/>
      <c r="H27" s="22" t="str">
        <f t="shared" si="4"/>
        <v/>
      </c>
      <c r="I27" s="1"/>
      <c r="J27" s="1"/>
    </row>
    <row r="28" spans="1:10" ht="20" customHeight="1" x14ac:dyDescent="0.35">
      <c r="A28" s="15" t="s">
        <v>180</v>
      </c>
      <c r="B28" s="1"/>
      <c r="C28" s="1"/>
      <c r="D28" s="1"/>
      <c r="E28" s="1"/>
      <c r="F28" s="1"/>
      <c r="G28" s="1"/>
      <c r="H28" s="22" t="str">
        <f t="shared" si="4"/>
        <v/>
      </c>
      <c r="I28" s="1"/>
      <c r="J28" s="1"/>
    </row>
    <row r="29" spans="1:10" ht="20" customHeight="1" x14ac:dyDescent="0.35">
      <c r="A29" s="15" t="s">
        <v>181</v>
      </c>
      <c r="B29" s="1"/>
      <c r="C29" s="1"/>
      <c r="D29" s="1"/>
      <c r="E29" s="1"/>
      <c r="F29" s="1"/>
      <c r="G29" s="1"/>
      <c r="H29" s="22" t="str">
        <f t="shared" si="4"/>
        <v/>
      </c>
      <c r="I29" s="1"/>
      <c r="J29" s="1"/>
    </row>
    <row r="30" spans="1:10" ht="20" customHeight="1" x14ac:dyDescent="0.35">
      <c r="A30" s="15" t="s">
        <v>182</v>
      </c>
      <c r="B30" s="1"/>
      <c r="C30" s="1"/>
      <c r="D30" s="1"/>
      <c r="E30" s="1"/>
      <c r="F30" s="1"/>
      <c r="G30" s="1"/>
      <c r="H30" s="22" t="str">
        <f t="shared" si="4"/>
        <v/>
      </c>
      <c r="I30" s="1"/>
      <c r="J30" s="1"/>
    </row>
    <row r="31" spans="1:10" ht="20" customHeight="1" x14ac:dyDescent="0.35">
      <c r="A31" s="15" t="s">
        <v>183</v>
      </c>
      <c r="B31" s="1"/>
      <c r="C31" s="1"/>
      <c r="D31" s="1"/>
      <c r="E31" s="1"/>
      <c r="F31" s="1"/>
      <c r="G31" s="1"/>
      <c r="H31" s="22" t="str">
        <f t="shared" si="4"/>
        <v/>
      </c>
      <c r="I31" s="1"/>
      <c r="J31" s="1"/>
    </row>
    <row r="32" spans="1:10" ht="20" customHeight="1" x14ac:dyDescent="0.35">
      <c r="A32" s="15" t="s">
        <v>184</v>
      </c>
      <c r="B32" s="1"/>
      <c r="C32" s="1"/>
      <c r="D32" s="1"/>
      <c r="E32" s="1"/>
      <c r="F32" s="1"/>
      <c r="G32" s="1"/>
      <c r="H32" s="22" t="str">
        <f t="shared" si="4"/>
        <v/>
      </c>
      <c r="I32" s="1"/>
      <c r="J32" s="1"/>
    </row>
    <row r="33" spans="1:10" ht="20" customHeight="1" x14ac:dyDescent="0.35">
      <c r="A33" s="15" t="s">
        <v>185</v>
      </c>
      <c r="B33" s="1"/>
      <c r="C33" s="1"/>
      <c r="D33" s="1"/>
      <c r="E33" s="1"/>
      <c r="F33" s="1"/>
      <c r="G33" s="1"/>
      <c r="H33" s="22" t="str">
        <f t="shared" si="4"/>
        <v/>
      </c>
      <c r="I33" s="1"/>
      <c r="J33" s="1"/>
    </row>
    <row r="34" spans="1:10" ht="20" customHeight="1" x14ac:dyDescent="0.35">
      <c r="A34" s="15" t="s">
        <v>186</v>
      </c>
      <c r="B34" s="1"/>
      <c r="C34" s="1"/>
      <c r="D34" s="1"/>
      <c r="E34" s="1"/>
      <c r="F34" s="1"/>
      <c r="G34" s="1"/>
      <c r="H34" s="22" t="str">
        <f t="shared" si="4"/>
        <v/>
      </c>
      <c r="I34" s="1"/>
      <c r="J34" s="1"/>
    </row>
    <row r="35" spans="1:10" x14ac:dyDescent="0.35">
      <c r="A35" s="15" t="s">
        <v>187</v>
      </c>
      <c r="B35" s="1"/>
      <c r="C35" s="1"/>
      <c r="D35" s="1"/>
      <c r="E35" s="1"/>
      <c r="F35" s="1"/>
      <c r="G35" s="1"/>
      <c r="H35" s="22" t="str">
        <f t="shared" si="4"/>
        <v/>
      </c>
      <c r="I35" s="1"/>
    </row>
  </sheetData>
  <phoneticPr fontId="11" type="noConversion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500-000000000000}">
          <x14:formula1>
            <xm:f>'⚙️ Configuración'!$I$4:$I$8</xm:f>
          </x14:formula1>
          <xm:sqref>C21:C39 B19 C2:C18</xm:sqref>
        </x14:dataValidation>
        <x14:dataValidation type="list" allowBlank="1" xr:uid="{00000000-0002-0000-0500-000001000000}">
          <x14:formula1>
            <xm:f>'⚙️ Configuración'!$G$4:$G$7</xm:f>
          </x14:formula1>
          <xm:sqref>F21:F39 E19 F2:F18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📊 Dashboard Control</vt:lpstr>
      <vt:lpstr>⚙️ Configuración</vt:lpstr>
      <vt:lpstr>🏷️ Catálogo Productos</vt:lpstr>
      <vt:lpstr>📥 Entradas</vt:lpstr>
      <vt:lpstr>🛒 Ventas</vt:lpstr>
      <vt:lpstr>🏢 Activos Fijos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iavar3</cp:lastModifiedBy>
  <dcterms:created xsi:type="dcterms:W3CDTF">2026-08-28T21:44:00Z</dcterms:created>
  <dcterms:modified xsi:type="dcterms:W3CDTF">2026-08-29T21:29:19Z</dcterms:modified>
</cp:coreProperties>
</file>