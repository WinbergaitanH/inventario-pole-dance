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inberthey Gaitan Hernandez\OneDrive - CENICANA\Escritorio\Academia\"/>
    </mc:Choice>
  </mc:AlternateContent>
  <xr:revisionPtr revIDLastSave="0" documentId="13_ncr:1_{674CB08E-A47D-4996-B4AA-258624F74077}" xr6:coauthVersionLast="47" xr6:coauthVersionMax="47" xr10:uidLastSave="{00000000-0000-0000-0000-000000000000}"/>
  <bookViews>
    <workbookView xWindow="-110" yWindow="-110" windowWidth="19420" windowHeight="10300" tabRatio="500" firstSheet="3" activeTab="5" xr2:uid="{00000000-000D-0000-FFFF-FFFF00000000}"/>
  </bookViews>
  <sheets>
    <sheet name="📊 Dashboard Control" sheetId="1" r:id="rId1"/>
    <sheet name="📈 Resumen Dinámico" sheetId="2" r:id="rId2"/>
    <sheet name="🎓 Alumnas" sheetId="3" r:id="rId3"/>
    <sheet name="🤸 Ingresos Pole" sheetId="4" r:id="rId4"/>
    <sheet name="📑 Resumen Contable" sheetId="5" r:id="rId5"/>
    <sheet name="💸 Gastos" sheetId="6" r:id="rId6"/>
    <sheet name="Marcancia" sheetId="7" r:id="rId7"/>
    <sheet name="🏢 Activos Fijos" sheetId="8" r:id="rId8"/>
    <sheet name="🛒 Ventas" sheetId="9" r:id="rId9"/>
    <sheet name="⚙️ Configuración" sheetId="10" r:id="rId10"/>
  </sheets>
  <definedNames>
    <definedName name="_xlnm._FilterDatabase" localSheetId="6" hidden="1">Marcancia!$A$1:$L$48</definedName>
    <definedName name="_xlnm._FilterDatabase" localSheetId="2" hidden="1">'🎓 Alumnas'!$A$1:$M$300</definedName>
    <definedName name="_xlnm._FilterDatabase" localSheetId="7" hidden="1">'🏢 Activos Fijos'!$A$1:$J$47</definedName>
    <definedName name="_xlnm._FilterDatabase" localSheetId="5" hidden="1">'💸 Gastos'!$A$1:$I$66</definedName>
    <definedName name="_xlnm._FilterDatabase" localSheetId="8" hidden="1">'🛒 Ventas'!$A$1:$K$41</definedName>
    <definedName name="_xlnm._FilterDatabase" localSheetId="3" hidden="1">'🤸 Ingresos Pole'!$A$1:$T$400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1" i="9" l="1"/>
  <c r="I41" i="9" s="1"/>
  <c r="E41" i="9"/>
  <c r="D41" i="9"/>
  <c r="H40" i="9"/>
  <c r="I40" i="9" s="1"/>
  <c r="E40" i="9"/>
  <c r="D40" i="9"/>
  <c r="H39" i="9"/>
  <c r="I39" i="9" s="1"/>
  <c r="E39" i="9"/>
  <c r="D39" i="9"/>
  <c r="H38" i="9"/>
  <c r="I38" i="9" s="1"/>
  <c r="E38" i="9"/>
  <c r="D38" i="9"/>
  <c r="H37" i="9"/>
  <c r="I37" i="9" s="1"/>
  <c r="E37" i="9"/>
  <c r="D37" i="9"/>
  <c r="H36" i="9"/>
  <c r="I36" i="9" s="1"/>
  <c r="E36" i="9"/>
  <c r="D36" i="9"/>
  <c r="H35" i="9"/>
  <c r="I35" i="9" s="1"/>
  <c r="E35" i="9"/>
  <c r="D35" i="9"/>
  <c r="H34" i="9"/>
  <c r="I34" i="9" s="1"/>
  <c r="E34" i="9"/>
  <c r="D34" i="9"/>
  <c r="H33" i="9"/>
  <c r="I33" i="9" s="1"/>
  <c r="E33" i="9"/>
  <c r="D33" i="9"/>
  <c r="H32" i="9"/>
  <c r="I32" i="9" s="1"/>
  <c r="E32" i="9"/>
  <c r="D32" i="9"/>
  <c r="H31" i="9"/>
  <c r="I31" i="9" s="1"/>
  <c r="E31" i="9"/>
  <c r="D31" i="9"/>
  <c r="H30" i="9"/>
  <c r="I30" i="9" s="1"/>
  <c r="E30" i="9"/>
  <c r="D30" i="9"/>
  <c r="H29" i="9"/>
  <c r="I29" i="9" s="1"/>
  <c r="E29" i="9"/>
  <c r="D29" i="9"/>
  <c r="H28" i="9"/>
  <c r="I28" i="9" s="1"/>
  <c r="E28" i="9"/>
  <c r="D28" i="9"/>
  <c r="H27" i="9"/>
  <c r="I27" i="9" s="1"/>
  <c r="E27" i="9"/>
  <c r="D27" i="9"/>
  <c r="H26" i="9"/>
  <c r="I26" i="9" s="1"/>
  <c r="E26" i="9"/>
  <c r="D26" i="9"/>
  <c r="H25" i="9"/>
  <c r="I25" i="9" s="1"/>
  <c r="E25" i="9"/>
  <c r="D25" i="9"/>
  <c r="H24" i="9"/>
  <c r="I24" i="9" s="1"/>
  <c r="E24" i="9"/>
  <c r="D24" i="9"/>
  <c r="H23" i="9"/>
  <c r="I23" i="9" s="1"/>
  <c r="E23" i="9"/>
  <c r="D23" i="9"/>
  <c r="H22" i="9"/>
  <c r="I22" i="9" s="1"/>
  <c r="E22" i="9"/>
  <c r="D22" i="9"/>
  <c r="H21" i="9"/>
  <c r="I21" i="9" s="1"/>
  <c r="E21" i="9"/>
  <c r="D21" i="9"/>
  <c r="H20" i="9"/>
  <c r="I20" i="9" s="1"/>
  <c r="E20" i="9"/>
  <c r="D20" i="9"/>
  <c r="H19" i="9"/>
  <c r="I19" i="9" s="1"/>
  <c r="E19" i="9"/>
  <c r="D19" i="9"/>
  <c r="H18" i="9"/>
  <c r="I18" i="9" s="1"/>
  <c r="E18" i="9"/>
  <c r="D18" i="9"/>
  <c r="H17" i="9"/>
  <c r="I17" i="9" s="1"/>
  <c r="E17" i="9"/>
  <c r="D17" i="9"/>
  <c r="H16" i="9"/>
  <c r="I16" i="9" s="1"/>
  <c r="E16" i="9"/>
  <c r="D16" i="9"/>
  <c r="H15" i="9"/>
  <c r="I15" i="9" s="1"/>
  <c r="E15" i="9"/>
  <c r="D15" i="9"/>
  <c r="H14" i="9"/>
  <c r="I14" i="9" s="1"/>
  <c r="E14" i="9"/>
  <c r="D14" i="9"/>
  <c r="H13" i="9"/>
  <c r="I13" i="9" s="1"/>
  <c r="E13" i="9"/>
  <c r="D13" i="9"/>
  <c r="H12" i="9"/>
  <c r="I12" i="9" s="1"/>
  <c r="E12" i="9"/>
  <c r="D12" i="9"/>
  <c r="H11" i="9"/>
  <c r="I11" i="9" s="1"/>
  <c r="E11" i="9"/>
  <c r="D11" i="9"/>
  <c r="H10" i="9"/>
  <c r="I10" i="9" s="1"/>
  <c r="E10" i="9"/>
  <c r="D10" i="9"/>
  <c r="H9" i="9"/>
  <c r="I9" i="9" s="1"/>
  <c r="E9" i="9"/>
  <c r="D9" i="9"/>
  <c r="H8" i="9"/>
  <c r="I8" i="9" s="1"/>
  <c r="E8" i="9"/>
  <c r="D8" i="9"/>
  <c r="H7" i="9"/>
  <c r="I7" i="9" s="1"/>
  <c r="E7" i="9"/>
  <c r="D7" i="9"/>
  <c r="H6" i="9"/>
  <c r="I6" i="9" s="1"/>
  <c r="E6" i="9"/>
  <c r="D6" i="9"/>
  <c r="H5" i="9"/>
  <c r="I5" i="9" s="1"/>
  <c r="E5" i="9"/>
  <c r="D5" i="9"/>
  <c r="H4" i="9"/>
  <c r="I4" i="9" s="1"/>
  <c r="E4" i="9"/>
  <c r="D4" i="9"/>
  <c r="H3" i="9"/>
  <c r="I3" i="9" s="1"/>
  <c r="E3" i="9"/>
  <c r="D3" i="9"/>
  <c r="H2" i="9"/>
  <c r="I2" i="9" s="1"/>
  <c r="E2" i="9"/>
  <c r="D2" i="9"/>
  <c r="E48" i="8"/>
  <c r="H47"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H48" i="8" s="1"/>
  <c r="I51" i="7"/>
  <c r="E48" i="7"/>
  <c r="E47" i="7"/>
  <c r="J46" i="7"/>
  <c r="E46" i="7"/>
  <c r="J45" i="7"/>
  <c r="E45" i="7"/>
  <c r="K44" i="7"/>
  <c r="J44" i="7"/>
  <c r="E44" i="7"/>
  <c r="K43" i="7"/>
  <c r="J43" i="7"/>
  <c r="E43" i="7"/>
  <c r="K42" i="7"/>
  <c r="J42" i="7"/>
  <c r="E42" i="7"/>
  <c r="K41" i="7"/>
  <c r="J41" i="7"/>
  <c r="E41" i="7"/>
  <c r="K40" i="7"/>
  <c r="J40" i="7"/>
  <c r="E40" i="7"/>
  <c r="K39" i="7"/>
  <c r="J39" i="7"/>
  <c r="E39" i="7"/>
  <c r="K38" i="7"/>
  <c r="J38" i="7"/>
  <c r="E38" i="7"/>
  <c r="K37" i="7"/>
  <c r="J37" i="7"/>
  <c r="E37" i="7"/>
  <c r="K36" i="7"/>
  <c r="J36" i="7"/>
  <c r="E36" i="7"/>
  <c r="K35" i="7"/>
  <c r="J35" i="7"/>
  <c r="E35" i="7"/>
  <c r="K34" i="7"/>
  <c r="J34" i="7"/>
  <c r="E34" i="7"/>
  <c r="K33" i="7"/>
  <c r="J33" i="7"/>
  <c r="E33" i="7"/>
  <c r="K32" i="7"/>
  <c r="J32" i="7"/>
  <c r="E32" i="7"/>
  <c r="K31" i="7"/>
  <c r="J31" i="7"/>
  <c r="E31" i="7"/>
  <c r="K30" i="7"/>
  <c r="J30" i="7"/>
  <c r="E30" i="7"/>
  <c r="K29" i="7"/>
  <c r="J29" i="7"/>
  <c r="E29" i="7"/>
  <c r="K28" i="7"/>
  <c r="J28" i="7"/>
  <c r="E28" i="7"/>
  <c r="K27" i="7"/>
  <c r="J27" i="7"/>
  <c r="E27" i="7"/>
  <c r="K26" i="7"/>
  <c r="J26" i="7"/>
  <c r="E26" i="7"/>
  <c r="K25" i="7"/>
  <c r="J25" i="7"/>
  <c r="E25" i="7"/>
  <c r="K24" i="7"/>
  <c r="J24" i="7"/>
  <c r="E24" i="7"/>
  <c r="K23" i="7"/>
  <c r="J23" i="7"/>
  <c r="E23" i="7"/>
  <c r="K22" i="7"/>
  <c r="J22" i="7"/>
  <c r="E22" i="7"/>
  <c r="J21" i="7"/>
  <c r="E21" i="7"/>
  <c r="K20" i="7"/>
  <c r="J20" i="7"/>
  <c r="E20" i="7"/>
  <c r="K19" i="7"/>
  <c r="J19" i="7"/>
  <c r="E19" i="7"/>
  <c r="J18" i="7"/>
  <c r="E18" i="7"/>
  <c r="K17" i="7"/>
  <c r="J17" i="7"/>
  <c r="E17" i="7"/>
  <c r="K16" i="7"/>
  <c r="J16" i="7"/>
  <c r="E16" i="7"/>
  <c r="K15" i="7"/>
  <c r="J15" i="7"/>
  <c r="E15" i="7"/>
  <c r="K14" i="7"/>
  <c r="J14" i="7"/>
  <c r="E14" i="7"/>
  <c r="K13" i="7"/>
  <c r="J13" i="7"/>
  <c r="E13" i="7"/>
  <c r="K12" i="7"/>
  <c r="J12" i="7"/>
  <c r="E12" i="7"/>
  <c r="K11" i="7"/>
  <c r="J11" i="7"/>
  <c r="E11" i="7"/>
  <c r="K10" i="7"/>
  <c r="J10" i="7"/>
  <c r="E10" i="7"/>
  <c r="K9" i="7"/>
  <c r="J9" i="7"/>
  <c r="E9" i="7"/>
  <c r="K8" i="7"/>
  <c r="J8" i="7"/>
  <c r="E8" i="7"/>
  <c r="K7" i="7"/>
  <c r="J7" i="7"/>
  <c r="E7" i="7"/>
  <c r="K6" i="7"/>
  <c r="J6" i="7"/>
  <c r="E6" i="7"/>
  <c r="K5" i="7"/>
  <c r="J5" i="7"/>
  <c r="E5" i="7"/>
  <c r="K4" i="7"/>
  <c r="J4" i="7"/>
  <c r="E4" i="7"/>
  <c r="K3" i="7"/>
  <c r="J3" i="7"/>
  <c r="E3" i="7"/>
  <c r="K2" i="7"/>
  <c r="J2" i="7"/>
  <c r="J51" i="7" s="1"/>
  <c r="E2" i="7"/>
  <c r="E66" i="6"/>
  <c r="B17" i="5"/>
  <c r="B16" i="5"/>
  <c r="B15" i="5"/>
  <c r="B14" i="5"/>
  <c r="B18" i="5" s="1"/>
  <c r="B22" i="5" s="1"/>
  <c r="B9" i="5"/>
  <c r="R400" i="4"/>
  <c r="N400" i="4"/>
  <c r="J400" i="4"/>
  <c r="S400" i="4" s="1"/>
  <c r="G400" i="4"/>
  <c r="H400" i="4" s="1"/>
  <c r="F400" i="4"/>
  <c r="E400" i="4"/>
  <c r="D400" i="4"/>
  <c r="R399" i="4"/>
  <c r="N399" i="4"/>
  <c r="J399" i="4"/>
  <c r="S399" i="4" s="1"/>
  <c r="G399" i="4"/>
  <c r="H399" i="4" s="1"/>
  <c r="F399" i="4"/>
  <c r="E399" i="4"/>
  <c r="D399" i="4"/>
  <c r="R398" i="4"/>
  <c r="N398" i="4"/>
  <c r="J398" i="4"/>
  <c r="S398" i="4" s="1"/>
  <c r="G398" i="4"/>
  <c r="H398" i="4" s="1"/>
  <c r="F398" i="4"/>
  <c r="E398" i="4"/>
  <c r="D398" i="4"/>
  <c r="R397" i="4"/>
  <c r="N397" i="4"/>
  <c r="J397" i="4"/>
  <c r="S397" i="4" s="1"/>
  <c r="G397" i="4"/>
  <c r="H397" i="4" s="1"/>
  <c r="F397" i="4"/>
  <c r="E397" i="4"/>
  <c r="D397" i="4"/>
  <c r="R396" i="4"/>
  <c r="N396" i="4"/>
  <c r="J396" i="4"/>
  <c r="S396" i="4" s="1"/>
  <c r="G396" i="4"/>
  <c r="H396" i="4" s="1"/>
  <c r="F396" i="4"/>
  <c r="E396" i="4"/>
  <c r="D396" i="4"/>
  <c r="R395" i="4"/>
  <c r="N395" i="4"/>
  <c r="J395" i="4"/>
  <c r="S395" i="4" s="1"/>
  <c r="G395" i="4"/>
  <c r="H395" i="4" s="1"/>
  <c r="F395" i="4"/>
  <c r="E395" i="4"/>
  <c r="D395" i="4"/>
  <c r="R394" i="4"/>
  <c r="N394" i="4"/>
  <c r="J394" i="4"/>
  <c r="S394" i="4" s="1"/>
  <c r="G394" i="4"/>
  <c r="H394" i="4" s="1"/>
  <c r="F394" i="4"/>
  <c r="E394" i="4"/>
  <c r="D394" i="4"/>
  <c r="R393" i="4"/>
  <c r="N393" i="4"/>
  <c r="J393" i="4"/>
  <c r="S393" i="4" s="1"/>
  <c r="G393" i="4"/>
  <c r="H393" i="4" s="1"/>
  <c r="F393" i="4"/>
  <c r="E393" i="4"/>
  <c r="D393" i="4"/>
  <c r="R392" i="4"/>
  <c r="N392" i="4"/>
  <c r="J392" i="4"/>
  <c r="S392" i="4" s="1"/>
  <c r="G392" i="4"/>
  <c r="H392" i="4" s="1"/>
  <c r="F392" i="4"/>
  <c r="E392" i="4"/>
  <c r="D392" i="4"/>
  <c r="R391" i="4"/>
  <c r="N391" i="4"/>
  <c r="J391" i="4"/>
  <c r="S391" i="4" s="1"/>
  <c r="G391" i="4"/>
  <c r="H391" i="4" s="1"/>
  <c r="F391" i="4"/>
  <c r="E391" i="4"/>
  <c r="D391" i="4"/>
  <c r="R390" i="4"/>
  <c r="N390" i="4"/>
  <c r="J390" i="4"/>
  <c r="S390" i="4" s="1"/>
  <c r="G390" i="4"/>
  <c r="H390" i="4" s="1"/>
  <c r="F390" i="4"/>
  <c r="E390" i="4"/>
  <c r="D390" i="4"/>
  <c r="R389" i="4"/>
  <c r="N389" i="4"/>
  <c r="J389" i="4"/>
  <c r="S389" i="4" s="1"/>
  <c r="G389" i="4"/>
  <c r="H389" i="4" s="1"/>
  <c r="F389" i="4"/>
  <c r="E389" i="4"/>
  <c r="D389" i="4"/>
  <c r="R388" i="4"/>
  <c r="N388" i="4"/>
  <c r="J388" i="4"/>
  <c r="S388" i="4" s="1"/>
  <c r="G388" i="4"/>
  <c r="H388" i="4" s="1"/>
  <c r="F388" i="4"/>
  <c r="E388" i="4"/>
  <c r="D388" i="4"/>
  <c r="R387" i="4"/>
  <c r="N387" i="4"/>
  <c r="J387" i="4"/>
  <c r="S387" i="4" s="1"/>
  <c r="G387" i="4"/>
  <c r="H387" i="4" s="1"/>
  <c r="F387" i="4"/>
  <c r="E387" i="4"/>
  <c r="D387" i="4"/>
  <c r="R386" i="4"/>
  <c r="N386" i="4"/>
  <c r="J386" i="4"/>
  <c r="S386" i="4" s="1"/>
  <c r="G386" i="4"/>
  <c r="H386" i="4" s="1"/>
  <c r="F386" i="4"/>
  <c r="E386" i="4"/>
  <c r="D386" i="4"/>
  <c r="R385" i="4"/>
  <c r="N385" i="4"/>
  <c r="J385" i="4"/>
  <c r="S385" i="4" s="1"/>
  <c r="G385" i="4"/>
  <c r="H385" i="4" s="1"/>
  <c r="F385" i="4"/>
  <c r="E385" i="4"/>
  <c r="D385" i="4"/>
  <c r="R384" i="4"/>
  <c r="N384" i="4"/>
  <c r="J384" i="4"/>
  <c r="S384" i="4" s="1"/>
  <c r="G384" i="4"/>
  <c r="H384" i="4" s="1"/>
  <c r="F384" i="4"/>
  <c r="E384" i="4"/>
  <c r="D384" i="4"/>
  <c r="R383" i="4"/>
  <c r="N383" i="4"/>
  <c r="J383" i="4"/>
  <c r="S383" i="4" s="1"/>
  <c r="G383" i="4"/>
  <c r="H383" i="4" s="1"/>
  <c r="F383" i="4"/>
  <c r="E383" i="4"/>
  <c r="D383" i="4"/>
  <c r="R382" i="4"/>
  <c r="N382" i="4"/>
  <c r="J382" i="4"/>
  <c r="S382" i="4" s="1"/>
  <c r="G382" i="4"/>
  <c r="H382" i="4" s="1"/>
  <c r="F382" i="4"/>
  <c r="E382" i="4"/>
  <c r="D382" i="4"/>
  <c r="R381" i="4"/>
  <c r="N381" i="4"/>
  <c r="J381" i="4"/>
  <c r="S381" i="4" s="1"/>
  <c r="G381" i="4"/>
  <c r="H381" i="4" s="1"/>
  <c r="F381" i="4"/>
  <c r="E381" i="4"/>
  <c r="D381" i="4"/>
  <c r="R380" i="4"/>
  <c r="N380" i="4"/>
  <c r="J380" i="4"/>
  <c r="S380" i="4" s="1"/>
  <c r="G380" i="4"/>
  <c r="H380" i="4" s="1"/>
  <c r="F380" i="4"/>
  <c r="E380" i="4"/>
  <c r="D380" i="4"/>
  <c r="R379" i="4"/>
  <c r="N379" i="4"/>
  <c r="J379" i="4"/>
  <c r="S379" i="4" s="1"/>
  <c r="G379" i="4"/>
  <c r="H379" i="4" s="1"/>
  <c r="F379" i="4"/>
  <c r="E379" i="4"/>
  <c r="D379" i="4"/>
  <c r="R378" i="4"/>
  <c r="N378" i="4"/>
  <c r="J378" i="4"/>
  <c r="S378" i="4" s="1"/>
  <c r="G378" i="4"/>
  <c r="H378" i="4" s="1"/>
  <c r="F378" i="4"/>
  <c r="E378" i="4"/>
  <c r="D378" i="4"/>
  <c r="R377" i="4"/>
  <c r="N377" i="4"/>
  <c r="J377" i="4"/>
  <c r="S377" i="4" s="1"/>
  <c r="G377" i="4"/>
  <c r="H377" i="4" s="1"/>
  <c r="F377" i="4"/>
  <c r="E377" i="4"/>
  <c r="D377" i="4"/>
  <c r="R376" i="4"/>
  <c r="N376" i="4"/>
  <c r="J376" i="4"/>
  <c r="S376" i="4" s="1"/>
  <c r="G376" i="4"/>
  <c r="H376" i="4" s="1"/>
  <c r="F376" i="4"/>
  <c r="E376" i="4"/>
  <c r="D376" i="4"/>
  <c r="R375" i="4"/>
  <c r="N375" i="4"/>
  <c r="J375" i="4"/>
  <c r="S375" i="4" s="1"/>
  <c r="G375" i="4"/>
  <c r="H375" i="4" s="1"/>
  <c r="F375" i="4"/>
  <c r="E375" i="4"/>
  <c r="D375" i="4"/>
  <c r="R374" i="4"/>
  <c r="N374" i="4"/>
  <c r="J374" i="4"/>
  <c r="S374" i="4" s="1"/>
  <c r="G374" i="4"/>
  <c r="H374" i="4" s="1"/>
  <c r="F374" i="4"/>
  <c r="E374" i="4"/>
  <c r="D374" i="4"/>
  <c r="R373" i="4"/>
  <c r="N373" i="4"/>
  <c r="J373" i="4"/>
  <c r="S373" i="4" s="1"/>
  <c r="G373" i="4"/>
  <c r="H373" i="4" s="1"/>
  <c r="F373" i="4"/>
  <c r="E373" i="4"/>
  <c r="D373" i="4"/>
  <c r="R372" i="4"/>
  <c r="N372" i="4"/>
  <c r="J372" i="4"/>
  <c r="S372" i="4" s="1"/>
  <c r="G372" i="4"/>
  <c r="H372" i="4" s="1"/>
  <c r="F372" i="4"/>
  <c r="E372" i="4"/>
  <c r="D372" i="4"/>
  <c r="R371" i="4"/>
  <c r="N371" i="4"/>
  <c r="J371" i="4"/>
  <c r="S371" i="4" s="1"/>
  <c r="G371" i="4"/>
  <c r="H371" i="4" s="1"/>
  <c r="F371" i="4"/>
  <c r="E371" i="4"/>
  <c r="D371" i="4"/>
  <c r="R370" i="4"/>
  <c r="N370" i="4"/>
  <c r="J370" i="4"/>
  <c r="S370" i="4" s="1"/>
  <c r="G370" i="4"/>
  <c r="H370" i="4" s="1"/>
  <c r="F370" i="4"/>
  <c r="E370" i="4"/>
  <c r="D370" i="4"/>
  <c r="R369" i="4"/>
  <c r="N369" i="4"/>
  <c r="J369" i="4"/>
  <c r="S369" i="4" s="1"/>
  <c r="G369" i="4"/>
  <c r="H369" i="4" s="1"/>
  <c r="F369" i="4"/>
  <c r="E369" i="4"/>
  <c r="D369" i="4"/>
  <c r="R368" i="4"/>
  <c r="N368" i="4"/>
  <c r="J368" i="4"/>
  <c r="S368" i="4" s="1"/>
  <c r="G368" i="4"/>
  <c r="H368" i="4" s="1"/>
  <c r="F368" i="4"/>
  <c r="E368" i="4"/>
  <c r="D368" i="4"/>
  <c r="R367" i="4"/>
  <c r="N367" i="4"/>
  <c r="J367" i="4"/>
  <c r="S367" i="4" s="1"/>
  <c r="G367" i="4"/>
  <c r="H367" i="4" s="1"/>
  <c r="F367" i="4"/>
  <c r="E367" i="4"/>
  <c r="D367" i="4"/>
  <c r="R366" i="4"/>
  <c r="N366" i="4"/>
  <c r="J366" i="4"/>
  <c r="S366" i="4" s="1"/>
  <c r="G366" i="4"/>
  <c r="H366" i="4" s="1"/>
  <c r="F366" i="4"/>
  <c r="E366" i="4"/>
  <c r="D366" i="4"/>
  <c r="R365" i="4"/>
  <c r="N365" i="4"/>
  <c r="J365" i="4"/>
  <c r="S365" i="4" s="1"/>
  <c r="G365" i="4"/>
  <c r="H365" i="4" s="1"/>
  <c r="F365" i="4"/>
  <c r="E365" i="4"/>
  <c r="D365" i="4"/>
  <c r="R364" i="4"/>
  <c r="N364" i="4"/>
  <c r="J364" i="4"/>
  <c r="S364" i="4" s="1"/>
  <c r="G364" i="4"/>
  <c r="H364" i="4" s="1"/>
  <c r="F364" i="4"/>
  <c r="E364" i="4"/>
  <c r="D364" i="4"/>
  <c r="R363" i="4"/>
  <c r="N363" i="4"/>
  <c r="J363" i="4"/>
  <c r="S363" i="4" s="1"/>
  <c r="G363" i="4"/>
  <c r="H363" i="4" s="1"/>
  <c r="F363" i="4"/>
  <c r="E363" i="4"/>
  <c r="D363" i="4"/>
  <c r="R362" i="4"/>
  <c r="N362" i="4"/>
  <c r="J362" i="4"/>
  <c r="S362" i="4" s="1"/>
  <c r="G362" i="4"/>
  <c r="H362" i="4" s="1"/>
  <c r="F362" i="4"/>
  <c r="E362" i="4"/>
  <c r="D362" i="4"/>
  <c r="R361" i="4"/>
  <c r="N361" i="4"/>
  <c r="J361" i="4"/>
  <c r="S361" i="4" s="1"/>
  <c r="G361" i="4"/>
  <c r="H361" i="4" s="1"/>
  <c r="F361" i="4"/>
  <c r="E361" i="4"/>
  <c r="D361" i="4"/>
  <c r="R360" i="4"/>
  <c r="N360" i="4"/>
  <c r="J360" i="4"/>
  <c r="S360" i="4" s="1"/>
  <c r="G360" i="4"/>
  <c r="H360" i="4" s="1"/>
  <c r="F360" i="4"/>
  <c r="E360" i="4"/>
  <c r="D360" i="4"/>
  <c r="R359" i="4"/>
  <c r="N359" i="4"/>
  <c r="J359" i="4"/>
  <c r="S359" i="4" s="1"/>
  <c r="G359" i="4"/>
  <c r="H359" i="4" s="1"/>
  <c r="F359" i="4"/>
  <c r="E359" i="4"/>
  <c r="D359" i="4"/>
  <c r="R358" i="4"/>
  <c r="N358" i="4"/>
  <c r="J358" i="4"/>
  <c r="S358" i="4" s="1"/>
  <c r="G358" i="4"/>
  <c r="H358" i="4" s="1"/>
  <c r="F358" i="4"/>
  <c r="E358" i="4"/>
  <c r="D358" i="4"/>
  <c r="R357" i="4"/>
  <c r="N357" i="4"/>
  <c r="J357" i="4"/>
  <c r="S357" i="4" s="1"/>
  <c r="G357" i="4"/>
  <c r="H357" i="4" s="1"/>
  <c r="F357" i="4"/>
  <c r="E357" i="4"/>
  <c r="D357" i="4"/>
  <c r="R356" i="4"/>
  <c r="N356" i="4"/>
  <c r="J356" i="4"/>
  <c r="S356" i="4" s="1"/>
  <c r="G356" i="4"/>
  <c r="H356" i="4" s="1"/>
  <c r="F356" i="4"/>
  <c r="E356" i="4"/>
  <c r="D356" i="4"/>
  <c r="R355" i="4"/>
  <c r="N355" i="4"/>
  <c r="J355" i="4"/>
  <c r="S355" i="4" s="1"/>
  <c r="H355" i="4"/>
  <c r="G355" i="4"/>
  <c r="F355" i="4"/>
  <c r="E355" i="4"/>
  <c r="D355" i="4"/>
  <c r="R354" i="4"/>
  <c r="N354" i="4"/>
  <c r="J354" i="4"/>
  <c r="S354" i="4" s="1"/>
  <c r="G354" i="4"/>
  <c r="H354" i="4" s="1"/>
  <c r="F354" i="4"/>
  <c r="E354" i="4"/>
  <c r="D354" i="4"/>
  <c r="R353" i="4"/>
  <c r="N353" i="4"/>
  <c r="J353" i="4"/>
  <c r="S353" i="4" s="1"/>
  <c r="G353" i="4"/>
  <c r="H353" i="4" s="1"/>
  <c r="F353" i="4"/>
  <c r="E353" i="4"/>
  <c r="D353" i="4"/>
  <c r="R352" i="4"/>
  <c r="N352" i="4"/>
  <c r="J352" i="4"/>
  <c r="S352" i="4" s="1"/>
  <c r="G352" i="4"/>
  <c r="H352" i="4" s="1"/>
  <c r="F352" i="4"/>
  <c r="E352" i="4"/>
  <c r="D352" i="4"/>
  <c r="R351" i="4"/>
  <c r="N351" i="4"/>
  <c r="J351" i="4"/>
  <c r="S351" i="4" s="1"/>
  <c r="G351" i="4"/>
  <c r="H351" i="4" s="1"/>
  <c r="F351" i="4"/>
  <c r="E351" i="4"/>
  <c r="D351" i="4"/>
  <c r="R350" i="4"/>
  <c r="N350" i="4"/>
  <c r="J350" i="4"/>
  <c r="S350" i="4" s="1"/>
  <c r="G350" i="4"/>
  <c r="H350" i="4" s="1"/>
  <c r="F350" i="4"/>
  <c r="E350" i="4"/>
  <c r="D350" i="4"/>
  <c r="R349" i="4"/>
  <c r="N349" i="4"/>
  <c r="J349" i="4"/>
  <c r="S349" i="4" s="1"/>
  <c r="G349" i="4"/>
  <c r="H349" i="4" s="1"/>
  <c r="F349" i="4"/>
  <c r="E349" i="4"/>
  <c r="D349" i="4"/>
  <c r="R348" i="4"/>
  <c r="N348" i="4"/>
  <c r="J348" i="4"/>
  <c r="S348" i="4" s="1"/>
  <c r="G348" i="4"/>
  <c r="H348" i="4" s="1"/>
  <c r="F348" i="4"/>
  <c r="E348" i="4"/>
  <c r="D348" i="4"/>
  <c r="R347" i="4"/>
  <c r="N347" i="4"/>
  <c r="J347" i="4"/>
  <c r="S347" i="4" s="1"/>
  <c r="G347" i="4"/>
  <c r="H347" i="4" s="1"/>
  <c r="F347" i="4"/>
  <c r="E347" i="4"/>
  <c r="D347" i="4"/>
  <c r="R346" i="4"/>
  <c r="N346" i="4"/>
  <c r="J346" i="4"/>
  <c r="S346" i="4" s="1"/>
  <c r="G346" i="4"/>
  <c r="H346" i="4" s="1"/>
  <c r="F346" i="4"/>
  <c r="E346" i="4"/>
  <c r="D346" i="4"/>
  <c r="R345" i="4"/>
  <c r="N345" i="4"/>
  <c r="J345" i="4"/>
  <c r="S345" i="4" s="1"/>
  <c r="G345" i="4"/>
  <c r="H345" i="4" s="1"/>
  <c r="F345" i="4"/>
  <c r="E345" i="4"/>
  <c r="D345" i="4"/>
  <c r="R344" i="4"/>
  <c r="N344" i="4"/>
  <c r="J344" i="4"/>
  <c r="S344" i="4" s="1"/>
  <c r="G344" i="4"/>
  <c r="H344" i="4" s="1"/>
  <c r="F344" i="4"/>
  <c r="E344" i="4"/>
  <c r="D344" i="4"/>
  <c r="R343" i="4"/>
  <c r="N343" i="4"/>
  <c r="J343" i="4"/>
  <c r="S343" i="4" s="1"/>
  <c r="G343" i="4"/>
  <c r="H343" i="4" s="1"/>
  <c r="F343" i="4"/>
  <c r="E343" i="4"/>
  <c r="D343" i="4"/>
  <c r="R342" i="4"/>
  <c r="N342" i="4"/>
  <c r="J342" i="4"/>
  <c r="S342" i="4" s="1"/>
  <c r="G342" i="4"/>
  <c r="H342" i="4" s="1"/>
  <c r="F342" i="4"/>
  <c r="E342" i="4"/>
  <c r="D342" i="4"/>
  <c r="R341" i="4"/>
  <c r="N341" i="4"/>
  <c r="J341" i="4"/>
  <c r="S341" i="4" s="1"/>
  <c r="G341" i="4"/>
  <c r="H341" i="4" s="1"/>
  <c r="F341" i="4"/>
  <c r="E341" i="4"/>
  <c r="D341" i="4"/>
  <c r="R340" i="4"/>
  <c r="N340" i="4"/>
  <c r="J340" i="4"/>
  <c r="S340" i="4" s="1"/>
  <c r="G340" i="4"/>
  <c r="H340" i="4" s="1"/>
  <c r="F340" i="4"/>
  <c r="E340" i="4"/>
  <c r="D340" i="4"/>
  <c r="R339" i="4"/>
  <c r="N339" i="4"/>
  <c r="J339" i="4"/>
  <c r="S339" i="4" s="1"/>
  <c r="G339" i="4"/>
  <c r="H339" i="4" s="1"/>
  <c r="F339" i="4"/>
  <c r="E339" i="4"/>
  <c r="D339" i="4"/>
  <c r="R338" i="4"/>
  <c r="N338" i="4"/>
  <c r="J338" i="4"/>
  <c r="S338" i="4" s="1"/>
  <c r="G338" i="4"/>
  <c r="H338" i="4" s="1"/>
  <c r="F338" i="4"/>
  <c r="E338" i="4"/>
  <c r="D338" i="4"/>
  <c r="R337" i="4"/>
  <c r="N337" i="4"/>
  <c r="J337" i="4"/>
  <c r="S337" i="4" s="1"/>
  <c r="G337" i="4"/>
  <c r="H337" i="4" s="1"/>
  <c r="F337" i="4"/>
  <c r="E337" i="4"/>
  <c r="D337" i="4"/>
  <c r="R336" i="4"/>
  <c r="N336" i="4"/>
  <c r="J336" i="4"/>
  <c r="S336" i="4" s="1"/>
  <c r="G336" i="4"/>
  <c r="H336" i="4" s="1"/>
  <c r="F336" i="4"/>
  <c r="E336" i="4"/>
  <c r="D336" i="4"/>
  <c r="R335" i="4"/>
  <c r="N335" i="4"/>
  <c r="J335" i="4"/>
  <c r="S335" i="4" s="1"/>
  <c r="G335" i="4"/>
  <c r="H335" i="4" s="1"/>
  <c r="F335" i="4"/>
  <c r="E335" i="4"/>
  <c r="D335" i="4"/>
  <c r="R334" i="4"/>
  <c r="N334" i="4"/>
  <c r="J334" i="4"/>
  <c r="S334" i="4" s="1"/>
  <c r="G334" i="4"/>
  <c r="H334" i="4" s="1"/>
  <c r="F334" i="4"/>
  <c r="E334" i="4"/>
  <c r="D334" i="4"/>
  <c r="R333" i="4"/>
  <c r="N333" i="4"/>
  <c r="J333" i="4"/>
  <c r="S333" i="4" s="1"/>
  <c r="G333" i="4"/>
  <c r="H333" i="4" s="1"/>
  <c r="F333" i="4"/>
  <c r="E333" i="4"/>
  <c r="D333" i="4"/>
  <c r="R332" i="4"/>
  <c r="N332" i="4"/>
  <c r="J332" i="4"/>
  <c r="S332" i="4" s="1"/>
  <c r="G332" i="4"/>
  <c r="H332" i="4" s="1"/>
  <c r="F332" i="4"/>
  <c r="E332" i="4"/>
  <c r="D332" i="4"/>
  <c r="R331" i="4"/>
  <c r="N331" i="4"/>
  <c r="J331" i="4"/>
  <c r="S331" i="4" s="1"/>
  <c r="G331" i="4"/>
  <c r="H331" i="4" s="1"/>
  <c r="F331" i="4"/>
  <c r="E331" i="4"/>
  <c r="D331" i="4"/>
  <c r="R330" i="4"/>
  <c r="N330" i="4"/>
  <c r="J330" i="4"/>
  <c r="S330" i="4" s="1"/>
  <c r="G330" i="4"/>
  <c r="H330" i="4" s="1"/>
  <c r="F330" i="4"/>
  <c r="E330" i="4"/>
  <c r="D330" i="4"/>
  <c r="R329" i="4"/>
  <c r="N329" i="4"/>
  <c r="J329" i="4"/>
  <c r="S329" i="4" s="1"/>
  <c r="G329" i="4"/>
  <c r="H329" i="4" s="1"/>
  <c r="F329" i="4"/>
  <c r="E329" i="4"/>
  <c r="D329" i="4"/>
  <c r="R328" i="4"/>
  <c r="N328" i="4"/>
  <c r="J328" i="4"/>
  <c r="S328" i="4" s="1"/>
  <c r="G328" i="4"/>
  <c r="H328" i="4" s="1"/>
  <c r="F328" i="4"/>
  <c r="E328" i="4"/>
  <c r="D328" i="4"/>
  <c r="R327" i="4"/>
  <c r="N327" i="4"/>
  <c r="J327" i="4"/>
  <c r="S327" i="4" s="1"/>
  <c r="G327" i="4"/>
  <c r="H327" i="4" s="1"/>
  <c r="F327" i="4"/>
  <c r="E327" i="4"/>
  <c r="D327" i="4"/>
  <c r="R326" i="4"/>
  <c r="N326" i="4"/>
  <c r="J326" i="4"/>
  <c r="S326" i="4" s="1"/>
  <c r="G326" i="4"/>
  <c r="H326" i="4" s="1"/>
  <c r="F326" i="4"/>
  <c r="E326" i="4"/>
  <c r="D326" i="4"/>
  <c r="R325" i="4"/>
  <c r="N325" i="4"/>
  <c r="J325" i="4"/>
  <c r="S325" i="4" s="1"/>
  <c r="G325" i="4"/>
  <c r="H325" i="4" s="1"/>
  <c r="F325" i="4"/>
  <c r="E325" i="4"/>
  <c r="D325" i="4"/>
  <c r="R324" i="4"/>
  <c r="N324" i="4"/>
  <c r="J324" i="4"/>
  <c r="S324" i="4" s="1"/>
  <c r="G324" i="4"/>
  <c r="H324" i="4" s="1"/>
  <c r="F324" i="4"/>
  <c r="E324" i="4"/>
  <c r="D324" i="4"/>
  <c r="R323" i="4"/>
  <c r="N323" i="4"/>
  <c r="J323" i="4"/>
  <c r="S323" i="4" s="1"/>
  <c r="G323" i="4"/>
  <c r="H323" i="4" s="1"/>
  <c r="F323" i="4"/>
  <c r="E323" i="4"/>
  <c r="D323" i="4"/>
  <c r="R322" i="4"/>
  <c r="N322" i="4"/>
  <c r="J322" i="4"/>
  <c r="S322" i="4" s="1"/>
  <c r="G322" i="4"/>
  <c r="H322" i="4" s="1"/>
  <c r="F322" i="4"/>
  <c r="E322" i="4"/>
  <c r="D322" i="4"/>
  <c r="R321" i="4"/>
  <c r="N321" i="4"/>
  <c r="J321" i="4"/>
  <c r="S321" i="4" s="1"/>
  <c r="G321" i="4"/>
  <c r="H321" i="4" s="1"/>
  <c r="F321" i="4"/>
  <c r="E321" i="4"/>
  <c r="D321" i="4"/>
  <c r="R320" i="4"/>
  <c r="N320" i="4"/>
  <c r="J320" i="4"/>
  <c r="S320" i="4" s="1"/>
  <c r="G320" i="4"/>
  <c r="H320" i="4" s="1"/>
  <c r="F320" i="4"/>
  <c r="E320" i="4"/>
  <c r="D320" i="4"/>
  <c r="R319" i="4"/>
  <c r="N319" i="4"/>
  <c r="J319" i="4"/>
  <c r="S319" i="4" s="1"/>
  <c r="G319" i="4"/>
  <c r="H319" i="4" s="1"/>
  <c r="F319" i="4"/>
  <c r="E319" i="4"/>
  <c r="D319" i="4"/>
  <c r="R318" i="4"/>
  <c r="N318" i="4"/>
  <c r="J318" i="4"/>
  <c r="S318" i="4" s="1"/>
  <c r="G318" i="4"/>
  <c r="H318" i="4" s="1"/>
  <c r="F318" i="4"/>
  <c r="E318" i="4"/>
  <c r="D318" i="4"/>
  <c r="R317" i="4"/>
  <c r="N317" i="4"/>
  <c r="J317" i="4"/>
  <c r="S317" i="4" s="1"/>
  <c r="G317" i="4"/>
  <c r="H317" i="4" s="1"/>
  <c r="F317" i="4"/>
  <c r="E317" i="4"/>
  <c r="D317" i="4"/>
  <c r="R316" i="4"/>
  <c r="N316" i="4"/>
  <c r="J316" i="4"/>
  <c r="S316" i="4" s="1"/>
  <c r="G316" i="4"/>
  <c r="H316" i="4" s="1"/>
  <c r="F316" i="4"/>
  <c r="E316" i="4"/>
  <c r="D316" i="4"/>
  <c r="R315" i="4"/>
  <c r="N315" i="4"/>
  <c r="J315" i="4"/>
  <c r="S315" i="4" s="1"/>
  <c r="G315" i="4"/>
  <c r="H315" i="4" s="1"/>
  <c r="F315" i="4"/>
  <c r="E315" i="4"/>
  <c r="D315" i="4"/>
  <c r="R314" i="4"/>
  <c r="N314" i="4"/>
  <c r="J314" i="4"/>
  <c r="S314" i="4" s="1"/>
  <c r="G314" i="4"/>
  <c r="H314" i="4" s="1"/>
  <c r="F314" i="4"/>
  <c r="E314" i="4"/>
  <c r="D314" i="4"/>
  <c r="R313" i="4"/>
  <c r="N313" i="4"/>
  <c r="J313" i="4"/>
  <c r="S313" i="4" s="1"/>
  <c r="G313" i="4"/>
  <c r="H313" i="4" s="1"/>
  <c r="F313" i="4"/>
  <c r="E313" i="4"/>
  <c r="D313" i="4"/>
  <c r="R312" i="4"/>
  <c r="N312" i="4"/>
  <c r="J312" i="4"/>
  <c r="S312" i="4" s="1"/>
  <c r="G312" i="4"/>
  <c r="H312" i="4" s="1"/>
  <c r="F312" i="4"/>
  <c r="E312" i="4"/>
  <c r="D312" i="4"/>
  <c r="R311" i="4"/>
  <c r="N311" i="4"/>
  <c r="J311" i="4"/>
  <c r="S311" i="4" s="1"/>
  <c r="G311" i="4"/>
  <c r="H311" i="4" s="1"/>
  <c r="F311" i="4"/>
  <c r="E311" i="4"/>
  <c r="D311" i="4"/>
  <c r="R310" i="4"/>
  <c r="N310" i="4"/>
  <c r="J310" i="4"/>
  <c r="S310" i="4" s="1"/>
  <c r="G310" i="4"/>
  <c r="H310" i="4" s="1"/>
  <c r="F310" i="4"/>
  <c r="E310" i="4"/>
  <c r="D310" i="4"/>
  <c r="R309" i="4"/>
  <c r="N309" i="4"/>
  <c r="J309" i="4"/>
  <c r="S309" i="4" s="1"/>
  <c r="G309" i="4"/>
  <c r="H309" i="4" s="1"/>
  <c r="F309" i="4"/>
  <c r="E309" i="4"/>
  <c r="D309" i="4"/>
  <c r="R308" i="4"/>
  <c r="N308" i="4"/>
  <c r="J308" i="4"/>
  <c r="S308" i="4" s="1"/>
  <c r="G308" i="4"/>
  <c r="H308" i="4" s="1"/>
  <c r="F308" i="4"/>
  <c r="E308" i="4"/>
  <c r="D308" i="4"/>
  <c r="R307" i="4"/>
  <c r="N307" i="4"/>
  <c r="J307" i="4"/>
  <c r="S307" i="4" s="1"/>
  <c r="G307" i="4"/>
  <c r="H307" i="4" s="1"/>
  <c r="F307" i="4"/>
  <c r="E307" i="4"/>
  <c r="D307" i="4"/>
  <c r="R306" i="4"/>
  <c r="N306" i="4"/>
  <c r="J306" i="4"/>
  <c r="S306" i="4" s="1"/>
  <c r="G306" i="4"/>
  <c r="H306" i="4" s="1"/>
  <c r="F306" i="4"/>
  <c r="E306" i="4"/>
  <c r="D306" i="4"/>
  <c r="R305" i="4"/>
  <c r="N305" i="4"/>
  <c r="J305" i="4"/>
  <c r="S305" i="4" s="1"/>
  <c r="G305" i="4"/>
  <c r="H305" i="4" s="1"/>
  <c r="F305" i="4"/>
  <c r="E305" i="4"/>
  <c r="D305" i="4"/>
  <c r="R304" i="4"/>
  <c r="N304" i="4"/>
  <c r="J304" i="4"/>
  <c r="S304" i="4" s="1"/>
  <c r="G304" i="4"/>
  <c r="H304" i="4" s="1"/>
  <c r="F304" i="4"/>
  <c r="E304" i="4"/>
  <c r="D304" i="4"/>
  <c r="R303" i="4"/>
  <c r="N303" i="4"/>
  <c r="J303" i="4"/>
  <c r="S303" i="4" s="1"/>
  <c r="G303" i="4"/>
  <c r="H303" i="4" s="1"/>
  <c r="F303" i="4"/>
  <c r="E303" i="4"/>
  <c r="D303" i="4"/>
  <c r="R302" i="4"/>
  <c r="N302" i="4"/>
  <c r="J302" i="4"/>
  <c r="S302" i="4" s="1"/>
  <c r="G302" i="4"/>
  <c r="H302" i="4" s="1"/>
  <c r="F302" i="4"/>
  <c r="E302" i="4"/>
  <c r="D302" i="4"/>
  <c r="R301" i="4"/>
  <c r="N301" i="4"/>
  <c r="J301" i="4"/>
  <c r="S301" i="4" s="1"/>
  <c r="G301" i="4"/>
  <c r="H301" i="4" s="1"/>
  <c r="F301" i="4"/>
  <c r="E301" i="4"/>
  <c r="D301" i="4"/>
  <c r="R300" i="4"/>
  <c r="N300" i="4"/>
  <c r="J300" i="4"/>
  <c r="S300" i="4" s="1"/>
  <c r="G300" i="4"/>
  <c r="H300" i="4" s="1"/>
  <c r="F300" i="4"/>
  <c r="E300" i="4"/>
  <c r="D300" i="4"/>
  <c r="R299" i="4"/>
  <c r="N299" i="4"/>
  <c r="J299" i="4"/>
  <c r="S299" i="4" s="1"/>
  <c r="G299" i="4"/>
  <c r="H299" i="4" s="1"/>
  <c r="F299" i="4"/>
  <c r="E299" i="4"/>
  <c r="D299" i="4"/>
  <c r="R298" i="4"/>
  <c r="N298" i="4"/>
  <c r="J298" i="4"/>
  <c r="S298" i="4" s="1"/>
  <c r="G298" i="4"/>
  <c r="H298" i="4" s="1"/>
  <c r="F298" i="4"/>
  <c r="E298" i="4"/>
  <c r="D298" i="4"/>
  <c r="R297" i="4"/>
  <c r="N297" i="4"/>
  <c r="J297" i="4"/>
  <c r="S297" i="4" s="1"/>
  <c r="G297" i="4"/>
  <c r="H297" i="4" s="1"/>
  <c r="F297" i="4"/>
  <c r="E297" i="4"/>
  <c r="D297" i="4"/>
  <c r="R296" i="4"/>
  <c r="N296" i="4"/>
  <c r="J296" i="4"/>
  <c r="S296" i="4" s="1"/>
  <c r="G296" i="4"/>
  <c r="H296" i="4" s="1"/>
  <c r="F296" i="4"/>
  <c r="E296" i="4"/>
  <c r="D296" i="4"/>
  <c r="R295" i="4"/>
  <c r="N295" i="4"/>
  <c r="J295" i="4"/>
  <c r="S295" i="4" s="1"/>
  <c r="G295" i="4"/>
  <c r="H295" i="4" s="1"/>
  <c r="F295" i="4"/>
  <c r="E295" i="4"/>
  <c r="D295" i="4"/>
  <c r="R294" i="4"/>
  <c r="N294" i="4"/>
  <c r="J294" i="4"/>
  <c r="S294" i="4" s="1"/>
  <c r="G294" i="4"/>
  <c r="H294" i="4" s="1"/>
  <c r="F294" i="4"/>
  <c r="E294" i="4"/>
  <c r="D294" i="4"/>
  <c r="R293" i="4"/>
  <c r="N293" i="4"/>
  <c r="J293" i="4"/>
  <c r="S293" i="4" s="1"/>
  <c r="G293" i="4"/>
  <c r="H293" i="4" s="1"/>
  <c r="F293" i="4"/>
  <c r="E293" i="4"/>
  <c r="D293" i="4"/>
  <c r="R292" i="4"/>
  <c r="N292" i="4"/>
  <c r="J292" i="4"/>
  <c r="S292" i="4" s="1"/>
  <c r="G292" i="4"/>
  <c r="H292" i="4" s="1"/>
  <c r="F292" i="4"/>
  <c r="E292" i="4"/>
  <c r="D292" i="4"/>
  <c r="R291" i="4"/>
  <c r="N291" i="4"/>
  <c r="J291" i="4"/>
  <c r="S291" i="4" s="1"/>
  <c r="G291" i="4"/>
  <c r="H291" i="4" s="1"/>
  <c r="F291" i="4"/>
  <c r="E291" i="4"/>
  <c r="D291" i="4"/>
  <c r="R290" i="4"/>
  <c r="N290" i="4"/>
  <c r="J290" i="4"/>
  <c r="S290" i="4" s="1"/>
  <c r="G290" i="4"/>
  <c r="H290" i="4" s="1"/>
  <c r="F290" i="4"/>
  <c r="E290" i="4"/>
  <c r="D290" i="4"/>
  <c r="R289" i="4"/>
  <c r="N289" i="4"/>
  <c r="J289" i="4"/>
  <c r="S289" i="4" s="1"/>
  <c r="G289" i="4"/>
  <c r="H289" i="4" s="1"/>
  <c r="F289" i="4"/>
  <c r="E289" i="4"/>
  <c r="D289" i="4"/>
  <c r="R288" i="4"/>
  <c r="N288" i="4"/>
  <c r="J288" i="4"/>
  <c r="S288" i="4" s="1"/>
  <c r="G288" i="4"/>
  <c r="H288" i="4" s="1"/>
  <c r="F288" i="4"/>
  <c r="E288" i="4"/>
  <c r="D288" i="4"/>
  <c r="R287" i="4"/>
  <c r="N287" i="4"/>
  <c r="J287" i="4"/>
  <c r="S287" i="4" s="1"/>
  <c r="G287" i="4"/>
  <c r="H287" i="4" s="1"/>
  <c r="F287" i="4"/>
  <c r="E287" i="4"/>
  <c r="D287" i="4"/>
  <c r="R286" i="4"/>
  <c r="N286" i="4"/>
  <c r="J286" i="4"/>
  <c r="S286" i="4" s="1"/>
  <c r="G286" i="4"/>
  <c r="H286" i="4" s="1"/>
  <c r="F286" i="4"/>
  <c r="E286" i="4"/>
  <c r="D286" i="4"/>
  <c r="R285" i="4"/>
  <c r="N285" i="4"/>
  <c r="J285" i="4"/>
  <c r="S285" i="4" s="1"/>
  <c r="G285" i="4"/>
  <c r="H285" i="4" s="1"/>
  <c r="F285" i="4"/>
  <c r="E285" i="4"/>
  <c r="D285" i="4"/>
  <c r="R284" i="4"/>
  <c r="N284" i="4"/>
  <c r="J284" i="4"/>
  <c r="S284" i="4" s="1"/>
  <c r="G284" i="4"/>
  <c r="H284" i="4" s="1"/>
  <c r="F284" i="4"/>
  <c r="E284" i="4"/>
  <c r="D284" i="4"/>
  <c r="R283" i="4"/>
  <c r="N283" i="4"/>
  <c r="J283" i="4"/>
  <c r="S283" i="4" s="1"/>
  <c r="G283" i="4"/>
  <c r="H283" i="4" s="1"/>
  <c r="F283" i="4"/>
  <c r="E283" i="4"/>
  <c r="D283" i="4"/>
  <c r="R282" i="4"/>
  <c r="N282" i="4"/>
  <c r="J282" i="4"/>
  <c r="S282" i="4" s="1"/>
  <c r="G282" i="4"/>
  <c r="H282" i="4" s="1"/>
  <c r="F282" i="4"/>
  <c r="E282" i="4"/>
  <c r="D282" i="4"/>
  <c r="R281" i="4"/>
  <c r="N281" i="4"/>
  <c r="J281" i="4"/>
  <c r="S281" i="4" s="1"/>
  <c r="G281" i="4"/>
  <c r="H281" i="4" s="1"/>
  <c r="F281" i="4"/>
  <c r="E281" i="4"/>
  <c r="D281" i="4"/>
  <c r="R280" i="4"/>
  <c r="N280" i="4"/>
  <c r="J280" i="4"/>
  <c r="S280" i="4" s="1"/>
  <c r="G280" i="4"/>
  <c r="H280" i="4" s="1"/>
  <c r="F280" i="4"/>
  <c r="E280" i="4"/>
  <c r="D280" i="4"/>
  <c r="R279" i="4"/>
  <c r="N279" i="4"/>
  <c r="J279" i="4"/>
  <c r="S279" i="4" s="1"/>
  <c r="G279" i="4"/>
  <c r="H279" i="4" s="1"/>
  <c r="F279" i="4"/>
  <c r="E279" i="4"/>
  <c r="D279" i="4"/>
  <c r="R278" i="4"/>
  <c r="N278" i="4"/>
  <c r="J278" i="4"/>
  <c r="S278" i="4" s="1"/>
  <c r="G278" i="4"/>
  <c r="H278" i="4" s="1"/>
  <c r="F278" i="4"/>
  <c r="E278" i="4"/>
  <c r="D278" i="4"/>
  <c r="R277" i="4"/>
  <c r="N277" i="4"/>
  <c r="J277" i="4"/>
  <c r="S277" i="4" s="1"/>
  <c r="G277" i="4"/>
  <c r="H277" i="4" s="1"/>
  <c r="F277" i="4"/>
  <c r="E277" i="4"/>
  <c r="D277" i="4"/>
  <c r="R276" i="4"/>
  <c r="N276" i="4"/>
  <c r="J276" i="4"/>
  <c r="S276" i="4" s="1"/>
  <c r="G276" i="4"/>
  <c r="H276" i="4" s="1"/>
  <c r="F276" i="4"/>
  <c r="E276" i="4"/>
  <c r="D276" i="4"/>
  <c r="R275" i="4"/>
  <c r="N275" i="4"/>
  <c r="J275" i="4"/>
  <c r="S275" i="4" s="1"/>
  <c r="G275" i="4"/>
  <c r="H275" i="4" s="1"/>
  <c r="F275" i="4"/>
  <c r="E275" i="4"/>
  <c r="D275" i="4"/>
  <c r="R274" i="4"/>
  <c r="N274" i="4"/>
  <c r="J274" i="4"/>
  <c r="S274" i="4" s="1"/>
  <c r="G274" i="4"/>
  <c r="H274" i="4" s="1"/>
  <c r="F274" i="4"/>
  <c r="E274" i="4"/>
  <c r="D274" i="4"/>
  <c r="R273" i="4"/>
  <c r="N273" i="4"/>
  <c r="J273" i="4"/>
  <c r="S273" i="4" s="1"/>
  <c r="G273" i="4"/>
  <c r="H273" i="4" s="1"/>
  <c r="F273" i="4"/>
  <c r="E273" i="4"/>
  <c r="D273" i="4"/>
  <c r="R272" i="4"/>
  <c r="N272" i="4"/>
  <c r="J272" i="4"/>
  <c r="S272" i="4" s="1"/>
  <c r="G272" i="4"/>
  <c r="H272" i="4" s="1"/>
  <c r="F272" i="4"/>
  <c r="E272" i="4"/>
  <c r="D272" i="4"/>
  <c r="R271" i="4"/>
  <c r="N271" i="4"/>
  <c r="J271" i="4"/>
  <c r="S271" i="4" s="1"/>
  <c r="G271" i="4"/>
  <c r="H271" i="4" s="1"/>
  <c r="F271" i="4"/>
  <c r="E271" i="4"/>
  <c r="D271" i="4"/>
  <c r="R270" i="4"/>
  <c r="N270" i="4"/>
  <c r="J270" i="4"/>
  <c r="S270" i="4" s="1"/>
  <c r="H270" i="4"/>
  <c r="G270" i="4"/>
  <c r="F270" i="4"/>
  <c r="E270" i="4"/>
  <c r="D270" i="4"/>
  <c r="R269" i="4"/>
  <c r="N269" i="4"/>
  <c r="J269" i="4"/>
  <c r="S269" i="4" s="1"/>
  <c r="G269" i="4"/>
  <c r="H269" i="4" s="1"/>
  <c r="F269" i="4"/>
  <c r="E269" i="4"/>
  <c r="D269" i="4"/>
  <c r="R268" i="4"/>
  <c r="N268" i="4"/>
  <c r="J268" i="4"/>
  <c r="S268" i="4" s="1"/>
  <c r="G268" i="4"/>
  <c r="H268" i="4" s="1"/>
  <c r="F268" i="4"/>
  <c r="E268" i="4"/>
  <c r="D268" i="4"/>
  <c r="R267" i="4"/>
  <c r="N267" i="4"/>
  <c r="J267" i="4"/>
  <c r="S267" i="4" s="1"/>
  <c r="G267" i="4"/>
  <c r="H267" i="4" s="1"/>
  <c r="F267" i="4"/>
  <c r="E267" i="4"/>
  <c r="D267" i="4"/>
  <c r="R266" i="4"/>
  <c r="N266" i="4"/>
  <c r="J266" i="4"/>
  <c r="S266" i="4" s="1"/>
  <c r="G266" i="4"/>
  <c r="H266" i="4" s="1"/>
  <c r="F266" i="4"/>
  <c r="E266" i="4"/>
  <c r="D266" i="4"/>
  <c r="R265" i="4"/>
  <c r="N265" i="4"/>
  <c r="J265" i="4"/>
  <c r="S265" i="4" s="1"/>
  <c r="G265" i="4"/>
  <c r="H265" i="4" s="1"/>
  <c r="F265" i="4"/>
  <c r="E265" i="4"/>
  <c r="D265" i="4"/>
  <c r="R264" i="4"/>
  <c r="N264" i="4"/>
  <c r="J264" i="4"/>
  <c r="S264" i="4" s="1"/>
  <c r="G264" i="4"/>
  <c r="H264" i="4" s="1"/>
  <c r="F264" i="4"/>
  <c r="E264" i="4"/>
  <c r="D264" i="4"/>
  <c r="R263" i="4"/>
  <c r="N263" i="4"/>
  <c r="J263" i="4"/>
  <c r="S263" i="4" s="1"/>
  <c r="G263" i="4"/>
  <c r="H263" i="4" s="1"/>
  <c r="F263" i="4"/>
  <c r="E263" i="4"/>
  <c r="D263" i="4"/>
  <c r="R262" i="4"/>
  <c r="N262" i="4"/>
  <c r="J262" i="4"/>
  <c r="S262" i="4" s="1"/>
  <c r="G262" i="4"/>
  <c r="H262" i="4" s="1"/>
  <c r="F262" i="4"/>
  <c r="E262" i="4"/>
  <c r="D262" i="4"/>
  <c r="R261" i="4"/>
  <c r="N261" i="4"/>
  <c r="J261" i="4"/>
  <c r="S261" i="4" s="1"/>
  <c r="G261" i="4"/>
  <c r="H261" i="4" s="1"/>
  <c r="F261" i="4"/>
  <c r="E261" i="4"/>
  <c r="D261" i="4"/>
  <c r="R260" i="4"/>
  <c r="N260" i="4"/>
  <c r="J260" i="4"/>
  <c r="S260" i="4" s="1"/>
  <c r="G260" i="4"/>
  <c r="H260" i="4" s="1"/>
  <c r="F260" i="4"/>
  <c r="E260" i="4"/>
  <c r="D260" i="4"/>
  <c r="R259" i="4"/>
  <c r="N259" i="4"/>
  <c r="J259" i="4"/>
  <c r="S259" i="4" s="1"/>
  <c r="G259" i="4"/>
  <c r="H259" i="4" s="1"/>
  <c r="F259" i="4"/>
  <c r="E259" i="4"/>
  <c r="D259" i="4"/>
  <c r="R258" i="4"/>
  <c r="N258" i="4"/>
  <c r="J258" i="4"/>
  <c r="S258" i="4" s="1"/>
  <c r="G258" i="4"/>
  <c r="H258" i="4" s="1"/>
  <c r="F258" i="4"/>
  <c r="E258" i="4"/>
  <c r="D258" i="4"/>
  <c r="R257" i="4"/>
  <c r="N257" i="4"/>
  <c r="J257" i="4"/>
  <c r="S257" i="4" s="1"/>
  <c r="G257" i="4"/>
  <c r="H257" i="4" s="1"/>
  <c r="F257" i="4"/>
  <c r="E257" i="4"/>
  <c r="D257" i="4"/>
  <c r="R256" i="4"/>
  <c r="N256" i="4"/>
  <c r="J256" i="4"/>
  <c r="S256" i="4" s="1"/>
  <c r="G256" i="4"/>
  <c r="H256" i="4" s="1"/>
  <c r="F256" i="4"/>
  <c r="E256" i="4"/>
  <c r="D256" i="4"/>
  <c r="R255" i="4"/>
  <c r="N255" i="4"/>
  <c r="J255" i="4"/>
  <c r="S255" i="4" s="1"/>
  <c r="G255" i="4"/>
  <c r="H255" i="4" s="1"/>
  <c r="F255" i="4"/>
  <c r="E255" i="4"/>
  <c r="D255" i="4"/>
  <c r="R254" i="4"/>
  <c r="N254" i="4"/>
  <c r="J254" i="4"/>
  <c r="S254" i="4" s="1"/>
  <c r="G254" i="4"/>
  <c r="H254" i="4" s="1"/>
  <c r="F254" i="4"/>
  <c r="E254" i="4"/>
  <c r="D254" i="4"/>
  <c r="R253" i="4"/>
  <c r="N253" i="4"/>
  <c r="J253" i="4"/>
  <c r="S253" i="4" s="1"/>
  <c r="G253" i="4"/>
  <c r="H253" i="4" s="1"/>
  <c r="F253" i="4"/>
  <c r="E253" i="4"/>
  <c r="D253" i="4"/>
  <c r="R252" i="4"/>
  <c r="N252" i="4"/>
  <c r="J252" i="4"/>
  <c r="S252" i="4" s="1"/>
  <c r="G252" i="4"/>
  <c r="H252" i="4" s="1"/>
  <c r="F252" i="4"/>
  <c r="E252" i="4"/>
  <c r="D252" i="4"/>
  <c r="R251" i="4"/>
  <c r="N251" i="4"/>
  <c r="J251" i="4"/>
  <c r="S251" i="4" s="1"/>
  <c r="G251" i="4"/>
  <c r="H251" i="4" s="1"/>
  <c r="F251" i="4"/>
  <c r="E251" i="4"/>
  <c r="D251" i="4"/>
  <c r="R250" i="4"/>
  <c r="N250" i="4"/>
  <c r="J250" i="4"/>
  <c r="S250" i="4" s="1"/>
  <c r="G250" i="4"/>
  <c r="H250" i="4" s="1"/>
  <c r="F250" i="4"/>
  <c r="E250" i="4"/>
  <c r="D250" i="4"/>
  <c r="R249" i="4"/>
  <c r="N249" i="4"/>
  <c r="J249" i="4"/>
  <c r="S249" i="4" s="1"/>
  <c r="G249" i="4"/>
  <c r="H249" i="4" s="1"/>
  <c r="F249" i="4"/>
  <c r="E249" i="4"/>
  <c r="D249" i="4"/>
  <c r="R248" i="4"/>
  <c r="N248" i="4"/>
  <c r="J248" i="4"/>
  <c r="S248" i="4" s="1"/>
  <c r="G248" i="4"/>
  <c r="H248" i="4" s="1"/>
  <c r="F248" i="4"/>
  <c r="E248" i="4"/>
  <c r="D248" i="4"/>
  <c r="R247" i="4"/>
  <c r="N247" i="4"/>
  <c r="J247" i="4"/>
  <c r="S247" i="4" s="1"/>
  <c r="G247" i="4"/>
  <c r="H247" i="4" s="1"/>
  <c r="F247" i="4"/>
  <c r="E247" i="4"/>
  <c r="D247" i="4"/>
  <c r="R246" i="4"/>
  <c r="N246" i="4"/>
  <c r="J246" i="4"/>
  <c r="S246" i="4" s="1"/>
  <c r="G246" i="4"/>
  <c r="H246" i="4" s="1"/>
  <c r="F246" i="4"/>
  <c r="E246" i="4"/>
  <c r="D246" i="4"/>
  <c r="R245" i="4"/>
  <c r="N245" i="4"/>
  <c r="J245" i="4"/>
  <c r="S245" i="4" s="1"/>
  <c r="G245" i="4"/>
  <c r="H245" i="4" s="1"/>
  <c r="F245" i="4"/>
  <c r="E245" i="4"/>
  <c r="D245" i="4"/>
  <c r="R244" i="4"/>
  <c r="N244" i="4"/>
  <c r="J244" i="4"/>
  <c r="S244" i="4" s="1"/>
  <c r="G244" i="4"/>
  <c r="H244" i="4" s="1"/>
  <c r="F244" i="4"/>
  <c r="E244" i="4"/>
  <c r="D244" i="4"/>
  <c r="R243" i="4"/>
  <c r="N243" i="4"/>
  <c r="J243" i="4"/>
  <c r="S243" i="4" s="1"/>
  <c r="G243" i="4"/>
  <c r="H243" i="4" s="1"/>
  <c r="F243" i="4"/>
  <c r="E243" i="4"/>
  <c r="D243" i="4"/>
  <c r="R242" i="4"/>
  <c r="N242" i="4"/>
  <c r="J242" i="4"/>
  <c r="S242" i="4" s="1"/>
  <c r="G242" i="4"/>
  <c r="H242" i="4" s="1"/>
  <c r="F242" i="4"/>
  <c r="E242" i="4"/>
  <c r="D242" i="4"/>
  <c r="R241" i="4"/>
  <c r="N241" i="4"/>
  <c r="J241" i="4"/>
  <c r="S241" i="4" s="1"/>
  <c r="G241" i="4"/>
  <c r="H241" i="4" s="1"/>
  <c r="F241" i="4"/>
  <c r="E241" i="4"/>
  <c r="D241" i="4"/>
  <c r="R240" i="4"/>
  <c r="N240" i="4"/>
  <c r="J240" i="4"/>
  <c r="S240" i="4" s="1"/>
  <c r="G240" i="4"/>
  <c r="H240" i="4" s="1"/>
  <c r="F240" i="4"/>
  <c r="E240" i="4"/>
  <c r="D240" i="4"/>
  <c r="R239" i="4"/>
  <c r="N239" i="4"/>
  <c r="J239" i="4"/>
  <c r="S239" i="4" s="1"/>
  <c r="G239" i="4"/>
  <c r="H239" i="4" s="1"/>
  <c r="F239" i="4"/>
  <c r="E239" i="4"/>
  <c r="D239" i="4"/>
  <c r="R238" i="4"/>
  <c r="N238" i="4"/>
  <c r="J238" i="4"/>
  <c r="S238" i="4" s="1"/>
  <c r="G238" i="4"/>
  <c r="H238" i="4" s="1"/>
  <c r="F238" i="4"/>
  <c r="E238" i="4"/>
  <c r="D238" i="4"/>
  <c r="R237" i="4"/>
  <c r="N237" i="4"/>
  <c r="J237" i="4"/>
  <c r="S237" i="4" s="1"/>
  <c r="G237" i="4"/>
  <c r="H237" i="4" s="1"/>
  <c r="F237" i="4"/>
  <c r="E237" i="4"/>
  <c r="D237" i="4"/>
  <c r="R236" i="4"/>
  <c r="N236" i="4"/>
  <c r="J236" i="4"/>
  <c r="S236" i="4" s="1"/>
  <c r="G236" i="4"/>
  <c r="H236" i="4" s="1"/>
  <c r="F236" i="4"/>
  <c r="E236" i="4"/>
  <c r="D236" i="4"/>
  <c r="R235" i="4"/>
  <c r="N235" i="4"/>
  <c r="J235" i="4"/>
  <c r="S235" i="4" s="1"/>
  <c r="G235" i="4"/>
  <c r="H235" i="4" s="1"/>
  <c r="F235" i="4"/>
  <c r="E235" i="4"/>
  <c r="D235" i="4"/>
  <c r="R234" i="4"/>
  <c r="N234" i="4"/>
  <c r="J234" i="4"/>
  <c r="S234" i="4" s="1"/>
  <c r="G234" i="4"/>
  <c r="H234" i="4" s="1"/>
  <c r="F234" i="4"/>
  <c r="E234" i="4"/>
  <c r="D234" i="4"/>
  <c r="R233" i="4"/>
  <c r="N233" i="4"/>
  <c r="J233" i="4"/>
  <c r="S233" i="4" s="1"/>
  <c r="G233" i="4"/>
  <c r="H233" i="4" s="1"/>
  <c r="F233" i="4"/>
  <c r="E233" i="4"/>
  <c r="D233" i="4"/>
  <c r="R232" i="4"/>
  <c r="N232" i="4"/>
  <c r="J232" i="4"/>
  <c r="S232" i="4" s="1"/>
  <c r="G232" i="4"/>
  <c r="H232" i="4" s="1"/>
  <c r="F232" i="4"/>
  <c r="E232" i="4"/>
  <c r="D232" i="4"/>
  <c r="R231" i="4"/>
  <c r="N231" i="4"/>
  <c r="J231" i="4"/>
  <c r="S231" i="4" s="1"/>
  <c r="G231" i="4"/>
  <c r="H231" i="4" s="1"/>
  <c r="F231" i="4"/>
  <c r="E231" i="4"/>
  <c r="D231" i="4"/>
  <c r="R230" i="4"/>
  <c r="N230" i="4"/>
  <c r="J230" i="4"/>
  <c r="S230" i="4" s="1"/>
  <c r="G230" i="4"/>
  <c r="H230" i="4" s="1"/>
  <c r="F230" i="4"/>
  <c r="E230" i="4"/>
  <c r="D230" i="4"/>
  <c r="R229" i="4"/>
  <c r="N229" i="4"/>
  <c r="J229" i="4"/>
  <c r="S229" i="4" s="1"/>
  <c r="G229" i="4"/>
  <c r="H229" i="4" s="1"/>
  <c r="F229" i="4"/>
  <c r="E229" i="4"/>
  <c r="D229" i="4"/>
  <c r="R228" i="4"/>
  <c r="N228" i="4"/>
  <c r="J228" i="4"/>
  <c r="S228" i="4" s="1"/>
  <c r="G228" i="4"/>
  <c r="H228" i="4" s="1"/>
  <c r="F228" i="4"/>
  <c r="E228" i="4"/>
  <c r="D228" i="4"/>
  <c r="R227" i="4"/>
  <c r="N227" i="4"/>
  <c r="J227" i="4"/>
  <c r="S227" i="4" s="1"/>
  <c r="G227" i="4"/>
  <c r="H227" i="4" s="1"/>
  <c r="F227" i="4"/>
  <c r="E227" i="4"/>
  <c r="D227" i="4"/>
  <c r="R226" i="4"/>
  <c r="N226" i="4"/>
  <c r="J226" i="4"/>
  <c r="S226" i="4" s="1"/>
  <c r="G226" i="4"/>
  <c r="H226" i="4" s="1"/>
  <c r="F226" i="4"/>
  <c r="E226" i="4"/>
  <c r="D226" i="4"/>
  <c r="R225" i="4"/>
  <c r="N225" i="4"/>
  <c r="J225" i="4"/>
  <c r="S225" i="4" s="1"/>
  <c r="G225" i="4"/>
  <c r="H225" i="4" s="1"/>
  <c r="F225" i="4"/>
  <c r="E225" i="4"/>
  <c r="D225" i="4"/>
  <c r="R224" i="4"/>
  <c r="N224" i="4"/>
  <c r="J224" i="4"/>
  <c r="S224" i="4" s="1"/>
  <c r="G224" i="4"/>
  <c r="H224" i="4" s="1"/>
  <c r="F224" i="4"/>
  <c r="E224" i="4"/>
  <c r="D224" i="4"/>
  <c r="R223" i="4"/>
  <c r="N223" i="4"/>
  <c r="J223" i="4"/>
  <c r="S223" i="4" s="1"/>
  <c r="G223" i="4"/>
  <c r="H223" i="4" s="1"/>
  <c r="F223" i="4"/>
  <c r="E223" i="4"/>
  <c r="D223" i="4"/>
  <c r="R222" i="4"/>
  <c r="N222" i="4"/>
  <c r="J222" i="4"/>
  <c r="S222" i="4" s="1"/>
  <c r="G222" i="4"/>
  <c r="H222" i="4" s="1"/>
  <c r="F222" i="4"/>
  <c r="E222" i="4"/>
  <c r="D222" i="4"/>
  <c r="R221" i="4"/>
  <c r="N221" i="4"/>
  <c r="J221" i="4"/>
  <c r="S221" i="4" s="1"/>
  <c r="G221" i="4"/>
  <c r="H221" i="4" s="1"/>
  <c r="F221" i="4"/>
  <c r="E221" i="4"/>
  <c r="D221" i="4"/>
  <c r="R220" i="4"/>
  <c r="N220" i="4"/>
  <c r="J220" i="4"/>
  <c r="S220" i="4" s="1"/>
  <c r="G220" i="4"/>
  <c r="H220" i="4" s="1"/>
  <c r="F220" i="4"/>
  <c r="E220" i="4"/>
  <c r="D220" i="4"/>
  <c r="R219" i="4"/>
  <c r="N219" i="4"/>
  <c r="J219" i="4"/>
  <c r="S219" i="4" s="1"/>
  <c r="G219" i="4"/>
  <c r="H219" i="4" s="1"/>
  <c r="F219" i="4"/>
  <c r="E219" i="4"/>
  <c r="D219" i="4"/>
  <c r="R218" i="4"/>
  <c r="N218" i="4"/>
  <c r="J218" i="4"/>
  <c r="S218" i="4" s="1"/>
  <c r="G218" i="4"/>
  <c r="H218" i="4" s="1"/>
  <c r="F218" i="4"/>
  <c r="E218" i="4"/>
  <c r="D218" i="4"/>
  <c r="R217" i="4"/>
  <c r="N217" i="4"/>
  <c r="J217" i="4"/>
  <c r="S217" i="4" s="1"/>
  <c r="G217" i="4"/>
  <c r="H217" i="4" s="1"/>
  <c r="F217" i="4"/>
  <c r="E217" i="4"/>
  <c r="D217" i="4"/>
  <c r="R216" i="4"/>
  <c r="N216" i="4"/>
  <c r="J216" i="4"/>
  <c r="S216" i="4" s="1"/>
  <c r="G216" i="4"/>
  <c r="H216" i="4" s="1"/>
  <c r="F216" i="4"/>
  <c r="E216" i="4"/>
  <c r="D216" i="4"/>
  <c r="R215" i="4"/>
  <c r="N215" i="4"/>
  <c r="J215" i="4"/>
  <c r="S215" i="4" s="1"/>
  <c r="G215" i="4"/>
  <c r="H215" i="4" s="1"/>
  <c r="F215" i="4"/>
  <c r="E215" i="4"/>
  <c r="D215" i="4"/>
  <c r="R214" i="4"/>
  <c r="N214" i="4"/>
  <c r="J214" i="4"/>
  <c r="S214" i="4" s="1"/>
  <c r="G214" i="4"/>
  <c r="H214" i="4" s="1"/>
  <c r="F214" i="4"/>
  <c r="E214" i="4"/>
  <c r="D214" i="4"/>
  <c r="R213" i="4"/>
  <c r="N213" i="4"/>
  <c r="J213" i="4"/>
  <c r="S213" i="4" s="1"/>
  <c r="G213" i="4"/>
  <c r="H213" i="4" s="1"/>
  <c r="F213" i="4"/>
  <c r="E213" i="4"/>
  <c r="D213" i="4"/>
  <c r="R212" i="4"/>
  <c r="N212" i="4"/>
  <c r="J212" i="4"/>
  <c r="S212" i="4" s="1"/>
  <c r="G212" i="4"/>
  <c r="H212" i="4" s="1"/>
  <c r="F212" i="4"/>
  <c r="E212" i="4"/>
  <c r="D212" i="4"/>
  <c r="R211" i="4"/>
  <c r="N211" i="4"/>
  <c r="J211" i="4"/>
  <c r="S211" i="4" s="1"/>
  <c r="G211" i="4"/>
  <c r="H211" i="4" s="1"/>
  <c r="F211" i="4"/>
  <c r="E211" i="4"/>
  <c r="D211" i="4"/>
  <c r="R210" i="4"/>
  <c r="N210" i="4"/>
  <c r="J210" i="4"/>
  <c r="S210" i="4" s="1"/>
  <c r="G210" i="4"/>
  <c r="H210" i="4" s="1"/>
  <c r="F210" i="4"/>
  <c r="E210" i="4"/>
  <c r="D210" i="4"/>
  <c r="R209" i="4"/>
  <c r="N209" i="4"/>
  <c r="J209" i="4"/>
  <c r="S209" i="4" s="1"/>
  <c r="G209" i="4"/>
  <c r="H209" i="4" s="1"/>
  <c r="F209" i="4"/>
  <c r="E209" i="4"/>
  <c r="D209" i="4"/>
  <c r="R208" i="4"/>
  <c r="N208" i="4"/>
  <c r="J208" i="4"/>
  <c r="S208" i="4" s="1"/>
  <c r="G208" i="4"/>
  <c r="H208" i="4" s="1"/>
  <c r="F208" i="4"/>
  <c r="E208" i="4"/>
  <c r="D208" i="4"/>
  <c r="R207" i="4"/>
  <c r="N207" i="4"/>
  <c r="J207" i="4"/>
  <c r="S207" i="4" s="1"/>
  <c r="G207" i="4"/>
  <c r="H207" i="4" s="1"/>
  <c r="F207" i="4"/>
  <c r="E207" i="4"/>
  <c r="D207" i="4"/>
  <c r="R206" i="4"/>
  <c r="N206" i="4"/>
  <c r="J206" i="4"/>
  <c r="S206" i="4" s="1"/>
  <c r="G206" i="4"/>
  <c r="H206" i="4" s="1"/>
  <c r="F206" i="4"/>
  <c r="E206" i="4"/>
  <c r="D206" i="4"/>
  <c r="R205" i="4"/>
  <c r="N205" i="4"/>
  <c r="J205" i="4"/>
  <c r="S205" i="4" s="1"/>
  <c r="G205" i="4"/>
  <c r="H205" i="4" s="1"/>
  <c r="F205" i="4"/>
  <c r="E205" i="4"/>
  <c r="D205" i="4"/>
  <c r="R204" i="4"/>
  <c r="N204" i="4"/>
  <c r="J204" i="4"/>
  <c r="S204" i="4" s="1"/>
  <c r="G204" i="4"/>
  <c r="H204" i="4" s="1"/>
  <c r="F204" i="4"/>
  <c r="E204" i="4"/>
  <c r="D204" i="4"/>
  <c r="R203" i="4"/>
  <c r="N203" i="4"/>
  <c r="J203" i="4"/>
  <c r="S203" i="4" s="1"/>
  <c r="G203" i="4"/>
  <c r="H203" i="4" s="1"/>
  <c r="F203" i="4"/>
  <c r="E203" i="4"/>
  <c r="D203" i="4"/>
  <c r="R202" i="4"/>
  <c r="N202" i="4"/>
  <c r="J202" i="4"/>
  <c r="S202" i="4" s="1"/>
  <c r="G202" i="4"/>
  <c r="H202" i="4" s="1"/>
  <c r="F202" i="4"/>
  <c r="E202" i="4"/>
  <c r="D202" i="4"/>
  <c r="R201" i="4"/>
  <c r="N201" i="4"/>
  <c r="J201" i="4"/>
  <c r="S201" i="4" s="1"/>
  <c r="G201" i="4"/>
  <c r="H201" i="4" s="1"/>
  <c r="F201" i="4"/>
  <c r="E201" i="4"/>
  <c r="D201" i="4"/>
  <c r="R200" i="4"/>
  <c r="N200" i="4"/>
  <c r="J200" i="4"/>
  <c r="S200" i="4" s="1"/>
  <c r="G200" i="4"/>
  <c r="H200" i="4" s="1"/>
  <c r="F200" i="4"/>
  <c r="E200" i="4"/>
  <c r="D200" i="4"/>
  <c r="R199" i="4"/>
  <c r="N199" i="4"/>
  <c r="J199" i="4"/>
  <c r="S199" i="4" s="1"/>
  <c r="G199" i="4"/>
  <c r="H199" i="4" s="1"/>
  <c r="F199" i="4"/>
  <c r="E199" i="4"/>
  <c r="D199" i="4"/>
  <c r="R198" i="4"/>
  <c r="N198" i="4"/>
  <c r="J198" i="4"/>
  <c r="S198" i="4" s="1"/>
  <c r="G198" i="4"/>
  <c r="H198" i="4" s="1"/>
  <c r="F198" i="4"/>
  <c r="E198" i="4"/>
  <c r="D198" i="4"/>
  <c r="R197" i="4"/>
  <c r="N197" i="4"/>
  <c r="J197" i="4"/>
  <c r="S197" i="4" s="1"/>
  <c r="G197" i="4"/>
  <c r="H197" i="4" s="1"/>
  <c r="F197" i="4"/>
  <c r="E197" i="4"/>
  <c r="D197" i="4"/>
  <c r="R196" i="4"/>
  <c r="N196" i="4"/>
  <c r="J196" i="4"/>
  <c r="S196" i="4" s="1"/>
  <c r="G196" i="4"/>
  <c r="H196" i="4" s="1"/>
  <c r="F196" i="4"/>
  <c r="E196" i="4"/>
  <c r="D196" i="4"/>
  <c r="R195" i="4"/>
  <c r="N195" i="4"/>
  <c r="J195" i="4"/>
  <c r="S195" i="4" s="1"/>
  <c r="G195" i="4"/>
  <c r="H195" i="4" s="1"/>
  <c r="F195" i="4"/>
  <c r="E195" i="4"/>
  <c r="D195" i="4"/>
  <c r="R194" i="4"/>
  <c r="N194" i="4"/>
  <c r="J194" i="4"/>
  <c r="S194" i="4" s="1"/>
  <c r="G194" i="4"/>
  <c r="H194" i="4" s="1"/>
  <c r="F194" i="4"/>
  <c r="E194" i="4"/>
  <c r="D194" i="4"/>
  <c r="R193" i="4"/>
  <c r="N193" i="4"/>
  <c r="J193" i="4"/>
  <c r="S193" i="4" s="1"/>
  <c r="G193" i="4"/>
  <c r="H193" i="4" s="1"/>
  <c r="F193" i="4"/>
  <c r="E193" i="4"/>
  <c r="D193" i="4"/>
  <c r="R192" i="4"/>
  <c r="N192" i="4"/>
  <c r="J192" i="4"/>
  <c r="S192" i="4" s="1"/>
  <c r="G192" i="4"/>
  <c r="H192" i="4" s="1"/>
  <c r="F192" i="4"/>
  <c r="E192" i="4"/>
  <c r="D192" i="4"/>
  <c r="R191" i="4"/>
  <c r="N191" i="4"/>
  <c r="J191" i="4"/>
  <c r="S191" i="4" s="1"/>
  <c r="G191" i="4"/>
  <c r="H191" i="4" s="1"/>
  <c r="F191" i="4"/>
  <c r="E191" i="4"/>
  <c r="D191" i="4"/>
  <c r="R190" i="4"/>
  <c r="N190" i="4"/>
  <c r="J190" i="4"/>
  <c r="S190" i="4" s="1"/>
  <c r="G190" i="4"/>
  <c r="H190" i="4" s="1"/>
  <c r="F190" i="4"/>
  <c r="E190" i="4"/>
  <c r="D190" i="4"/>
  <c r="R189" i="4"/>
  <c r="N189" i="4"/>
  <c r="J189" i="4"/>
  <c r="S189" i="4" s="1"/>
  <c r="G189" i="4"/>
  <c r="H189" i="4" s="1"/>
  <c r="F189" i="4"/>
  <c r="E189" i="4"/>
  <c r="D189" i="4"/>
  <c r="R188" i="4"/>
  <c r="N188" i="4"/>
  <c r="J188" i="4"/>
  <c r="S188" i="4" s="1"/>
  <c r="G188" i="4"/>
  <c r="H188" i="4" s="1"/>
  <c r="F188" i="4"/>
  <c r="E188" i="4"/>
  <c r="D188" i="4"/>
  <c r="R187" i="4"/>
  <c r="N187" i="4"/>
  <c r="J187" i="4"/>
  <c r="S187" i="4" s="1"/>
  <c r="G187" i="4"/>
  <c r="H187" i="4" s="1"/>
  <c r="F187" i="4"/>
  <c r="E187" i="4"/>
  <c r="D187" i="4"/>
  <c r="R186" i="4"/>
  <c r="N186" i="4"/>
  <c r="J186" i="4"/>
  <c r="S186" i="4" s="1"/>
  <c r="G186" i="4"/>
  <c r="H186" i="4" s="1"/>
  <c r="F186" i="4"/>
  <c r="E186" i="4"/>
  <c r="D186" i="4"/>
  <c r="R185" i="4"/>
  <c r="N185" i="4"/>
  <c r="J185" i="4"/>
  <c r="S185" i="4" s="1"/>
  <c r="G185" i="4"/>
  <c r="H185" i="4" s="1"/>
  <c r="F185" i="4"/>
  <c r="E185" i="4"/>
  <c r="D185" i="4"/>
  <c r="R184" i="4"/>
  <c r="N184" i="4"/>
  <c r="J184" i="4"/>
  <c r="S184" i="4" s="1"/>
  <c r="G184" i="4"/>
  <c r="H184" i="4" s="1"/>
  <c r="F184" i="4"/>
  <c r="E184" i="4"/>
  <c r="D184" i="4"/>
  <c r="R183" i="4"/>
  <c r="N183" i="4"/>
  <c r="J183" i="4"/>
  <c r="S183" i="4" s="1"/>
  <c r="G183" i="4"/>
  <c r="H183" i="4" s="1"/>
  <c r="F183" i="4"/>
  <c r="E183" i="4"/>
  <c r="D183" i="4"/>
  <c r="R182" i="4"/>
  <c r="N182" i="4"/>
  <c r="J182" i="4"/>
  <c r="S182" i="4" s="1"/>
  <c r="G182" i="4"/>
  <c r="H182" i="4" s="1"/>
  <c r="F182" i="4"/>
  <c r="E182" i="4"/>
  <c r="D182" i="4"/>
  <c r="R181" i="4"/>
  <c r="N181" i="4"/>
  <c r="J181" i="4"/>
  <c r="S181" i="4" s="1"/>
  <c r="G181" i="4"/>
  <c r="H181" i="4" s="1"/>
  <c r="F181" i="4"/>
  <c r="E181" i="4"/>
  <c r="D181" i="4"/>
  <c r="R180" i="4"/>
  <c r="N180" i="4"/>
  <c r="J180" i="4"/>
  <c r="S180" i="4" s="1"/>
  <c r="G180" i="4"/>
  <c r="H180" i="4" s="1"/>
  <c r="F180" i="4"/>
  <c r="E180" i="4"/>
  <c r="D180" i="4"/>
  <c r="R179" i="4"/>
  <c r="N179" i="4"/>
  <c r="J179" i="4"/>
  <c r="S179" i="4" s="1"/>
  <c r="G179" i="4"/>
  <c r="H179" i="4" s="1"/>
  <c r="F179" i="4"/>
  <c r="E179" i="4"/>
  <c r="D179" i="4"/>
  <c r="R178" i="4"/>
  <c r="N178" i="4"/>
  <c r="J178" i="4"/>
  <c r="S178" i="4" s="1"/>
  <c r="G178" i="4"/>
  <c r="H178" i="4" s="1"/>
  <c r="F178" i="4"/>
  <c r="E178" i="4"/>
  <c r="D178" i="4"/>
  <c r="R177" i="4"/>
  <c r="N177" i="4"/>
  <c r="J177" i="4"/>
  <c r="S177" i="4" s="1"/>
  <c r="G177" i="4"/>
  <c r="H177" i="4" s="1"/>
  <c r="F177" i="4"/>
  <c r="E177" i="4"/>
  <c r="D177" i="4"/>
  <c r="R176" i="4"/>
  <c r="N176" i="4"/>
  <c r="J176" i="4"/>
  <c r="S176" i="4" s="1"/>
  <c r="G176" i="4"/>
  <c r="H176" i="4" s="1"/>
  <c r="F176" i="4"/>
  <c r="E176" i="4"/>
  <c r="D176" i="4"/>
  <c r="R175" i="4"/>
  <c r="N175" i="4"/>
  <c r="J175" i="4"/>
  <c r="S175" i="4" s="1"/>
  <c r="G175" i="4"/>
  <c r="H175" i="4" s="1"/>
  <c r="F175" i="4"/>
  <c r="E175" i="4"/>
  <c r="D175" i="4"/>
  <c r="R174" i="4"/>
  <c r="N174" i="4"/>
  <c r="J174" i="4"/>
  <c r="S174" i="4" s="1"/>
  <c r="G174" i="4"/>
  <c r="H174" i="4" s="1"/>
  <c r="F174" i="4"/>
  <c r="E174" i="4"/>
  <c r="D174" i="4"/>
  <c r="R173" i="4"/>
  <c r="N173" i="4"/>
  <c r="J173" i="4"/>
  <c r="S173" i="4" s="1"/>
  <c r="G173" i="4"/>
  <c r="H173" i="4" s="1"/>
  <c r="F173" i="4"/>
  <c r="E173" i="4"/>
  <c r="D173" i="4"/>
  <c r="R172" i="4"/>
  <c r="N172" i="4"/>
  <c r="J172" i="4"/>
  <c r="S172" i="4" s="1"/>
  <c r="G172" i="4"/>
  <c r="H172" i="4" s="1"/>
  <c r="F172" i="4"/>
  <c r="E172" i="4"/>
  <c r="D172" i="4"/>
  <c r="R171" i="4"/>
  <c r="N171" i="4"/>
  <c r="J171" i="4"/>
  <c r="S171" i="4" s="1"/>
  <c r="G171" i="4"/>
  <c r="H171" i="4" s="1"/>
  <c r="F171" i="4"/>
  <c r="E171" i="4"/>
  <c r="D171" i="4"/>
  <c r="R170" i="4"/>
  <c r="N170" i="4"/>
  <c r="J170" i="4"/>
  <c r="S170" i="4" s="1"/>
  <c r="G170" i="4"/>
  <c r="H170" i="4" s="1"/>
  <c r="F170" i="4"/>
  <c r="E170" i="4"/>
  <c r="D170" i="4"/>
  <c r="R169" i="4"/>
  <c r="N169" i="4"/>
  <c r="J169" i="4"/>
  <c r="S169" i="4" s="1"/>
  <c r="G169" i="4"/>
  <c r="H169" i="4" s="1"/>
  <c r="F169" i="4"/>
  <c r="E169" i="4"/>
  <c r="D169" i="4"/>
  <c r="R168" i="4"/>
  <c r="N168" i="4"/>
  <c r="J168" i="4"/>
  <c r="S168" i="4" s="1"/>
  <c r="G168" i="4"/>
  <c r="H168" i="4" s="1"/>
  <c r="F168" i="4"/>
  <c r="E168" i="4"/>
  <c r="D168" i="4"/>
  <c r="R167" i="4"/>
  <c r="N167" i="4"/>
  <c r="J167" i="4"/>
  <c r="S167" i="4" s="1"/>
  <c r="G167" i="4"/>
  <c r="H167" i="4" s="1"/>
  <c r="F167" i="4"/>
  <c r="E167" i="4"/>
  <c r="D167" i="4"/>
  <c r="R166" i="4"/>
  <c r="N166" i="4"/>
  <c r="J166" i="4"/>
  <c r="S166" i="4" s="1"/>
  <c r="G166" i="4"/>
  <c r="H166" i="4" s="1"/>
  <c r="F166" i="4"/>
  <c r="E166" i="4"/>
  <c r="D166" i="4"/>
  <c r="R165" i="4"/>
  <c r="N165" i="4"/>
  <c r="J165" i="4"/>
  <c r="S165" i="4" s="1"/>
  <c r="G165" i="4"/>
  <c r="H165" i="4" s="1"/>
  <c r="F165" i="4"/>
  <c r="E165" i="4"/>
  <c r="D165" i="4"/>
  <c r="R164" i="4"/>
  <c r="N164" i="4"/>
  <c r="J164" i="4"/>
  <c r="S164" i="4" s="1"/>
  <c r="G164" i="4"/>
  <c r="H164" i="4" s="1"/>
  <c r="F164" i="4"/>
  <c r="E164" i="4"/>
  <c r="D164" i="4"/>
  <c r="R163" i="4"/>
  <c r="N163" i="4"/>
  <c r="J163" i="4"/>
  <c r="S163" i="4" s="1"/>
  <c r="G163" i="4"/>
  <c r="H163" i="4" s="1"/>
  <c r="F163" i="4"/>
  <c r="E163" i="4"/>
  <c r="D163" i="4"/>
  <c r="R162" i="4"/>
  <c r="N162" i="4"/>
  <c r="J162" i="4"/>
  <c r="S162" i="4" s="1"/>
  <c r="G162" i="4"/>
  <c r="H162" i="4" s="1"/>
  <c r="F162" i="4"/>
  <c r="E162" i="4"/>
  <c r="D162" i="4"/>
  <c r="R161" i="4"/>
  <c r="N161" i="4"/>
  <c r="J161" i="4"/>
  <c r="S161" i="4" s="1"/>
  <c r="G161" i="4"/>
  <c r="H161" i="4" s="1"/>
  <c r="F161" i="4"/>
  <c r="E161" i="4"/>
  <c r="D161" i="4"/>
  <c r="R160" i="4"/>
  <c r="N160" i="4"/>
  <c r="J160" i="4"/>
  <c r="S160" i="4" s="1"/>
  <c r="G160" i="4"/>
  <c r="H160" i="4" s="1"/>
  <c r="F160" i="4"/>
  <c r="E160" i="4"/>
  <c r="D160" i="4"/>
  <c r="R159" i="4"/>
  <c r="N159" i="4"/>
  <c r="J159" i="4"/>
  <c r="S159" i="4" s="1"/>
  <c r="G159" i="4"/>
  <c r="H159" i="4" s="1"/>
  <c r="F159" i="4"/>
  <c r="E159" i="4"/>
  <c r="D159" i="4"/>
  <c r="R158" i="4"/>
  <c r="N158" i="4"/>
  <c r="J158" i="4"/>
  <c r="S158" i="4" s="1"/>
  <c r="G158" i="4"/>
  <c r="H158" i="4" s="1"/>
  <c r="F158" i="4"/>
  <c r="E158" i="4"/>
  <c r="D158" i="4"/>
  <c r="R157" i="4"/>
  <c r="N157" i="4"/>
  <c r="J157" i="4"/>
  <c r="S157" i="4" s="1"/>
  <c r="G157" i="4"/>
  <c r="H157" i="4" s="1"/>
  <c r="F157" i="4"/>
  <c r="E157" i="4"/>
  <c r="D157" i="4"/>
  <c r="R156" i="4"/>
  <c r="N156" i="4"/>
  <c r="J156" i="4"/>
  <c r="S156" i="4" s="1"/>
  <c r="G156" i="4"/>
  <c r="H156" i="4" s="1"/>
  <c r="F156" i="4"/>
  <c r="E156" i="4"/>
  <c r="D156" i="4"/>
  <c r="R155" i="4"/>
  <c r="N155" i="4"/>
  <c r="J155" i="4"/>
  <c r="S155" i="4" s="1"/>
  <c r="G155" i="4"/>
  <c r="H155" i="4" s="1"/>
  <c r="F155" i="4"/>
  <c r="E155" i="4"/>
  <c r="D155" i="4"/>
  <c r="R154" i="4"/>
  <c r="N154" i="4"/>
  <c r="J154" i="4"/>
  <c r="S154" i="4" s="1"/>
  <c r="G154" i="4"/>
  <c r="H154" i="4" s="1"/>
  <c r="F154" i="4"/>
  <c r="E154" i="4"/>
  <c r="D154" i="4"/>
  <c r="R153" i="4"/>
  <c r="N153" i="4"/>
  <c r="J153" i="4"/>
  <c r="S153" i="4" s="1"/>
  <c r="G153" i="4"/>
  <c r="H153" i="4" s="1"/>
  <c r="F153" i="4"/>
  <c r="E153" i="4"/>
  <c r="D153" i="4"/>
  <c r="R152" i="4"/>
  <c r="N152" i="4"/>
  <c r="J152" i="4"/>
  <c r="S152" i="4" s="1"/>
  <c r="G152" i="4"/>
  <c r="H152" i="4" s="1"/>
  <c r="F152" i="4"/>
  <c r="E152" i="4"/>
  <c r="D152" i="4"/>
  <c r="R151" i="4"/>
  <c r="N151" i="4"/>
  <c r="J151" i="4"/>
  <c r="S151" i="4" s="1"/>
  <c r="G151" i="4"/>
  <c r="H151" i="4" s="1"/>
  <c r="F151" i="4"/>
  <c r="E151" i="4"/>
  <c r="D151" i="4"/>
  <c r="R150" i="4"/>
  <c r="N150" i="4"/>
  <c r="J150" i="4"/>
  <c r="S150" i="4" s="1"/>
  <c r="G150" i="4"/>
  <c r="H150" i="4" s="1"/>
  <c r="F150" i="4"/>
  <c r="E150" i="4"/>
  <c r="D150" i="4"/>
  <c r="R149" i="4"/>
  <c r="N149" i="4"/>
  <c r="J149" i="4"/>
  <c r="S149" i="4" s="1"/>
  <c r="G149" i="4"/>
  <c r="H149" i="4" s="1"/>
  <c r="F149" i="4"/>
  <c r="E149" i="4"/>
  <c r="D149" i="4"/>
  <c r="R148" i="4"/>
  <c r="N148" i="4"/>
  <c r="J148" i="4"/>
  <c r="S148" i="4" s="1"/>
  <c r="G148" i="4"/>
  <c r="H148" i="4" s="1"/>
  <c r="F148" i="4"/>
  <c r="E148" i="4"/>
  <c r="D148" i="4"/>
  <c r="R147" i="4"/>
  <c r="N147" i="4"/>
  <c r="J147" i="4"/>
  <c r="S147" i="4" s="1"/>
  <c r="G147" i="4"/>
  <c r="H147" i="4" s="1"/>
  <c r="F147" i="4"/>
  <c r="E147" i="4"/>
  <c r="D147" i="4"/>
  <c r="R146" i="4"/>
  <c r="N146" i="4"/>
  <c r="J146" i="4"/>
  <c r="S146" i="4" s="1"/>
  <c r="G146" i="4"/>
  <c r="H146" i="4" s="1"/>
  <c r="F146" i="4"/>
  <c r="E146" i="4"/>
  <c r="D146" i="4"/>
  <c r="R145" i="4"/>
  <c r="N145" i="4"/>
  <c r="J145" i="4"/>
  <c r="S145" i="4" s="1"/>
  <c r="G145" i="4"/>
  <c r="H145" i="4" s="1"/>
  <c r="F145" i="4"/>
  <c r="E145" i="4"/>
  <c r="D145" i="4"/>
  <c r="R144" i="4"/>
  <c r="N144" i="4"/>
  <c r="J144" i="4"/>
  <c r="S144" i="4" s="1"/>
  <c r="G144" i="4"/>
  <c r="H144" i="4" s="1"/>
  <c r="F144" i="4"/>
  <c r="E144" i="4"/>
  <c r="D144" i="4"/>
  <c r="R143" i="4"/>
  <c r="N143" i="4"/>
  <c r="J143" i="4"/>
  <c r="S143" i="4" s="1"/>
  <c r="G143" i="4"/>
  <c r="H143" i="4" s="1"/>
  <c r="F143" i="4"/>
  <c r="E143" i="4"/>
  <c r="D143" i="4"/>
  <c r="R142" i="4"/>
  <c r="N142" i="4"/>
  <c r="J142" i="4"/>
  <c r="S142" i="4" s="1"/>
  <c r="G142" i="4"/>
  <c r="H142" i="4" s="1"/>
  <c r="F142" i="4"/>
  <c r="E142" i="4"/>
  <c r="D142" i="4"/>
  <c r="R141" i="4"/>
  <c r="N141" i="4"/>
  <c r="J141" i="4"/>
  <c r="S141" i="4" s="1"/>
  <c r="G141" i="4"/>
  <c r="H141" i="4" s="1"/>
  <c r="F141" i="4"/>
  <c r="E141" i="4"/>
  <c r="D141" i="4"/>
  <c r="R140" i="4"/>
  <c r="N140" i="4"/>
  <c r="J140" i="4"/>
  <c r="S140" i="4" s="1"/>
  <c r="G140" i="4"/>
  <c r="H140" i="4" s="1"/>
  <c r="F140" i="4"/>
  <c r="E140" i="4"/>
  <c r="D140" i="4"/>
  <c r="R139" i="4"/>
  <c r="N139" i="4"/>
  <c r="J139" i="4"/>
  <c r="S139" i="4" s="1"/>
  <c r="G139" i="4"/>
  <c r="H139" i="4" s="1"/>
  <c r="F139" i="4"/>
  <c r="E139" i="4"/>
  <c r="D139" i="4"/>
  <c r="R138" i="4"/>
  <c r="N138" i="4"/>
  <c r="J138" i="4"/>
  <c r="S138" i="4" s="1"/>
  <c r="G138" i="4"/>
  <c r="H138" i="4" s="1"/>
  <c r="F138" i="4"/>
  <c r="E138" i="4"/>
  <c r="D138" i="4"/>
  <c r="R137" i="4"/>
  <c r="N137" i="4"/>
  <c r="J137" i="4"/>
  <c r="S137" i="4" s="1"/>
  <c r="G137" i="4"/>
  <c r="H137" i="4" s="1"/>
  <c r="F137" i="4"/>
  <c r="E137" i="4"/>
  <c r="D137" i="4"/>
  <c r="R136" i="4"/>
  <c r="N136" i="4"/>
  <c r="J136" i="4"/>
  <c r="S136" i="4" s="1"/>
  <c r="G136" i="4"/>
  <c r="H136" i="4" s="1"/>
  <c r="F136" i="4"/>
  <c r="E136" i="4"/>
  <c r="D136" i="4"/>
  <c r="R135" i="4"/>
  <c r="N135" i="4"/>
  <c r="J135" i="4"/>
  <c r="S135" i="4" s="1"/>
  <c r="G135" i="4"/>
  <c r="H135" i="4" s="1"/>
  <c r="F135" i="4"/>
  <c r="E135" i="4"/>
  <c r="D135" i="4"/>
  <c r="R134" i="4"/>
  <c r="N134" i="4"/>
  <c r="J134" i="4"/>
  <c r="S134" i="4" s="1"/>
  <c r="G134" i="4"/>
  <c r="H134" i="4" s="1"/>
  <c r="F134" i="4"/>
  <c r="E134" i="4"/>
  <c r="D134" i="4"/>
  <c r="R133" i="4"/>
  <c r="N133" i="4"/>
  <c r="J133" i="4"/>
  <c r="S133" i="4" s="1"/>
  <c r="G133" i="4"/>
  <c r="H133" i="4" s="1"/>
  <c r="F133" i="4"/>
  <c r="E133" i="4"/>
  <c r="D133" i="4"/>
  <c r="R132" i="4"/>
  <c r="N132" i="4"/>
  <c r="J132" i="4"/>
  <c r="S132" i="4" s="1"/>
  <c r="G132" i="4"/>
  <c r="H132" i="4" s="1"/>
  <c r="F132" i="4"/>
  <c r="E132" i="4"/>
  <c r="D132" i="4"/>
  <c r="R131" i="4"/>
  <c r="N131" i="4"/>
  <c r="J131" i="4"/>
  <c r="S131" i="4" s="1"/>
  <c r="G131" i="4"/>
  <c r="H131" i="4" s="1"/>
  <c r="F131" i="4"/>
  <c r="E131" i="4"/>
  <c r="D131" i="4"/>
  <c r="R130" i="4"/>
  <c r="N130" i="4"/>
  <c r="J130" i="4"/>
  <c r="S130" i="4" s="1"/>
  <c r="G130" i="4"/>
  <c r="H130" i="4" s="1"/>
  <c r="F130" i="4"/>
  <c r="E130" i="4"/>
  <c r="D130" i="4"/>
  <c r="R129" i="4"/>
  <c r="N129" i="4"/>
  <c r="J129" i="4"/>
  <c r="S129" i="4" s="1"/>
  <c r="G129" i="4"/>
  <c r="H129" i="4" s="1"/>
  <c r="F129" i="4"/>
  <c r="E129" i="4"/>
  <c r="D129" i="4"/>
  <c r="R128" i="4"/>
  <c r="N128" i="4"/>
  <c r="J128" i="4"/>
  <c r="S128" i="4" s="1"/>
  <c r="G128" i="4"/>
  <c r="H128" i="4" s="1"/>
  <c r="F128" i="4"/>
  <c r="E128" i="4"/>
  <c r="D128" i="4"/>
  <c r="R127" i="4"/>
  <c r="N127" i="4"/>
  <c r="J127" i="4"/>
  <c r="S127" i="4" s="1"/>
  <c r="G127" i="4"/>
  <c r="H127" i="4" s="1"/>
  <c r="F127" i="4"/>
  <c r="E127" i="4"/>
  <c r="D127" i="4"/>
  <c r="R126" i="4"/>
  <c r="N126" i="4"/>
  <c r="J126" i="4"/>
  <c r="S126" i="4" s="1"/>
  <c r="G126" i="4"/>
  <c r="H126" i="4" s="1"/>
  <c r="F126" i="4"/>
  <c r="E126" i="4"/>
  <c r="D126" i="4"/>
  <c r="R125" i="4"/>
  <c r="N125" i="4"/>
  <c r="J125" i="4"/>
  <c r="S125" i="4" s="1"/>
  <c r="G125" i="4"/>
  <c r="H125" i="4" s="1"/>
  <c r="F125" i="4"/>
  <c r="E125" i="4"/>
  <c r="D125" i="4"/>
  <c r="R124" i="4"/>
  <c r="N124" i="4"/>
  <c r="J124" i="4"/>
  <c r="S124" i="4" s="1"/>
  <c r="G124" i="4"/>
  <c r="H124" i="4" s="1"/>
  <c r="F124" i="4"/>
  <c r="E124" i="4"/>
  <c r="D124" i="4"/>
  <c r="R123" i="4"/>
  <c r="N123" i="4"/>
  <c r="J123" i="4"/>
  <c r="S123" i="4" s="1"/>
  <c r="G123" i="4"/>
  <c r="H123" i="4" s="1"/>
  <c r="F123" i="4"/>
  <c r="E123" i="4"/>
  <c r="D123" i="4"/>
  <c r="R122" i="4"/>
  <c r="N122" i="4"/>
  <c r="J122" i="4"/>
  <c r="S122" i="4" s="1"/>
  <c r="G122" i="4"/>
  <c r="H122" i="4" s="1"/>
  <c r="F122" i="4"/>
  <c r="E122" i="4"/>
  <c r="D122" i="4"/>
  <c r="R121" i="4"/>
  <c r="N121" i="4"/>
  <c r="J121" i="4"/>
  <c r="S121" i="4" s="1"/>
  <c r="G121" i="4"/>
  <c r="H121" i="4" s="1"/>
  <c r="F121" i="4"/>
  <c r="E121" i="4"/>
  <c r="D121" i="4"/>
  <c r="R120" i="4"/>
  <c r="N120" i="4"/>
  <c r="J120" i="4"/>
  <c r="S120" i="4" s="1"/>
  <c r="G120" i="4"/>
  <c r="H120" i="4" s="1"/>
  <c r="F120" i="4"/>
  <c r="E120" i="4"/>
  <c r="D120" i="4"/>
  <c r="R119" i="4"/>
  <c r="N119" i="4"/>
  <c r="J119" i="4"/>
  <c r="S119" i="4" s="1"/>
  <c r="G119" i="4"/>
  <c r="H119" i="4" s="1"/>
  <c r="F119" i="4"/>
  <c r="E119" i="4"/>
  <c r="D119" i="4"/>
  <c r="R118" i="4"/>
  <c r="N118" i="4"/>
  <c r="J118" i="4"/>
  <c r="S118" i="4" s="1"/>
  <c r="G118" i="4"/>
  <c r="H118" i="4" s="1"/>
  <c r="F118" i="4"/>
  <c r="E118" i="4"/>
  <c r="D118" i="4"/>
  <c r="R117" i="4"/>
  <c r="N117" i="4"/>
  <c r="J117" i="4"/>
  <c r="S117" i="4" s="1"/>
  <c r="G117" i="4"/>
  <c r="H117" i="4" s="1"/>
  <c r="F117" i="4"/>
  <c r="E117" i="4"/>
  <c r="D117" i="4"/>
  <c r="R116" i="4"/>
  <c r="N116" i="4"/>
  <c r="J116" i="4"/>
  <c r="S116" i="4" s="1"/>
  <c r="G116" i="4"/>
  <c r="H116" i="4" s="1"/>
  <c r="F116" i="4"/>
  <c r="E116" i="4"/>
  <c r="D116" i="4"/>
  <c r="R115" i="4"/>
  <c r="N115" i="4"/>
  <c r="J115" i="4"/>
  <c r="S115" i="4" s="1"/>
  <c r="G115" i="4"/>
  <c r="H115" i="4" s="1"/>
  <c r="F115" i="4"/>
  <c r="E115" i="4"/>
  <c r="D115" i="4"/>
  <c r="R114" i="4"/>
  <c r="N114" i="4"/>
  <c r="J114" i="4"/>
  <c r="S114" i="4" s="1"/>
  <c r="G114" i="4"/>
  <c r="H114" i="4" s="1"/>
  <c r="F114" i="4"/>
  <c r="E114" i="4"/>
  <c r="D114" i="4"/>
  <c r="R113" i="4"/>
  <c r="N113" i="4"/>
  <c r="J113" i="4"/>
  <c r="S113" i="4" s="1"/>
  <c r="G113" i="4"/>
  <c r="H113" i="4" s="1"/>
  <c r="F113" i="4"/>
  <c r="E113" i="4"/>
  <c r="D113" i="4"/>
  <c r="R112" i="4"/>
  <c r="N112" i="4"/>
  <c r="J112" i="4"/>
  <c r="S112" i="4" s="1"/>
  <c r="G112" i="4"/>
  <c r="H112" i="4" s="1"/>
  <c r="F112" i="4"/>
  <c r="E112" i="4"/>
  <c r="D112" i="4"/>
  <c r="R111" i="4"/>
  <c r="N111" i="4"/>
  <c r="J111" i="4"/>
  <c r="S111" i="4" s="1"/>
  <c r="G111" i="4"/>
  <c r="H111" i="4" s="1"/>
  <c r="F111" i="4"/>
  <c r="E111" i="4"/>
  <c r="D111" i="4"/>
  <c r="R110" i="4"/>
  <c r="N110" i="4"/>
  <c r="J110" i="4"/>
  <c r="S110" i="4" s="1"/>
  <c r="G110" i="4"/>
  <c r="H110" i="4" s="1"/>
  <c r="F110" i="4"/>
  <c r="E110" i="4"/>
  <c r="D110" i="4"/>
  <c r="R109" i="4"/>
  <c r="N109" i="4"/>
  <c r="J109" i="4"/>
  <c r="S109" i="4" s="1"/>
  <c r="G109" i="4"/>
  <c r="H109" i="4" s="1"/>
  <c r="F109" i="4"/>
  <c r="E109" i="4"/>
  <c r="D109" i="4"/>
  <c r="R108" i="4"/>
  <c r="N108" i="4"/>
  <c r="J108" i="4"/>
  <c r="S108" i="4" s="1"/>
  <c r="G108" i="4"/>
  <c r="H108" i="4" s="1"/>
  <c r="F108" i="4"/>
  <c r="E108" i="4"/>
  <c r="D108" i="4"/>
  <c r="R107" i="4"/>
  <c r="N107" i="4"/>
  <c r="J107" i="4"/>
  <c r="S107" i="4" s="1"/>
  <c r="G107" i="4"/>
  <c r="H107" i="4" s="1"/>
  <c r="F107" i="4"/>
  <c r="E107" i="4"/>
  <c r="D107" i="4"/>
  <c r="R106" i="4"/>
  <c r="N106" i="4"/>
  <c r="J106" i="4"/>
  <c r="S106" i="4" s="1"/>
  <c r="G106" i="4"/>
  <c r="H106" i="4" s="1"/>
  <c r="F106" i="4"/>
  <c r="E106" i="4"/>
  <c r="D106" i="4"/>
  <c r="R105" i="4"/>
  <c r="N105" i="4"/>
  <c r="J105" i="4"/>
  <c r="S105" i="4" s="1"/>
  <c r="G105" i="4"/>
  <c r="H105" i="4" s="1"/>
  <c r="F105" i="4"/>
  <c r="E105" i="4"/>
  <c r="D105" i="4"/>
  <c r="R104" i="4"/>
  <c r="N104" i="4"/>
  <c r="J104" i="4"/>
  <c r="S104" i="4" s="1"/>
  <c r="G104" i="4"/>
  <c r="H104" i="4" s="1"/>
  <c r="F104" i="4"/>
  <c r="E104" i="4"/>
  <c r="D104" i="4"/>
  <c r="R103" i="4"/>
  <c r="N103" i="4"/>
  <c r="J103" i="4"/>
  <c r="S103" i="4" s="1"/>
  <c r="G103" i="4"/>
  <c r="H103" i="4" s="1"/>
  <c r="F103" i="4"/>
  <c r="E103" i="4"/>
  <c r="D103" i="4"/>
  <c r="R102" i="4"/>
  <c r="N102" i="4"/>
  <c r="J102" i="4"/>
  <c r="S102" i="4" s="1"/>
  <c r="G102" i="4"/>
  <c r="H102" i="4" s="1"/>
  <c r="F102" i="4"/>
  <c r="E102" i="4"/>
  <c r="D102" i="4"/>
  <c r="R101" i="4"/>
  <c r="N101" i="4"/>
  <c r="J101" i="4"/>
  <c r="S101" i="4" s="1"/>
  <c r="G101" i="4"/>
  <c r="H101" i="4" s="1"/>
  <c r="F101" i="4"/>
  <c r="E101" i="4"/>
  <c r="D101" i="4"/>
  <c r="R100" i="4"/>
  <c r="N100" i="4"/>
  <c r="J100" i="4"/>
  <c r="S100" i="4" s="1"/>
  <c r="G100" i="4"/>
  <c r="H100" i="4" s="1"/>
  <c r="F100" i="4"/>
  <c r="E100" i="4"/>
  <c r="D100" i="4"/>
  <c r="R99" i="4"/>
  <c r="N99" i="4"/>
  <c r="J99" i="4"/>
  <c r="S99" i="4" s="1"/>
  <c r="G99" i="4"/>
  <c r="H99" i="4" s="1"/>
  <c r="F99" i="4"/>
  <c r="E99" i="4"/>
  <c r="D99" i="4"/>
  <c r="R98" i="4"/>
  <c r="N98" i="4"/>
  <c r="J98" i="4"/>
  <c r="S98" i="4" s="1"/>
  <c r="G98" i="4"/>
  <c r="H98" i="4" s="1"/>
  <c r="F98" i="4"/>
  <c r="E98" i="4"/>
  <c r="D98" i="4"/>
  <c r="R97" i="4"/>
  <c r="N97" i="4"/>
  <c r="J97" i="4"/>
  <c r="S97" i="4" s="1"/>
  <c r="G97" i="4"/>
  <c r="H97" i="4" s="1"/>
  <c r="F97" i="4"/>
  <c r="E97" i="4"/>
  <c r="D97" i="4"/>
  <c r="R96" i="4"/>
  <c r="N96" i="4"/>
  <c r="J96" i="4"/>
  <c r="S96" i="4" s="1"/>
  <c r="G96" i="4"/>
  <c r="H96" i="4" s="1"/>
  <c r="F96" i="4"/>
  <c r="E96" i="4"/>
  <c r="D96" i="4"/>
  <c r="R95" i="4"/>
  <c r="N95" i="4"/>
  <c r="J95" i="4"/>
  <c r="S95" i="4" s="1"/>
  <c r="G95" i="4"/>
  <c r="H95" i="4" s="1"/>
  <c r="F95" i="4"/>
  <c r="E95" i="4"/>
  <c r="D95" i="4"/>
  <c r="R94" i="4"/>
  <c r="N94" i="4"/>
  <c r="J94" i="4"/>
  <c r="S94" i="4" s="1"/>
  <c r="G94" i="4"/>
  <c r="H94" i="4" s="1"/>
  <c r="F94" i="4"/>
  <c r="E94" i="4"/>
  <c r="D94" i="4"/>
  <c r="R93" i="4"/>
  <c r="N93" i="4"/>
  <c r="J93" i="4"/>
  <c r="S93" i="4" s="1"/>
  <c r="G93" i="4"/>
  <c r="H93" i="4" s="1"/>
  <c r="F93" i="4"/>
  <c r="E93" i="4"/>
  <c r="D93" i="4"/>
  <c r="R92" i="4"/>
  <c r="N92" i="4"/>
  <c r="J92" i="4"/>
  <c r="S92" i="4" s="1"/>
  <c r="G92" i="4"/>
  <c r="H92" i="4" s="1"/>
  <c r="F92" i="4"/>
  <c r="E92" i="4"/>
  <c r="D92" i="4"/>
  <c r="R91" i="4"/>
  <c r="N91" i="4"/>
  <c r="J91" i="4"/>
  <c r="S91" i="4" s="1"/>
  <c r="G91" i="4"/>
  <c r="H91" i="4" s="1"/>
  <c r="F91" i="4"/>
  <c r="E91" i="4"/>
  <c r="D91" i="4"/>
  <c r="R90" i="4"/>
  <c r="N90" i="4"/>
  <c r="J90" i="4"/>
  <c r="S90" i="4" s="1"/>
  <c r="G90" i="4"/>
  <c r="H90" i="4" s="1"/>
  <c r="F90" i="4"/>
  <c r="E90" i="4"/>
  <c r="D90" i="4"/>
  <c r="R89" i="4"/>
  <c r="N89" i="4"/>
  <c r="J89" i="4"/>
  <c r="S89" i="4" s="1"/>
  <c r="G89" i="4"/>
  <c r="H89" i="4" s="1"/>
  <c r="F89" i="4"/>
  <c r="E89" i="4"/>
  <c r="D89" i="4"/>
  <c r="R88" i="4"/>
  <c r="N88" i="4"/>
  <c r="J88" i="4"/>
  <c r="S88" i="4" s="1"/>
  <c r="G88" i="4"/>
  <c r="H88" i="4" s="1"/>
  <c r="F88" i="4"/>
  <c r="E88" i="4"/>
  <c r="D88" i="4"/>
  <c r="R87" i="4"/>
  <c r="N87" i="4"/>
  <c r="J87" i="4"/>
  <c r="S87" i="4" s="1"/>
  <c r="G87" i="4"/>
  <c r="H87" i="4" s="1"/>
  <c r="F87" i="4"/>
  <c r="E87" i="4"/>
  <c r="D87" i="4"/>
  <c r="R86" i="4"/>
  <c r="N86" i="4"/>
  <c r="J86" i="4"/>
  <c r="S86" i="4" s="1"/>
  <c r="G86" i="4"/>
  <c r="H86" i="4" s="1"/>
  <c r="F86" i="4"/>
  <c r="E86" i="4"/>
  <c r="D86" i="4"/>
  <c r="R85" i="4"/>
  <c r="N85" i="4"/>
  <c r="J85" i="4"/>
  <c r="S85" i="4" s="1"/>
  <c r="G85" i="4"/>
  <c r="H85" i="4" s="1"/>
  <c r="F85" i="4"/>
  <c r="E85" i="4"/>
  <c r="D85" i="4"/>
  <c r="R84" i="4"/>
  <c r="N84" i="4"/>
  <c r="J84" i="4"/>
  <c r="S84" i="4" s="1"/>
  <c r="G84" i="4"/>
  <c r="H84" i="4" s="1"/>
  <c r="F84" i="4"/>
  <c r="E84" i="4"/>
  <c r="D84" i="4"/>
  <c r="R83" i="4"/>
  <c r="N83" i="4"/>
  <c r="J83" i="4"/>
  <c r="S83" i="4" s="1"/>
  <c r="G83" i="4"/>
  <c r="H83" i="4" s="1"/>
  <c r="F83" i="4"/>
  <c r="E83" i="4"/>
  <c r="D83" i="4"/>
  <c r="R82" i="4"/>
  <c r="N82" i="4"/>
  <c r="J82" i="4"/>
  <c r="S82" i="4" s="1"/>
  <c r="G82" i="4"/>
  <c r="H82" i="4" s="1"/>
  <c r="F82" i="4"/>
  <c r="E82" i="4"/>
  <c r="D82" i="4"/>
  <c r="R81" i="4"/>
  <c r="N81" i="4"/>
  <c r="J81" i="4"/>
  <c r="S81" i="4" s="1"/>
  <c r="G81" i="4"/>
  <c r="H81" i="4" s="1"/>
  <c r="F81" i="4"/>
  <c r="E81" i="4"/>
  <c r="D81" i="4"/>
  <c r="R80" i="4"/>
  <c r="N80" i="4"/>
  <c r="J80" i="4"/>
  <c r="S80" i="4" s="1"/>
  <c r="G80" i="4"/>
  <c r="H80" i="4" s="1"/>
  <c r="F80" i="4"/>
  <c r="E80" i="4"/>
  <c r="D80" i="4"/>
  <c r="R79" i="4"/>
  <c r="N79" i="4"/>
  <c r="J79" i="4"/>
  <c r="S79" i="4" s="1"/>
  <c r="G79" i="4"/>
  <c r="H79" i="4" s="1"/>
  <c r="F79" i="4"/>
  <c r="E79" i="4"/>
  <c r="D79" i="4"/>
  <c r="R78" i="4"/>
  <c r="N78" i="4"/>
  <c r="J78" i="4"/>
  <c r="S78" i="4" s="1"/>
  <c r="G78" i="4"/>
  <c r="H78" i="4" s="1"/>
  <c r="F78" i="4"/>
  <c r="E78" i="4"/>
  <c r="D78" i="4"/>
  <c r="R77" i="4"/>
  <c r="N77" i="4"/>
  <c r="J77" i="4"/>
  <c r="S77" i="4" s="1"/>
  <c r="G77" i="4"/>
  <c r="H77" i="4" s="1"/>
  <c r="F77" i="4"/>
  <c r="E77" i="4"/>
  <c r="D77" i="4"/>
  <c r="R76" i="4"/>
  <c r="N76" i="4"/>
  <c r="J76" i="4"/>
  <c r="S76" i="4" s="1"/>
  <c r="G76" i="4"/>
  <c r="H76" i="4" s="1"/>
  <c r="F76" i="4"/>
  <c r="E76" i="4"/>
  <c r="D76" i="4"/>
  <c r="R75" i="4"/>
  <c r="N75" i="4"/>
  <c r="J75" i="4"/>
  <c r="S75" i="4" s="1"/>
  <c r="G75" i="4"/>
  <c r="H75" i="4" s="1"/>
  <c r="F75" i="4"/>
  <c r="E75" i="4"/>
  <c r="D75" i="4"/>
  <c r="R74" i="4"/>
  <c r="N74" i="4"/>
  <c r="J74" i="4"/>
  <c r="S74" i="4" s="1"/>
  <c r="G74" i="4"/>
  <c r="H74" i="4" s="1"/>
  <c r="F74" i="4"/>
  <c r="E74" i="4"/>
  <c r="D74" i="4"/>
  <c r="R73" i="4"/>
  <c r="N73" i="4"/>
  <c r="J73" i="4"/>
  <c r="S73" i="4" s="1"/>
  <c r="G73" i="4"/>
  <c r="H73" i="4" s="1"/>
  <c r="F73" i="4"/>
  <c r="E73" i="4"/>
  <c r="D73" i="4"/>
  <c r="R72" i="4"/>
  <c r="N72" i="4"/>
  <c r="J72" i="4"/>
  <c r="S72" i="4" s="1"/>
  <c r="G72" i="4"/>
  <c r="H72" i="4" s="1"/>
  <c r="F72" i="4"/>
  <c r="E72" i="4"/>
  <c r="D72" i="4"/>
  <c r="R71" i="4"/>
  <c r="N71" i="4"/>
  <c r="J71" i="4"/>
  <c r="S71" i="4" s="1"/>
  <c r="G71" i="4"/>
  <c r="H71" i="4" s="1"/>
  <c r="F71" i="4"/>
  <c r="E71" i="4"/>
  <c r="D71" i="4"/>
  <c r="R70" i="4"/>
  <c r="N70" i="4"/>
  <c r="J70" i="4"/>
  <c r="S70" i="4" s="1"/>
  <c r="G70" i="4"/>
  <c r="H70" i="4" s="1"/>
  <c r="F70" i="4"/>
  <c r="E70" i="4"/>
  <c r="D70" i="4"/>
  <c r="R69" i="4"/>
  <c r="N69" i="4"/>
  <c r="J69" i="4"/>
  <c r="S69" i="4" s="1"/>
  <c r="G69" i="4"/>
  <c r="H69" i="4" s="1"/>
  <c r="F69" i="4"/>
  <c r="E69" i="4"/>
  <c r="D69" i="4"/>
  <c r="R68" i="4"/>
  <c r="N68" i="4"/>
  <c r="J68" i="4"/>
  <c r="S68" i="4" s="1"/>
  <c r="G68" i="4"/>
  <c r="H68" i="4" s="1"/>
  <c r="F68" i="4"/>
  <c r="E68" i="4"/>
  <c r="D68" i="4"/>
  <c r="R67" i="4"/>
  <c r="N67" i="4"/>
  <c r="J67" i="4"/>
  <c r="S67" i="4" s="1"/>
  <c r="G67" i="4"/>
  <c r="H67" i="4" s="1"/>
  <c r="F67" i="4"/>
  <c r="E67" i="4"/>
  <c r="D67" i="4"/>
  <c r="R66" i="4"/>
  <c r="N66" i="4"/>
  <c r="J66" i="4"/>
  <c r="S66" i="4" s="1"/>
  <c r="G66" i="4"/>
  <c r="H66" i="4" s="1"/>
  <c r="F66" i="4"/>
  <c r="E66" i="4"/>
  <c r="D66" i="4"/>
  <c r="R65" i="4"/>
  <c r="N65" i="4"/>
  <c r="J65" i="4"/>
  <c r="S65" i="4" s="1"/>
  <c r="G65" i="4"/>
  <c r="H65" i="4" s="1"/>
  <c r="F65" i="4"/>
  <c r="E65" i="4"/>
  <c r="D65" i="4"/>
  <c r="R64" i="4"/>
  <c r="N64" i="4"/>
  <c r="J64" i="4"/>
  <c r="S64" i="4" s="1"/>
  <c r="G64" i="4"/>
  <c r="H64" i="4" s="1"/>
  <c r="F64" i="4"/>
  <c r="E64" i="4"/>
  <c r="D64" i="4"/>
  <c r="R63" i="4"/>
  <c r="N63" i="4"/>
  <c r="J63" i="4"/>
  <c r="S63" i="4" s="1"/>
  <c r="G63" i="4"/>
  <c r="H63" i="4" s="1"/>
  <c r="F63" i="4"/>
  <c r="E63" i="4"/>
  <c r="D63" i="4"/>
  <c r="R62" i="4"/>
  <c r="N62" i="4"/>
  <c r="J62" i="4"/>
  <c r="S62" i="4" s="1"/>
  <c r="G62" i="4"/>
  <c r="H62" i="4" s="1"/>
  <c r="F62" i="4"/>
  <c r="E62" i="4"/>
  <c r="D62" i="4"/>
  <c r="R61" i="4"/>
  <c r="N61" i="4"/>
  <c r="J61" i="4"/>
  <c r="S61" i="4" s="1"/>
  <c r="G61" i="4"/>
  <c r="H61" i="4" s="1"/>
  <c r="F61" i="4"/>
  <c r="E61" i="4"/>
  <c r="D61" i="4"/>
  <c r="R60" i="4"/>
  <c r="N60" i="4"/>
  <c r="J60" i="4"/>
  <c r="S60" i="4" s="1"/>
  <c r="G60" i="4"/>
  <c r="H60" i="4" s="1"/>
  <c r="F60" i="4"/>
  <c r="E60" i="4"/>
  <c r="D60" i="4"/>
  <c r="R59" i="4"/>
  <c r="N59" i="4"/>
  <c r="J59" i="4"/>
  <c r="S59" i="4" s="1"/>
  <c r="G59" i="4"/>
  <c r="H59" i="4" s="1"/>
  <c r="F59" i="4"/>
  <c r="E59" i="4"/>
  <c r="D59" i="4"/>
  <c r="R58" i="4"/>
  <c r="N58" i="4"/>
  <c r="J58" i="4"/>
  <c r="S58" i="4" s="1"/>
  <c r="G58" i="4"/>
  <c r="H58" i="4" s="1"/>
  <c r="F58" i="4"/>
  <c r="E58" i="4"/>
  <c r="D58" i="4"/>
  <c r="R57" i="4"/>
  <c r="N57" i="4"/>
  <c r="J57" i="4"/>
  <c r="S57" i="4" s="1"/>
  <c r="G57" i="4"/>
  <c r="H57" i="4" s="1"/>
  <c r="F57" i="4"/>
  <c r="E57" i="4"/>
  <c r="D57" i="4"/>
  <c r="R56" i="4"/>
  <c r="N56" i="4"/>
  <c r="J56" i="4"/>
  <c r="S56" i="4" s="1"/>
  <c r="G56" i="4"/>
  <c r="H56" i="4" s="1"/>
  <c r="F56" i="4"/>
  <c r="E56" i="4"/>
  <c r="D56" i="4"/>
  <c r="R55" i="4"/>
  <c r="N55" i="4"/>
  <c r="J55" i="4"/>
  <c r="S55" i="4" s="1"/>
  <c r="G55" i="4"/>
  <c r="H55" i="4" s="1"/>
  <c r="F55" i="4"/>
  <c r="E55" i="4"/>
  <c r="D55" i="4"/>
  <c r="R54" i="4"/>
  <c r="N54" i="4"/>
  <c r="J54" i="4"/>
  <c r="S54" i="4" s="1"/>
  <c r="G54" i="4"/>
  <c r="H54" i="4" s="1"/>
  <c r="F54" i="4"/>
  <c r="E54" i="4"/>
  <c r="D54" i="4"/>
  <c r="R53" i="4"/>
  <c r="N53" i="4"/>
  <c r="J53" i="4"/>
  <c r="S53" i="4" s="1"/>
  <c r="G53" i="4"/>
  <c r="H53" i="4" s="1"/>
  <c r="F53" i="4"/>
  <c r="E53" i="4"/>
  <c r="D53" i="4"/>
  <c r="R52" i="4"/>
  <c r="N52" i="4"/>
  <c r="J52" i="4"/>
  <c r="S52" i="4" s="1"/>
  <c r="G52" i="4"/>
  <c r="H52" i="4" s="1"/>
  <c r="F52" i="4"/>
  <c r="E52" i="4"/>
  <c r="D52" i="4"/>
  <c r="R51" i="4"/>
  <c r="N51" i="4"/>
  <c r="J51" i="4"/>
  <c r="S51" i="4" s="1"/>
  <c r="G51" i="4"/>
  <c r="H51" i="4" s="1"/>
  <c r="F51" i="4"/>
  <c r="E51" i="4"/>
  <c r="D51" i="4"/>
  <c r="R50" i="4"/>
  <c r="N50" i="4"/>
  <c r="J50" i="4"/>
  <c r="S50" i="4" s="1"/>
  <c r="G50" i="4"/>
  <c r="H50" i="4" s="1"/>
  <c r="F50" i="4"/>
  <c r="E50" i="4"/>
  <c r="D50" i="4"/>
  <c r="R49" i="4"/>
  <c r="N49" i="4"/>
  <c r="J49" i="4"/>
  <c r="S49" i="4" s="1"/>
  <c r="G49" i="4"/>
  <c r="H49" i="4" s="1"/>
  <c r="F49" i="4"/>
  <c r="E49" i="4"/>
  <c r="D49" i="4"/>
  <c r="R48" i="4"/>
  <c r="N48" i="4"/>
  <c r="J48" i="4"/>
  <c r="S48" i="4" s="1"/>
  <c r="G48" i="4"/>
  <c r="H48" i="4" s="1"/>
  <c r="F48" i="4"/>
  <c r="E48" i="4"/>
  <c r="D48" i="4"/>
  <c r="R47" i="4"/>
  <c r="N47" i="4"/>
  <c r="J47" i="4"/>
  <c r="S47" i="4" s="1"/>
  <c r="G47" i="4"/>
  <c r="H47" i="4" s="1"/>
  <c r="F47" i="4"/>
  <c r="E47" i="4"/>
  <c r="D47" i="4"/>
  <c r="R46" i="4"/>
  <c r="N46" i="4"/>
  <c r="J46" i="4"/>
  <c r="S46" i="4" s="1"/>
  <c r="G46" i="4"/>
  <c r="H46" i="4" s="1"/>
  <c r="F46" i="4"/>
  <c r="E46" i="4"/>
  <c r="D46" i="4"/>
  <c r="R45" i="4"/>
  <c r="N45" i="4"/>
  <c r="J45" i="4"/>
  <c r="S45" i="4" s="1"/>
  <c r="G45" i="4"/>
  <c r="H45" i="4" s="1"/>
  <c r="F45" i="4"/>
  <c r="E45" i="4"/>
  <c r="D45" i="4"/>
  <c r="R44" i="4"/>
  <c r="N44" i="4"/>
  <c r="J44" i="4"/>
  <c r="S44" i="4" s="1"/>
  <c r="G44" i="4"/>
  <c r="H44" i="4" s="1"/>
  <c r="F44" i="4"/>
  <c r="E44" i="4"/>
  <c r="D44" i="4"/>
  <c r="R43" i="4"/>
  <c r="N43" i="4"/>
  <c r="J43" i="4"/>
  <c r="S43" i="4" s="1"/>
  <c r="G43" i="4"/>
  <c r="H43" i="4" s="1"/>
  <c r="F43" i="4"/>
  <c r="E43" i="4"/>
  <c r="D43" i="4"/>
  <c r="R42" i="4"/>
  <c r="N42" i="4"/>
  <c r="J42" i="4"/>
  <c r="S42" i="4" s="1"/>
  <c r="G42" i="4"/>
  <c r="H42" i="4" s="1"/>
  <c r="F42" i="4"/>
  <c r="E42" i="4"/>
  <c r="D42" i="4"/>
  <c r="R41" i="4"/>
  <c r="N41" i="4"/>
  <c r="J41" i="4"/>
  <c r="S41" i="4" s="1"/>
  <c r="G41" i="4"/>
  <c r="H41" i="4" s="1"/>
  <c r="F41" i="4"/>
  <c r="E41" i="4"/>
  <c r="D41" i="4"/>
  <c r="R40" i="4"/>
  <c r="N40" i="4"/>
  <c r="J40" i="4"/>
  <c r="S40" i="4" s="1"/>
  <c r="G40" i="4"/>
  <c r="H40" i="4" s="1"/>
  <c r="F40" i="4"/>
  <c r="E40" i="4"/>
  <c r="D40" i="4"/>
  <c r="R39" i="4"/>
  <c r="N39" i="4"/>
  <c r="J39" i="4"/>
  <c r="S39" i="4" s="1"/>
  <c r="G39" i="4"/>
  <c r="H39" i="4" s="1"/>
  <c r="F39" i="4"/>
  <c r="E39" i="4"/>
  <c r="D39" i="4"/>
  <c r="R38" i="4"/>
  <c r="N38" i="4"/>
  <c r="J38" i="4"/>
  <c r="S38" i="4" s="1"/>
  <c r="G38" i="4"/>
  <c r="H38" i="4" s="1"/>
  <c r="F38" i="4"/>
  <c r="E38" i="4"/>
  <c r="D38" i="4"/>
  <c r="R37" i="4"/>
  <c r="N37" i="4"/>
  <c r="J37" i="4"/>
  <c r="S37" i="4" s="1"/>
  <c r="G37" i="4"/>
  <c r="H37" i="4" s="1"/>
  <c r="F37" i="4"/>
  <c r="E37" i="4"/>
  <c r="D37" i="4"/>
  <c r="R36" i="4"/>
  <c r="N36" i="4"/>
  <c r="J36" i="4"/>
  <c r="S36" i="4" s="1"/>
  <c r="G36" i="4"/>
  <c r="H36" i="4" s="1"/>
  <c r="F36" i="4"/>
  <c r="E36" i="4"/>
  <c r="D36" i="4"/>
  <c r="R35" i="4"/>
  <c r="N35" i="4"/>
  <c r="J35" i="4"/>
  <c r="S35" i="4" s="1"/>
  <c r="G35" i="4"/>
  <c r="H35" i="4" s="1"/>
  <c r="F35" i="4"/>
  <c r="E35" i="4"/>
  <c r="D35" i="4"/>
  <c r="R34" i="4"/>
  <c r="N34" i="4"/>
  <c r="J34" i="4"/>
  <c r="S34" i="4" s="1"/>
  <c r="G34" i="4"/>
  <c r="H34" i="4" s="1"/>
  <c r="F34" i="4"/>
  <c r="E34" i="4"/>
  <c r="D34" i="4"/>
  <c r="R33" i="4"/>
  <c r="N33" i="4"/>
  <c r="J28" i="3" s="1"/>
  <c r="J33" i="4"/>
  <c r="G33" i="4"/>
  <c r="H33" i="4" s="1"/>
  <c r="F33" i="4"/>
  <c r="E33" i="4"/>
  <c r="D33" i="4"/>
  <c r="R32" i="4"/>
  <c r="N32" i="4"/>
  <c r="J27" i="3" s="1"/>
  <c r="J32" i="4"/>
  <c r="G32" i="4"/>
  <c r="H32" i="4" s="1"/>
  <c r="F32" i="4"/>
  <c r="E32" i="4"/>
  <c r="D32" i="4"/>
  <c r="R31" i="4"/>
  <c r="N31" i="4"/>
  <c r="J26" i="3" s="1"/>
  <c r="J31" i="4"/>
  <c r="G31" i="4"/>
  <c r="H31" i="4" s="1"/>
  <c r="F31" i="4"/>
  <c r="E31" i="4"/>
  <c r="D31" i="4"/>
  <c r="R30" i="4"/>
  <c r="N30" i="4"/>
  <c r="J25" i="3" s="1"/>
  <c r="J30" i="4"/>
  <c r="G30" i="4"/>
  <c r="H30" i="4" s="1"/>
  <c r="F30" i="4"/>
  <c r="E30" i="4"/>
  <c r="D30" i="4"/>
  <c r="R29" i="4"/>
  <c r="N29" i="4"/>
  <c r="J24" i="3" s="1"/>
  <c r="J29" i="4"/>
  <c r="G29" i="4"/>
  <c r="H29" i="4" s="1"/>
  <c r="F29" i="4"/>
  <c r="E29" i="4"/>
  <c r="D29" i="4"/>
  <c r="R28" i="4"/>
  <c r="N28" i="4"/>
  <c r="J28" i="4"/>
  <c r="S28" i="4" s="1"/>
  <c r="G28" i="4"/>
  <c r="H28" i="4" s="1"/>
  <c r="F28" i="4"/>
  <c r="E28" i="4"/>
  <c r="D28" i="4"/>
  <c r="R27" i="4"/>
  <c r="N27" i="4"/>
  <c r="J23" i="3" s="1"/>
  <c r="J27" i="4"/>
  <c r="G27" i="4"/>
  <c r="H27" i="4" s="1"/>
  <c r="F27" i="4"/>
  <c r="E27" i="4"/>
  <c r="D27" i="4"/>
  <c r="R26" i="4"/>
  <c r="N26" i="4"/>
  <c r="J26" i="4"/>
  <c r="S26" i="4" s="1"/>
  <c r="G26" i="4"/>
  <c r="H26" i="4" s="1"/>
  <c r="F26" i="4"/>
  <c r="E26" i="4"/>
  <c r="D26" i="4"/>
  <c r="R25" i="4"/>
  <c r="N25" i="4"/>
  <c r="J22" i="3" s="1"/>
  <c r="J25" i="4"/>
  <c r="G25" i="4"/>
  <c r="H25" i="4" s="1"/>
  <c r="F25" i="4"/>
  <c r="E25" i="4"/>
  <c r="D25" i="4"/>
  <c r="R24" i="4"/>
  <c r="N24" i="4"/>
  <c r="J21" i="3" s="1"/>
  <c r="J24" i="4"/>
  <c r="G24" i="4"/>
  <c r="H24" i="4" s="1"/>
  <c r="F24" i="4"/>
  <c r="E24" i="4"/>
  <c r="D24" i="4"/>
  <c r="R23" i="4"/>
  <c r="N23" i="4"/>
  <c r="J14" i="3" s="1"/>
  <c r="J23" i="4"/>
  <c r="G23" i="4"/>
  <c r="H23" i="4" s="1"/>
  <c r="F23" i="4"/>
  <c r="E23" i="4"/>
  <c r="D23" i="4"/>
  <c r="R22" i="4"/>
  <c r="N22" i="4"/>
  <c r="J20" i="3" s="1"/>
  <c r="J22" i="4"/>
  <c r="G22" i="4"/>
  <c r="H22" i="4" s="1"/>
  <c r="F22" i="4"/>
  <c r="E22" i="4"/>
  <c r="D22" i="4"/>
  <c r="R21" i="4"/>
  <c r="N21" i="4"/>
  <c r="J19" i="3" s="1"/>
  <c r="J21" i="4"/>
  <c r="G21" i="4"/>
  <c r="H21" i="4" s="1"/>
  <c r="F21" i="4"/>
  <c r="E21" i="4"/>
  <c r="D21" i="4"/>
  <c r="R20" i="4"/>
  <c r="N20" i="4"/>
  <c r="J7" i="3" s="1"/>
  <c r="J20" i="4"/>
  <c r="G20" i="4"/>
  <c r="H20" i="4" s="1"/>
  <c r="F20" i="4"/>
  <c r="E20" i="4"/>
  <c r="D20" i="4"/>
  <c r="R19" i="4"/>
  <c r="N19" i="4"/>
  <c r="J18" i="3" s="1"/>
  <c r="J19" i="4"/>
  <c r="G19" i="4"/>
  <c r="H19" i="4" s="1"/>
  <c r="F19" i="4"/>
  <c r="E19" i="4"/>
  <c r="D19" i="4"/>
  <c r="R18" i="4"/>
  <c r="N18" i="4"/>
  <c r="J17" i="3" s="1"/>
  <c r="J18" i="4"/>
  <c r="G18" i="4"/>
  <c r="H18" i="4" s="1"/>
  <c r="F18" i="4"/>
  <c r="E18" i="4"/>
  <c r="D18" i="4"/>
  <c r="R17" i="4"/>
  <c r="N17" i="4"/>
  <c r="J13" i="3" s="1"/>
  <c r="J17" i="4"/>
  <c r="G17" i="4"/>
  <c r="H17" i="4" s="1"/>
  <c r="F17" i="4"/>
  <c r="E17" i="4"/>
  <c r="D17" i="4"/>
  <c r="R16" i="4"/>
  <c r="N16" i="4"/>
  <c r="J16" i="3" s="1"/>
  <c r="J16" i="4"/>
  <c r="G16" i="4"/>
  <c r="H16" i="4" s="1"/>
  <c r="F16" i="4"/>
  <c r="E16" i="4"/>
  <c r="D16" i="4"/>
  <c r="R15" i="4"/>
  <c r="N15" i="4"/>
  <c r="J15" i="3" s="1"/>
  <c r="J15" i="4"/>
  <c r="G15" i="4"/>
  <c r="H15" i="4" s="1"/>
  <c r="F15" i="4"/>
  <c r="E15" i="4"/>
  <c r="D15" i="4"/>
  <c r="R14" i="4"/>
  <c r="N14" i="4"/>
  <c r="J14" i="4"/>
  <c r="S14" i="4" s="1"/>
  <c r="G14" i="4"/>
  <c r="H14" i="4" s="1"/>
  <c r="F14" i="4"/>
  <c r="E14" i="4"/>
  <c r="D14" i="4"/>
  <c r="R13" i="4"/>
  <c r="N13" i="4"/>
  <c r="J13" i="4"/>
  <c r="S13" i="4" s="1"/>
  <c r="G13" i="4"/>
  <c r="H13" i="4" s="1"/>
  <c r="F13" i="4"/>
  <c r="E13" i="4"/>
  <c r="D13" i="4"/>
  <c r="R12" i="4"/>
  <c r="N12" i="4"/>
  <c r="J12" i="4"/>
  <c r="S12" i="4" s="1"/>
  <c r="G12" i="4"/>
  <c r="H12" i="4" s="1"/>
  <c r="F12" i="4"/>
  <c r="E12" i="4"/>
  <c r="D12" i="4"/>
  <c r="R11" i="4"/>
  <c r="N11" i="4"/>
  <c r="J11" i="4"/>
  <c r="S11" i="4" s="1"/>
  <c r="G11" i="4"/>
  <c r="H11" i="4" s="1"/>
  <c r="F11" i="4"/>
  <c r="E11" i="4"/>
  <c r="D11" i="4"/>
  <c r="R10" i="4"/>
  <c r="N10" i="4"/>
  <c r="J10" i="4"/>
  <c r="S10" i="4" s="1"/>
  <c r="G10" i="4"/>
  <c r="H10" i="4" s="1"/>
  <c r="F10" i="4"/>
  <c r="E10" i="4"/>
  <c r="D10" i="4"/>
  <c r="R9" i="4"/>
  <c r="N9" i="4"/>
  <c r="J9" i="4"/>
  <c r="S9" i="4" s="1"/>
  <c r="G9" i="4"/>
  <c r="H9" i="4" s="1"/>
  <c r="F9" i="4"/>
  <c r="E9" i="4"/>
  <c r="D9" i="4"/>
  <c r="R8" i="4"/>
  <c r="N8" i="4"/>
  <c r="J8" i="4"/>
  <c r="S8" i="4" s="1"/>
  <c r="G8" i="4"/>
  <c r="H8" i="4" s="1"/>
  <c r="F8" i="4"/>
  <c r="E8" i="4"/>
  <c r="D8" i="4"/>
  <c r="R7" i="4"/>
  <c r="N7" i="4"/>
  <c r="J7" i="4"/>
  <c r="S7" i="4" s="1"/>
  <c r="G7" i="4"/>
  <c r="H7" i="4" s="1"/>
  <c r="F7" i="4"/>
  <c r="E7" i="4"/>
  <c r="D7" i="4"/>
  <c r="R6" i="4"/>
  <c r="N6" i="4"/>
  <c r="J6" i="4"/>
  <c r="S6" i="4" s="1"/>
  <c r="G6" i="4"/>
  <c r="H6" i="4" s="1"/>
  <c r="F6" i="4"/>
  <c r="E6" i="4"/>
  <c r="D6" i="4"/>
  <c r="R5" i="4"/>
  <c r="N5" i="4"/>
  <c r="J5" i="4"/>
  <c r="S5" i="4" s="1"/>
  <c r="G5" i="4"/>
  <c r="H5" i="4" s="1"/>
  <c r="F5" i="4"/>
  <c r="E5" i="4"/>
  <c r="D5" i="4"/>
  <c r="R4" i="4"/>
  <c r="N4" i="4"/>
  <c r="J4" i="4"/>
  <c r="S4" i="4" s="1"/>
  <c r="G4" i="4"/>
  <c r="H4" i="4" s="1"/>
  <c r="F4" i="4"/>
  <c r="E4" i="4"/>
  <c r="D4" i="4"/>
  <c r="R3" i="4"/>
  <c r="N3" i="4"/>
  <c r="J3" i="4"/>
  <c r="S3" i="4" s="1"/>
  <c r="G3" i="4"/>
  <c r="H3" i="4" s="1"/>
  <c r="F3" i="4"/>
  <c r="E3" i="4"/>
  <c r="D3" i="4"/>
  <c r="R2" i="4"/>
  <c r="N2" i="4"/>
  <c r="B5" i="5" s="1"/>
  <c r="J2" i="4"/>
  <c r="S2" i="4" s="1"/>
  <c r="G2" i="4"/>
  <c r="H2" i="4" s="1"/>
  <c r="F2" i="4"/>
  <c r="E2" i="4"/>
  <c r="D2" i="4"/>
  <c r="C25" i="2"/>
  <c r="B25" i="2"/>
  <c r="C24" i="2"/>
  <c r="B24" i="2"/>
  <c r="C23" i="2"/>
  <c r="B23" i="2"/>
  <c r="C22" i="2"/>
  <c r="B22" i="2"/>
  <c r="C21" i="2"/>
  <c r="B21" i="2"/>
  <c r="C20" i="2"/>
  <c r="C26" i="2" s="1"/>
  <c r="B20" i="2"/>
  <c r="B26" i="2" s="1"/>
  <c r="C15" i="2"/>
  <c r="B15" i="2"/>
  <c r="C14" i="2"/>
  <c r="B14" i="2"/>
  <c r="C13" i="2"/>
  <c r="B13" i="2"/>
  <c r="C12" i="2"/>
  <c r="B12" i="2"/>
  <c r="C11" i="2"/>
  <c r="B11" i="2"/>
  <c r="H10" i="2"/>
  <c r="G10" i="2"/>
  <c r="C10" i="2"/>
  <c r="B10" i="2"/>
  <c r="H9" i="2"/>
  <c r="G9" i="2"/>
  <c r="C9" i="2"/>
  <c r="B9" i="2"/>
  <c r="H8" i="2"/>
  <c r="G8" i="2"/>
  <c r="C8" i="2"/>
  <c r="B8" i="2"/>
  <c r="H7" i="2"/>
  <c r="G7" i="2"/>
  <c r="C7" i="2"/>
  <c r="B7" i="2"/>
  <c r="H6" i="2"/>
  <c r="H11" i="2" s="1"/>
  <c r="G6" i="2"/>
  <c r="G11" i="2" s="1"/>
  <c r="C6" i="2"/>
  <c r="C16" i="2" s="1"/>
  <c r="B6" i="2"/>
  <c r="B16" i="2" s="1"/>
  <c r="G26" i="1"/>
  <c r="F26" i="1"/>
  <c r="C26" i="1"/>
  <c r="B26" i="1"/>
  <c r="G25" i="1"/>
  <c r="F25" i="1"/>
  <c r="C25" i="1"/>
  <c r="B25" i="1"/>
  <c r="G24" i="1"/>
  <c r="F24" i="1"/>
  <c r="C24" i="1"/>
  <c r="B24" i="1"/>
  <c r="G23" i="1"/>
  <c r="F23" i="1"/>
  <c r="C23" i="1"/>
  <c r="B23" i="1"/>
  <c r="F22" i="1"/>
  <c r="F27" i="1" s="1"/>
  <c r="C22" i="1"/>
  <c r="C27" i="1" s="1"/>
  <c r="B22" i="1"/>
  <c r="B27" i="1" s="1"/>
  <c r="I15" i="1"/>
  <c r="G15" i="1"/>
  <c r="A15" i="1"/>
  <c r="C15" i="1" s="1"/>
  <c r="C10" i="1"/>
  <c r="C9" i="1"/>
  <c r="C8" i="1"/>
  <c r="C7" i="1"/>
  <c r="C6" i="1"/>
  <c r="C5" i="1"/>
  <c r="J300" i="3"/>
  <c r="I300" i="3"/>
  <c r="H300" i="3"/>
  <c r="G300" i="3"/>
  <c r="J299" i="3"/>
  <c r="I299" i="3"/>
  <c r="H299" i="3"/>
  <c r="G299" i="3"/>
  <c r="J298" i="3"/>
  <c r="I298" i="3"/>
  <c r="H298" i="3"/>
  <c r="G298" i="3"/>
  <c r="J297" i="3"/>
  <c r="I297" i="3"/>
  <c r="H297" i="3"/>
  <c r="G297" i="3"/>
  <c r="J296" i="3"/>
  <c r="I296" i="3"/>
  <c r="H296" i="3"/>
  <c r="G296" i="3"/>
  <c r="J295" i="3"/>
  <c r="I295" i="3"/>
  <c r="H295" i="3"/>
  <c r="G295" i="3"/>
  <c r="J294" i="3"/>
  <c r="I294" i="3"/>
  <c r="H294" i="3"/>
  <c r="G294" i="3"/>
  <c r="J293" i="3"/>
  <c r="I293" i="3"/>
  <c r="H293" i="3"/>
  <c r="G293" i="3"/>
  <c r="J292" i="3"/>
  <c r="I292" i="3"/>
  <c r="H292" i="3"/>
  <c r="G292" i="3"/>
  <c r="J291" i="3"/>
  <c r="I291" i="3"/>
  <c r="H291" i="3"/>
  <c r="G291" i="3"/>
  <c r="J290" i="3"/>
  <c r="I290" i="3"/>
  <c r="H290" i="3"/>
  <c r="G290" i="3"/>
  <c r="J289" i="3"/>
  <c r="I289" i="3"/>
  <c r="H289" i="3"/>
  <c r="G289" i="3"/>
  <c r="J288" i="3"/>
  <c r="I288" i="3"/>
  <c r="H288" i="3"/>
  <c r="G288" i="3"/>
  <c r="J287" i="3"/>
  <c r="I287" i="3"/>
  <c r="H287" i="3"/>
  <c r="G287" i="3"/>
  <c r="J286" i="3"/>
  <c r="I286" i="3"/>
  <c r="H286" i="3"/>
  <c r="G286" i="3"/>
  <c r="J285" i="3"/>
  <c r="I285" i="3"/>
  <c r="H285" i="3"/>
  <c r="G285" i="3"/>
  <c r="J284" i="3"/>
  <c r="I284" i="3"/>
  <c r="H284" i="3"/>
  <c r="G284" i="3"/>
  <c r="J283" i="3"/>
  <c r="I283" i="3"/>
  <c r="H283" i="3"/>
  <c r="G283" i="3"/>
  <c r="J282" i="3"/>
  <c r="I282" i="3"/>
  <c r="H282" i="3"/>
  <c r="G282" i="3"/>
  <c r="J281" i="3"/>
  <c r="I281" i="3"/>
  <c r="H281" i="3"/>
  <c r="G281" i="3"/>
  <c r="J280" i="3"/>
  <c r="I280" i="3"/>
  <c r="H280" i="3"/>
  <c r="G280" i="3"/>
  <c r="J279" i="3"/>
  <c r="I279" i="3"/>
  <c r="H279" i="3"/>
  <c r="G279" i="3"/>
  <c r="J278" i="3"/>
  <c r="I278" i="3"/>
  <c r="H278" i="3"/>
  <c r="G278" i="3"/>
  <c r="J277" i="3"/>
  <c r="I277" i="3"/>
  <c r="H277" i="3"/>
  <c r="G277" i="3"/>
  <c r="J276" i="3"/>
  <c r="I276" i="3"/>
  <c r="H276" i="3"/>
  <c r="G276" i="3"/>
  <c r="J275" i="3"/>
  <c r="I275" i="3"/>
  <c r="H275" i="3"/>
  <c r="G275" i="3"/>
  <c r="J274" i="3"/>
  <c r="I274" i="3"/>
  <c r="H274" i="3"/>
  <c r="G274" i="3"/>
  <c r="J273" i="3"/>
  <c r="I273" i="3"/>
  <c r="H273" i="3"/>
  <c r="G273" i="3"/>
  <c r="J272" i="3"/>
  <c r="I272" i="3"/>
  <c r="H272" i="3"/>
  <c r="G272" i="3"/>
  <c r="J271" i="3"/>
  <c r="I271" i="3"/>
  <c r="H271" i="3"/>
  <c r="G271" i="3"/>
  <c r="J270" i="3"/>
  <c r="I270" i="3"/>
  <c r="H270" i="3"/>
  <c r="G270" i="3"/>
  <c r="J269" i="3"/>
  <c r="I269" i="3"/>
  <c r="H269" i="3"/>
  <c r="G269" i="3"/>
  <c r="J268" i="3"/>
  <c r="I268" i="3"/>
  <c r="H268" i="3"/>
  <c r="G268" i="3"/>
  <c r="J267" i="3"/>
  <c r="I267" i="3"/>
  <c r="H267" i="3"/>
  <c r="G267" i="3"/>
  <c r="J266" i="3"/>
  <c r="I266" i="3"/>
  <c r="H266" i="3"/>
  <c r="G266" i="3"/>
  <c r="J265" i="3"/>
  <c r="I265" i="3"/>
  <c r="H265" i="3"/>
  <c r="G265" i="3"/>
  <c r="J264" i="3"/>
  <c r="I264" i="3"/>
  <c r="H264" i="3"/>
  <c r="G264" i="3"/>
  <c r="J263" i="3"/>
  <c r="I263" i="3"/>
  <c r="H263" i="3"/>
  <c r="G263" i="3"/>
  <c r="J262" i="3"/>
  <c r="I262" i="3"/>
  <c r="H262" i="3"/>
  <c r="G262" i="3"/>
  <c r="J261" i="3"/>
  <c r="I261" i="3"/>
  <c r="H261" i="3"/>
  <c r="G261" i="3"/>
  <c r="J260" i="3"/>
  <c r="I260" i="3"/>
  <c r="H260" i="3"/>
  <c r="G260" i="3"/>
  <c r="J259" i="3"/>
  <c r="I259" i="3"/>
  <c r="H259" i="3"/>
  <c r="G259" i="3"/>
  <c r="J258" i="3"/>
  <c r="I258" i="3"/>
  <c r="H258" i="3"/>
  <c r="G258" i="3"/>
  <c r="J257" i="3"/>
  <c r="I257" i="3"/>
  <c r="H257" i="3"/>
  <c r="G257" i="3"/>
  <c r="J256" i="3"/>
  <c r="I256" i="3"/>
  <c r="H256" i="3"/>
  <c r="G256" i="3"/>
  <c r="J255" i="3"/>
  <c r="I255" i="3"/>
  <c r="H255" i="3"/>
  <c r="G255" i="3"/>
  <c r="J254" i="3"/>
  <c r="I254" i="3"/>
  <c r="H254" i="3"/>
  <c r="G254" i="3"/>
  <c r="J253" i="3"/>
  <c r="I253" i="3"/>
  <c r="H253" i="3"/>
  <c r="G253" i="3"/>
  <c r="J252" i="3"/>
  <c r="I252" i="3"/>
  <c r="H252" i="3"/>
  <c r="G252" i="3"/>
  <c r="J251" i="3"/>
  <c r="I251" i="3"/>
  <c r="H251" i="3"/>
  <c r="G251" i="3"/>
  <c r="J250" i="3"/>
  <c r="I250" i="3"/>
  <c r="H250" i="3"/>
  <c r="G250" i="3"/>
  <c r="J249" i="3"/>
  <c r="I249" i="3"/>
  <c r="H249" i="3"/>
  <c r="G249" i="3"/>
  <c r="J248" i="3"/>
  <c r="I248" i="3"/>
  <c r="H248" i="3"/>
  <c r="G248" i="3"/>
  <c r="J247" i="3"/>
  <c r="I247" i="3"/>
  <c r="H247" i="3"/>
  <c r="G247" i="3"/>
  <c r="J246" i="3"/>
  <c r="I246" i="3"/>
  <c r="H246" i="3"/>
  <c r="G246" i="3"/>
  <c r="J245" i="3"/>
  <c r="I245" i="3"/>
  <c r="H245" i="3"/>
  <c r="G245" i="3"/>
  <c r="J244" i="3"/>
  <c r="I244" i="3"/>
  <c r="H244" i="3"/>
  <c r="G244" i="3"/>
  <c r="J243" i="3"/>
  <c r="I243" i="3"/>
  <c r="H243" i="3"/>
  <c r="G243" i="3"/>
  <c r="J242" i="3"/>
  <c r="I242" i="3"/>
  <c r="H242" i="3"/>
  <c r="G242" i="3"/>
  <c r="J241" i="3"/>
  <c r="I241" i="3"/>
  <c r="H241" i="3"/>
  <c r="G241" i="3"/>
  <c r="J240" i="3"/>
  <c r="I240" i="3"/>
  <c r="H240" i="3"/>
  <c r="G240" i="3"/>
  <c r="J239" i="3"/>
  <c r="I239" i="3"/>
  <c r="H239" i="3"/>
  <c r="G239" i="3"/>
  <c r="J238" i="3"/>
  <c r="I238" i="3"/>
  <c r="H238" i="3"/>
  <c r="G238" i="3"/>
  <c r="J237" i="3"/>
  <c r="I237" i="3"/>
  <c r="H237" i="3"/>
  <c r="G237" i="3"/>
  <c r="J236" i="3"/>
  <c r="I236" i="3"/>
  <c r="H236" i="3"/>
  <c r="G236" i="3"/>
  <c r="J235" i="3"/>
  <c r="I235" i="3"/>
  <c r="H235" i="3"/>
  <c r="G235" i="3"/>
  <c r="J234" i="3"/>
  <c r="I234" i="3"/>
  <c r="H234" i="3"/>
  <c r="G234" i="3"/>
  <c r="J233" i="3"/>
  <c r="I233" i="3"/>
  <c r="H233" i="3"/>
  <c r="G233" i="3"/>
  <c r="J232" i="3"/>
  <c r="I232" i="3"/>
  <c r="H232" i="3"/>
  <c r="G232" i="3"/>
  <c r="K231" i="3"/>
  <c r="J231" i="3"/>
  <c r="I231" i="3"/>
  <c r="H231" i="3"/>
  <c r="G231" i="3"/>
  <c r="J230" i="3"/>
  <c r="I230" i="3"/>
  <c r="H230" i="3"/>
  <c r="G230" i="3"/>
  <c r="J229" i="3"/>
  <c r="I229" i="3"/>
  <c r="H229" i="3"/>
  <c r="G229" i="3"/>
  <c r="J228" i="3"/>
  <c r="I228" i="3"/>
  <c r="H228" i="3"/>
  <c r="G228" i="3"/>
  <c r="J227" i="3"/>
  <c r="I227" i="3"/>
  <c r="H227" i="3"/>
  <c r="G227" i="3"/>
  <c r="J226" i="3"/>
  <c r="I226" i="3"/>
  <c r="H226" i="3"/>
  <c r="G226" i="3"/>
  <c r="J225" i="3"/>
  <c r="I225" i="3"/>
  <c r="H225" i="3"/>
  <c r="G225" i="3"/>
  <c r="J224" i="3"/>
  <c r="I224" i="3"/>
  <c r="H224" i="3"/>
  <c r="G224" i="3"/>
  <c r="J223" i="3"/>
  <c r="I223" i="3"/>
  <c r="H223" i="3"/>
  <c r="G223" i="3"/>
  <c r="J222" i="3"/>
  <c r="I222" i="3"/>
  <c r="H222" i="3"/>
  <c r="G222" i="3"/>
  <c r="J221" i="3"/>
  <c r="I221" i="3"/>
  <c r="H221" i="3"/>
  <c r="G221" i="3"/>
  <c r="M220" i="3"/>
  <c r="L220" i="3"/>
  <c r="J220" i="3"/>
  <c r="I220" i="3"/>
  <c r="K220" i="3" s="1"/>
  <c r="H220" i="3"/>
  <c r="G220" i="3"/>
  <c r="J219" i="3"/>
  <c r="I219" i="3"/>
  <c r="H219" i="3"/>
  <c r="G219" i="3"/>
  <c r="J218" i="3"/>
  <c r="I218" i="3"/>
  <c r="H218" i="3"/>
  <c r="G218" i="3"/>
  <c r="J217" i="3"/>
  <c r="I217" i="3"/>
  <c r="H217" i="3"/>
  <c r="G217" i="3"/>
  <c r="J216" i="3"/>
  <c r="I216" i="3"/>
  <c r="H216" i="3"/>
  <c r="G216" i="3"/>
  <c r="J215" i="3"/>
  <c r="I215" i="3"/>
  <c r="H215" i="3"/>
  <c r="G215" i="3"/>
  <c r="J214" i="3"/>
  <c r="I214" i="3"/>
  <c r="H214" i="3"/>
  <c r="G214" i="3"/>
  <c r="J213" i="3"/>
  <c r="I213" i="3"/>
  <c r="H213" i="3"/>
  <c r="G213" i="3"/>
  <c r="J212" i="3"/>
  <c r="I212" i="3"/>
  <c r="H212" i="3"/>
  <c r="G212" i="3"/>
  <c r="J211" i="3"/>
  <c r="I211" i="3"/>
  <c r="H211" i="3"/>
  <c r="G211" i="3"/>
  <c r="J210" i="3"/>
  <c r="I210" i="3"/>
  <c r="H210" i="3"/>
  <c r="G210" i="3"/>
  <c r="J209" i="3"/>
  <c r="I209" i="3"/>
  <c r="H209" i="3"/>
  <c r="G209" i="3"/>
  <c r="J208" i="3"/>
  <c r="I208" i="3"/>
  <c r="H208" i="3"/>
  <c r="G208" i="3"/>
  <c r="J207" i="3"/>
  <c r="I207" i="3"/>
  <c r="H207" i="3"/>
  <c r="G207" i="3"/>
  <c r="J206" i="3"/>
  <c r="I206" i="3"/>
  <c r="H206" i="3"/>
  <c r="G206" i="3"/>
  <c r="J205" i="3"/>
  <c r="I205" i="3"/>
  <c r="H205" i="3"/>
  <c r="G205" i="3"/>
  <c r="J204" i="3"/>
  <c r="I204" i="3"/>
  <c r="H204" i="3"/>
  <c r="G204" i="3"/>
  <c r="J203" i="3"/>
  <c r="I203" i="3"/>
  <c r="H203" i="3"/>
  <c r="G203" i="3"/>
  <c r="J202" i="3"/>
  <c r="I202" i="3"/>
  <c r="H202" i="3"/>
  <c r="G202" i="3"/>
  <c r="J201" i="3"/>
  <c r="I201" i="3"/>
  <c r="H201" i="3"/>
  <c r="G201" i="3"/>
  <c r="J200" i="3"/>
  <c r="I200" i="3"/>
  <c r="H200" i="3"/>
  <c r="G200" i="3"/>
  <c r="J199" i="3"/>
  <c r="I199" i="3"/>
  <c r="H199" i="3"/>
  <c r="G199" i="3"/>
  <c r="J198" i="3"/>
  <c r="I198" i="3"/>
  <c r="H198" i="3"/>
  <c r="G198" i="3"/>
  <c r="J197" i="3"/>
  <c r="I197" i="3"/>
  <c r="H197" i="3"/>
  <c r="G197" i="3"/>
  <c r="J196" i="3"/>
  <c r="I196" i="3"/>
  <c r="H196" i="3"/>
  <c r="G196" i="3"/>
  <c r="J195" i="3"/>
  <c r="I195" i="3"/>
  <c r="H195" i="3"/>
  <c r="G195" i="3"/>
  <c r="J194" i="3"/>
  <c r="I194" i="3"/>
  <c r="H194" i="3"/>
  <c r="G194" i="3"/>
  <c r="J193" i="3"/>
  <c r="I193" i="3"/>
  <c r="H193" i="3"/>
  <c r="G193" i="3"/>
  <c r="J192" i="3"/>
  <c r="I192" i="3"/>
  <c r="H192" i="3"/>
  <c r="G192" i="3"/>
  <c r="J191" i="3"/>
  <c r="I191" i="3"/>
  <c r="H191" i="3"/>
  <c r="G191" i="3"/>
  <c r="J190" i="3"/>
  <c r="I190" i="3"/>
  <c r="H190" i="3"/>
  <c r="G190" i="3"/>
  <c r="J189" i="3"/>
  <c r="I189" i="3"/>
  <c r="H189" i="3"/>
  <c r="G189" i="3"/>
  <c r="J188" i="3"/>
  <c r="I188" i="3"/>
  <c r="H188" i="3"/>
  <c r="G188" i="3"/>
  <c r="J187" i="3"/>
  <c r="I187" i="3"/>
  <c r="H187" i="3"/>
  <c r="G187" i="3"/>
  <c r="J186" i="3"/>
  <c r="I186" i="3"/>
  <c r="H186" i="3"/>
  <c r="G186" i="3"/>
  <c r="J185" i="3"/>
  <c r="I185" i="3"/>
  <c r="H185" i="3"/>
  <c r="G185" i="3"/>
  <c r="J184" i="3"/>
  <c r="I184" i="3"/>
  <c r="H184" i="3"/>
  <c r="G184" i="3"/>
  <c r="J183" i="3"/>
  <c r="I183" i="3"/>
  <c r="H183" i="3"/>
  <c r="G183" i="3"/>
  <c r="J182" i="3"/>
  <c r="I182" i="3"/>
  <c r="H182" i="3"/>
  <c r="G182" i="3"/>
  <c r="J181" i="3"/>
  <c r="I181" i="3"/>
  <c r="H181" i="3"/>
  <c r="G181" i="3"/>
  <c r="J180" i="3"/>
  <c r="I180" i="3"/>
  <c r="H180" i="3"/>
  <c r="G180" i="3"/>
  <c r="J179" i="3"/>
  <c r="I179" i="3"/>
  <c r="H179" i="3"/>
  <c r="G179" i="3"/>
  <c r="J178" i="3"/>
  <c r="I178" i="3"/>
  <c r="H178" i="3"/>
  <c r="G178" i="3"/>
  <c r="J177" i="3"/>
  <c r="I177" i="3"/>
  <c r="H177" i="3"/>
  <c r="G177" i="3"/>
  <c r="J176" i="3"/>
  <c r="I176" i="3"/>
  <c r="H176" i="3"/>
  <c r="G176" i="3"/>
  <c r="J175" i="3"/>
  <c r="I175" i="3"/>
  <c r="H175" i="3"/>
  <c r="G175" i="3"/>
  <c r="J174" i="3"/>
  <c r="I174" i="3"/>
  <c r="H174" i="3"/>
  <c r="G174" i="3"/>
  <c r="J173" i="3"/>
  <c r="I173" i="3"/>
  <c r="H173" i="3"/>
  <c r="G173" i="3"/>
  <c r="J172" i="3"/>
  <c r="I172" i="3"/>
  <c r="H172" i="3"/>
  <c r="G172" i="3"/>
  <c r="J171" i="3"/>
  <c r="I171" i="3"/>
  <c r="H171" i="3"/>
  <c r="G171" i="3"/>
  <c r="J170" i="3"/>
  <c r="I170" i="3"/>
  <c r="H170" i="3"/>
  <c r="G170" i="3"/>
  <c r="J169" i="3"/>
  <c r="I169" i="3"/>
  <c r="H169" i="3"/>
  <c r="G169" i="3"/>
  <c r="J168" i="3"/>
  <c r="I168" i="3"/>
  <c r="H168" i="3"/>
  <c r="G168" i="3"/>
  <c r="J167" i="3"/>
  <c r="I167" i="3"/>
  <c r="H167" i="3"/>
  <c r="G167" i="3"/>
  <c r="J166" i="3"/>
  <c r="I166" i="3"/>
  <c r="H166" i="3"/>
  <c r="G166" i="3"/>
  <c r="J165" i="3"/>
  <c r="I165" i="3"/>
  <c r="H165" i="3"/>
  <c r="G165" i="3"/>
  <c r="J164" i="3"/>
  <c r="I164" i="3"/>
  <c r="H164" i="3"/>
  <c r="G164" i="3"/>
  <c r="J163" i="3"/>
  <c r="I163" i="3"/>
  <c r="H163" i="3"/>
  <c r="G163" i="3"/>
  <c r="J162" i="3"/>
  <c r="I162" i="3"/>
  <c r="H162" i="3"/>
  <c r="G162" i="3"/>
  <c r="J161" i="3"/>
  <c r="I161" i="3"/>
  <c r="H161" i="3"/>
  <c r="G161" i="3"/>
  <c r="J160" i="3"/>
  <c r="I160" i="3"/>
  <c r="H160" i="3"/>
  <c r="G160" i="3"/>
  <c r="J159" i="3"/>
  <c r="I159" i="3"/>
  <c r="H159" i="3"/>
  <c r="G159" i="3"/>
  <c r="J158" i="3"/>
  <c r="I158" i="3"/>
  <c r="H158" i="3"/>
  <c r="G158" i="3"/>
  <c r="J157" i="3"/>
  <c r="I157" i="3"/>
  <c r="H157" i="3"/>
  <c r="G157" i="3"/>
  <c r="J156" i="3"/>
  <c r="I156" i="3"/>
  <c r="H156" i="3"/>
  <c r="G156" i="3"/>
  <c r="J155" i="3"/>
  <c r="I155" i="3"/>
  <c r="H155" i="3"/>
  <c r="G155" i="3"/>
  <c r="J154" i="3"/>
  <c r="I154" i="3"/>
  <c r="H154" i="3"/>
  <c r="G154" i="3"/>
  <c r="J153" i="3"/>
  <c r="I153" i="3"/>
  <c r="H153" i="3"/>
  <c r="G153" i="3"/>
  <c r="J152" i="3"/>
  <c r="I152" i="3"/>
  <c r="H152" i="3"/>
  <c r="G152" i="3"/>
  <c r="J151" i="3"/>
  <c r="I151" i="3"/>
  <c r="H151" i="3"/>
  <c r="G151" i="3"/>
  <c r="J150" i="3"/>
  <c r="I150" i="3"/>
  <c r="H150" i="3"/>
  <c r="G150" i="3"/>
  <c r="J149" i="3"/>
  <c r="I149" i="3"/>
  <c r="H149" i="3"/>
  <c r="G149" i="3"/>
  <c r="J148" i="3"/>
  <c r="I148" i="3"/>
  <c r="H148" i="3"/>
  <c r="G148" i="3"/>
  <c r="J147" i="3"/>
  <c r="I147" i="3"/>
  <c r="H147" i="3"/>
  <c r="G147" i="3"/>
  <c r="J146" i="3"/>
  <c r="I146" i="3"/>
  <c r="H146" i="3"/>
  <c r="G146" i="3"/>
  <c r="J145" i="3"/>
  <c r="I145" i="3"/>
  <c r="H145" i="3"/>
  <c r="G145" i="3"/>
  <c r="J144" i="3"/>
  <c r="I144" i="3"/>
  <c r="H144" i="3"/>
  <c r="G144" i="3"/>
  <c r="J143" i="3"/>
  <c r="I143" i="3"/>
  <c r="H143" i="3"/>
  <c r="G143" i="3"/>
  <c r="J142" i="3"/>
  <c r="I142" i="3"/>
  <c r="H142" i="3"/>
  <c r="G142" i="3"/>
  <c r="J141" i="3"/>
  <c r="I141" i="3"/>
  <c r="H141" i="3"/>
  <c r="G141" i="3"/>
  <c r="J140" i="3"/>
  <c r="I140" i="3"/>
  <c r="H140" i="3"/>
  <c r="G140" i="3"/>
  <c r="J139" i="3"/>
  <c r="I139" i="3"/>
  <c r="H139" i="3"/>
  <c r="G139" i="3"/>
  <c r="J138" i="3"/>
  <c r="I138" i="3"/>
  <c r="H138" i="3"/>
  <c r="G138" i="3"/>
  <c r="J137" i="3"/>
  <c r="I137" i="3"/>
  <c r="H137" i="3"/>
  <c r="G137" i="3"/>
  <c r="J136" i="3"/>
  <c r="I136" i="3"/>
  <c r="H136" i="3"/>
  <c r="G136" i="3"/>
  <c r="J135" i="3"/>
  <c r="I135" i="3"/>
  <c r="H135" i="3"/>
  <c r="G135" i="3"/>
  <c r="J134" i="3"/>
  <c r="I134" i="3"/>
  <c r="H134" i="3"/>
  <c r="G134" i="3"/>
  <c r="J133" i="3"/>
  <c r="I133" i="3"/>
  <c r="H133" i="3"/>
  <c r="G133" i="3"/>
  <c r="J132" i="3"/>
  <c r="I132" i="3"/>
  <c r="H132" i="3"/>
  <c r="G132" i="3"/>
  <c r="J131" i="3"/>
  <c r="I131" i="3"/>
  <c r="H131" i="3"/>
  <c r="G131" i="3"/>
  <c r="J130" i="3"/>
  <c r="I130" i="3"/>
  <c r="H130" i="3"/>
  <c r="G130" i="3"/>
  <c r="J129" i="3"/>
  <c r="I129" i="3"/>
  <c r="H129" i="3"/>
  <c r="G129" i="3"/>
  <c r="J128" i="3"/>
  <c r="I128" i="3"/>
  <c r="H128" i="3"/>
  <c r="G128" i="3"/>
  <c r="J127" i="3"/>
  <c r="I127" i="3"/>
  <c r="H127" i="3"/>
  <c r="G127" i="3"/>
  <c r="J126" i="3"/>
  <c r="I126" i="3"/>
  <c r="H126" i="3"/>
  <c r="G126" i="3"/>
  <c r="J125" i="3"/>
  <c r="I125" i="3"/>
  <c r="H125" i="3"/>
  <c r="G125" i="3"/>
  <c r="J124" i="3"/>
  <c r="I124" i="3"/>
  <c r="H124" i="3"/>
  <c r="G124" i="3"/>
  <c r="J123" i="3"/>
  <c r="I123" i="3"/>
  <c r="H123" i="3"/>
  <c r="G123" i="3"/>
  <c r="J122" i="3"/>
  <c r="I122" i="3"/>
  <c r="H122" i="3"/>
  <c r="G122" i="3"/>
  <c r="J121" i="3"/>
  <c r="I121" i="3"/>
  <c r="H121" i="3"/>
  <c r="G121" i="3"/>
  <c r="J120" i="3"/>
  <c r="I120" i="3"/>
  <c r="H120" i="3"/>
  <c r="G120" i="3"/>
  <c r="J119" i="3"/>
  <c r="I119" i="3"/>
  <c r="H119" i="3"/>
  <c r="G119" i="3"/>
  <c r="J118" i="3"/>
  <c r="I118" i="3"/>
  <c r="H118" i="3"/>
  <c r="G118" i="3"/>
  <c r="J117" i="3"/>
  <c r="I117" i="3"/>
  <c r="H117" i="3"/>
  <c r="G117" i="3"/>
  <c r="J116" i="3"/>
  <c r="I116" i="3"/>
  <c r="H116" i="3"/>
  <c r="G116" i="3"/>
  <c r="J115" i="3"/>
  <c r="I115" i="3"/>
  <c r="H115" i="3"/>
  <c r="G115" i="3"/>
  <c r="J114" i="3"/>
  <c r="I114" i="3"/>
  <c r="H114" i="3"/>
  <c r="G114" i="3"/>
  <c r="J113" i="3"/>
  <c r="I113" i="3"/>
  <c r="H113" i="3"/>
  <c r="G113" i="3"/>
  <c r="J112" i="3"/>
  <c r="I112" i="3"/>
  <c r="H112" i="3"/>
  <c r="G112" i="3"/>
  <c r="M111" i="3"/>
  <c r="L111" i="3"/>
  <c r="K111" i="3"/>
  <c r="J111" i="3"/>
  <c r="I111" i="3"/>
  <c r="H111" i="3"/>
  <c r="G111" i="3"/>
  <c r="J110" i="3"/>
  <c r="I110" i="3"/>
  <c r="H110" i="3"/>
  <c r="G110" i="3"/>
  <c r="J109" i="3"/>
  <c r="I109" i="3"/>
  <c r="H109" i="3"/>
  <c r="G109" i="3"/>
  <c r="J108" i="3"/>
  <c r="I108" i="3"/>
  <c r="H108" i="3"/>
  <c r="G108" i="3"/>
  <c r="J107" i="3"/>
  <c r="I107" i="3"/>
  <c r="H107" i="3"/>
  <c r="G107" i="3"/>
  <c r="J106" i="3"/>
  <c r="I106" i="3"/>
  <c r="H106" i="3"/>
  <c r="G106" i="3"/>
  <c r="J105" i="3"/>
  <c r="I105" i="3"/>
  <c r="H105" i="3"/>
  <c r="G105" i="3"/>
  <c r="J104" i="3"/>
  <c r="I104" i="3"/>
  <c r="H104" i="3"/>
  <c r="G104" i="3"/>
  <c r="J103" i="3"/>
  <c r="I103" i="3"/>
  <c r="H103" i="3"/>
  <c r="G103" i="3"/>
  <c r="J102" i="3"/>
  <c r="I102" i="3"/>
  <c r="H102" i="3"/>
  <c r="G102" i="3"/>
  <c r="J101" i="3"/>
  <c r="I101" i="3"/>
  <c r="H101" i="3"/>
  <c r="G101" i="3"/>
  <c r="J100" i="3"/>
  <c r="I100" i="3"/>
  <c r="H100" i="3"/>
  <c r="G100" i="3"/>
  <c r="J99" i="3"/>
  <c r="I99" i="3"/>
  <c r="H99" i="3"/>
  <c r="G99" i="3"/>
  <c r="J98" i="3"/>
  <c r="I98" i="3"/>
  <c r="H98" i="3"/>
  <c r="G98" i="3"/>
  <c r="J97" i="3"/>
  <c r="I97" i="3"/>
  <c r="H97" i="3"/>
  <c r="G97" i="3"/>
  <c r="J96" i="3"/>
  <c r="I96" i="3"/>
  <c r="H96" i="3"/>
  <c r="G96" i="3"/>
  <c r="J95" i="3"/>
  <c r="I95" i="3"/>
  <c r="H95" i="3"/>
  <c r="G95" i="3"/>
  <c r="J94" i="3"/>
  <c r="I94" i="3"/>
  <c r="H94" i="3"/>
  <c r="G94" i="3"/>
  <c r="J93" i="3"/>
  <c r="I93" i="3"/>
  <c r="H93" i="3"/>
  <c r="G93" i="3"/>
  <c r="J92" i="3"/>
  <c r="I92" i="3"/>
  <c r="H92" i="3"/>
  <c r="G92" i="3"/>
  <c r="J91" i="3"/>
  <c r="I91" i="3"/>
  <c r="H91" i="3"/>
  <c r="G91" i="3"/>
  <c r="J90" i="3"/>
  <c r="I90" i="3"/>
  <c r="H90" i="3"/>
  <c r="G90" i="3"/>
  <c r="J89" i="3"/>
  <c r="I89" i="3"/>
  <c r="H89" i="3"/>
  <c r="G89" i="3"/>
  <c r="J88" i="3"/>
  <c r="I88" i="3"/>
  <c r="H88" i="3"/>
  <c r="G88" i="3"/>
  <c r="J87" i="3"/>
  <c r="I87" i="3"/>
  <c r="H87" i="3"/>
  <c r="G87" i="3"/>
  <c r="J86" i="3"/>
  <c r="I86" i="3"/>
  <c r="H86" i="3"/>
  <c r="G86" i="3"/>
  <c r="J85" i="3"/>
  <c r="I85" i="3"/>
  <c r="H85" i="3"/>
  <c r="G85" i="3"/>
  <c r="J84" i="3"/>
  <c r="I84" i="3"/>
  <c r="H84" i="3"/>
  <c r="G84" i="3"/>
  <c r="J83" i="3"/>
  <c r="I83" i="3"/>
  <c r="H83" i="3"/>
  <c r="G83" i="3"/>
  <c r="J82" i="3"/>
  <c r="I82" i="3"/>
  <c r="H82" i="3"/>
  <c r="G82" i="3"/>
  <c r="J81" i="3"/>
  <c r="I81" i="3"/>
  <c r="H81" i="3"/>
  <c r="G81" i="3"/>
  <c r="J80" i="3"/>
  <c r="I80" i="3"/>
  <c r="H80" i="3"/>
  <c r="G80" i="3"/>
  <c r="J79" i="3"/>
  <c r="I79" i="3"/>
  <c r="H79" i="3"/>
  <c r="G79" i="3"/>
  <c r="J78" i="3"/>
  <c r="I78" i="3"/>
  <c r="H78" i="3"/>
  <c r="G78" i="3"/>
  <c r="J77" i="3"/>
  <c r="I77" i="3"/>
  <c r="H77" i="3"/>
  <c r="G77" i="3"/>
  <c r="J76" i="3"/>
  <c r="I76" i="3"/>
  <c r="H76" i="3"/>
  <c r="G76" i="3"/>
  <c r="J75" i="3"/>
  <c r="I75" i="3"/>
  <c r="H75" i="3"/>
  <c r="G75" i="3"/>
  <c r="J74" i="3"/>
  <c r="I74" i="3"/>
  <c r="H74" i="3"/>
  <c r="G74" i="3"/>
  <c r="J73" i="3"/>
  <c r="I73" i="3"/>
  <c r="H73" i="3"/>
  <c r="G73" i="3"/>
  <c r="J72" i="3"/>
  <c r="I72" i="3"/>
  <c r="H72" i="3"/>
  <c r="G72" i="3"/>
  <c r="J71" i="3"/>
  <c r="I71" i="3"/>
  <c r="H71" i="3"/>
  <c r="G71" i="3"/>
  <c r="J70" i="3"/>
  <c r="I70" i="3"/>
  <c r="H70" i="3"/>
  <c r="G70" i="3"/>
  <c r="J69" i="3"/>
  <c r="I69" i="3"/>
  <c r="H69" i="3"/>
  <c r="G69" i="3"/>
  <c r="J68" i="3"/>
  <c r="I68" i="3"/>
  <c r="H68" i="3"/>
  <c r="G68" i="3"/>
  <c r="J67" i="3"/>
  <c r="I67" i="3"/>
  <c r="H67" i="3"/>
  <c r="G67" i="3"/>
  <c r="J66" i="3"/>
  <c r="I66" i="3"/>
  <c r="H66" i="3"/>
  <c r="G66" i="3"/>
  <c r="J65" i="3"/>
  <c r="I65" i="3"/>
  <c r="H65" i="3"/>
  <c r="G65" i="3"/>
  <c r="J64" i="3"/>
  <c r="I64" i="3"/>
  <c r="H64" i="3"/>
  <c r="G64" i="3"/>
  <c r="J63" i="3"/>
  <c r="I63" i="3"/>
  <c r="H63" i="3"/>
  <c r="G63" i="3"/>
  <c r="J62" i="3"/>
  <c r="I62" i="3"/>
  <c r="H62" i="3"/>
  <c r="G62" i="3"/>
  <c r="J61" i="3"/>
  <c r="I61" i="3"/>
  <c r="H61" i="3"/>
  <c r="G61" i="3"/>
  <c r="J60" i="3"/>
  <c r="I60" i="3"/>
  <c r="H60" i="3"/>
  <c r="G60" i="3"/>
  <c r="J59" i="3"/>
  <c r="I59" i="3"/>
  <c r="H59" i="3"/>
  <c r="G59" i="3"/>
  <c r="J58" i="3"/>
  <c r="I58" i="3"/>
  <c r="H58" i="3"/>
  <c r="G58" i="3"/>
  <c r="J57" i="3"/>
  <c r="I57" i="3"/>
  <c r="H57" i="3"/>
  <c r="G57" i="3"/>
  <c r="J56" i="3"/>
  <c r="I56" i="3"/>
  <c r="H56" i="3"/>
  <c r="G56" i="3"/>
  <c r="J55" i="3"/>
  <c r="I55" i="3"/>
  <c r="H55" i="3"/>
  <c r="G55" i="3"/>
  <c r="J54" i="3"/>
  <c r="I54" i="3"/>
  <c r="H54" i="3"/>
  <c r="G54" i="3"/>
  <c r="J53" i="3"/>
  <c r="I53" i="3"/>
  <c r="H53" i="3"/>
  <c r="G53" i="3"/>
  <c r="J52" i="3"/>
  <c r="I52" i="3"/>
  <c r="H52" i="3"/>
  <c r="G52" i="3"/>
  <c r="J51" i="3"/>
  <c r="I51" i="3"/>
  <c r="H51" i="3"/>
  <c r="G51" i="3"/>
  <c r="J50" i="3"/>
  <c r="I50" i="3"/>
  <c r="H50" i="3"/>
  <c r="G50" i="3"/>
  <c r="J49" i="3"/>
  <c r="I49" i="3"/>
  <c r="H49" i="3"/>
  <c r="G49" i="3"/>
  <c r="J48" i="3"/>
  <c r="I48" i="3"/>
  <c r="H48" i="3"/>
  <c r="G48" i="3"/>
  <c r="J47" i="3"/>
  <c r="I47" i="3"/>
  <c r="H47" i="3"/>
  <c r="G47" i="3"/>
  <c r="J46" i="3"/>
  <c r="I46" i="3"/>
  <c r="H46" i="3"/>
  <c r="G46" i="3"/>
  <c r="J45" i="3"/>
  <c r="I45" i="3"/>
  <c r="H45" i="3"/>
  <c r="G45" i="3"/>
  <c r="J44" i="3"/>
  <c r="I44" i="3"/>
  <c r="H44" i="3"/>
  <c r="G44" i="3"/>
  <c r="J43" i="3"/>
  <c r="I43" i="3"/>
  <c r="H43" i="3"/>
  <c r="G43" i="3"/>
  <c r="J42" i="3"/>
  <c r="I42" i="3"/>
  <c r="H42" i="3"/>
  <c r="G42" i="3"/>
  <c r="J41" i="3"/>
  <c r="I41" i="3"/>
  <c r="H41" i="3"/>
  <c r="G41" i="3"/>
  <c r="J40" i="3"/>
  <c r="I40" i="3"/>
  <c r="H40" i="3"/>
  <c r="G40" i="3"/>
  <c r="J39" i="3"/>
  <c r="I39" i="3"/>
  <c r="H39" i="3"/>
  <c r="G39" i="3"/>
  <c r="J38" i="3"/>
  <c r="I38" i="3"/>
  <c r="H38" i="3"/>
  <c r="G38" i="3"/>
  <c r="J37" i="3"/>
  <c r="I37" i="3"/>
  <c r="H37" i="3"/>
  <c r="G37" i="3"/>
  <c r="J36" i="3"/>
  <c r="I36" i="3"/>
  <c r="H36" i="3"/>
  <c r="G36" i="3"/>
  <c r="J35" i="3"/>
  <c r="I35" i="3"/>
  <c r="H35" i="3"/>
  <c r="G35" i="3"/>
  <c r="J34" i="3"/>
  <c r="I34" i="3"/>
  <c r="H34" i="3"/>
  <c r="G34" i="3"/>
  <c r="J33" i="3"/>
  <c r="I33" i="3"/>
  <c r="H33" i="3"/>
  <c r="G33" i="3"/>
  <c r="J32" i="3"/>
  <c r="I32" i="3"/>
  <c r="H32" i="3"/>
  <c r="G32" i="3"/>
  <c r="J31" i="3"/>
  <c r="I31" i="3"/>
  <c r="H31" i="3"/>
  <c r="G31" i="3"/>
  <c r="J30" i="3"/>
  <c r="I30" i="3"/>
  <c r="H30" i="3"/>
  <c r="G30" i="3"/>
  <c r="J29" i="3"/>
  <c r="I29" i="3"/>
  <c r="H29" i="3"/>
  <c r="G29" i="3"/>
  <c r="I28" i="3"/>
  <c r="G28" i="3"/>
  <c r="I27" i="3"/>
  <c r="G27" i="3"/>
  <c r="I26" i="3"/>
  <c r="G26" i="3"/>
  <c r="I25" i="3"/>
  <c r="G25" i="3"/>
  <c r="I24" i="3"/>
  <c r="G24" i="3"/>
  <c r="I23" i="3"/>
  <c r="G23" i="3"/>
  <c r="I22" i="3"/>
  <c r="G22" i="3"/>
  <c r="I21" i="3"/>
  <c r="G21" i="3"/>
  <c r="I20" i="3"/>
  <c r="G20" i="3"/>
  <c r="I19" i="3"/>
  <c r="G19" i="3"/>
  <c r="I18" i="3"/>
  <c r="G18" i="3"/>
  <c r="I17" i="3"/>
  <c r="G17" i="3"/>
  <c r="I16" i="3"/>
  <c r="G16" i="3"/>
  <c r="I15" i="3"/>
  <c r="G15" i="3"/>
  <c r="I14" i="3"/>
  <c r="G14" i="3"/>
  <c r="I13" i="3"/>
  <c r="G13" i="3"/>
  <c r="J12" i="3"/>
  <c r="I12" i="3"/>
  <c r="H12" i="3"/>
  <c r="G12" i="3"/>
  <c r="J11" i="3"/>
  <c r="I11" i="3"/>
  <c r="H11" i="3"/>
  <c r="G11" i="3"/>
  <c r="J10" i="3"/>
  <c r="I10" i="3"/>
  <c r="H10" i="3"/>
  <c r="G10" i="3"/>
  <c r="J9" i="3"/>
  <c r="I9" i="3"/>
  <c r="H9" i="3"/>
  <c r="G9" i="3"/>
  <c r="J8" i="3"/>
  <c r="I8" i="3"/>
  <c r="H8" i="3"/>
  <c r="G8" i="3"/>
  <c r="I7" i="3"/>
  <c r="G7" i="3"/>
  <c r="J6" i="3"/>
  <c r="I6" i="3"/>
  <c r="H6" i="3"/>
  <c r="G6" i="3"/>
  <c r="J5" i="3"/>
  <c r="I5" i="3"/>
  <c r="H5" i="3"/>
  <c r="G5" i="3"/>
  <c r="J4" i="3"/>
  <c r="I4" i="3"/>
  <c r="H4" i="3"/>
  <c r="G4" i="3"/>
  <c r="J3" i="3"/>
  <c r="I3" i="3"/>
  <c r="H3" i="3"/>
  <c r="G3" i="3"/>
  <c r="J2" i="3"/>
  <c r="I2" i="3"/>
  <c r="H2" i="3"/>
  <c r="G2" i="3"/>
  <c r="G22" i="1" l="1"/>
  <c r="G27" i="1" s="1"/>
  <c r="E15" i="1"/>
  <c r="K15" i="1" s="1"/>
  <c r="B6" i="5"/>
  <c r="B7" i="5" s="1"/>
  <c r="B11" i="5" s="1"/>
  <c r="B21" i="5" s="1"/>
  <c r="B23" i="5" s="1"/>
  <c r="H28" i="3"/>
  <c r="M28" i="3" s="1"/>
  <c r="S33" i="4"/>
  <c r="H27" i="3"/>
  <c r="M27" i="3" s="1"/>
  <c r="S32" i="4"/>
  <c r="H26" i="3"/>
  <c r="M26" i="3" s="1"/>
  <c r="S31" i="4"/>
  <c r="S30" i="4"/>
  <c r="H25" i="3"/>
  <c r="M25" i="3" s="1"/>
  <c r="S29" i="4"/>
  <c r="H24" i="3"/>
  <c r="M24" i="3" s="1"/>
  <c r="S27" i="4"/>
  <c r="H23" i="3"/>
  <c r="M23" i="3" s="1"/>
  <c r="S25" i="4"/>
  <c r="H22" i="3"/>
  <c r="M22" i="3" s="1"/>
  <c r="S24" i="4"/>
  <c r="H21" i="3"/>
  <c r="M21" i="3" s="1"/>
  <c r="H14" i="3"/>
  <c r="M14" i="3" s="1"/>
  <c r="S23" i="4"/>
  <c r="S22" i="4"/>
  <c r="H20" i="3"/>
  <c r="M20" i="3" s="1"/>
  <c r="H19" i="3"/>
  <c r="M19" i="3" s="1"/>
  <c r="S21" i="4"/>
  <c r="S20" i="4"/>
  <c r="H7" i="3"/>
  <c r="M7" i="3" s="1"/>
  <c r="S19" i="4"/>
  <c r="H18" i="3"/>
  <c r="M18" i="3" s="1"/>
  <c r="S18" i="4"/>
  <c r="H17" i="3"/>
  <c r="M17" i="3" s="1"/>
  <c r="S17" i="4"/>
  <c r="H13" i="3"/>
  <c r="M13" i="3" s="1"/>
  <c r="H16" i="3"/>
  <c r="M16" i="3" s="1"/>
  <c r="S16" i="4"/>
  <c r="S15" i="4"/>
  <c r="H15" i="3"/>
  <c r="M15" i="3" s="1"/>
  <c r="L300" i="3"/>
  <c r="M300" i="3"/>
  <c r="K300" i="3"/>
  <c r="M299" i="3"/>
  <c r="K299" i="3"/>
  <c r="L299" i="3"/>
  <c r="L298" i="3"/>
  <c r="K298" i="3"/>
  <c r="M298" i="3"/>
  <c r="M297" i="3"/>
  <c r="L297" i="3"/>
  <c r="K297" i="3"/>
  <c r="M296" i="3"/>
  <c r="L296" i="3"/>
  <c r="K296" i="3"/>
  <c r="M295" i="3"/>
  <c r="L295" i="3"/>
  <c r="K295" i="3"/>
  <c r="L294" i="3"/>
  <c r="K294" i="3"/>
  <c r="M294" i="3"/>
  <c r="M293" i="3"/>
  <c r="K293" i="3"/>
  <c r="L293" i="3"/>
  <c r="M292" i="3"/>
  <c r="L292" i="3"/>
  <c r="K292" i="3"/>
  <c r="M291" i="3"/>
  <c r="K291" i="3"/>
  <c r="L291" i="3"/>
  <c r="K290" i="3"/>
  <c r="L290" i="3"/>
  <c r="M290" i="3"/>
  <c r="L289" i="3"/>
  <c r="M289" i="3"/>
  <c r="K289" i="3"/>
  <c r="M288" i="3"/>
  <c r="K288" i="3"/>
  <c r="L288" i="3"/>
  <c r="K287" i="3"/>
  <c r="L287" i="3"/>
  <c r="M287" i="3"/>
  <c r="M286" i="3"/>
  <c r="L286" i="3"/>
  <c r="K286" i="3"/>
  <c r="K285" i="3"/>
  <c r="L285" i="3"/>
  <c r="M285" i="3"/>
  <c r="M284" i="3"/>
  <c r="K284" i="3"/>
  <c r="L284" i="3"/>
  <c r="L283" i="3"/>
  <c r="M283" i="3"/>
  <c r="K283" i="3"/>
  <c r="M282" i="3"/>
  <c r="K282" i="3"/>
  <c r="L282" i="3"/>
  <c r="L281" i="3"/>
  <c r="K281" i="3"/>
  <c r="M281" i="3"/>
  <c r="M280" i="3"/>
  <c r="K280" i="3"/>
  <c r="L280" i="3"/>
  <c r="K279" i="3"/>
  <c r="L279" i="3"/>
  <c r="M279" i="3"/>
  <c r="M278" i="3"/>
  <c r="K278" i="3"/>
  <c r="L278" i="3"/>
  <c r="L277" i="3"/>
  <c r="M277" i="3"/>
  <c r="K277" i="3"/>
  <c r="M276" i="3"/>
  <c r="K276" i="3"/>
  <c r="L276" i="3"/>
  <c r="M275" i="3"/>
  <c r="K275" i="3"/>
  <c r="L275" i="3"/>
  <c r="L274" i="3"/>
  <c r="K274" i="3"/>
  <c r="M274" i="3"/>
  <c r="M273" i="3"/>
  <c r="K273" i="3"/>
  <c r="L273" i="3"/>
  <c r="K272" i="3"/>
  <c r="L272" i="3"/>
  <c r="M272" i="3"/>
  <c r="L271" i="3"/>
  <c r="M271" i="3"/>
  <c r="K271" i="3"/>
  <c r="K270" i="3"/>
  <c r="M270" i="3"/>
  <c r="L270" i="3"/>
  <c r="K269" i="3"/>
  <c r="M269" i="3"/>
  <c r="L269" i="3"/>
  <c r="K268" i="3"/>
  <c r="L268" i="3"/>
  <c r="M268" i="3"/>
  <c r="K267" i="3"/>
  <c r="M267" i="3"/>
  <c r="L267" i="3"/>
  <c r="M266" i="3"/>
  <c r="K266" i="3"/>
  <c r="L266" i="3"/>
  <c r="K265" i="3"/>
  <c r="L265" i="3"/>
  <c r="M265" i="3"/>
  <c r="M264" i="3"/>
  <c r="K264" i="3"/>
  <c r="L264" i="3"/>
  <c r="K263" i="3"/>
  <c r="M263" i="3"/>
  <c r="L263" i="3"/>
  <c r="L262" i="3"/>
  <c r="M262" i="3"/>
  <c r="K262" i="3"/>
  <c r="M261" i="3"/>
  <c r="L261" i="3"/>
  <c r="K261" i="3"/>
  <c r="K260" i="3"/>
  <c r="M260" i="3"/>
  <c r="L260" i="3"/>
  <c r="K259" i="3"/>
  <c r="M259" i="3"/>
  <c r="L259" i="3"/>
  <c r="L258" i="3"/>
  <c r="K258" i="3"/>
  <c r="M258" i="3"/>
  <c r="M257" i="3"/>
  <c r="L257" i="3"/>
  <c r="K257" i="3"/>
  <c r="M256" i="3"/>
  <c r="L256" i="3"/>
  <c r="K256" i="3"/>
  <c r="K255" i="3"/>
  <c r="M255" i="3"/>
  <c r="L255" i="3"/>
  <c r="K254" i="3"/>
  <c r="L254" i="3"/>
  <c r="M254" i="3"/>
  <c r="M253" i="3"/>
  <c r="L253" i="3"/>
  <c r="K253" i="3"/>
  <c r="L252" i="3"/>
  <c r="M252" i="3"/>
  <c r="K252" i="3"/>
  <c r="L251" i="3"/>
  <c r="K251" i="3"/>
  <c r="M251" i="3"/>
  <c r="K250" i="3"/>
  <c r="L250" i="3"/>
  <c r="M250" i="3"/>
  <c r="L249" i="3"/>
  <c r="K249" i="3"/>
  <c r="M249" i="3"/>
  <c r="K248" i="3"/>
  <c r="M248" i="3"/>
  <c r="L248" i="3"/>
  <c r="L247" i="3"/>
  <c r="K247" i="3"/>
  <c r="M247" i="3"/>
  <c r="K246" i="3"/>
  <c r="M246" i="3"/>
  <c r="L246" i="3"/>
  <c r="K245" i="3"/>
  <c r="L245" i="3"/>
  <c r="M245" i="3"/>
  <c r="M244" i="3"/>
  <c r="L244" i="3"/>
  <c r="K244" i="3"/>
  <c r="K243" i="3"/>
  <c r="L243" i="3"/>
  <c r="M243" i="3"/>
  <c r="K242" i="3"/>
  <c r="L242" i="3"/>
  <c r="M242" i="3"/>
  <c r="M241" i="3"/>
  <c r="K241" i="3"/>
  <c r="L241" i="3"/>
  <c r="M240" i="3"/>
  <c r="K240" i="3"/>
  <c r="L240" i="3"/>
  <c r="M239" i="3"/>
  <c r="K239" i="3"/>
  <c r="L239" i="3"/>
  <c r="K238" i="3"/>
  <c r="M238" i="3"/>
  <c r="L238" i="3"/>
  <c r="K237" i="3"/>
  <c r="L237" i="3"/>
  <c r="M237" i="3"/>
  <c r="L236" i="3"/>
  <c r="M236" i="3"/>
  <c r="K236" i="3"/>
  <c r="M235" i="3"/>
  <c r="K235" i="3"/>
  <c r="L235" i="3"/>
  <c r="M234" i="3"/>
  <c r="K234" i="3"/>
  <c r="L234" i="3"/>
  <c r="K233" i="3"/>
  <c r="M233" i="3"/>
  <c r="L233" i="3"/>
  <c r="M232" i="3"/>
  <c r="L232" i="3"/>
  <c r="K232" i="3"/>
  <c r="L231" i="3"/>
  <c r="M231" i="3"/>
  <c r="M230" i="3"/>
  <c r="K230" i="3"/>
  <c r="L230" i="3"/>
  <c r="L229" i="3"/>
  <c r="K229" i="3"/>
  <c r="M229" i="3"/>
  <c r="K228" i="3"/>
  <c r="L228" i="3"/>
  <c r="M228" i="3"/>
  <c r="M227" i="3"/>
  <c r="K227" i="3"/>
  <c r="L227" i="3"/>
  <c r="L226" i="3"/>
  <c r="K226" i="3"/>
  <c r="M226" i="3"/>
  <c r="L225" i="3"/>
  <c r="M225" i="3"/>
  <c r="K225" i="3"/>
  <c r="M224" i="3"/>
  <c r="K224" i="3"/>
  <c r="L224" i="3"/>
  <c r="K223" i="3"/>
  <c r="M223" i="3"/>
  <c r="L223" i="3"/>
  <c r="K222" i="3"/>
  <c r="M222" i="3"/>
  <c r="L222" i="3"/>
  <c r="L221" i="3"/>
  <c r="K221" i="3"/>
  <c r="M221" i="3"/>
  <c r="M219" i="3"/>
  <c r="L219" i="3"/>
  <c r="K219" i="3"/>
  <c r="L218" i="3"/>
  <c r="M218" i="3"/>
  <c r="K218" i="3"/>
  <c r="M217" i="3"/>
  <c r="K217" i="3"/>
  <c r="L217" i="3"/>
  <c r="K216" i="3"/>
  <c r="L216" i="3"/>
  <c r="M216" i="3"/>
  <c r="K215" i="3"/>
  <c r="L215" i="3"/>
  <c r="M215" i="3"/>
  <c r="K214" i="3"/>
  <c r="L214" i="3"/>
  <c r="M214" i="3"/>
  <c r="K213" i="3"/>
  <c r="L213" i="3"/>
  <c r="M213" i="3"/>
  <c r="K212" i="3"/>
  <c r="M212" i="3"/>
  <c r="L212" i="3"/>
  <c r="M211" i="3"/>
  <c r="L211" i="3"/>
  <c r="K211" i="3"/>
  <c r="K210" i="3"/>
  <c r="L210" i="3"/>
  <c r="M210" i="3"/>
  <c r="K209" i="3"/>
  <c r="L209" i="3"/>
  <c r="M209" i="3"/>
  <c r="K208" i="3"/>
  <c r="L208" i="3"/>
  <c r="M208" i="3"/>
  <c r="L207" i="3"/>
  <c r="K207" i="3"/>
  <c r="M207" i="3"/>
  <c r="L206" i="3"/>
  <c r="M206" i="3"/>
  <c r="K206" i="3"/>
  <c r="M205" i="3"/>
  <c r="K205" i="3"/>
  <c r="L205" i="3"/>
  <c r="K204" i="3"/>
  <c r="L204" i="3"/>
  <c r="M204" i="3"/>
  <c r="K203" i="3"/>
  <c r="L203" i="3"/>
  <c r="M203" i="3"/>
  <c r="M202" i="3"/>
  <c r="L202" i="3"/>
  <c r="K202" i="3"/>
  <c r="K201" i="3"/>
  <c r="M201" i="3"/>
  <c r="L201" i="3"/>
  <c r="M200" i="3"/>
  <c r="K200" i="3"/>
  <c r="L200" i="3"/>
  <c r="M199" i="3"/>
  <c r="L199" i="3"/>
  <c r="K199" i="3"/>
  <c r="M198" i="3"/>
  <c r="L198" i="3"/>
  <c r="K198" i="3"/>
  <c r="L197" i="3"/>
  <c r="M197" i="3"/>
  <c r="K197" i="3"/>
  <c r="M196" i="3"/>
  <c r="L196" i="3"/>
  <c r="K196" i="3"/>
  <c r="L195" i="3"/>
  <c r="M195" i="3"/>
  <c r="K195" i="3"/>
  <c r="L194" i="3"/>
  <c r="K194" i="3"/>
  <c r="M194" i="3"/>
  <c r="M193" i="3"/>
  <c r="L193" i="3"/>
  <c r="K193" i="3"/>
  <c r="M192" i="3"/>
  <c r="L192" i="3"/>
  <c r="K192" i="3"/>
  <c r="M191" i="3"/>
  <c r="L191" i="3"/>
  <c r="K191" i="3"/>
  <c r="M190" i="3"/>
  <c r="L190" i="3"/>
  <c r="K190" i="3"/>
  <c r="M189" i="3"/>
  <c r="L189" i="3"/>
  <c r="K189" i="3"/>
  <c r="M188" i="3"/>
  <c r="L188" i="3"/>
  <c r="K188" i="3"/>
  <c r="M187" i="3"/>
  <c r="L187" i="3"/>
  <c r="K187" i="3"/>
  <c r="M186" i="3"/>
  <c r="L186" i="3"/>
  <c r="K186" i="3"/>
  <c r="M185" i="3"/>
  <c r="L185" i="3"/>
  <c r="K185" i="3"/>
  <c r="M184" i="3"/>
  <c r="L184" i="3"/>
  <c r="K184" i="3"/>
  <c r="M183" i="3"/>
  <c r="L183" i="3"/>
  <c r="K183" i="3"/>
  <c r="M182" i="3"/>
  <c r="L182" i="3"/>
  <c r="K182" i="3"/>
  <c r="M181" i="3"/>
  <c r="L181" i="3"/>
  <c r="K181" i="3"/>
  <c r="M180" i="3"/>
  <c r="L180" i="3"/>
  <c r="K180" i="3"/>
  <c r="M179" i="3"/>
  <c r="L179" i="3"/>
  <c r="K179" i="3"/>
  <c r="M178" i="3"/>
  <c r="L178" i="3"/>
  <c r="K178" i="3"/>
  <c r="M177" i="3"/>
  <c r="L177" i="3"/>
  <c r="K177" i="3"/>
  <c r="M176" i="3"/>
  <c r="L176" i="3"/>
  <c r="K176" i="3"/>
  <c r="M175" i="3"/>
  <c r="L175" i="3"/>
  <c r="K175" i="3"/>
  <c r="M174" i="3"/>
  <c r="L174" i="3"/>
  <c r="K174" i="3"/>
  <c r="M173" i="3"/>
  <c r="L173" i="3"/>
  <c r="K173" i="3"/>
  <c r="M172" i="3"/>
  <c r="L172" i="3"/>
  <c r="K172" i="3"/>
  <c r="M171" i="3"/>
  <c r="L171" i="3"/>
  <c r="K171" i="3"/>
  <c r="M170" i="3"/>
  <c r="L170" i="3"/>
  <c r="K170" i="3"/>
  <c r="M169" i="3"/>
  <c r="L169" i="3"/>
  <c r="K169" i="3"/>
  <c r="M168" i="3"/>
  <c r="L168" i="3"/>
  <c r="K168" i="3"/>
  <c r="M167" i="3"/>
  <c r="L167" i="3"/>
  <c r="K167" i="3"/>
  <c r="M166" i="3"/>
  <c r="L166" i="3"/>
  <c r="K166" i="3"/>
  <c r="M165" i="3"/>
  <c r="L165" i="3"/>
  <c r="K165" i="3"/>
  <c r="M164" i="3"/>
  <c r="L164" i="3"/>
  <c r="K164" i="3"/>
  <c r="M163" i="3"/>
  <c r="L163" i="3"/>
  <c r="K163" i="3"/>
  <c r="M162" i="3"/>
  <c r="K162" i="3"/>
  <c r="L162" i="3"/>
  <c r="K161" i="3"/>
  <c r="L161" i="3"/>
  <c r="M161" i="3"/>
  <c r="K160" i="3"/>
  <c r="L160" i="3"/>
  <c r="M160" i="3"/>
  <c r="M159" i="3"/>
  <c r="L159" i="3"/>
  <c r="K159" i="3"/>
  <c r="M158" i="3"/>
  <c r="L158" i="3"/>
  <c r="K158" i="3"/>
  <c r="M157" i="3"/>
  <c r="L157" i="3"/>
  <c r="K157" i="3"/>
  <c r="M156" i="3"/>
  <c r="K156" i="3"/>
  <c r="L156" i="3"/>
  <c r="M155" i="3"/>
  <c r="L155" i="3"/>
  <c r="K155" i="3"/>
  <c r="M154" i="3"/>
  <c r="K154" i="3"/>
  <c r="L154" i="3"/>
  <c r="K153" i="3"/>
  <c r="M153" i="3"/>
  <c r="L153" i="3"/>
  <c r="L152" i="3"/>
  <c r="M152" i="3"/>
  <c r="K152" i="3"/>
  <c r="K151" i="3"/>
  <c r="L151" i="3"/>
  <c r="M151" i="3"/>
  <c r="M150" i="3"/>
  <c r="L150" i="3"/>
  <c r="K150" i="3"/>
  <c r="M149" i="3"/>
  <c r="L149" i="3"/>
  <c r="K149" i="3"/>
  <c r="L148" i="3"/>
  <c r="K148" i="3"/>
  <c r="M148" i="3"/>
  <c r="K147" i="3"/>
  <c r="L147" i="3"/>
  <c r="M147" i="3"/>
  <c r="K146" i="3"/>
  <c r="L146" i="3"/>
  <c r="M146" i="3"/>
  <c r="M145" i="3"/>
  <c r="K145" i="3"/>
  <c r="L145" i="3"/>
  <c r="K144" i="3"/>
  <c r="L144" i="3"/>
  <c r="M144" i="3"/>
  <c r="K143" i="3"/>
  <c r="L143" i="3"/>
  <c r="M143" i="3"/>
  <c r="K142" i="3"/>
  <c r="L142" i="3"/>
  <c r="M142" i="3"/>
  <c r="K141" i="3"/>
  <c r="L141" i="3"/>
  <c r="M141" i="3"/>
  <c r="M140" i="3"/>
  <c r="K140" i="3"/>
  <c r="L140" i="3"/>
  <c r="M139" i="3"/>
  <c r="L139" i="3"/>
  <c r="K139" i="3"/>
  <c r="M138" i="3"/>
  <c r="L138" i="3"/>
  <c r="K138" i="3"/>
  <c r="M137" i="3"/>
  <c r="L137" i="3"/>
  <c r="K137" i="3"/>
  <c r="K136" i="3"/>
  <c r="M136" i="3"/>
  <c r="L136" i="3"/>
  <c r="L135" i="3"/>
  <c r="K135" i="3"/>
  <c r="M135" i="3"/>
  <c r="K134" i="3"/>
  <c r="L134" i="3"/>
  <c r="M134" i="3"/>
  <c r="K133" i="3"/>
  <c r="L133" i="3"/>
  <c r="M133" i="3"/>
  <c r="K132" i="3"/>
  <c r="M132" i="3"/>
  <c r="L132" i="3"/>
  <c r="M131" i="3"/>
  <c r="L131" i="3"/>
  <c r="K131" i="3"/>
  <c r="K130" i="3"/>
  <c r="M130" i="3"/>
  <c r="L130" i="3"/>
  <c r="K129" i="3"/>
  <c r="L129" i="3"/>
  <c r="M129" i="3"/>
  <c r="L128" i="3"/>
  <c r="M128" i="3"/>
  <c r="K128" i="3"/>
  <c r="K127" i="3"/>
  <c r="L127" i="3"/>
  <c r="M127" i="3"/>
  <c r="M126" i="3"/>
  <c r="K126" i="3"/>
  <c r="L126" i="3"/>
  <c r="M125" i="3"/>
  <c r="L125" i="3"/>
  <c r="K125" i="3"/>
  <c r="M124" i="3"/>
  <c r="L124" i="3"/>
  <c r="K124" i="3"/>
  <c r="M123" i="3"/>
  <c r="L123" i="3"/>
  <c r="K123" i="3"/>
  <c r="K122" i="3"/>
  <c r="M122" i="3"/>
  <c r="L122" i="3"/>
  <c r="K121" i="3"/>
  <c r="M121" i="3"/>
  <c r="L121" i="3"/>
  <c r="M120" i="3"/>
  <c r="L120" i="3"/>
  <c r="K120" i="3"/>
  <c r="K119" i="3"/>
  <c r="L119" i="3"/>
  <c r="M119" i="3"/>
  <c r="M118" i="3"/>
  <c r="K118" i="3"/>
  <c r="L118" i="3"/>
  <c r="K117" i="3"/>
  <c r="M117" i="3"/>
  <c r="L117" i="3"/>
  <c r="K116" i="3"/>
  <c r="L116" i="3"/>
  <c r="M116" i="3"/>
  <c r="K115" i="3"/>
  <c r="L115" i="3"/>
  <c r="M115" i="3"/>
  <c r="K114" i="3"/>
  <c r="L114" i="3"/>
  <c r="M114" i="3"/>
  <c r="M113" i="3"/>
  <c r="K113" i="3"/>
  <c r="L113" i="3"/>
  <c r="K112" i="3"/>
  <c r="L112" i="3"/>
  <c r="M112" i="3"/>
  <c r="K110" i="3"/>
  <c r="L110" i="3"/>
  <c r="M110" i="3"/>
  <c r="M109" i="3"/>
  <c r="L109" i="3"/>
  <c r="K109" i="3"/>
  <c r="L108" i="3"/>
  <c r="K108" i="3"/>
  <c r="M108" i="3"/>
  <c r="M107" i="3"/>
  <c r="K107" i="3"/>
  <c r="L107" i="3"/>
  <c r="M106" i="3"/>
  <c r="L106" i="3"/>
  <c r="K106" i="3"/>
  <c r="M105" i="3"/>
  <c r="K105" i="3"/>
  <c r="L105" i="3"/>
  <c r="K104" i="3"/>
  <c r="L104" i="3"/>
  <c r="M104" i="3"/>
  <c r="K103" i="3"/>
  <c r="L103" i="3"/>
  <c r="M103" i="3"/>
  <c r="L102" i="3"/>
  <c r="K102" i="3"/>
  <c r="M102" i="3"/>
  <c r="M101" i="3"/>
  <c r="L101" i="3"/>
  <c r="K101" i="3"/>
  <c r="L100" i="3"/>
  <c r="M100" i="3"/>
  <c r="K100" i="3"/>
  <c r="M99" i="3"/>
  <c r="L99" i="3"/>
  <c r="K99" i="3"/>
  <c r="K98" i="3"/>
  <c r="L98" i="3"/>
  <c r="M98" i="3"/>
  <c r="K97" i="3"/>
  <c r="L97" i="3"/>
  <c r="M97" i="3"/>
  <c r="L96" i="3"/>
  <c r="M96" i="3"/>
  <c r="K96" i="3"/>
  <c r="M95" i="3"/>
  <c r="K95" i="3"/>
  <c r="L95" i="3"/>
  <c r="K94" i="3"/>
  <c r="L94" i="3"/>
  <c r="M94" i="3"/>
  <c r="K93" i="3"/>
  <c r="L93" i="3"/>
  <c r="M93" i="3"/>
  <c r="L92" i="3"/>
  <c r="M92" i="3"/>
  <c r="K92" i="3"/>
  <c r="M91" i="3"/>
  <c r="L91" i="3"/>
  <c r="K91" i="3"/>
  <c r="M90" i="3"/>
  <c r="L90" i="3"/>
  <c r="K90" i="3"/>
  <c r="M89" i="3"/>
  <c r="L89" i="3"/>
  <c r="K89" i="3"/>
  <c r="L88" i="3"/>
  <c r="K88" i="3"/>
  <c r="M88" i="3"/>
  <c r="M87" i="3"/>
  <c r="L87" i="3"/>
  <c r="K87" i="3"/>
  <c r="K86" i="3"/>
  <c r="M86" i="3"/>
  <c r="L86" i="3"/>
  <c r="M85" i="3"/>
  <c r="L85" i="3"/>
  <c r="K85" i="3"/>
  <c r="M84" i="3"/>
  <c r="L84" i="3"/>
  <c r="K84" i="3"/>
  <c r="M83" i="3"/>
  <c r="L83" i="3"/>
  <c r="K83" i="3"/>
  <c r="L82" i="3"/>
  <c r="M82" i="3"/>
  <c r="K82" i="3"/>
  <c r="K81" i="3"/>
  <c r="L81" i="3"/>
  <c r="M81" i="3"/>
  <c r="K80" i="3"/>
  <c r="L80" i="3"/>
  <c r="M80" i="3"/>
  <c r="M79" i="3"/>
  <c r="L79" i="3"/>
  <c r="K79" i="3"/>
  <c r="M78" i="3"/>
  <c r="L78" i="3"/>
  <c r="K78" i="3"/>
  <c r="K77" i="3"/>
  <c r="M77" i="3"/>
  <c r="L77" i="3"/>
  <c r="L76" i="3"/>
  <c r="K76" i="3"/>
  <c r="M76" i="3"/>
  <c r="K75" i="3"/>
  <c r="L75" i="3"/>
  <c r="M75" i="3"/>
  <c r="K74" i="3"/>
  <c r="L74" i="3"/>
  <c r="M74" i="3"/>
  <c r="M73" i="3"/>
  <c r="L73" i="3"/>
  <c r="K73" i="3"/>
  <c r="M72" i="3"/>
  <c r="L72" i="3"/>
  <c r="K72" i="3"/>
  <c r="M71" i="3"/>
  <c r="L71" i="3"/>
  <c r="K71" i="3"/>
  <c r="L70" i="3"/>
  <c r="M70" i="3"/>
  <c r="K70" i="3"/>
  <c r="M69" i="3"/>
  <c r="L69" i="3"/>
  <c r="K69" i="3"/>
  <c r="M68" i="3"/>
  <c r="L68" i="3"/>
  <c r="K68" i="3"/>
  <c r="M67" i="3"/>
  <c r="L67" i="3"/>
  <c r="K67" i="3"/>
  <c r="M66" i="3"/>
  <c r="L66" i="3"/>
  <c r="K66" i="3"/>
  <c r="M65" i="3"/>
  <c r="L65" i="3"/>
  <c r="K65" i="3"/>
  <c r="M64" i="3"/>
  <c r="L64" i="3"/>
  <c r="K64" i="3"/>
  <c r="L63" i="3"/>
  <c r="M63" i="3"/>
  <c r="K63" i="3"/>
  <c r="L62" i="3"/>
  <c r="M62" i="3"/>
  <c r="K62" i="3"/>
  <c r="M61" i="3"/>
  <c r="L61" i="3"/>
  <c r="K61" i="3"/>
  <c r="M60" i="3"/>
  <c r="L60" i="3"/>
  <c r="K60" i="3"/>
  <c r="M59" i="3"/>
  <c r="K59" i="3"/>
  <c r="L59" i="3"/>
  <c r="K58" i="3"/>
  <c r="L58" i="3"/>
  <c r="M58" i="3"/>
  <c r="K57" i="3"/>
  <c r="L57" i="3"/>
  <c r="M57" i="3"/>
  <c r="M56" i="3"/>
  <c r="L56" i="3"/>
  <c r="K56" i="3"/>
  <c r="M55" i="3"/>
  <c r="L55" i="3"/>
  <c r="K55" i="3"/>
  <c r="M54" i="3"/>
  <c r="L54" i="3"/>
  <c r="K54" i="3"/>
  <c r="M53" i="3"/>
  <c r="L53" i="3"/>
  <c r="K53" i="3"/>
  <c r="M52" i="3"/>
  <c r="L52" i="3"/>
  <c r="K52" i="3"/>
  <c r="K51" i="3"/>
  <c r="L51" i="3"/>
  <c r="M51" i="3"/>
  <c r="K50" i="3"/>
  <c r="M50" i="3"/>
  <c r="L50" i="3"/>
  <c r="M49" i="3"/>
  <c r="L49" i="3"/>
  <c r="K49" i="3"/>
  <c r="M48" i="3"/>
  <c r="L48" i="3"/>
  <c r="K48" i="3"/>
  <c r="K47" i="3"/>
  <c r="M47" i="3"/>
  <c r="L47" i="3"/>
  <c r="K46" i="3"/>
  <c r="M46" i="3"/>
  <c r="L46" i="3"/>
  <c r="M45" i="3"/>
  <c r="L45" i="3"/>
  <c r="K45" i="3"/>
  <c r="M44" i="3"/>
  <c r="L44" i="3"/>
  <c r="K44" i="3"/>
  <c r="M43" i="3"/>
  <c r="L43" i="3"/>
  <c r="K43" i="3"/>
  <c r="M42" i="3"/>
  <c r="L42" i="3"/>
  <c r="K42" i="3"/>
  <c r="M41" i="3"/>
  <c r="L41" i="3"/>
  <c r="K41" i="3"/>
  <c r="L40" i="3"/>
  <c r="M40" i="3"/>
  <c r="K40" i="3"/>
  <c r="M39" i="3"/>
  <c r="L39" i="3"/>
  <c r="K39" i="3"/>
  <c r="M38" i="3"/>
  <c r="L38" i="3"/>
  <c r="K38" i="3"/>
  <c r="M37" i="3"/>
  <c r="K37" i="3"/>
  <c r="L37" i="3"/>
  <c r="K36" i="3"/>
  <c r="L36" i="3"/>
  <c r="M36" i="3"/>
  <c r="K35" i="3"/>
  <c r="L35" i="3"/>
  <c r="M35" i="3"/>
  <c r="M34" i="3"/>
  <c r="L34" i="3"/>
  <c r="K34" i="3"/>
  <c r="M33" i="3"/>
  <c r="L33" i="3"/>
  <c r="K33" i="3"/>
  <c r="K32" i="3"/>
  <c r="M32" i="3"/>
  <c r="L32" i="3"/>
  <c r="K31" i="3"/>
  <c r="L31" i="3"/>
  <c r="M31" i="3"/>
  <c r="K30" i="3"/>
  <c r="L30" i="3"/>
  <c r="M30" i="3"/>
  <c r="K29" i="3"/>
  <c r="M29" i="3"/>
  <c r="L29" i="3"/>
  <c r="L28" i="3"/>
  <c r="K28" i="3"/>
  <c r="L27" i="3"/>
  <c r="K27" i="3"/>
  <c r="L26" i="3"/>
  <c r="K26" i="3"/>
  <c r="L25" i="3"/>
  <c r="K25" i="3"/>
  <c r="L24" i="3"/>
  <c r="K24" i="3"/>
  <c r="K23" i="3"/>
  <c r="L23" i="3"/>
  <c r="L22" i="3"/>
  <c r="K22" i="3"/>
  <c r="K21" i="3"/>
  <c r="L21" i="3"/>
  <c r="K20" i="3"/>
  <c r="L20" i="3"/>
  <c r="L19" i="3"/>
  <c r="K19" i="3"/>
  <c r="K18" i="3"/>
  <c r="L18" i="3"/>
  <c r="L17" i="3"/>
  <c r="K17" i="3"/>
  <c r="L16" i="3"/>
  <c r="K16" i="3"/>
  <c r="L15" i="3"/>
  <c r="K15" i="3"/>
  <c r="L14" i="3"/>
  <c r="K14" i="3"/>
  <c r="K13" i="3"/>
  <c r="L13" i="3"/>
  <c r="L12" i="3"/>
  <c r="K12" i="3"/>
  <c r="M12" i="3"/>
  <c r="M11" i="3"/>
  <c r="L11" i="3"/>
  <c r="K11" i="3"/>
  <c r="K10" i="3"/>
  <c r="M10" i="3"/>
  <c r="L10" i="3"/>
  <c r="M9" i="3"/>
  <c r="L9" i="3"/>
  <c r="K9" i="3"/>
  <c r="L8" i="3"/>
  <c r="K8" i="3"/>
  <c r="M8" i="3"/>
  <c r="K7" i="3"/>
  <c r="L7" i="3"/>
  <c r="K6" i="3"/>
  <c r="L6" i="3"/>
  <c r="M6" i="3"/>
  <c r="L5" i="3"/>
  <c r="K5" i="3"/>
  <c r="M5" i="3"/>
  <c r="M4" i="3"/>
  <c r="L4" i="3"/>
  <c r="K4" i="3"/>
  <c r="M3" i="3"/>
  <c r="K3" i="3"/>
  <c r="L3" i="3"/>
  <c r="M2" i="3"/>
  <c r="L2" i="3"/>
  <c r="K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Una fila por alumna. AZUL = lo escribes tú. GRIS = fórmula automática.
Estado: Nueva = 1 inscripción en paquete; Recurrente = 2 o más; Sin paquete = solo clases sueltas/alquiler.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rFont val="Arial"/>
            <family val="2"/>
          </rPr>
          <t>AZUL = lo escribes tú (o la app). GRIS = fórmula automática, no la borres.
Alumna: escríbela igual que en la hoja 🎓 Alumnas (si es nueva, agrégala primero allá).
Tipo: Paquete / Clase suelta / Alquiler se deduce del Concepto.
N° de inscripción cuenta solo los Paquetes.</t>
        </r>
      </text>
    </comment>
  </commentList>
</comments>
</file>

<file path=xl/sharedStrings.xml><?xml version="1.0" encoding="utf-8"?>
<sst xmlns="http://schemas.openxmlformats.org/spreadsheetml/2006/main" count="2139" uniqueCount="1316">
  <si>
    <t>PANEL DE CONTROL E INVENTARIOS - POLE DANCE ACADEMY</t>
  </si>
  <si>
    <t>⚡ CONSULTA RÁPIDA DE PRODUCTO Y CONSECUTIVO</t>
  </si>
  <si>
    <t>Escribe el Código de Prenda:</t>
  </si>
  <si>
    <t>TM</t>
  </si>
  <si>
    <t>Descripción del Producto:</t>
  </si>
  <si>
    <t>Talla:</t>
  </si>
  <si>
    <t>Precio de Venta Unitario:</t>
  </si>
  <si>
    <t>Existencias Actuales (Stock):</t>
  </si>
  <si>
    <t>Total Unidades Vendidas:</t>
  </si>
  <si>
    <t>PRÓXIMO CONSECUTIVO DE VENTA:</t>
  </si>
  <si>
    <t>RESUMEN GENERAL ACADEMIA</t>
  </si>
  <si>
    <t>UNIDADES EN STOCK</t>
  </si>
  <si>
    <t>VALOR INVENTARIO ROPA</t>
  </si>
  <si>
    <t>VENTAS TOTALES ($)</t>
  </si>
  <si>
    <t>VALOR ACTIVOS FIJOS ($)</t>
  </si>
  <si>
    <t>GASTOS TOTALES ($)</t>
  </si>
  <si>
    <t>BALANCE NETO ($)</t>
  </si>
  <si>
    <t>VENTAS POR TIPO DE PRENDA</t>
  </si>
  <si>
    <t>VENTAS POR MÉTODO DE PAGO</t>
  </si>
  <si>
    <t>Tipo Prenda</t>
  </si>
  <si>
    <t>Unidades Vendidas</t>
  </si>
  <si>
    <t>Total Recaudado ($)</t>
  </si>
  <si>
    <t>Método Pago</t>
  </si>
  <si>
    <t>N° Transacciones</t>
  </si>
  <si>
    <t>Total ($)</t>
  </si>
  <si>
    <t>Short (S)</t>
  </si>
  <si>
    <t>Nequi</t>
  </si>
  <si>
    <t>Pantalón (P)</t>
  </si>
  <si>
    <t>Daviplata</t>
  </si>
  <si>
    <t>Top/Sujetador (T)</t>
  </si>
  <si>
    <t>Efectivo</t>
  </si>
  <si>
    <t>Body (B)</t>
  </si>
  <si>
    <t>Transferencia Bancaria</t>
  </si>
  <si>
    <t>Accesorio (A)</t>
  </si>
  <si>
    <t>Tarjeta Débito/Crédito</t>
  </si>
  <si>
    <t>TOTALES</t>
  </si>
  <si>
    <t>RESUMEN DINÁMICO</t>
  </si>
  <si>
    <t>Estas tablas se recalculan solas a partir de Gastos y Ventas. No las edites directamente.</t>
  </si>
  <si>
    <t>GASTOS POR CATEGORÍA</t>
  </si>
  <si>
    <t>GASTOS POR MÉTODO DE PAGO</t>
  </si>
  <si>
    <t>Categoría</t>
  </si>
  <si>
    <t>N° Registros</t>
  </si>
  <si>
    <t>Arriendo</t>
  </si>
  <si>
    <t>Servicios Públicos</t>
  </si>
  <si>
    <t>Nómina / Personal</t>
  </si>
  <si>
    <t>Insumos y Aseo</t>
  </si>
  <si>
    <t>Mantenimiento Equipos</t>
  </si>
  <si>
    <t>Marketing y Publicidad</t>
  </si>
  <si>
    <t>TOTAL</t>
  </si>
  <si>
    <t>Software / Suscripciones</t>
  </si>
  <si>
    <t>Mantenimiento Local/Infraestructura</t>
  </si>
  <si>
    <t>Envíos/Transporte</t>
  </si>
  <si>
    <t>Otros</t>
  </si>
  <si>
    <t>VENTAS POR COLOR</t>
  </si>
  <si>
    <t>Color</t>
  </si>
  <si>
    <t>Negro</t>
  </si>
  <si>
    <t>Azul</t>
  </si>
  <si>
    <t>Rojo</t>
  </si>
  <si>
    <t>Verde</t>
  </si>
  <si>
    <t>Amarillo</t>
  </si>
  <si>
    <t>Blanco</t>
  </si>
  <si>
    <t>ID Alumna</t>
  </si>
  <si>
    <t>Nombre</t>
  </si>
  <si>
    <t>Cel</t>
  </si>
  <si>
    <t>Correo</t>
  </si>
  <si>
    <t>Dirección</t>
  </si>
  <si>
    <t>Fecha de nacimiento</t>
  </si>
  <si>
    <t>Edad</t>
  </si>
  <si>
    <t>N° de inscripciones (paquetes)</t>
  </si>
  <si>
    <t>N° de pagos registrados</t>
  </si>
  <si>
    <t>Total pagado ($)</t>
  </si>
  <si>
    <t>Primera fecha</t>
  </si>
  <si>
    <t>Última fecha</t>
  </si>
  <si>
    <t>Estado</t>
  </si>
  <si>
    <t>A-001</t>
  </si>
  <si>
    <t>Ana Carolina Lopez Galvan</t>
  </si>
  <si>
    <t>anacaloga88@gmail.com</t>
  </si>
  <si>
    <t>carrera 79a#16f</t>
  </si>
  <si>
    <t>A-002</t>
  </si>
  <si>
    <t>Francya Damaris Arias Ospitia</t>
  </si>
  <si>
    <t>fraariaspi@hotmail.com</t>
  </si>
  <si>
    <t>Cra 73# 7f-07</t>
  </si>
  <si>
    <t>A-003</t>
  </si>
  <si>
    <t>Diana Bermudez Cardona</t>
  </si>
  <si>
    <t>diana0.bermudez@gmail.com</t>
  </si>
  <si>
    <t>Cra 72k # 39a 96 sur</t>
  </si>
  <si>
    <t>A-004</t>
  </si>
  <si>
    <t>Jessica Torres Olarte</t>
  </si>
  <si>
    <t>Jessicatorresolarte@gmail.com</t>
  </si>
  <si>
    <t>Calle 6b 80b 85</t>
  </si>
  <si>
    <t>A-005</t>
  </si>
  <si>
    <t>Laura Camila Ramirez Galvis</t>
  </si>
  <si>
    <t>A-006</t>
  </si>
  <si>
    <t>Juliana Bossa</t>
  </si>
  <si>
    <t>A-007</t>
  </si>
  <si>
    <t>Laura Vanesa Guerra</t>
  </si>
  <si>
    <t>A-008</t>
  </si>
  <si>
    <t>Shirley Dayana Chavarro</t>
  </si>
  <si>
    <t>A-009</t>
  </si>
  <si>
    <t>Maria Paula Leon</t>
  </si>
  <si>
    <t>A-010</t>
  </si>
  <si>
    <t>Ntalia Alejandra Luna</t>
  </si>
  <si>
    <t>A-011</t>
  </si>
  <si>
    <t>Marcella Cuellar</t>
  </si>
  <si>
    <t>A-012</t>
  </si>
  <si>
    <t>Danial Avila</t>
  </si>
  <si>
    <t>A-013</t>
  </si>
  <si>
    <t>Karol Sierra</t>
  </si>
  <si>
    <t>A-014</t>
  </si>
  <si>
    <t>Maira Alejandra Vergara</t>
  </si>
  <si>
    <t>A-015</t>
  </si>
  <si>
    <t>Jose Alberto Rojas Gonzalez</t>
  </si>
  <si>
    <t>A-016</t>
  </si>
  <si>
    <t>Laura Sofia Hilarion</t>
  </si>
  <si>
    <t>A-017</t>
  </si>
  <si>
    <t>Alejandra Ortega</t>
  </si>
  <si>
    <t>A-018</t>
  </si>
  <si>
    <t>Mary Aurora Osorio Alvarez</t>
  </si>
  <si>
    <t>A-019</t>
  </si>
  <si>
    <t>Elizabeth Lopez salamanca</t>
  </si>
  <si>
    <t>A-020</t>
  </si>
  <si>
    <t>Paula Andrea Pinzon</t>
  </si>
  <si>
    <t>A-021</t>
  </si>
  <si>
    <t>Marcela Garcia Sanabria</t>
  </si>
  <si>
    <t>A-022</t>
  </si>
  <si>
    <t>Carolina Lopez</t>
  </si>
  <si>
    <t>A-023</t>
  </si>
  <si>
    <t>Francya Dámaris Arias</t>
  </si>
  <si>
    <t>A-024</t>
  </si>
  <si>
    <t>Karen Arias Ospitia</t>
  </si>
  <si>
    <t>A-025</t>
  </si>
  <si>
    <t>Yendi Alejandra Dugarte</t>
  </si>
  <si>
    <t>A-026</t>
  </si>
  <si>
    <t>Martha Yasmin Aragón</t>
  </si>
  <si>
    <t>A-027</t>
  </si>
  <si>
    <t>Melanie Jankey Ávila</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</si>
  <si>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</si>
  <si>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</si>
  <si>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</si>
  <si>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</si>
  <si>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</si>
  <si>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</si>
  <si>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</si>
  <si>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</si>
  <si>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</si>
  <si>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</si>
  <si>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</si>
  <si>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</si>
  <si>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</si>
  <si>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</si>
  <si>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</si>
  <si>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</si>
  <si>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</si>
  <si>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</si>
  <si>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</si>
  <si>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</si>
  <si>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</si>
  <si>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</si>
  <si>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</si>
  <si>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</si>
  <si>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</si>
  <si>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</si>
  <si>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</si>
  <si>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</si>
  <si>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</si>
  <si>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</si>
  <si>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</si>
  <si>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</si>
  <si>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</si>
  <si>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</si>
  <si>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</si>
  <si>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</si>
  <si>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</si>
  <si>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</si>
  <si>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</si>
  <si>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</si>
  <si>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</si>
  <si>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</si>
  <si>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</si>
  <si>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</si>
  <si>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</si>
  <si>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</si>
  <si>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</si>
  <si>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</si>
  <si>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</si>
  <si>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</si>
  <si>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</si>
  <si>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</si>
  <si>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</si>
  <si>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</si>
  <si>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</si>
  <si>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</si>
  <si>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</si>
  <si>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</si>
  <si>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</si>
  <si>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</si>
  <si>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</si>
  <si>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</si>
  <si>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</si>
  <si>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</si>
  <si>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</si>
  <si>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</si>
  <si>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</si>
  <si>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</si>
  <si>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</si>
  <si>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</si>
  <si>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</si>
  <si>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</si>
  <si>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</si>
  <si>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</si>
  <si>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</si>
  <si>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</si>
  <si>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</si>
  <si>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</si>
  <si>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</si>
  <si>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</si>
  <si>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</si>
  <si>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</si>
  <si>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</si>
  <si>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</si>
  <si>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</si>
  <si>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</si>
  <si>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</si>
  <si>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</si>
  <si>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</si>
  <si>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</si>
  <si>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</si>
  <si>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</si>
  <si>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</si>
  <si>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</si>
  <si>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</si>
  <si>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</si>
  <si>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</si>
  <si>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</si>
  <si>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</si>
  <si>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</si>
  <si>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</si>
  <si>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</si>
  <si>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</si>
  <si>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</si>
  <si>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</si>
  <si>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</si>
  <si>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</si>
  <si>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</si>
  <si>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</si>
  <si>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</si>
  <si>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</si>
  <si>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</si>
  <si>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</si>
  <si>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</si>
  <si>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</si>
  <si>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</si>
  <si>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</si>
  <si>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</si>
  <si>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</si>
  <si>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</si>
  <si>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</si>
  <si>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</si>
  <si>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</si>
  <si>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</si>
  <si>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</si>
  <si>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</si>
  <si>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</si>
  <si>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</si>
  <si>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</si>
  <si>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</si>
  <si>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</si>
  <si>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</si>
  <si>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</si>
  <si>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</si>
  <si>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</si>
  <si>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</si>
  <si>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</si>
  <si>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</si>
  <si>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</si>
  <si>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</si>
  <si>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</si>
  <si>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</si>
  <si>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</si>
  <si>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</si>
  <si>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</si>
  <si>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</si>
  <si>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</si>
  <si>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</si>
  <si>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</si>
  <si>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</si>
  <si>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</si>
  <si>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</si>
  <si>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</si>
  <si>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</si>
  <si>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</si>
  <si>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</si>
  <si>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</si>
  <si>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</si>
  <si>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</si>
  <si>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</si>
  <si>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</si>
  <si>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</si>
  <si>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</si>
  <si>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</si>
  <si>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</si>
  <si>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</si>
  <si>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</si>
  <si>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</si>
  <si>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</si>
  <si>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</si>
  <si>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</si>
  <si>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</si>
  <si>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</si>
  <si>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</si>
  <si>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</si>
  <si>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</si>
  <si>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</si>
  <si>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</si>
  <si>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</si>
  <si>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</si>
  <si>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</si>
  <si>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</si>
  <si>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</si>
  <si>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</si>
  <si>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</si>
  <si>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</si>
  <si>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</si>
  <si>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</si>
  <si>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</si>
  <si>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</si>
  <si>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</si>
  <si>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</si>
  <si>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</si>
  <si>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</si>
  <si>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</si>
  <si>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</si>
  <si>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</si>
  <si>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</si>
  <si>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</si>
  <si>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</si>
  <si>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</si>
  <si>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</si>
  <si>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</si>
  <si>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</si>
  <si>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</si>
  <si>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</si>
  <si>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</si>
  <si>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</si>
  <si>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</si>
  <si>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</si>
  <si>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</si>
  <si>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</si>
  <si>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</si>
  <si>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</si>
  <si>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</si>
  <si>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</si>
  <si>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</si>
  <si>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</si>
  <si>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</si>
  <si>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</si>
  <si>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</si>
  <si>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</si>
  <si>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</si>
  <si>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</si>
  <si>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</si>
  <si>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</si>
  <si>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</si>
  <si>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</si>
  <si>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</si>
  <si>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</si>
  <si>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</si>
  <si>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</si>
  <si>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</si>
  <si>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</si>
  <si>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</si>
  <si>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</si>
  <si>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</si>
  <si>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</si>
  <si>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</si>
  <si>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</si>
  <si>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</si>
  <si>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</si>
  <si>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</si>
  <si>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</si>
  <si>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</si>
  <si>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</si>
  <si>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</si>
  <si>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</si>
  <si>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</si>
  <si>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</si>
  <si>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</si>
  <si>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</si>
  <si>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</si>
  <si>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</si>
  <si>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</si>
  <si>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</si>
  <si>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</si>
  <si>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</si>
  <si>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</si>
  <si>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</si>
  <si>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</si>
  <si>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</si>
  <si>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</si>
  <si>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</si>
  <si>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</si>
  <si>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</si>
  <si>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</si>
  <si>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</si>
  <si>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</si>
  <si>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</si>
  <si>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</si>
  <si>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</si>
  <si>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ID Ingreso</t>
  </si>
  <si>
    <t>Fecha</t>
  </si>
  <si>
    <t>Alumna</t>
  </si>
  <si>
    <t>Concepto</t>
  </si>
  <si>
    <t>Tipo</t>
  </si>
  <si>
    <t>Descripción</t>
  </si>
  <si>
    <t>Cantidad</t>
  </si>
  <si>
    <t>Valor Unitario ($)</t>
  </si>
  <si>
    <t>Porcentaje que paga</t>
  </si>
  <si>
    <t>Método de Pago</t>
  </si>
  <si>
    <t>Registrado Por</t>
  </si>
  <si>
    <t>¿Alumna nueva?</t>
  </si>
  <si>
    <t>N° de inscripción</t>
  </si>
  <si>
    <t>Notas</t>
  </si>
  <si>
    <t>I-001</t>
  </si>
  <si>
    <t>4 clases: Sport Fitness Challenge $200.000</t>
  </si>
  <si>
    <t>Carolina</t>
  </si>
  <si>
    <t>I-002</t>
  </si>
  <si>
    <t>9 clases: Sport Power Team $350.000</t>
  </si>
  <si>
    <t>Jose</t>
  </si>
  <si>
    <t>I-003</t>
  </si>
  <si>
    <t>16 clases : Sport Elite club $480.000</t>
  </si>
  <si>
    <t>Promo 2x1</t>
  </si>
  <si>
    <t>I-004</t>
  </si>
  <si>
    <t>I-005</t>
  </si>
  <si>
    <t>I-006</t>
  </si>
  <si>
    <t>1 Pole: Alquiler $22000</t>
  </si>
  <si>
    <t>I-007</t>
  </si>
  <si>
    <t>I-008</t>
  </si>
  <si>
    <t>I-009</t>
  </si>
  <si>
    <t>I-010</t>
  </si>
  <si>
    <t>I-011</t>
  </si>
  <si>
    <t>I-012</t>
  </si>
  <si>
    <t>I-013</t>
  </si>
  <si>
    <t>I-015</t>
  </si>
  <si>
    <t>I-016</t>
  </si>
  <si>
    <t>I-017</t>
  </si>
  <si>
    <t>I-018</t>
  </si>
  <si>
    <t>I-019</t>
  </si>
  <si>
    <t>I-020</t>
  </si>
  <si>
    <t>I-021</t>
  </si>
  <si>
    <t>1 Clase: Individual $50000</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</si>
  <si>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</si>
  <si>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</si>
  <si>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</si>
  <si>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</si>
  <si>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</si>
  <si>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</si>
  <si>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</si>
  <si>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</si>
  <si>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</si>
  <si>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</si>
  <si>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</si>
  <si>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</si>
  <si>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</si>
  <si>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</si>
  <si>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</si>
  <si>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</si>
  <si>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</si>
  <si>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</si>
  <si>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</si>
  <si>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</si>
  <si>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</si>
  <si>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</si>
  <si>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</si>
  <si>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</si>
  <si>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</si>
  <si>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</si>
  <si>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</si>
  <si>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</si>
  <si>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</si>
  <si>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</si>
  <si>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</si>
  <si>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</si>
  <si>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</si>
  <si>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</si>
  <si>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</si>
  <si>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</si>
  <si>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</si>
  <si>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</si>
  <si>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</si>
  <si>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</si>
  <si>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</si>
  <si>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</si>
  <si>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</si>
  <si>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</si>
  <si>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</si>
  <si>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</si>
  <si>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</si>
  <si>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</si>
  <si>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</si>
  <si>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</si>
  <si>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</si>
  <si>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</si>
  <si>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</si>
  <si>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</si>
  <si>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</si>
  <si>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</si>
  <si>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</si>
  <si>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</si>
  <si>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</si>
  <si>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</si>
  <si>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</si>
  <si>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</si>
  <si>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</si>
  <si>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</si>
  <si>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</si>
  <si>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</si>
  <si>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</si>
  <si>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</si>
  <si>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</si>
  <si>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</si>
  <si>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</si>
  <si>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</si>
  <si>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</si>
  <si>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</si>
  <si>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</si>
  <si>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</si>
  <si>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</si>
  <si>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</si>
  <si>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</si>
  <si>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</si>
  <si>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</si>
  <si>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</si>
  <si>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</si>
  <si>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</si>
  <si>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</si>
  <si>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</si>
  <si>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</si>
  <si>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</si>
  <si>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</si>
  <si>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</si>
  <si>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</si>
  <si>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</si>
  <si>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</si>
  <si>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</si>
  <si>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</si>
  <si>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</si>
  <si>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</si>
  <si>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</si>
  <si>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</si>
  <si>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</si>
  <si>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</si>
  <si>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</si>
  <si>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</si>
  <si>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</si>
  <si>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</si>
  <si>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</si>
  <si>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</si>
  <si>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</si>
  <si>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</si>
  <si>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</si>
  <si>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</si>
  <si>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</si>
  <si>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</si>
  <si>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</si>
  <si>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</si>
  <si>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</si>
  <si>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</si>
  <si>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</si>
  <si>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</si>
  <si>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</si>
  <si>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</si>
  <si>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</si>
  <si>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</si>
  <si>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</si>
  <si>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</si>
  <si>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</si>
  <si>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</si>
  <si>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</si>
  <si>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</si>
  <si>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</si>
  <si>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</si>
  <si>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</si>
  <si>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</si>
  <si>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</si>
  <si>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</si>
  <si>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</si>
  <si>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</si>
  <si>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</si>
  <si>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</si>
  <si>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</si>
  <si>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</si>
  <si>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</si>
  <si>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</si>
  <si>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</si>
  <si>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</si>
  <si>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</si>
  <si>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</si>
  <si>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</si>
  <si>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</si>
  <si>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</si>
  <si>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</si>
  <si>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</si>
  <si>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</si>
  <si>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</si>
  <si>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</si>
  <si>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</si>
  <si>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</si>
  <si>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</si>
  <si>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</si>
  <si>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</si>
  <si>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</si>
  <si>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</si>
  <si>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</si>
  <si>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</si>
  <si>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</si>
  <si>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</si>
  <si>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</si>
  <si>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</si>
  <si>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</si>
  <si>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</si>
  <si>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</si>
  <si>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</si>
  <si>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</si>
  <si>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</si>
  <si>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</si>
  <si>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</si>
  <si>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</si>
  <si>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</si>
  <si>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</si>
  <si>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</si>
  <si>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</si>
  <si>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</si>
  <si>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</si>
  <si>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</si>
  <si>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</si>
  <si>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</si>
  <si>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</si>
  <si>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</si>
  <si>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</si>
  <si>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</si>
  <si>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</si>
  <si>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</si>
  <si>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</si>
  <si>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</si>
  <si>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</si>
  <si>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</si>
  <si>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</si>
  <si>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</si>
  <si>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</si>
  <si>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</si>
  <si>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</si>
  <si>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</si>
  <si>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</si>
  <si>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</si>
  <si>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</si>
  <si>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</si>
  <si>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</si>
  <si>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</si>
  <si>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</si>
  <si>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</si>
  <si>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</si>
  <si>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</si>
  <si>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</si>
  <si>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</si>
  <si>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</si>
  <si>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</si>
  <si>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</si>
  <si>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</si>
  <si>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</si>
  <si>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</si>
  <si>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</si>
  <si>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</si>
  <si>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</si>
  <si>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</si>
  <si>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</si>
  <si>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</si>
  <si>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</si>
  <si>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</si>
  <si>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</si>
  <si>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</si>
  <si>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</si>
  <si>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</si>
  <si>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</si>
  <si>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</si>
  <si>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</si>
  <si>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</si>
  <si>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</si>
  <si>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</si>
  <si>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</si>
  <si>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</si>
  <si>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</si>
  <si>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</si>
  <si>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</si>
  <si>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</si>
  <si>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</si>
  <si>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</si>
  <si>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</si>
  <si>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</si>
  <si>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</si>
  <si>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</si>
  <si>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</si>
  <si>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</si>
  <si>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</si>
  <si>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</si>
  <si>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</si>
  <si>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</si>
  <si>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</si>
  <si>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</si>
  <si>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</si>
  <si>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</si>
  <si>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</si>
  <si>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</si>
  <si>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</si>
  <si>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</si>
  <si>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</si>
  <si>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</si>
  <si>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</si>
  <si>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</si>
  <si>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</si>
  <si>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</si>
  <si>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</si>
  <si>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</si>
  <si>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</si>
  <si>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</si>
  <si>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</si>
  <si>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</si>
  <si>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</si>
  <si>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</si>
  <si>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</si>
  <si>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</si>
  <si>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</si>
  <si>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</si>
  <si>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</si>
  <si>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</si>
  <si>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</si>
  <si>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</si>
  <si>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</si>
  <si>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</si>
  <si>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</si>
  <si>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</si>
  <si>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</si>
  <si>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</si>
  <si>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</si>
  <si>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</si>
  <si>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</si>
  <si>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</si>
  <si>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</si>
  <si>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</si>
  <si>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</si>
  <si>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</si>
  <si>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</si>
  <si>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</si>
  <si>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</si>
  <si>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</si>
  <si>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</si>
  <si>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</si>
  <si>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</si>
  <si>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</si>
  <si>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</si>
  <si>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</si>
  <si>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</si>
  <si>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</si>
  <si>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</si>
  <si>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</si>
  <si>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</si>
  <si>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</si>
  <si>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</si>
  <si>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</si>
  <si>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</si>
  <si>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</si>
  <si>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</si>
  <si>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</si>
  <si>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</si>
  <si>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</si>
  <si>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</si>
  <si>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</si>
  <si>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</si>
  <si>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</si>
  <si>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</si>
  <si>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</si>
  <si>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</si>
  <si>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</si>
  <si>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</si>
  <si>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</si>
  <si>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</si>
  <si>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</si>
  <si>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</si>
  <si>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</si>
  <si>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</si>
  <si>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</si>
  <si>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</si>
  <si>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</si>
  <si>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</si>
  <si>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</si>
  <si>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</si>
  <si>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</si>
  <si>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</si>
  <si>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</si>
  <si>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</si>
  <si>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</si>
  <si>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</si>
  <si>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</si>
  <si>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</si>
  <si>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</si>
  <si>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</si>
  <si>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</si>
  <si>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</si>
  <si>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</si>
  <si>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</si>
  <si>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</si>
  <si>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</si>
  <si>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</si>
  <si>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</si>
  <si>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</si>
  <si>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</si>
  <si>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</si>
  <si>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</si>
  <si>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</si>
  <si>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</si>
  <si>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</si>
  <si>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</si>
  <si>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</si>
  <si>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</si>
  <si>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</si>
  <si>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</si>
  <si>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</si>
  <si>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</si>
  <si>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</si>
  <si>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 RESUMEN CONTABLE SIMPLIFICADO</t>
  </si>
  <si>
    <t>No reemplaza a un contador, pero te ayuda a ver de un vistazo si el negocio del día a día es rentable, separado de lo que invertiste para montarlo.</t>
  </si>
  <si>
    <t>1. RESULTADO OPERATIVO (el día a día del negocio)</t>
  </si>
  <si>
    <t>Ingresos por clases / membresías (Pole)</t>
  </si>
  <si>
    <t>← Lo que entra por clases, paquetes y membresías.</t>
  </si>
  <si>
    <t>Ingresos por venta de mercancía (ropa/accesorios)</t>
  </si>
  <si>
    <t>← Lo que entra por vender ropa, tops, shorts, accesorios, etc.</t>
  </si>
  <si>
    <t>TOTAL INGRESOS OPERATIVOS</t>
  </si>
  <si>
    <t>Gastos operativos (marcados como 'Operativo' en Gastos)</t>
  </si>
  <si>
    <t>← Solo suma los gastos que marcaste como 'Operativo' (no cuenta preoperativos ni inversión).</t>
  </si>
  <si>
    <t>UTILIDAD / PÉRDIDA OPERATIVA</t>
  </si>
  <si>
    <t>← Si es negativo, el negocio del mes/periodo aún no se sostiene solo con lo operativo.</t>
  </si>
  <si>
    <t>2. LO QUE INVERTISTE PARA MONTAR EL NEGOCIO (no es gasto del mes a mes)</t>
  </si>
  <si>
    <t>Activos fijos marcados como 'Inversión Inicial'</t>
  </si>
  <si>
    <t>← Poles, colchonetas, mobiliario, equipos... todo lo que ya marcaste 'Inversión Inicial' en Activos Fijos.</t>
  </si>
  <si>
    <t>Costo de mercancía inicial (ropa/accesorios comprados para abrir)</t>
  </si>
  <si>
    <t>← Columna 'Costo Total' de la hoja Mercancía, solo lo marcado como 'Inversión Inicial' (no cuenta reposiciones futuras).</t>
  </si>
  <si>
    <t>Gastos marcados como 'Preoperativo'</t>
  </si>
  <si>
    <t>← Gastos antes de abrir (arreglo del local, trámites, decoración inicial, etc.).</t>
  </si>
  <si>
    <t>Gastos marcados como 'Inversión Inicial'</t>
  </si>
  <si>
    <t>← Ojo: si ya registraste la compra de mercancía aquí en Gastos, bórrala de aquí para no duplicarla; la mercancía va en la hoja Mercancía.</t>
  </si>
  <si>
    <t>TOTAL INVERTIDO PARA ABRIR</t>
  </si>
  <si>
    <t>← Este monto no se resta cada mes; es lo que "debes recuperar" con las utilidades del negocio con el tiempo.</t>
  </si>
  <si>
    <t>3. BALANCE GENERAL DEL PERIODO</t>
  </si>
  <si>
    <t>Utilidad operativa</t>
  </si>
  <si>
    <t>Menos: inversión / preoperativos del periodo</t>
  </si>
  <si>
    <t>BALANCE NETO (caja real, incluyendo inversión)</t>
  </si>
  <si>
    <t>← Este sí mezcla todo: cuánto ha salido realmente de caja/bolsillo hasta hoy, contando la inversión inicial.</t>
  </si>
  <si>
    <t>ID Gasto</t>
  </si>
  <si>
    <t>Concepto / Descripción</t>
  </si>
  <si>
    <t>Valor ($)</t>
  </si>
  <si>
    <t>Clasificación Contable</t>
  </si>
  <si>
    <t>GAS-001</t>
  </si>
  <si>
    <t>Arreglo del techo</t>
  </si>
  <si>
    <t>Preoperativo</t>
  </si>
  <si>
    <t>Se pagó en dos plazos: 3 y 2 millones</t>
  </si>
  <si>
    <t>GAS-002</t>
  </si>
  <si>
    <t>Envío de 2 colchonetas</t>
  </si>
  <si>
    <t>GAS-003</t>
  </si>
  <si>
    <t>Pegatina redonda con logo x 112</t>
  </si>
  <si>
    <t>GAS-004</t>
  </si>
  <si>
    <t>Bolsa blanca x 50</t>
  </si>
  <si>
    <t>GAS-005</t>
  </si>
  <si>
    <t xml:space="preserve">Llavero metalico personalizado x 20 </t>
  </si>
  <si>
    <t>1169 por unidad</t>
  </si>
  <si>
    <t>GAS-006</t>
  </si>
  <si>
    <t>Seguridad/señalizacion</t>
  </si>
  <si>
    <t>Pegatina de timbre</t>
  </si>
  <si>
    <t>GAS-007</t>
  </si>
  <si>
    <t>Pegatina de vigilancia por camara X5</t>
  </si>
  <si>
    <t>GAS-008</t>
  </si>
  <si>
    <t>Bolsa blanca personalizada en tela x 10</t>
  </si>
  <si>
    <t>GAS-009</t>
  </si>
  <si>
    <t>llavero en aclirico x 10</t>
  </si>
  <si>
    <t>GAS-011</t>
  </si>
  <si>
    <t>Aviso de prohibido pasar x 3</t>
  </si>
  <si>
    <t>GAS-012</t>
  </si>
  <si>
    <t>Decoracion/adecuacion</t>
  </si>
  <si>
    <t>Pegatina de bailarinas/gimnasia</t>
  </si>
  <si>
    <t>GAS-013</t>
  </si>
  <si>
    <t>Avisosde baño x3</t>
  </si>
  <si>
    <t>GAS-014</t>
  </si>
  <si>
    <t>Aviso de botiquin y extintor x 2</t>
  </si>
  <si>
    <t>GAS-015</t>
  </si>
  <si>
    <t>Aviso de zona de evacuacion x 3</t>
  </si>
  <si>
    <t>GAS-016</t>
  </si>
  <si>
    <t>Cinta antideslizante</t>
  </si>
  <si>
    <t>GAS-017</t>
  </si>
  <si>
    <t>Pegatina antideslizantes para tapete x 12</t>
  </si>
  <si>
    <t>GAS-018</t>
  </si>
  <si>
    <t>Toalla de papel x 1388</t>
  </si>
  <si>
    <t>GAS-019</t>
  </si>
  <si>
    <t>Pegatina mujer haciendo yoga</t>
  </si>
  <si>
    <t>GAS-020</t>
  </si>
  <si>
    <t>Aviso vintage con mensaje</t>
  </si>
  <si>
    <t>GAS-021</t>
  </si>
  <si>
    <t>Globo de Hallowen x 7</t>
  </si>
  <si>
    <t>GAS-022</t>
  </si>
  <si>
    <t>Globo estampados de Hallowen x 16</t>
  </si>
  <si>
    <t>GAS-023</t>
  </si>
  <si>
    <t>Bolsa blancas personalizada en yute x 50</t>
  </si>
  <si>
    <t>GAS-024</t>
  </si>
  <si>
    <t>Llavero metalico personalizado x 50</t>
  </si>
  <si>
    <t>GAS-025</t>
  </si>
  <si>
    <t>Tramites/papeleria</t>
  </si>
  <si>
    <t>Autenticacion del contrato</t>
  </si>
  <si>
    <t>GAS-026</t>
  </si>
  <si>
    <t>Instalacion de pisos</t>
  </si>
  <si>
    <t>GAS-027</t>
  </si>
  <si>
    <t>Compra en el D1 aseo general</t>
  </si>
  <si>
    <t>GAS-028</t>
  </si>
  <si>
    <t>Perfil para espejos</t>
  </si>
  <si>
    <t>GAS-029</t>
  </si>
  <si>
    <t>Elementos e ferreteria</t>
  </si>
  <si>
    <t>GAS-030</t>
  </si>
  <si>
    <t>Toalla de limpieza</t>
  </si>
  <si>
    <t>GAS-031</t>
  </si>
  <si>
    <t>Pintura y brocha</t>
  </si>
  <si>
    <t>GAS-032</t>
  </si>
  <si>
    <t>Canaletas para luces de espejo</t>
  </si>
  <si>
    <t>GAS-033</t>
  </si>
  <si>
    <t>Ferreteria</t>
  </si>
  <si>
    <t>GAS-034</t>
  </si>
  <si>
    <t>Alquiler de escalera</t>
  </si>
  <si>
    <t>GAS-035</t>
  </si>
  <si>
    <t>Pintura</t>
  </si>
  <si>
    <t>GAS-036</t>
  </si>
  <si>
    <t>GAS-037</t>
  </si>
  <si>
    <t>Cambio de guardas</t>
  </si>
  <si>
    <t>GAS-038</t>
  </si>
  <si>
    <t>Garrafa de alcohol</t>
  </si>
  <si>
    <t>GAS-039</t>
  </si>
  <si>
    <t>Eventos/celebraciones</t>
  </si>
  <si>
    <t>Pasabocas y elementos necesarios</t>
  </si>
  <si>
    <t>GAS-040</t>
  </si>
  <si>
    <t>GAS-041</t>
  </si>
  <si>
    <t>GAS-042</t>
  </si>
  <si>
    <t>GAS-043</t>
  </si>
  <si>
    <t>Papeleria</t>
  </si>
  <si>
    <t>GAS-044</t>
  </si>
  <si>
    <t>Jabon, palillos y paños humedos</t>
  </si>
  <si>
    <t>GAS-045</t>
  </si>
  <si>
    <t>GAS-046</t>
  </si>
  <si>
    <t>Desechables y dulces</t>
  </si>
  <si>
    <t>inaguracion</t>
  </si>
  <si>
    <t>GAS-047</t>
  </si>
  <si>
    <t>Elaboracion del logo</t>
  </si>
  <si>
    <t>GAS-048</t>
  </si>
  <si>
    <t>GAS-049</t>
  </si>
  <si>
    <t>Materas y plantas</t>
  </si>
  <si>
    <t>GAS-050</t>
  </si>
  <si>
    <t>Vasos y bolsa de agua</t>
  </si>
  <si>
    <t>Inaguracion</t>
  </si>
  <si>
    <t>GAS-051</t>
  </si>
  <si>
    <t>Interruptor timbre</t>
  </si>
  <si>
    <t>GAS-052</t>
  </si>
  <si>
    <t>GAS-053</t>
  </si>
  <si>
    <t>Alquiler de sillas</t>
  </si>
  <si>
    <t>GAS-054</t>
  </si>
  <si>
    <t>Glade con repuesto para ambientador</t>
  </si>
  <si>
    <t>GAS-055</t>
  </si>
  <si>
    <t>Uber para trasporte de sillas</t>
  </si>
  <si>
    <t>Luz</t>
  </si>
  <si>
    <t>Insumos del botiquin</t>
  </si>
  <si>
    <t>Churrusco del baño</t>
  </si>
  <si>
    <t>De 20 dias</t>
  </si>
  <si>
    <t>Inversión Inicial</t>
  </si>
  <si>
    <t>Instalacion de pole</t>
  </si>
  <si>
    <t>Pago de dia de limpieza</t>
  </si>
  <si>
    <t>Pago de instructor</t>
  </si>
  <si>
    <t>Operativo</t>
  </si>
  <si>
    <t>Guía rápida: 'Preoperativo' = gastos antes de abrir el salón. 'Inversión Inicial' = compras grandes/activos para montar el negocio. 'Operativo' = gastos del día a día ya abiertos.</t>
  </si>
  <si>
    <t>ID Entrada</t>
  </si>
  <si>
    <t>Código Prenda</t>
  </si>
  <si>
    <t>Talla</t>
  </si>
  <si>
    <t>Cantidad (+)</t>
  </si>
  <si>
    <t>Unidad de Medida</t>
  </si>
  <si>
    <t>Precio compra($)</t>
  </si>
  <si>
    <t>Costo Total ($)</t>
  </si>
  <si>
    <t>Precio venta</t>
  </si>
  <si>
    <t>Proveedor / Notas</t>
  </si>
  <si>
    <t>Clasificación</t>
  </si>
  <si>
    <t>ENT-001</t>
  </si>
  <si>
    <t xml:space="preserve"> Top Negro con esptampado blanco</t>
  </si>
  <si>
    <t>UN</t>
  </si>
  <si>
    <t>ENT-002</t>
  </si>
  <si>
    <t>SS</t>
  </si>
  <si>
    <t>Short con malla lateral negro</t>
  </si>
  <si>
    <t>ENT-003</t>
  </si>
  <si>
    <t>TS</t>
  </si>
  <si>
    <t>Top blanco estampado negro de calabera</t>
  </si>
  <si>
    <t>ENT-004</t>
  </si>
  <si>
    <t>RS</t>
  </si>
  <si>
    <t>Rodillera negra</t>
  </si>
  <si>
    <t>Par</t>
  </si>
  <si>
    <t>ENT-005</t>
  </si>
  <si>
    <t>SM</t>
  </si>
  <si>
    <t xml:space="preserve">Short de rayas blancas y negras </t>
  </si>
  <si>
    <t>Combinado</t>
  </si>
  <si>
    <t>ENT-006</t>
  </si>
  <si>
    <t>Top Azul con tirantes cruzados  en espalda</t>
  </si>
  <si>
    <t>ENT-007</t>
  </si>
  <si>
    <t>Top negro, malla en espalda y frente</t>
  </si>
  <si>
    <t>ENT-008</t>
  </si>
  <si>
    <t>Short con corazon lateral</t>
  </si>
  <si>
    <t>Variado</t>
  </si>
  <si>
    <t>ENT-009</t>
  </si>
  <si>
    <t>Short con cintura de leopardo</t>
  </si>
  <si>
    <t>ENT-010</t>
  </si>
  <si>
    <t>RM</t>
  </si>
  <si>
    <t>ENT-011</t>
  </si>
  <si>
    <t>SL</t>
  </si>
  <si>
    <t>Short gris acanalado</t>
  </si>
  <si>
    <t>Gris</t>
  </si>
  <si>
    <t>ENT-012</t>
  </si>
  <si>
    <t>SXL</t>
  </si>
  <si>
    <t>Short negro de pliegues laterales</t>
  </si>
  <si>
    <t>ENT-013</t>
  </si>
  <si>
    <t>TL</t>
  </si>
  <si>
    <t>Top gris con estampado negro</t>
  </si>
  <si>
    <t>ENT-014</t>
  </si>
  <si>
    <t>TXL</t>
  </si>
  <si>
    <t>Top negro doble tira en el hombro</t>
  </si>
  <si>
    <t>ENT-015</t>
  </si>
  <si>
    <t>Short azul agua marina</t>
  </si>
  <si>
    <t>ENT-016</t>
  </si>
  <si>
    <t>CS</t>
  </si>
  <si>
    <t>Conjunto con estampado de leopardo</t>
  </si>
  <si>
    <t>ENT-017</t>
  </si>
  <si>
    <t>MU</t>
  </si>
  <si>
    <t>Media en malla</t>
  </si>
  <si>
    <t>ENT-018</t>
  </si>
  <si>
    <t>Top con correa y hebilla frontal estampadpo de leopardo</t>
  </si>
  <si>
    <t>ENT-019</t>
  </si>
  <si>
    <t>A</t>
  </si>
  <si>
    <t>Alas de ada</t>
  </si>
  <si>
    <t>ENT-020</t>
  </si>
  <si>
    <t>Top corset rojo de leopardo</t>
  </si>
  <si>
    <t>ENT-021</t>
  </si>
  <si>
    <t>Accesorio en cuero para la pierna</t>
  </si>
  <si>
    <t>ENT-022</t>
  </si>
  <si>
    <t>Accesorio en cuero sintetico para el cuello</t>
  </si>
  <si>
    <t>ENT-023</t>
  </si>
  <si>
    <t>Accesorio en cuero sintetico multicapa negro</t>
  </si>
  <si>
    <t>ENT-024</t>
  </si>
  <si>
    <t>Accesorio monedero estampado de pole</t>
  </si>
  <si>
    <t>ENT-025</t>
  </si>
  <si>
    <t>Accesorio, botella de agua con estampado de pole</t>
  </si>
  <si>
    <t>ENT-026</t>
  </si>
  <si>
    <t>Short acanalado</t>
  </si>
  <si>
    <t>Purpura</t>
  </si>
  <si>
    <t>ENT-027</t>
  </si>
  <si>
    <t>ENT-028</t>
  </si>
  <si>
    <t>Top rojo con malla en espalda y tirantes cruzados</t>
  </si>
  <si>
    <t>ENT-029</t>
  </si>
  <si>
    <t>Top cordon al cuello</t>
  </si>
  <si>
    <t>Borgoña</t>
  </si>
  <si>
    <t>ENT-030</t>
  </si>
  <si>
    <t>Top street casual</t>
  </si>
  <si>
    <t>ENT-031</t>
  </si>
  <si>
    <t>ENT-032</t>
  </si>
  <si>
    <t>Top street casual leopardo</t>
  </si>
  <si>
    <t>ENT-033</t>
  </si>
  <si>
    <t>Top en malla negra-chaleco</t>
  </si>
  <si>
    <t>ENT-034</t>
  </si>
  <si>
    <t>ENT-035</t>
  </si>
  <si>
    <t>Top rojo escote pronunciado con argolla y tira al cuello</t>
  </si>
  <si>
    <t>ENT-036</t>
  </si>
  <si>
    <t>SXXL</t>
  </si>
  <si>
    <t>Short con cintura en malla</t>
  </si>
  <si>
    <t>ENT-037</t>
  </si>
  <si>
    <t>SU</t>
  </si>
  <si>
    <t>Short negro en malla</t>
  </si>
  <si>
    <t>ENT-038</t>
  </si>
  <si>
    <t>Medias en malla</t>
  </si>
  <si>
    <t>ENT-039</t>
  </si>
  <si>
    <t>Accesorio  bolso en yute  estampado de pole</t>
  </si>
  <si>
    <t>ENT-040</t>
  </si>
  <si>
    <t>Short  falda de flecos</t>
  </si>
  <si>
    <t>ENT-041</t>
  </si>
  <si>
    <t>Short falda de flecos</t>
  </si>
  <si>
    <t>ENT-042</t>
  </si>
  <si>
    <t>TU</t>
  </si>
  <si>
    <t>Top body de flecos</t>
  </si>
  <si>
    <t>ENT-043</t>
  </si>
  <si>
    <t>Accesirio bufanda de flecos y lentejuelas</t>
  </si>
  <si>
    <t>Dorado</t>
  </si>
  <si>
    <t>ENT-044</t>
  </si>
  <si>
    <t>Itac 2</t>
  </si>
  <si>
    <t>ENT-045</t>
  </si>
  <si>
    <t>Monkey gluey de 100 ml</t>
  </si>
  <si>
    <t>ENT-046</t>
  </si>
  <si>
    <t>ENT-047</t>
  </si>
  <si>
    <t>Total</t>
  </si>
  <si>
    <t>Nota: todas las entradas actuales se marcaron 'Inversión Inicial' porque son el stock con el que abriste. Cuando compres mercancía nueva ya con el negocio abierto (reposición), márcala como 'Reposición de Stock' para que NO se sume otra vez al capital inicial en el Resumen Contable.</t>
  </si>
  <si>
    <t>Código Activo</t>
  </si>
  <si>
    <t>Nombre del Activo</t>
  </si>
  <si>
    <t>Ubicación</t>
  </si>
  <si>
    <t>Valor Est. Unit ($)</t>
  </si>
  <si>
    <t>Valor Total ($)</t>
  </si>
  <si>
    <t>Fecha Adquisición</t>
  </si>
  <si>
    <t>Observaciones</t>
  </si>
  <si>
    <t>ACT-001</t>
  </si>
  <si>
    <t>Barra / Pole Profesional Dorado</t>
  </si>
  <si>
    <t>Equipamiento Pole</t>
  </si>
  <si>
    <t>Salón Principal</t>
  </si>
  <si>
    <t>Excelente</t>
  </si>
  <si>
    <t>Poles de acero inoxidable removibles</t>
  </si>
  <si>
    <t>ACT-002</t>
  </si>
  <si>
    <t>Barra / Pole Profesional Plateado</t>
  </si>
  <si>
    <t>Poles de bronce removibles</t>
  </si>
  <si>
    <t>ACT-003</t>
  </si>
  <si>
    <t>Poltrona</t>
  </si>
  <si>
    <t>Mobiliario y Confort</t>
  </si>
  <si>
    <t>Recepción</t>
  </si>
  <si>
    <t>Sillas individuales</t>
  </si>
  <si>
    <t>ACT-004</t>
  </si>
  <si>
    <t>Colchoneta profesional para Pole solo espuma</t>
  </si>
  <si>
    <t>Espuma alta densidad</t>
  </si>
  <si>
    <t>ACT-005</t>
  </si>
  <si>
    <t>Colchoneta profesional para Pole espuma + casata</t>
  </si>
  <si>
    <t>Espuma + casata</t>
  </si>
  <si>
    <t>ACT-006</t>
  </si>
  <si>
    <t>Atomizador Negro de 250 ml</t>
  </si>
  <si>
    <t>Aseo y Limpieza</t>
  </si>
  <si>
    <t>Salón / Recepción</t>
  </si>
  <si>
    <t>Reemplazar</t>
  </si>
  <si>
    <t>Para desinfección de poles</t>
  </si>
  <si>
    <t>ACT-007</t>
  </si>
  <si>
    <t>Atomizador vintage negro 300 ml</t>
  </si>
  <si>
    <t>Para desinfección</t>
  </si>
  <si>
    <t>ACT-008</t>
  </si>
  <si>
    <t>Atomizador vintage diamante-gris 400 ml</t>
  </si>
  <si>
    <t>ACT-009</t>
  </si>
  <si>
    <t>Canastas de Almacenamiento Objetos</t>
  </si>
  <si>
    <t>Vestier / Salón</t>
  </si>
  <si>
    <t>Canastas organizadoras alumnas</t>
  </si>
  <si>
    <t>ACT-010</t>
  </si>
  <si>
    <t>Bafle AS-800 pro</t>
  </si>
  <si>
    <t>Equipos y tecnologia</t>
  </si>
  <si>
    <t>Torre de sonido con micrófono</t>
  </si>
  <si>
    <t>ACT-011</t>
  </si>
  <si>
    <t xml:space="preserve">Mate negro </t>
  </si>
  <si>
    <t xml:space="preserve">Promediando lo del mismo color </t>
  </si>
  <si>
    <t>ACT-012</t>
  </si>
  <si>
    <t>Mate Gris</t>
  </si>
  <si>
    <t>ACT-013</t>
  </si>
  <si>
    <t>Bandas de resistencia</t>
  </si>
  <si>
    <t>ACT-014</t>
  </si>
  <si>
    <t>Bandas para Mate</t>
  </si>
  <si>
    <t>ACT-015</t>
  </si>
  <si>
    <t>Toalla de limpieza negra</t>
  </si>
  <si>
    <t>ACT-018</t>
  </si>
  <si>
    <t>Estante de pared compacto blanco de 3 niveles</t>
  </si>
  <si>
    <t>ACT-019</t>
  </si>
  <si>
    <t>Aclirico personalizado rectanguar</t>
  </si>
  <si>
    <t>Decoración</t>
  </si>
  <si>
    <t>ACT-020</t>
  </si>
  <si>
    <t>Tapete personalizado</t>
  </si>
  <si>
    <t>ACT-021</t>
  </si>
  <si>
    <t>Aclirico personalizado redondo</t>
  </si>
  <si>
    <t>ACT-022</t>
  </si>
  <si>
    <t>Ganchos con revestimiento plastico</t>
  </si>
  <si>
    <t>ACT-023</t>
  </si>
  <si>
    <t>Tendedero de ropa plegable blanco</t>
  </si>
  <si>
    <t>ACT-024</t>
  </si>
  <si>
    <t>Mate rosado</t>
  </si>
  <si>
    <t>ACT-025</t>
  </si>
  <si>
    <t>Proyector led de planetas</t>
  </si>
  <si>
    <t>ACT-026</t>
  </si>
  <si>
    <t>Proyector led giratorio</t>
  </si>
  <si>
    <t>ACT-027</t>
  </si>
  <si>
    <t>Capa de disfraz para Hallowen</t>
  </si>
  <si>
    <t>ACT-028</t>
  </si>
  <si>
    <t>Bandera decorativa Hallowen</t>
  </si>
  <si>
    <t>ACT-029</t>
  </si>
  <si>
    <t>Murcielagos de Hallowen x 288</t>
  </si>
  <si>
    <t>ACT-030</t>
  </si>
  <si>
    <t>Capa roja y orejas de elfo</t>
  </si>
  <si>
    <t>ACT-031</t>
  </si>
  <si>
    <t>Proyector led de hallowen</t>
  </si>
  <si>
    <t>ACT-032</t>
  </si>
  <si>
    <t>Malla de poliester negra x 6 metros</t>
  </si>
  <si>
    <t>ACT-033</t>
  </si>
  <si>
    <t>Bufanda de plumas</t>
  </si>
  <si>
    <t>ACT-034</t>
  </si>
  <si>
    <t>Atomizador con tramas 600 ml</t>
  </si>
  <si>
    <t>ACT-035</t>
  </si>
  <si>
    <t>Atomizador con tramas forma de lagrima 500 ml</t>
  </si>
  <si>
    <t>ACT-036</t>
  </si>
  <si>
    <t>Bloques de yoga</t>
  </si>
  <si>
    <t>ACT-037</t>
  </si>
  <si>
    <t>Toalla de limpieza azul</t>
  </si>
  <si>
    <t>ACT-038</t>
  </si>
  <si>
    <t>Telas para practica de pole</t>
  </si>
  <si>
    <t>ACT-039</t>
  </si>
  <si>
    <t>Estrutura del techo (travesaño)</t>
  </si>
  <si>
    <t>ACT-040</t>
  </si>
  <si>
    <t>Zapatero</t>
  </si>
  <si>
    <t>ACT-041</t>
  </si>
  <si>
    <t>Mueble entrepaños para vestier</t>
  </si>
  <si>
    <t>Vestier</t>
  </si>
  <si>
    <t>ACT-042</t>
  </si>
  <si>
    <t>Espejos</t>
  </si>
  <si>
    <t>ACT-043</t>
  </si>
  <si>
    <t>Papelera</t>
  </si>
  <si>
    <t>ACT-044</t>
  </si>
  <si>
    <t>Extension electrica</t>
  </si>
  <si>
    <t>Bodega</t>
  </si>
  <si>
    <t>ACT-046</t>
  </si>
  <si>
    <t>Bases empotradas</t>
  </si>
  <si>
    <t>TOTAL VALOR ACTIVOS</t>
  </si>
  <si>
    <t>Nota: se marcaron todos como 'Inversión Inicial' porque se compraron para montar el salón. Si compras algo nuevo más adelante ya abierto, marca esa fila como 'Posterior a Apertura'.</t>
  </si>
  <si>
    <t>Ref Venta (Consecutivo)</t>
  </si>
  <si>
    <t>Cant. Vendida (-)</t>
  </si>
  <si>
    <t>Precio Unit. ($)</t>
  </si>
  <si>
    <t>Total Venta ($)</t>
  </si>
  <si>
    <t>V1</t>
  </si>
  <si>
    <t>Nicole</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</si>
  <si>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</si>
  <si>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</si>
  <si>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</si>
  <si>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</si>
  <si>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</si>
  <si>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</si>
  <si>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</si>
  <si>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</si>
  <si>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</si>
  <si>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</si>
  <si>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</si>
  <si>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</si>
  <si>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</si>
  <si>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</si>
  <si>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</si>
  <si>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</si>
  <si>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</si>
  <si>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</si>
  <si>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</si>
  <si>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</si>
  <si>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</si>
  <si>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</si>
  <si>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</si>
  <si>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</si>
  <si>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</si>
  <si>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</si>
  <si>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</si>
  <si>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</si>
  <si>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</si>
  <si>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</si>
  <si>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</si>
  <si>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</si>
  <si>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</si>
  <si>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</si>
  <si>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</si>
  <si>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</si>
  <si>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</si>
  <si>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</si>
  <si>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</si>
  <si>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LISTAS DE PARÁMETROS</t>
  </si>
  <si>
    <t>Estas listas alimentan los menús desplegables de todas las hojas. Para agregar una opción nueva, escríbela al final de la lista correspondiente (no dejes filas vacías en medio).</t>
  </si>
  <si>
    <t>Tallas</t>
  </si>
  <si>
    <t>Metodos Pago</t>
  </si>
  <si>
    <t>Estados Activo</t>
  </si>
  <si>
    <t>Categorias Activos</t>
  </si>
  <si>
    <t>Categorías Gastos</t>
  </si>
  <si>
    <t>Unidades Medida</t>
  </si>
  <si>
    <t>Codigo</t>
  </si>
  <si>
    <t>Descripcion</t>
  </si>
  <si>
    <t>Clasificación Activo</t>
  </si>
  <si>
    <t>Clasificación Mercancía</t>
  </si>
  <si>
    <t>Short</t>
  </si>
  <si>
    <t>XS</t>
  </si>
  <si>
    <t>Clase Suelta</t>
  </si>
  <si>
    <t>Top/Sujetador</t>
  </si>
  <si>
    <t>S</t>
  </si>
  <si>
    <t>Bueno</t>
  </si>
  <si>
    <t>Paquete de Clases</t>
  </si>
  <si>
    <t>Posterior a Apertura</t>
  </si>
  <si>
    <t>Reposición de Stock</t>
  </si>
  <si>
    <t>Mallas</t>
  </si>
  <si>
    <t>M</t>
  </si>
  <si>
    <t>Regular / Mantenimiento</t>
  </si>
  <si>
    <t>Pack</t>
  </si>
  <si>
    <t>Membresía Mensual</t>
  </si>
  <si>
    <t>12 clases: Sport Intense $420.000</t>
  </si>
  <si>
    <t>Accesorios</t>
  </si>
  <si>
    <t>L</t>
  </si>
  <si>
    <t>Caja</t>
  </si>
  <si>
    <t>TXS</t>
  </si>
  <si>
    <t>Evento / Taller</t>
  </si>
  <si>
    <t>Grip</t>
  </si>
  <si>
    <t>XL</t>
  </si>
  <si>
    <t>Aberiado</t>
  </si>
  <si>
    <t>Kit</t>
  </si>
  <si>
    <t>Otro</t>
  </si>
  <si>
    <t>Conjunto</t>
  </si>
  <si>
    <t>XXL</t>
  </si>
  <si>
    <t>TXXL</t>
  </si>
  <si>
    <t xml:space="preserve">Promo 2x1 </t>
  </si>
  <si>
    <t>Única</t>
  </si>
  <si>
    <t>Alquiler Pole</t>
  </si>
  <si>
    <t>SXS</t>
  </si>
  <si>
    <t>RL</t>
  </si>
  <si>
    <t>CM</t>
  </si>
  <si>
    <t>CXS</t>
  </si>
  <si>
    <t>CL</t>
  </si>
  <si>
    <t>CXL</t>
  </si>
  <si>
    <t>CXXL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</si>
</sst>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quot;($&quot;#,##0\);\-"/>
    <numFmt numFmtId="166" formatCode="m/d/yyyy"/>
    <numFmt numFmtId="167" formatCode="\$#,##0.00"/>
    <numFmt numFmtId="168" formatCode="_-\$* #,##0.00_-;&quot;-$&quot;* #,##0.00_-;_-\$* \-??_-;_-@_-"/>
    <numFmt numFmtId="169" formatCode="[$-F800]dddd&quot;, &quot;mmmm\ dd&quot;, &quot;yyyy"/>
    <numFmt numFmtId="170" formatCode="yyyy\-mm\-dd"/>
  </numFmts>
  <fonts count="26" x14ac:knownFonts="1">
    <font>
      <sz val="11"/>
      <color theme="1"/>
      <name val="Calibri"/>
      <family val="2"/>
      <charset val="1"/>
    </font>
    <font>
      <b/>
      <sz val="16"/>
      <color rgb="FFFFFFFF"/>
      <name val="Calibri"/>
      <charset val="1"/>
    </font>
    <font>
      <b/>
      <sz val="14"/>
      <color rgb="FF4A1525"/>
      <name val="Calibri"/>
      <charset val="1"/>
    </font>
    <font>
      <sz val="11"/>
      <name val="Calibri"/>
      <charset val="1"/>
    </font>
    <font>
      <b/>
      <sz val="11"/>
      <color rgb="FF4A1525"/>
      <name val="Calibri"/>
      <charset val="1"/>
    </font>
    <font>
      <b/>
      <sz val="13"/>
      <color rgb="FF4A1525"/>
      <name val="Calibri"/>
      <charset val="1"/>
    </font>
    <font>
      <b/>
      <sz val="10"/>
      <color rgb="FF555555"/>
      <name val="Calibri"/>
      <charset val="1"/>
    </font>
    <font>
      <b/>
      <sz val="20"/>
      <color rgb="FF4A1525"/>
      <name val="Calibri"/>
      <charset val="1"/>
    </font>
    <font>
      <b/>
      <sz val="11"/>
      <color rgb="FFFFFFFF"/>
      <name val="Calibri"/>
      <charset val="1"/>
    </font>
    <font>
      <b/>
      <sz val="11"/>
      <name val="Calibri"/>
      <charset val="1"/>
    </font>
    <font>
      <i/>
      <sz val="9"/>
      <color rgb="FF777777"/>
      <name val="Calibri"/>
      <charset val="1"/>
    </font>
    <font>
      <b/>
      <sz val="10"/>
      <name val="Arial"/>
      <charset val="1"/>
    </font>
    <font>
      <sz val="10"/>
      <name val="Arial"/>
      <charset val="1"/>
    </font>
    <font>
      <sz val="10"/>
      <name val="Arial"/>
      <family val="2"/>
    </font>
    <font>
      <b/>
      <sz val="10"/>
      <color rgb="FF000000"/>
      <name val="Arial"/>
      <charset val="1"/>
    </font>
    <font>
      <b/>
      <sz val="14"/>
      <color rgb="FF6D28D9"/>
      <name val="Arial"/>
      <charset val="1"/>
    </font>
    <font>
      <i/>
      <sz val="9"/>
      <color rgb="FF64748B"/>
      <name val="Arial"/>
      <charset val="1"/>
    </font>
    <font>
      <b/>
      <sz val="11"/>
      <color rgb="FF5B21B6"/>
      <name val="Arial"/>
      <charset val="1"/>
    </font>
    <font>
      <b/>
      <sz val="10.5"/>
      <name val="Arial"/>
      <charset val="1"/>
    </font>
    <font>
      <b/>
      <sz val="11"/>
      <color rgb="FF047857"/>
      <name val="Arial"/>
      <charset val="1"/>
    </font>
    <font>
      <b/>
      <sz val="11"/>
      <color rgb="FFFFFFFF"/>
      <name val="Arial"/>
      <charset val="1"/>
    </font>
    <font>
      <sz val="11"/>
      <name val="Calibri"/>
      <family val="2"/>
      <charset val="1"/>
    </font>
    <font>
      <b/>
      <sz val="11"/>
      <color rgb="FFFF0000"/>
      <name val="Calibri"/>
      <family val="2"/>
      <charset val="1"/>
    </font>
    <font>
      <b/>
      <sz val="11"/>
      <color theme="1"/>
      <name val="Calibri"/>
      <family val="2"/>
      <charset val="1"/>
    </font>
    <font>
      <b/>
      <sz val="11"/>
      <color rgb="FFFFFFFF"/>
      <name val="Calibri"/>
      <family val="2"/>
      <charset val="1"/>
    </font>
    <font>
      <b/>
      <sz val="11"/>
      <name val="Arial"/>
      <charset val="1"/>
    </font>
  </fonts>
  <fills count="12">
    <fill>
      <patternFill patternType="none"/>
    </fill>
    <fill>
      <patternFill patternType="gray125"/>
    </fill>
    <fill>
      <patternFill patternType="solid">
        <fgColor rgb="FF00B050"/>
        <bgColor rgb="FF008080"/>
      </patternFill>
    </fill>
    <fill>
      <patternFill patternType="solid">
        <fgColor rgb="FFE8D4DC"/>
        <bgColor rgb="FFE7E6E6"/>
      </patternFill>
    </fill>
    <fill>
      <patternFill patternType="solid">
        <fgColor rgb="FFF4EBEF"/>
        <bgColor rgb="FFF2F2F2"/>
      </patternFill>
    </fill>
    <fill>
      <patternFill patternType="solid">
        <fgColor rgb="FFDDEBF7"/>
        <bgColor rgb="FFE7E6E6"/>
      </patternFill>
    </fill>
    <fill>
      <patternFill patternType="solid">
        <fgColor rgb="FFE7E6E6"/>
        <bgColor rgb="FFF4EBEF"/>
      </patternFill>
    </fill>
    <fill>
      <patternFill patternType="solid">
        <fgColor rgb="FFF2F2F2"/>
        <bgColor rgb="FFF4EBEF"/>
      </patternFill>
    </fill>
    <fill>
      <patternFill patternType="solid">
        <fgColor rgb="FFEDE9FE"/>
        <bgColor rgb="FFF4EBEF"/>
      </patternFill>
    </fill>
    <fill>
      <patternFill patternType="solid">
        <fgColor rgb="FFD946EF"/>
        <bgColor rgb="FFFF00FF"/>
      </patternFill>
    </fill>
    <fill>
      <patternFill patternType="solid">
        <fgColor rgb="FFFFF9C4"/>
        <bgColor rgb="FFFDEADA"/>
      </patternFill>
    </fill>
    <fill>
      <patternFill patternType="solid">
        <fgColor theme="9" tint="0.79979857783745845"/>
        <bgColor rgb="FFF4EBEF"/>
      </patternFill>
    </fill>
  </fills>
  <borders count="3">
    <border>
      <left/>
      <right/>
      <top/>
      <bottom/>
      <diagonal/>
    </border>
    <border>
      <left style="thin">
        <color rgb="FFD9C5CC"/>
      </left>
      <right style="thin">
        <color rgb="FFD9C5CC"/>
      </right>
      <top style="thin">
        <color rgb="FFD9C5CC"/>
      </top>
      <bottom style="thin">
        <color rgb="FFD9C5CC"/>
      </bottom>
      <diagonal/>
    </border>
    <border>
      <left style="thin">
        <color rgb="FFD9C5CC"/>
      </left>
      <right style="thin">
        <color rgb="FFD9C5CC"/>
      </right>
      <top/>
      <bottom/>
      <diagonal/>
    </border>
  </borders>
  <cellStyleXfs count="1">
    <xf numFmtId="0" fontId="0" fillId="0" borderId="0"/>
  </cellStyleXfs>
  <cellXfs count="72">
    <xf numFmtId="0" fontId="0" fillId="0" borderId="0" xfId="0"/>
    <xf numFmtId="0" fontId="17" fillId="8" borderId="0" xfId="0" applyFont="1" applyFill="1"/>
    <xf numFmtId="0" fontId="16" fillId="0" borderId="0" xfId="0" applyFont="1"/>
    <xf numFmtId="164"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0" fontId="6" fillId="4" borderId="1" xfId="0" applyFont="1" applyFill="1" applyBorder="1" applyAlignment="1">
      <alignment horizontal="center" vertical="center"/>
    </xf>
    <xf numFmtId="0" fontId="4" fillId="3"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left" vertical="center"/>
    </xf>
    <xf numFmtId="0" fontId="5" fillId="0" borderId="0" xfId="0" applyFont="1"/>
    <xf numFmtId="0" fontId="8" fillId="2" borderId="0" xfId="0" applyFont="1" applyFill="1" applyAlignment="1">
      <alignment horizontal="center" vertical="center"/>
    </xf>
    <xf numFmtId="0" fontId="3" fillId="0" borderId="1" xfId="0" applyFont="1" applyBorder="1" applyAlignment="1">
      <alignment horizontal="left" vertical="center"/>
    </xf>
    <xf numFmtId="3" fontId="3" fillId="0" borderId="1" xfId="0" applyNumberFormat="1" applyFont="1" applyBorder="1" applyAlignment="1">
      <alignment horizontal="center" vertical="center"/>
    </xf>
    <xf numFmtId="164" fontId="3" fillId="0" borderId="1" xfId="0" applyNumberFormat="1" applyFont="1" applyBorder="1" applyAlignment="1">
      <alignment horizontal="right" vertical="center"/>
    </xf>
    <xf numFmtId="0" fontId="9" fillId="0" borderId="1" xfId="0" applyFont="1" applyBorder="1" applyAlignment="1">
      <alignment horizontal="left" vertical="center"/>
    </xf>
    <xf numFmtId="3"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10" fillId="0" borderId="0" xfId="0" applyFont="1"/>
    <xf numFmtId="0" fontId="9" fillId="0" borderId="1" xfId="0" applyFont="1" applyBorder="1"/>
    <xf numFmtId="3" fontId="9" fillId="0" borderId="1" xfId="0" applyNumberFormat="1" applyFont="1" applyBorder="1" applyAlignment="1">
      <alignment horizontal="right" vertical="center"/>
    </xf>
    <xf numFmtId="164" fontId="9" fillId="0" borderId="1" xfId="0" applyNumberFormat="1" applyFont="1" applyBorder="1" applyAlignment="1">
      <alignment horizontal="right" vertical="center"/>
    </xf>
    <xf numFmtId="0" fontId="11" fillId="5" borderId="0" xfId="0" applyFont="1" applyFill="1" applyAlignment="1">
      <alignment horizontal="center" vertical="center" wrapText="1"/>
    </xf>
    <xf numFmtId="0" fontId="11" fillId="6" borderId="0" xfId="0" applyFont="1" applyFill="1" applyAlignment="1">
      <alignment horizontal="center" vertical="center" wrapText="1"/>
    </xf>
    <xf numFmtId="0" fontId="12" fillId="0" borderId="1" xfId="0" applyFont="1" applyBorder="1" applyAlignment="1">
      <alignment horizontal="center" vertical="center"/>
    </xf>
    <xf numFmtId="1" fontId="12" fillId="0" borderId="1" xfId="0" applyNumberFormat="1" applyFont="1" applyBorder="1" applyAlignment="1">
      <alignment horizontal="center" vertical="center"/>
    </xf>
    <xf numFmtId="14" fontId="12" fillId="0" borderId="1" xfId="0" applyNumberFormat="1" applyFont="1" applyBorder="1" applyAlignment="1">
      <alignment horizontal="center" vertical="center"/>
    </xf>
    <xf numFmtId="0" fontId="12" fillId="7" borderId="1" xfId="0" applyFont="1" applyFill="1" applyBorder="1" applyAlignment="1">
      <alignment horizontal="center" vertical="center"/>
    </xf>
    <xf numFmtId="164" fontId="12" fillId="7" borderId="1" xfId="0" applyNumberFormat="1" applyFont="1" applyFill="1" applyBorder="1" applyAlignment="1">
      <alignment horizontal="center" vertical="center"/>
    </xf>
    <xf numFmtId="14" fontId="12" fillId="7" borderId="1" xfId="0" applyNumberFormat="1" applyFont="1" applyFill="1" applyBorder="1" applyAlignment="1">
      <alignment horizontal="center" vertical="center"/>
    </xf>
    <xf numFmtId="0" fontId="14" fillId="5" borderId="0" xfId="0" applyFont="1" applyFill="1" applyAlignment="1">
      <alignment horizontal="center" vertical="center" wrapText="1"/>
    </xf>
    <xf numFmtId="0" fontId="14" fillId="6" borderId="0" xfId="0" applyFont="1" applyFill="1" applyAlignment="1">
      <alignment horizontal="center" vertical="center" wrapText="1"/>
    </xf>
    <xf numFmtId="1" fontId="12" fillId="7" borderId="1" xfId="0" applyNumberFormat="1" applyFont="1" applyFill="1" applyBorder="1" applyAlignment="1">
      <alignment horizontal="center" vertical="center"/>
    </xf>
    <xf numFmtId="164" fontId="12" fillId="0" borderId="1" xfId="0" applyNumberFormat="1" applyFont="1" applyBorder="1" applyAlignment="1">
      <alignment horizontal="center" vertical="center"/>
    </xf>
    <xf numFmtId="9" fontId="12" fillId="0" borderId="1" xfId="0" applyNumberFormat="1" applyFont="1" applyBorder="1" applyAlignment="1">
      <alignment horizontal="center" vertical="center"/>
    </xf>
    <xf numFmtId="0" fontId="15" fillId="0" borderId="0" xfId="0" applyFont="1"/>
    <xf numFmtId="0" fontId="16" fillId="0" borderId="0" xfId="0" applyFont="1"/>
    <xf numFmtId="165" fontId="0" fillId="0" borderId="0" xfId="0" applyNumberFormat="1"/>
    <xf numFmtId="0" fontId="18" fillId="0" borderId="0" xfId="0" applyFont="1"/>
    <xf numFmtId="165" fontId="18" fillId="0" borderId="0" xfId="0" applyNumberFormat="1" applyFont="1"/>
    <xf numFmtId="0" fontId="19" fillId="0" borderId="0" xfId="0" applyFont="1"/>
    <xf numFmtId="165" fontId="19" fillId="0" borderId="0" xfId="0" applyNumberFormat="1" applyFont="1"/>
    <xf numFmtId="166" fontId="0" fillId="0" borderId="0" xfId="0" applyNumberFormat="1"/>
    <xf numFmtId="166" fontId="8" fillId="2" borderId="0" xfId="0" applyNumberFormat="1" applyFont="1" applyFill="1" applyAlignment="1">
      <alignment horizontal="center" vertical="center"/>
    </xf>
    <xf numFmtId="0" fontId="20" fillId="9" borderId="0" xfId="0" applyFont="1" applyFill="1" applyAlignment="1">
      <alignment horizontal="center" vertical="center"/>
    </xf>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164" fontId="3" fillId="10" borderId="1" xfId="0" applyNumberFormat="1" applyFont="1" applyFill="1" applyBorder="1" applyAlignment="1">
      <alignment horizontal="right" vertical="center"/>
    </xf>
    <xf numFmtId="0" fontId="3" fillId="10" borderId="1" xfId="0" applyFont="1" applyFill="1" applyBorder="1" applyAlignment="1">
      <alignment horizontal="left" vertical="center"/>
    </xf>
    <xf numFmtId="0" fontId="21" fillId="0" borderId="1" xfId="0" applyFont="1" applyBorder="1" applyAlignment="1">
      <alignment horizontal="left" vertical="center"/>
    </xf>
    <xf numFmtId="166" fontId="9" fillId="0" borderId="1" xfId="0" applyNumberFormat="1" applyFont="1" applyBorder="1"/>
    <xf numFmtId="0" fontId="9" fillId="0" borderId="1" xfId="0" applyFont="1" applyBorder="1" applyAlignment="1">
      <alignment horizontal="center" vertical="center"/>
    </xf>
    <xf numFmtId="167" fontId="0" fillId="0" borderId="0" xfId="0" applyNumberFormat="1"/>
    <xf numFmtId="168" fontId="12" fillId="0" borderId="0" xfId="0" applyNumberFormat="1" applyFont="1"/>
    <xf numFmtId="164" fontId="0" fillId="0" borderId="0" xfId="0" applyNumberFormat="1"/>
    <xf numFmtId="166" fontId="0" fillId="0" borderId="0" xfId="0" applyNumberFormat="1" applyAlignment="1">
      <alignment horizontal="center"/>
    </xf>
    <xf numFmtId="164" fontId="8" fillId="2" borderId="0" xfId="0" applyNumberFormat="1" applyFont="1" applyFill="1" applyAlignment="1">
      <alignment horizontal="center" vertical="center"/>
    </xf>
    <xf numFmtId="0" fontId="20" fillId="9" borderId="0" xfId="0" applyFont="1" applyFill="1"/>
    <xf numFmtId="0" fontId="3" fillId="0" borderId="2" xfId="0" applyFont="1" applyBorder="1" applyAlignment="1">
      <alignment horizontal="center" vertical="center"/>
    </xf>
    <xf numFmtId="164" fontId="3" fillId="0" borderId="2" xfId="0" applyNumberFormat="1" applyFont="1" applyBorder="1" applyAlignment="1">
      <alignment horizontal="right" vertical="center"/>
    </xf>
    <xf numFmtId="0" fontId="3" fillId="0" borderId="2" xfId="0" applyFont="1" applyBorder="1" applyAlignment="1">
      <alignment horizontal="left" vertical="center"/>
    </xf>
    <xf numFmtId="0" fontId="22" fillId="0" borderId="0" xfId="0" applyFont="1" applyAlignment="1">
      <alignment horizontal="center" vertical="center"/>
    </xf>
    <xf numFmtId="164" fontId="23" fillId="0" borderId="0" xfId="0" applyNumberFormat="1" applyFont="1"/>
    <xf numFmtId="164" fontId="3" fillId="11" borderId="1" xfId="0" applyNumberFormat="1" applyFont="1" applyFill="1" applyBorder="1" applyAlignment="1">
      <alignment horizontal="right" vertical="center"/>
    </xf>
    <xf numFmtId="169" fontId="3" fillId="0" borderId="1" xfId="0" applyNumberFormat="1" applyFont="1" applyBorder="1" applyAlignment="1">
      <alignment horizontal="center" vertical="center"/>
    </xf>
    <xf numFmtId="0" fontId="21" fillId="0" borderId="1" xfId="0" applyFont="1" applyBorder="1" applyAlignment="1">
      <alignment horizontal="center" vertical="center"/>
    </xf>
    <xf numFmtId="170" fontId="3" fillId="0" borderId="1" xfId="0" applyNumberFormat="1" applyFont="1" applyBorder="1" applyAlignment="1">
      <alignment horizontal="center" vertical="center"/>
    </xf>
    <xf numFmtId="0" fontId="24" fillId="2" borderId="0" xfId="0" applyFont="1" applyFill="1" applyAlignment="1">
      <alignment horizontal="center" vertical="center"/>
    </xf>
    <xf numFmtId="0" fontId="25" fillId="0" borderId="0" xfId="0" applyFont="1"/>
    <xf numFmtId="0" fontId="21" fillId="0" borderId="0" xfId="0"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D946EF"/>
      <rgbColor rgb="FF00FFFF"/>
      <rgbColor rgb="FF800000"/>
      <rgbColor rgb="FF008000"/>
      <rgbColor rgb="FF000080"/>
      <rgbColor rgb="FF808000"/>
      <rgbColor rgb="FF6D28D9"/>
      <rgbColor rgb="FF047857"/>
      <rgbColor rgb="FFD9C5CC"/>
      <rgbColor rgb="FF777777"/>
      <rgbColor rgb="FF9999FF"/>
      <rgbColor rgb="FF993366"/>
      <rgbColor rgb="FFFFF9C4"/>
      <rgbColor rgb="FFDDEBF7"/>
      <rgbColor rgb="FF660066"/>
      <rgbColor rgb="FFFF8080"/>
      <rgbColor rgb="FF0066CC"/>
      <rgbColor rgb="FFE8D4DC"/>
      <rgbColor rgb="FF000080"/>
      <rgbColor rgb="FFFF00FF"/>
      <rgbColor rgb="FFFFFF00"/>
      <rgbColor rgb="FF00FFFF"/>
      <rgbColor rgb="FF800080"/>
      <rgbColor rgb="FF800000"/>
      <rgbColor rgb="FF008080"/>
      <rgbColor rgb="FF0000FF"/>
      <rgbColor rgb="FF00CCFF"/>
      <rgbColor rgb="FFF2F2F2"/>
      <rgbColor rgb="FFE7E6E6"/>
      <rgbColor rgb="FFFDEADA"/>
      <rgbColor rgb="FFEDE9FE"/>
      <rgbColor rgb="FFFF99CC"/>
      <rgbColor rgb="FFCC99FF"/>
      <rgbColor rgb="FFF4EBEF"/>
      <rgbColor rgb="FF3366FF"/>
      <rgbColor rgb="FF33CCCC"/>
      <rgbColor rgb="FF99CC00"/>
      <rgbColor rgb="FFFFCC00"/>
      <rgbColor rgb="FFFF9900"/>
      <rgbColor rgb="FFFF6600"/>
      <rgbColor rgb="FF64748B"/>
      <rgbColor rgb="FF969696"/>
      <rgbColor rgb="FF003366"/>
      <rgbColor rgb="FF00B050"/>
      <rgbColor rgb="FF003300"/>
      <rgbColor rgb="FF555555"/>
      <rgbColor rgb="FF993300"/>
      <rgbColor rgb="FF993366"/>
      <rgbColor rgb="FF5B21B6"/>
      <rgbColor rgb="FF4A152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showGridLines="0" topLeftCell="A9" zoomScaleNormal="100" workbookViewId="0">
      <selection activeCell="G9" sqref="G9"/>
    </sheetView>
  </sheetViews>
  <sheetFormatPr baseColWidth="10" defaultColWidth="8.6328125" defaultRowHeight="14.5" x14ac:dyDescent="0.35"/>
  <cols>
    <col min="1" max="1" width="26" customWidth="1"/>
    <col min="2" max="2" width="16" customWidth="1"/>
    <col min="3" max="3" width="22" customWidth="1"/>
    <col min="4" max="4" width="4" customWidth="1"/>
    <col min="5" max="5" width="22" customWidth="1"/>
    <col min="6" max="6" width="16" customWidth="1"/>
    <col min="7" max="7" width="20" customWidth="1"/>
    <col min="8" max="8" width="4" customWidth="1"/>
    <col min="9" max="9" width="22" customWidth="1"/>
    <col min="10" max="10" width="4" customWidth="1"/>
    <col min="11" max="11" width="20" customWidth="1"/>
    <col min="12" max="12" width="4" customWidth="1"/>
  </cols>
  <sheetData>
    <row r="1" spans="1:12" ht="39.75" customHeight="1" x14ac:dyDescent="0.35">
      <c r="A1" s="10" t="s">
        <v>0</v>
      </c>
      <c r="B1" s="10"/>
      <c r="C1" s="10"/>
      <c r="D1" s="10"/>
      <c r="E1" s="10"/>
      <c r="F1" s="10"/>
      <c r="G1" s="10"/>
      <c r="H1" s="10"/>
      <c r="I1" s="10"/>
      <c r="J1" s="10"/>
      <c r="K1" s="10"/>
      <c r="L1" s="10"/>
    </row>
    <row r="3" spans="1:12" ht="25.5" customHeight="1" x14ac:dyDescent="0.35">
      <c r="A3" s="9" t="s">
        <v>1</v>
      </c>
      <c r="B3" s="9"/>
      <c r="C3" s="9"/>
      <c r="D3" s="9"/>
    </row>
    <row r="4" spans="1:12" ht="31.5" customHeight="1" x14ac:dyDescent="0.35">
      <c r="A4" s="8" t="s">
        <v>2</v>
      </c>
      <c r="B4" s="8"/>
      <c r="C4" s="7" t="s">
        <v>3</v>
      </c>
      <c r="D4" s="7"/>
    </row>
    <row r="5" spans="1:12" ht="21.75" customHeight="1" x14ac:dyDescent="0.35">
      <c r="A5" s="8" t="s">
        <v>4</v>
      </c>
      <c r="B5" s="8"/>
      <c r="C5" s="7" t="str">
        <f>IFERROR(VLOOKUP(C4,#REF!, 3, FALSE()), "⚠️ Código no encontrado")</f>
        <v>⚠️ Código no encontrado</v>
      </c>
      <c r="D5" s="7"/>
    </row>
    <row r="6" spans="1:12" ht="21.75" customHeight="1" x14ac:dyDescent="0.35">
      <c r="A6" s="8" t="s">
        <v>5</v>
      </c>
      <c r="B6" s="8"/>
      <c r="C6" s="7" t="str">
        <f>IFERROR(VLOOKUP(C4,#REF!, 4, FALSE()), "-")</f>
        <v>-</v>
      </c>
      <c r="D6" s="7"/>
    </row>
    <row r="7" spans="1:12" ht="21.75" customHeight="1" x14ac:dyDescent="0.35">
      <c r="A7" s="8" t="s">
        <v>6</v>
      </c>
      <c r="B7" s="8"/>
      <c r="C7" s="7">
        <f>IFERROR(VLOOKUP(C4,#REF!, 6, FALSE()), 0)</f>
        <v>0</v>
      </c>
      <c r="D7" s="7"/>
    </row>
    <row r="8" spans="1:12" ht="21.75" customHeight="1" x14ac:dyDescent="0.35">
      <c r="A8" s="8" t="s">
        <v>7</v>
      </c>
      <c r="B8" s="8"/>
      <c r="C8" s="7">
        <f>IFERROR(VLOOKUP(C4,#REF!, 10, FALSE()), 0)</f>
        <v>0</v>
      </c>
      <c r="D8" s="7"/>
    </row>
    <row r="9" spans="1:12" ht="21.75" customHeight="1" x14ac:dyDescent="0.35">
      <c r="A9" s="8" t="s">
        <v>8</v>
      </c>
      <c r="B9" s="8"/>
      <c r="C9" s="7">
        <f>SUMIF('🛒 Ventas'!C:C, C4, '🛒 Ventas'!G:G)</f>
        <v>0</v>
      </c>
      <c r="D9" s="7"/>
    </row>
    <row r="10" spans="1:12" ht="21.75" customHeight="1" x14ac:dyDescent="0.35">
      <c r="A10" s="8" t="s">
        <v>9</v>
      </c>
      <c r="B10" s="8"/>
      <c r="C10" s="6" t="str">
        <f>IF(C4="","", C4 &amp; (SUMIF('🛒 Ventas'!C:C, C4, '🛒 Ventas'!G:G) + 1))</f>
        <v>TM1</v>
      </c>
      <c r="D10" s="6"/>
    </row>
    <row r="12" spans="1:12" ht="16.5" customHeight="1" x14ac:dyDescent="0.4">
      <c r="A12" s="12" t="s">
        <v>10</v>
      </c>
    </row>
    <row r="14" spans="1:12" ht="14.25" customHeight="1" x14ac:dyDescent="0.35">
      <c r="A14" s="5" t="s">
        <v>11</v>
      </c>
      <c r="B14" s="5"/>
      <c r="C14" s="5" t="s">
        <v>12</v>
      </c>
      <c r="D14" s="5"/>
      <c r="E14" s="5" t="s">
        <v>13</v>
      </c>
      <c r="F14" s="5"/>
      <c r="G14" s="5" t="s">
        <v>14</v>
      </c>
      <c r="H14" s="5"/>
      <c r="I14" s="5" t="s">
        <v>15</v>
      </c>
      <c r="J14" s="5"/>
      <c r="K14" s="5" t="s">
        <v>16</v>
      </c>
      <c r="L14" s="5"/>
    </row>
    <row r="15" spans="1:12" ht="14.25" customHeight="1" x14ac:dyDescent="0.35">
      <c r="A15" s="4">
        <f>SUM(Marcancia!G:G)-SUM('🛒 Ventas'!G:G)</f>
        <v>71</v>
      </c>
      <c r="B15" s="4"/>
      <c r="C15" s="3">
        <f>IFERROR((SUM(Marcancia!J:J)/SUM(Marcancia!G:G))*A15,0)</f>
        <v>2787150.0000000005</v>
      </c>
      <c r="D15" s="3"/>
      <c r="E15" s="3">
        <f>SUM('🛒 Ventas'!I2:I41)</f>
        <v>0</v>
      </c>
      <c r="F15" s="3"/>
      <c r="G15" s="3">
        <f>SUM('🏢 Activos Fijos'!H2:H47)</f>
        <v>20857007</v>
      </c>
      <c r="H15" s="3"/>
      <c r="I15" s="3">
        <f>SUM('💸 Gastos'!E2:E65)</f>
        <v>14256280</v>
      </c>
      <c r="J15" s="3"/>
      <c r="K15" s="3">
        <f>E15-I15</f>
        <v>-14256280</v>
      </c>
      <c r="L15" s="3"/>
    </row>
    <row r="16" spans="1:12" ht="14.25" customHeight="1" x14ac:dyDescent="0.35">
      <c r="A16" s="4"/>
      <c r="B16" s="4"/>
      <c r="C16" s="3"/>
      <c r="D16" s="3"/>
      <c r="E16" s="3"/>
      <c r="F16" s="3"/>
      <c r="G16" s="3"/>
      <c r="H16" s="3"/>
      <c r="I16" s="3"/>
      <c r="J16" s="3"/>
      <c r="K16" s="3"/>
      <c r="L16" s="3"/>
    </row>
    <row r="19" spans="1:7" ht="16.5" customHeight="1" x14ac:dyDescent="0.4">
      <c r="A19" s="12" t="s">
        <v>17</v>
      </c>
      <c r="E19" s="12" t="s">
        <v>18</v>
      </c>
    </row>
    <row r="21" spans="1:7" ht="24" customHeight="1" x14ac:dyDescent="0.35">
      <c r="A21" s="13" t="s">
        <v>19</v>
      </c>
      <c r="B21" s="13" t="s">
        <v>20</v>
      </c>
      <c r="C21" s="13" t="s">
        <v>21</v>
      </c>
      <c r="E21" s="13" t="s">
        <v>22</v>
      </c>
      <c r="F21" s="13" t="s">
        <v>23</v>
      </c>
      <c r="G21" s="13" t="s">
        <v>24</v>
      </c>
    </row>
    <row r="22" spans="1:7" ht="14.25" customHeight="1" x14ac:dyDescent="0.35">
      <c r="A22" s="14" t="s">
        <v>25</v>
      </c>
      <c r="B22" s="15">
        <f>SUMIF('🛒 Ventas'!C:C, "S*", '🛒 Ventas'!G:G)</f>
        <v>0</v>
      </c>
      <c r="C22" s="16">
        <f>SUMIF('🛒 Ventas'!C:C, "S*", '🛒 Ventas'!I:I)</f>
        <v>0</v>
      </c>
      <c r="E22" s="14" t="s">
        <v>26</v>
      </c>
      <c r="F22" s="15">
        <f>COUNTIF('🛒 Ventas'!J:J, "Nequi")</f>
        <v>1</v>
      </c>
      <c r="G22" s="16">
        <f>SUMIF('🛒 Ventas'!J:J, "Nequi", '🛒 Ventas'!I:I)</f>
        <v>0</v>
      </c>
    </row>
    <row r="23" spans="1:7" ht="14.25" customHeight="1" x14ac:dyDescent="0.35">
      <c r="A23" s="14" t="s">
        <v>27</v>
      </c>
      <c r="B23" s="15">
        <f>SUMIF('🛒 Ventas'!C:C, "P*", '🛒 Ventas'!G:G)</f>
        <v>0</v>
      </c>
      <c r="C23" s="16">
        <f>SUMIF('🛒 Ventas'!C:C, "P*", '🛒 Ventas'!I:I)</f>
        <v>0</v>
      </c>
      <c r="E23" s="14" t="s">
        <v>28</v>
      </c>
      <c r="F23" s="15">
        <f>COUNTIF('🛒 Ventas'!J:J, "Daviplata")</f>
        <v>0</v>
      </c>
      <c r="G23" s="16">
        <f>SUMIF('🛒 Ventas'!J:J, "Daviplata", '🛒 Ventas'!I:I)</f>
        <v>0</v>
      </c>
    </row>
    <row r="24" spans="1:7" ht="14.25" customHeight="1" x14ac:dyDescent="0.35">
      <c r="A24" s="14" t="s">
        <v>29</v>
      </c>
      <c r="B24" s="15">
        <f>SUMIF('🛒 Ventas'!C:C, "T*", '🛒 Ventas'!G:G)</f>
        <v>0</v>
      </c>
      <c r="C24" s="16">
        <f>SUMIF('🛒 Ventas'!C:C, "T*", '🛒 Ventas'!I:I)</f>
        <v>0</v>
      </c>
      <c r="E24" s="14" t="s">
        <v>30</v>
      </c>
      <c r="F24" s="15">
        <f>COUNTIF('🛒 Ventas'!J:J, "Efectivo")</f>
        <v>0</v>
      </c>
      <c r="G24" s="16">
        <f>SUMIF('🛒 Ventas'!J:J, "Efectivo", '🛒 Ventas'!I:I)</f>
        <v>0</v>
      </c>
    </row>
    <row r="25" spans="1:7" ht="14.25" customHeight="1" x14ac:dyDescent="0.35">
      <c r="A25" s="14" t="s">
        <v>31</v>
      </c>
      <c r="B25" s="15">
        <f>SUMIF('🛒 Ventas'!C:C, "B*", '🛒 Ventas'!G:G)</f>
        <v>0</v>
      </c>
      <c r="C25" s="16">
        <f>SUMIF('🛒 Ventas'!C:C, "B*", '🛒 Ventas'!I:I)</f>
        <v>0</v>
      </c>
      <c r="E25" s="14" t="s">
        <v>32</v>
      </c>
      <c r="F25" s="15">
        <f>COUNTIF('🛒 Ventas'!J:J, "Transferencia Bancaria")</f>
        <v>0</v>
      </c>
      <c r="G25" s="16">
        <f>SUMIF('🛒 Ventas'!J:J, "Transferencia Bancaria", '🛒 Ventas'!I:I)</f>
        <v>0</v>
      </c>
    </row>
    <row r="26" spans="1:7" ht="14.25" customHeight="1" x14ac:dyDescent="0.35">
      <c r="A26" s="14" t="s">
        <v>33</v>
      </c>
      <c r="B26" s="15">
        <f>SUMIF('🛒 Ventas'!C:C, "A*", '🛒 Ventas'!G:G)</f>
        <v>0</v>
      </c>
      <c r="C26" s="16">
        <f>SUMIF('🛒 Ventas'!C:C, "A*", '🛒 Ventas'!I:I)</f>
        <v>0</v>
      </c>
      <c r="E26" s="14" t="s">
        <v>34</v>
      </c>
      <c r="F26" s="15">
        <f>COUNTIF('🛒 Ventas'!J:J, "Tarjeta Débito/Crédito")</f>
        <v>0</v>
      </c>
      <c r="G26" s="16">
        <f>SUMIF('🛒 Ventas'!J:J, "Tarjeta Débito/Crédito", '🛒 Ventas'!I:I)</f>
        <v>0</v>
      </c>
    </row>
    <row r="27" spans="1:7" ht="14.25" customHeight="1" x14ac:dyDescent="0.35">
      <c r="A27" s="17" t="s">
        <v>35</v>
      </c>
      <c r="B27" s="18">
        <f>SUM(B22:B26)</f>
        <v>0</v>
      </c>
      <c r="C27" s="19">
        <f>SUM(C22:C26)</f>
        <v>0</v>
      </c>
      <c r="E27" s="17" t="s">
        <v>35</v>
      </c>
      <c r="F27" s="18">
        <f>SUM(F22:F26)</f>
        <v>1</v>
      </c>
      <c r="G27" s="19">
        <f>SUM(G22:G26)</f>
        <v>0</v>
      </c>
    </row>
  </sheetData>
  <mergeCells count="28">
    <mergeCell ref="E14:F14"/>
    <mergeCell ref="G14:H14"/>
    <mergeCell ref="I14:J14"/>
    <mergeCell ref="K14:L14"/>
    <mergeCell ref="A15:B16"/>
    <mergeCell ref="C15:D16"/>
    <mergeCell ref="E15:F16"/>
    <mergeCell ref="G15:H16"/>
    <mergeCell ref="I15:J16"/>
    <mergeCell ref="K15:L16"/>
    <mergeCell ref="A9:B9"/>
    <mergeCell ref="C9:D9"/>
    <mergeCell ref="A10:B10"/>
    <mergeCell ref="C10:D10"/>
    <mergeCell ref="A14:B14"/>
    <mergeCell ref="C14:D14"/>
    <mergeCell ref="A6:B6"/>
    <mergeCell ref="C6:D6"/>
    <mergeCell ref="A7:B7"/>
    <mergeCell ref="C7:D7"/>
    <mergeCell ref="A8:B8"/>
    <mergeCell ref="C8:D8"/>
    <mergeCell ref="A1:L1"/>
    <mergeCell ref="A3:D3"/>
    <mergeCell ref="A4:B4"/>
    <mergeCell ref="C4:D4"/>
    <mergeCell ref="A5:B5"/>
    <mergeCell ref="C5:D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topLeftCell="A5" zoomScaleNormal="100" workbookViewId="0">
      <selection activeCell="B19" sqref="B19"/>
    </sheetView>
  </sheetViews>
  <sheetFormatPr baseColWidth="10" defaultColWidth="8.6328125" defaultRowHeight="14.5" x14ac:dyDescent="0.35"/>
  <cols>
    <col min="1" max="1" width="26" customWidth="1"/>
    <col min="2" max="2" width="14" customWidth="1"/>
    <col min="3" max="3" width="16" customWidth="1"/>
    <col min="4" max="5" width="4" customWidth="1"/>
    <col min="6" max="6" width="24" customWidth="1"/>
    <col min="7" max="7" width="14" customWidth="1"/>
    <col min="8" max="8" width="16" customWidth="1"/>
  </cols>
  <sheetData>
    <row r="1" spans="1:8" ht="31.5" customHeight="1" x14ac:dyDescent="0.35">
      <c r="A1" s="10" t="s">
        <v>36</v>
      </c>
      <c r="B1" s="10"/>
      <c r="C1" s="10"/>
      <c r="D1" s="10"/>
      <c r="E1" s="10"/>
      <c r="F1" s="10"/>
      <c r="G1" s="10"/>
      <c r="H1" s="10"/>
    </row>
    <row r="2" spans="1:8" ht="14.25" customHeight="1" x14ac:dyDescent="0.35">
      <c r="A2" s="20" t="s">
        <v>37</v>
      </c>
    </row>
    <row r="4" spans="1:8" ht="16.5" customHeight="1" x14ac:dyDescent="0.4">
      <c r="A4" s="12" t="s">
        <v>38</v>
      </c>
      <c r="F4" s="12" t="s">
        <v>39</v>
      </c>
    </row>
    <row r="5" spans="1:8" ht="21.75" customHeight="1" x14ac:dyDescent="0.35">
      <c r="A5" s="13" t="s">
        <v>40</v>
      </c>
      <c r="B5" s="13" t="s">
        <v>41</v>
      </c>
      <c r="C5" s="13" t="s">
        <v>24</v>
      </c>
      <c r="F5" s="13" t="s">
        <v>22</v>
      </c>
      <c r="G5" s="13" t="s">
        <v>41</v>
      </c>
      <c r="H5" s="13" t="s">
        <v>24</v>
      </c>
    </row>
    <row r="6" spans="1:8" ht="14.25" customHeight="1" x14ac:dyDescent="0.35">
      <c r="A6" s="14" t="s">
        <v>42</v>
      </c>
      <c r="B6" s="15">
        <f>COUNTIF('💸 Gastos'!C:C,"Arriendo")</f>
        <v>2</v>
      </c>
      <c r="C6" s="16">
        <f>SUMIF('💸 Gastos'!C:C,"Arriendo",'💸 Gastos'!E:E)</f>
        <v>3950000</v>
      </c>
      <c r="F6" s="14" t="s">
        <v>26</v>
      </c>
      <c r="G6" s="15">
        <f>COUNTIF('💸 Gastos'!H:H,"Nequi")</f>
        <v>0</v>
      </c>
      <c r="H6" s="16">
        <f>SUMIF('💸 Gastos'!H:H,"Nequi",'💸 Gastos'!E:E)</f>
        <v>0</v>
      </c>
    </row>
    <row r="7" spans="1:8" ht="14.25" customHeight="1" x14ac:dyDescent="0.35">
      <c r="A7" s="14" t="s">
        <v>43</v>
      </c>
      <c r="B7" s="15">
        <f>COUNTIF('💸 Gastos'!C:C,"Servicios Públicos")</f>
        <v>1</v>
      </c>
      <c r="C7" s="16">
        <f>SUMIF('💸 Gastos'!C:C,"Servicios Públicos",'💸 Gastos'!E:E)</f>
        <v>35850</v>
      </c>
      <c r="F7" s="14" t="s">
        <v>28</v>
      </c>
      <c r="G7" s="15">
        <f>COUNTIF('💸 Gastos'!H:H,"Daviplata")</f>
        <v>0</v>
      </c>
      <c r="H7" s="16">
        <f>SUMIF('💸 Gastos'!H:H,"Daviplata",'💸 Gastos'!E:E)</f>
        <v>0</v>
      </c>
    </row>
    <row r="8" spans="1:8" ht="14.25" customHeight="1" x14ac:dyDescent="0.35">
      <c r="A8" s="14" t="s">
        <v>44</v>
      </c>
      <c r="B8" s="15">
        <f>COUNTIF('💸 Gastos'!C:C,"Nómina / Personal")</f>
        <v>1</v>
      </c>
      <c r="C8" s="16">
        <f>SUMIF('💸 Gastos'!C:C,"Nómina / Personal",'💸 Gastos'!E:E)</f>
        <v>906000</v>
      </c>
      <c r="F8" s="14" t="s">
        <v>30</v>
      </c>
      <c r="G8" s="15">
        <f>COUNTIF('💸 Gastos'!H:H,"Efectivo")</f>
        <v>62</v>
      </c>
      <c r="H8" s="16">
        <f>SUMIF('💸 Gastos'!H:H,"Efectivo",'💸 Gastos'!E:E)</f>
        <v>14256280</v>
      </c>
    </row>
    <row r="9" spans="1:8" ht="14.25" customHeight="1" x14ac:dyDescent="0.35">
      <c r="A9" s="14" t="s">
        <v>45</v>
      </c>
      <c r="B9" s="15">
        <f>COUNTIF('💸 Gastos'!C:C,"Insumos y Aseo")</f>
        <v>8</v>
      </c>
      <c r="C9" s="16">
        <f>SUMIF('💸 Gastos'!C:C,"Insumos y Aseo",'💸 Gastos'!E:E)</f>
        <v>398403</v>
      </c>
      <c r="F9" s="14" t="s">
        <v>32</v>
      </c>
      <c r="G9" s="15">
        <f>COUNTIF('💸 Gastos'!H:H,"Transferencia Bancaria")</f>
        <v>0</v>
      </c>
      <c r="H9" s="16">
        <f>SUMIF('💸 Gastos'!H:H,"Transferencia Bancaria",'💸 Gastos'!E:E)</f>
        <v>0</v>
      </c>
    </row>
    <row r="10" spans="1:8" ht="14.25" customHeight="1" x14ac:dyDescent="0.35">
      <c r="A10" s="14" t="s">
        <v>46</v>
      </c>
      <c r="B10" s="15">
        <f>COUNTIF('💸 Gastos'!C:C,"Mantenimiento Equipos")</f>
        <v>0</v>
      </c>
      <c r="C10" s="16">
        <f>SUMIF('💸 Gastos'!C:C,"Mantenimiento Equipos",'💸 Gastos'!E:E)</f>
        <v>0</v>
      </c>
      <c r="F10" s="14" t="s">
        <v>34</v>
      </c>
      <c r="G10" s="15">
        <f>COUNTIF('💸 Gastos'!H:H,"Tarjeta Débito/Crédito")</f>
        <v>0</v>
      </c>
      <c r="H10" s="16">
        <f>SUMIF('💸 Gastos'!H:H,"Tarjeta Débito/Crédito",'💸 Gastos'!E:E)</f>
        <v>0</v>
      </c>
    </row>
    <row r="11" spans="1:8" ht="14.25" customHeight="1" x14ac:dyDescent="0.35">
      <c r="A11" s="14" t="s">
        <v>47</v>
      </c>
      <c r="B11" s="15">
        <f>COUNTIF('💸 Gastos'!C:C,"Marketing y Publicidad")</f>
        <v>8</v>
      </c>
      <c r="C11" s="16">
        <f>SUMIF('💸 Gastos'!C:C,"Marketing y Publicidad",'💸 Gastos'!E:E)</f>
        <v>554179</v>
      </c>
      <c r="F11" s="21" t="s">
        <v>48</v>
      </c>
      <c r="G11" s="22">
        <f>SUM(G6:G10)</f>
        <v>62</v>
      </c>
      <c r="H11" s="23">
        <f>SUM(H6:H10)</f>
        <v>14256280</v>
      </c>
    </row>
    <row r="12" spans="1:8" ht="14.25" customHeight="1" x14ac:dyDescent="0.35">
      <c r="A12" s="14" t="s">
        <v>49</v>
      </c>
      <c r="B12" s="15">
        <f>COUNTIF('💸 Gastos'!C:C,"Software / Suscripciones")</f>
        <v>0</v>
      </c>
      <c r="C12" s="16">
        <f>SUMIF('💸 Gastos'!C:C,"Software / Suscripciones",'💸 Gastos'!E:E)</f>
        <v>0</v>
      </c>
    </row>
    <row r="13" spans="1:8" ht="14.25" customHeight="1" x14ac:dyDescent="0.35">
      <c r="A13" s="14" t="s">
        <v>50</v>
      </c>
      <c r="B13" s="15">
        <f>COUNTIF('💸 Gastos'!C:C,"Mantenimiento Local/Infraestructura")</f>
        <v>2</v>
      </c>
      <c r="C13" s="16">
        <f>SUMIF('💸 Gastos'!C:C,"Mantenimiento Local/Infraestructura",'💸 Gastos'!E:E)</f>
        <v>6364500</v>
      </c>
    </row>
    <row r="14" spans="1:8" ht="14.25" customHeight="1" x14ac:dyDescent="0.35">
      <c r="A14" s="14" t="s">
        <v>51</v>
      </c>
      <c r="B14" s="15">
        <f>COUNTIF('💸 Gastos'!C:C,"Envíos/Transporte")</f>
        <v>1</v>
      </c>
      <c r="C14" s="16">
        <f>SUMIF('💸 Gastos'!C:C,"Envíos/Transporte",'💸 Gastos'!E:E)</f>
        <v>195000</v>
      </c>
    </row>
    <row r="15" spans="1:8" ht="14.25" customHeight="1" x14ac:dyDescent="0.35">
      <c r="A15" s="14" t="s">
        <v>52</v>
      </c>
      <c r="B15" s="15">
        <f>COUNTIF('💸 Gastos'!C:C,"Otros")</f>
        <v>0</v>
      </c>
      <c r="C15" s="16">
        <f>SUMIF('💸 Gastos'!C:C,"Otros",'💸 Gastos'!E:E)</f>
        <v>0</v>
      </c>
    </row>
    <row r="16" spans="1:8" ht="14.25" customHeight="1" x14ac:dyDescent="0.35">
      <c r="A16" s="21" t="s">
        <v>48</v>
      </c>
      <c r="B16" s="22">
        <f>SUM(B6:B15)</f>
        <v>23</v>
      </c>
      <c r="C16" s="23">
        <f>SUM(C6:C15)</f>
        <v>12403932</v>
      </c>
    </row>
    <row r="18" spans="1:3" ht="16.5" customHeight="1" x14ac:dyDescent="0.4">
      <c r="A18" s="12" t="s">
        <v>53</v>
      </c>
    </row>
    <row r="19" spans="1:3" ht="21.75" customHeight="1" x14ac:dyDescent="0.35">
      <c r="A19" s="13" t="s">
        <v>54</v>
      </c>
      <c r="B19" s="13" t="s">
        <v>20</v>
      </c>
      <c r="C19" s="13" t="s">
        <v>24</v>
      </c>
    </row>
    <row r="20" spans="1:3" ht="14.25" customHeight="1" x14ac:dyDescent="0.35">
      <c r="A20" s="14" t="s">
        <v>55</v>
      </c>
      <c r="B20" s="15">
        <f>SUMIF('🛒 Ventas'!F:F,"Negro",'🛒 Ventas'!G:G)</f>
        <v>0</v>
      </c>
      <c r="C20" s="16">
        <f>SUMIF('🛒 Ventas'!F:F,"Negro",'🛒 Ventas'!I:I)</f>
        <v>0</v>
      </c>
    </row>
    <row r="21" spans="1:3" ht="14.25" customHeight="1" x14ac:dyDescent="0.35">
      <c r="A21" s="14" t="s">
        <v>56</v>
      </c>
      <c r="B21" s="15">
        <f>SUMIF('🛒 Ventas'!F:F,"Azul",'🛒 Ventas'!G:G)</f>
        <v>0</v>
      </c>
      <c r="C21" s="16">
        <f>SUMIF('🛒 Ventas'!F:F,"Azul",'🛒 Ventas'!I:I)</f>
        <v>0</v>
      </c>
    </row>
    <row r="22" spans="1:3" ht="14.25" customHeight="1" x14ac:dyDescent="0.35">
      <c r="A22" s="14" t="s">
        <v>57</v>
      </c>
      <c r="B22" s="15">
        <f>SUMIF('🛒 Ventas'!F:F,"Rojo",'🛒 Ventas'!G:G)</f>
        <v>0</v>
      </c>
      <c r="C22" s="16">
        <f>SUMIF('🛒 Ventas'!F:F,"Rojo",'🛒 Ventas'!I:I)</f>
        <v>0</v>
      </c>
    </row>
    <row r="23" spans="1:3" ht="14.25" customHeight="1" x14ac:dyDescent="0.35">
      <c r="A23" s="14" t="s">
        <v>58</v>
      </c>
      <c r="B23" s="15">
        <f>SUMIF('🛒 Ventas'!F:F,"Verde",'🛒 Ventas'!G:G)</f>
        <v>0</v>
      </c>
      <c r="C23" s="16">
        <f>SUMIF('🛒 Ventas'!F:F,"Verde",'🛒 Ventas'!I:I)</f>
        <v>0</v>
      </c>
    </row>
    <row r="24" spans="1:3" ht="14.25" customHeight="1" x14ac:dyDescent="0.35">
      <c r="A24" s="14" t="s">
        <v>59</v>
      </c>
      <c r="B24" s="15">
        <f>SUMIF('🛒 Ventas'!F:F,"Amarillo",'🛒 Ventas'!G:G)</f>
        <v>0</v>
      </c>
      <c r="C24" s="16">
        <f>SUMIF('🛒 Ventas'!F:F,"Amarillo",'🛒 Ventas'!I:I)</f>
        <v>0</v>
      </c>
    </row>
    <row r="25" spans="1:3" ht="14.25" customHeight="1" x14ac:dyDescent="0.35">
      <c r="A25" s="14" t="s">
        <v>60</v>
      </c>
      <c r="B25" s="15">
        <f>SUMIF('🛒 Ventas'!F:F,"Blanco",'🛒 Ventas'!G:G)</f>
        <v>0</v>
      </c>
      <c r="C25" s="16">
        <f>SUMIF('🛒 Ventas'!F:F,"Blanco",'🛒 Ventas'!I:I)</f>
        <v>0</v>
      </c>
    </row>
    <row r="26" spans="1:3" ht="14.25" customHeight="1" x14ac:dyDescent="0.35">
      <c r="A26" s="21" t="s">
        <v>48</v>
      </c>
      <c r="B26" s="22">
        <f>SUM(B20:B25)</f>
        <v>0</v>
      </c>
      <c r="C26" s="23">
        <f>SUM(C20:C25)</f>
        <v>0</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0"/>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328125" defaultRowHeight="14.5" x14ac:dyDescent="0.35"/>
  <cols>
    <col min="1" max="1" width="10" customWidth="1"/>
    <col min="2" max="2" width="32" customWidth="1"/>
    <col min="3" max="3" width="13" customWidth="1"/>
    <col min="4" max="4" width="28" customWidth="1"/>
    <col min="5" max="5" width="26" customWidth="1"/>
    <col min="6" max="6" width="14" customWidth="1"/>
    <col min="7" max="7" width="7" customWidth="1"/>
    <col min="8" max="8" width="14" customWidth="1"/>
    <col min="9" max="9" width="12" customWidth="1"/>
    <col min="10" max="10" width="14" customWidth="1"/>
    <col min="11" max="13" width="13" customWidth="1"/>
  </cols>
  <sheetData>
    <row r="1" spans="1:13" ht="45" customHeight="1" x14ac:dyDescent="0.35">
      <c r="A1" s="24" t="s">
        <v>61</v>
      </c>
      <c r="B1" s="24" t="s">
        <v>62</v>
      </c>
      <c r="C1" s="24" t="s">
        <v>63</v>
      </c>
      <c r="D1" s="24" t="s">
        <v>64</v>
      </c>
      <c r="E1" s="24" t="s">
        <v>65</v>
      </c>
      <c r="F1" s="24" t="s">
        <v>66</v>
      </c>
      <c r="G1" s="25" t="s">
        <v>67</v>
      </c>
      <c r="H1" s="25" t="s">
        <v>68</v>
      </c>
      <c r="I1" s="25" t="s">
        <v>69</v>
      </c>
      <c r="J1" s="25" t="s">
        <v>70</v>
      </c>
      <c r="K1" s="25" t="s">
        <v>71</v>
      </c>
      <c r="L1" s="25" t="s">
        <v>72</v>
      </c>
      <c r="M1" s="25" t="s">
        <v>73</v>
      </c>
    </row>
    <row r="2" spans="1:13" x14ac:dyDescent="0.35">
      <c r="A2" s="26" t="s">
        <v>74</v>
      </c>
      <c r="B2" s="26" t="s">
        <v>75</v>
      </c>
      <c r="C2" s="27">
        <v>3229015452</v>
      </c>
      <c r="D2" s="26" t="s">
        <v>76</v>
      </c>
      <c r="E2" s="26" t="s">
        <v>77</v>
      </c>
      <c r="F2" s="28">
        <v>32232</v>
      </c>
      <c r="G2" s="29">
        <f t="shared" ref="G2:G65" ca="1" si="0">IF(F2="","",DATEDIF(F2,TODAY(),"Y"))</f>
        <v>38</v>
      </c>
      <c r="H2" s="29">
        <f>IF(B2="","",COUNTIFS('🤸 Ingresos Pole'!$C$2:$C$1000,B2,'🤸 Ingresos Pole'!$J$2:$J$1000,"Paquete"))</f>
        <v>1</v>
      </c>
      <c r="I2" s="29">
        <f>IF(B2="","",COUNTIF('🤸 Ingresos Pole'!$C$2:$C$1000,B2))</f>
        <v>1</v>
      </c>
      <c r="J2" s="30">
        <f>IF(B2="","",SUMIF('🤸 Ingresos Pole'!$C$2:$C$1000,B2,'🤸 Ingresos Pole'!$N$2:$N$1000))</f>
        <v>200000</v>
      </c>
      <c r="K2" s="31">
        <f>IF(OR(B2="",I2=0),"",_xlfn.MINIFS('🤸 Ingresos Pole'!$B$2:$B$1000,'🤸 Ingresos Pole'!$C$2:$C$1000,B2))</f>
        <v>46264</v>
      </c>
      <c r="L2" s="31">
        <f>IF(OR(B2="",I2=0),"",_xlfn.MAXIFS('🤸 Ingresos Pole'!$B$2:$B$1000,'🤸 Ingresos Pole'!$C$2:$C$1000,B2))</f>
        <v>46264</v>
      </c>
      <c r="M2" s="29" t="str">
        <f t="shared" ref="M2:M65" si="1">IF(OR(B2="",I2=0),"",IF(H2=0,"Sin paquete",IF(H2=1,"Nueva","Recurrente")))</f>
        <v>Nueva</v>
      </c>
    </row>
    <row r="3" spans="1:13" x14ac:dyDescent="0.35">
      <c r="A3" s="26" t="s">
        <v>78</v>
      </c>
      <c r="B3" s="26" t="s">
        <v>79</v>
      </c>
      <c r="C3" s="27">
        <v>3142183412</v>
      </c>
      <c r="D3" s="26" t="s">
        <v>80</v>
      </c>
      <c r="E3" s="26" t="s">
        <v>81</v>
      </c>
      <c r="F3" s="28">
        <v>27887</v>
      </c>
      <c r="G3" s="29">
        <f t="shared" ca="1" si="0"/>
        <v>50</v>
      </c>
      <c r="H3" s="29">
        <f>IF(B3="","",COUNTIFS('🤸 Ingresos Pole'!$C$2:$C$1000,B3,'🤸 Ingresos Pole'!$J$2:$J$1000,"Paquete"))</f>
        <v>1</v>
      </c>
      <c r="I3" s="29">
        <f>IF(B3="","",COUNTIF('🤸 Ingresos Pole'!$C$2:$C$1000,B3))</f>
        <v>1</v>
      </c>
      <c r="J3" s="30">
        <f>IF(B3="","",SUMIF('🤸 Ingresos Pole'!$C$2:$C$1000,B3,'🤸 Ingresos Pole'!$N$2:$N$1000))</f>
        <v>350000</v>
      </c>
      <c r="K3" s="31">
        <f>IF(OR(B3="",I3=0),"",_xlfn.MINIFS('🤸 Ingresos Pole'!$B$2:$B$1000,'🤸 Ingresos Pole'!$C$2:$C$1000,B3))</f>
        <v>46265</v>
      </c>
      <c r="L3" s="31">
        <f>IF(OR(B3="",I3=0),"",_xlfn.MAXIFS('🤸 Ingresos Pole'!$B$2:$B$1000,'🤸 Ingresos Pole'!$C$2:$C$1000,B3))</f>
        <v>46265</v>
      </c>
      <c r="M3" s="29" t="str">
        <f t="shared" si="1"/>
        <v>Nueva</v>
      </c>
    </row>
    <row r="4" spans="1:13" x14ac:dyDescent="0.35">
      <c r="A4" s="26" t="s">
        <v>82</v>
      </c>
      <c r="B4" s="26" t="s">
        <v>83</v>
      </c>
      <c r="C4" s="27">
        <v>3196364084</v>
      </c>
      <c r="D4" s="26" t="s">
        <v>84</v>
      </c>
      <c r="E4" s="26" t="s">
        <v>85</v>
      </c>
      <c r="F4" s="28">
        <v>33374</v>
      </c>
      <c r="G4" s="29">
        <f t="shared" ca="1" si="0"/>
        <v>35</v>
      </c>
      <c r="H4" s="29">
        <f>IF(B4="","",COUNTIFS('🤸 Ingresos Pole'!$C$2:$C$1000,B4,'🤸 Ingresos Pole'!$J$2:$J$1000,"Paquete"))</f>
        <v>2</v>
      </c>
      <c r="I4" s="29">
        <f>IF(B4="","",COUNTIF('🤸 Ingresos Pole'!$C$2:$C$1000,B4))</f>
        <v>2</v>
      </c>
      <c r="J4" s="30">
        <f>IF(B4="","",SUMIF('🤸 Ingresos Pole'!$C$2:$C$1000,B4,'🤸 Ingresos Pole'!$N$2:$N$1000))</f>
        <v>960000</v>
      </c>
      <c r="K4" s="31">
        <f>IF(OR(B4="",I4=0),"",_xlfn.MINIFS('🤸 Ingresos Pole'!$B$2:$B$1000,'🤸 Ingresos Pole'!$C$2:$C$1000,B4))</f>
        <v>46264</v>
      </c>
      <c r="L4" s="31">
        <f>IF(OR(B4="",I4=0),"",_xlfn.MAXIFS('🤸 Ingresos Pole'!$B$2:$B$1000,'🤸 Ingresos Pole'!$C$2:$C$1000,B4))</f>
        <v>46295</v>
      </c>
      <c r="M4" s="29" t="str">
        <f t="shared" si="1"/>
        <v>Recurrente</v>
      </c>
    </row>
    <row r="5" spans="1:13" x14ac:dyDescent="0.35">
      <c r="A5" s="26" t="s">
        <v>86</v>
      </c>
      <c r="B5" s="26" t="s">
        <v>87</v>
      </c>
      <c r="C5" s="27">
        <v>3104775381</v>
      </c>
      <c r="D5" s="26" t="s">
        <v>88</v>
      </c>
      <c r="E5" s="26" t="s">
        <v>89</v>
      </c>
      <c r="F5" s="28">
        <v>31592</v>
      </c>
      <c r="G5" s="29">
        <f t="shared" ca="1" si="0"/>
        <v>40</v>
      </c>
      <c r="H5" s="29">
        <f>IF(B5="","",COUNTIFS('🤸 Ingresos Pole'!$C$2:$C$1000,B5,'🤸 Ingresos Pole'!$J$2:$J$1000,"Paquete"))</f>
        <v>2</v>
      </c>
      <c r="I5" s="29">
        <f>IF(B5="","",COUNTIF('🤸 Ingresos Pole'!$C$2:$C$1000,B5))</f>
        <v>2</v>
      </c>
      <c r="J5" s="30">
        <f>IF(B5="","",SUMIF('🤸 Ingresos Pole'!$C$2:$C$1000,B5,'🤸 Ingresos Pole'!$N$2:$N$1000))</f>
        <v>0</v>
      </c>
      <c r="K5" s="31">
        <f>IF(OR(B5="",I5=0),"",_xlfn.MINIFS('🤸 Ingresos Pole'!$B$2:$B$1000,'🤸 Ingresos Pole'!$C$2:$C$1000,B5))</f>
        <v>46264</v>
      </c>
      <c r="L5" s="31">
        <f>IF(OR(B5="",I5=0),"",_xlfn.MAXIFS('🤸 Ingresos Pole'!$B$2:$B$1000,'🤸 Ingresos Pole'!$C$2:$C$1000,B5))</f>
        <v>46295</v>
      </c>
      <c r="M5" s="29" t="str">
        <f t="shared" si="1"/>
        <v>Recurrente</v>
      </c>
    </row>
    <row r="6" spans="1:13" x14ac:dyDescent="0.35">
      <c r="A6" s="26" t="s">
        <v>90</v>
      </c>
      <c r="B6" s="26" t="s">
        <v>91</v>
      </c>
      <c r="C6" s="27"/>
      <c r="D6" s="26"/>
      <c r="E6" s="26"/>
      <c r="F6" s="28"/>
      <c r="G6" s="29" t="str">
        <f t="shared" ca="1" si="0"/>
        <v/>
      </c>
      <c r="H6" s="29">
        <f>IF(B6="","",COUNTIFS('🤸 Ingresos Pole'!$C$2:$C$1000,B6,'🤸 Ingresos Pole'!$J$2:$J$1000,"Paquete"))</f>
        <v>1</v>
      </c>
      <c r="I6" s="29">
        <f>IF(B6="","",COUNTIF('🤸 Ingresos Pole'!$C$2:$C$1000,B6))</f>
        <v>1</v>
      </c>
      <c r="J6" s="30">
        <f>IF(B6="","",SUMIF('🤸 Ingresos Pole'!$C$2:$C$1000,B6,'🤸 Ingresos Pole'!$N$2:$N$1000))</f>
        <v>480000</v>
      </c>
      <c r="K6" s="31">
        <f>IF(OR(B6="",I6=0),"",_xlfn.MINIFS('🤸 Ingresos Pole'!$B$2:$B$1000,'🤸 Ingresos Pole'!$C$2:$C$1000,B6))</f>
        <v>46265</v>
      </c>
      <c r="L6" s="31">
        <f>IF(OR(B6="",I6=0),"",_xlfn.MAXIFS('🤸 Ingresos Pole'!$B$2:$B$1000,'🤸 Ingresos Pole'!$C$2:$C$1000,B6))</f>
        <v>46265</v>
      </c>
      <c r="M6" s="29" t="str">
        <f t="shared" si="1"/>
        <v>Nueva</v>
      </c>
    </row>
    <row r="7" spans="1:13" x14ac:dyDescent="0.35">
      <c r="A7" s="26" t="s">
        <v>92</v>
      </c>
      <c r="B7" s="26" t="s">
        <v>93</v>
      </c>
      <c r="C7" s="27">
        <v>3185937737</v>
      </c>
      <c r="D7" s="26"/>
      <c r="E7" s="26"/>
      <c r="F7" s="28"/>
      <c r="G7" s="29" t="str">
        <f t="shared" ca="1" si="0"/>
        <v/>
      </c>
      <c r="H7" s="29">
        <f>IF(B7="","",COUNTIFS('🤸 Ingresos Pole'!$C$2:$C$1000,B7,'🤸 Ingresos Pole'!$J$2:$J$1000,"Paquete"))</f>
        <v>0</v>
      </c>
      <c r="I7" s="29">
        <f>IF(B7="","",COUNTIF('🤸 Ingresos Pole'!$C$2:$C$1000,B7))</f>
        <v>2</v>
      </c>
      <c r="J7" s="30">
        <f>IF(B7="","",SUMIF('🤸 Ingresos Pole'!$C$2:$C$1000,B7,'🤸 Ingresos Pole'!$N$2:$N$1000))</f>
        <v>44000</v>
      </c>
      <c r="K7" s="31">
        <f>IF(OR(B7="",I7=0),"",_xlfn.MINIFS('🤸 Ingresos Pole'!$B$2:$B$1000,'🤸 Ingresos Pole'!$C$2:$C$1000,B7))</f>
        <v>46267</v>
      </c>
      <c r="L7" s="31">
        <f>IF(OR(B7="",I7=0),"",_xlfn.MAXIFS('🤸 Ingresos Pole'!$B$2:$B$1000,'🤸 Ingresos Pole'!$C$2:$C$1000,B7))</f>
        <v>46283</v>
      </c>
      <c r="M7" s="29" t="str">
        <f t="shared" si="1"/>
        <v>Sin paquete</v>
      </c>
    </row>
    <row r="8" spans="1:13" x14ac:dyDescent="0.35">
      <c r="A8" s="26" t="s">
        <v>94</v>
      </c>
      <c r="B8" s="26" t="s">
        <v>95</v>
      </c>
      <c r="C8" s="27"/>
      <c r="D8" s="26"/>
      <c r="E8" s="26"/>
      <c r="F8" s="28"/>
      <c r="G8" s="29" t="str">
        <f t="shared" ca="1" si="0"/>
        <v/>
      </c>
      <c r="H8" s="29">
        <f>IF(B8="","",COUNTIFS('🤸 Ingresos Pole'!$C$2:$C$1000,B8,'🤸 Ingresos Pole'!$J$2:$J$1000,"Paquete"))</f>
        <v>2</v>
      </c>
      <c r="I8" s="29">
        <f>IF(B8="","",COUNTIF('🤸 Ingresos Pole'!$C$2:$C$1000,B8))</f>
        <v>2</v>
      </c>
      <c r="J8" s="30">
        <f>IF(B8="","",SUMIF('🤸 Ingresos Pole'!$C$2:$C$1000,B8,'🤸 Ingresos Pole'!$N$2:$N$1000))</f>
        <v>480000</v>
      </c>
      <c r="K8" s="31">
        <f>IF(OR(B8="",I8=0),"",_xlfn.MINIFS('🤸 Ingresos Pole'!$B$2:$B$1000,'🤸 Ingresos Pole'!$C$2:$C$1000,B8))</f>
        <v>46267</v>
      </c>
      <c r="L8" s="31">
        <f>IF(OR(B8="",I8=0),"",_xlfn.MAXIFS('🤸 Ingresos Pole'!$B$2:$B$1000,'🤸 Ingresos Pole'!$C$2:$C$1000,B8))</f>
        <v>46295</v>
      </c>
      <c r="M8" s="29" t="str">
        <f t="shared" si="1"/>
        <v>Recurrente</v>
      </c>
    </row>
    <row r="9" spans="1:13" x14ac:dyDescent="0.35">
      <c r="A9" s="26" t="s">
        <v>96</v>
      </c>
      <c r="B9" s="26" t="s">
        <v>97</v>
      </c>
      <c r="C9" s="27">
        <v>3115269836</v>
      </c>
      <c r="D9" s="26"/>
      <c r="E9" s="26"/>
      <c r="F9" s="28"/>
      <c r="G9" s="29" t="str">
        <f t="shared" ca="1" si="0"/>
        <v/>
      </c>
      <c r="H9" s="29">
        <f>IF(B9="","",COUNTIFS('🤸 Ingresos Pole'!$C$2:$C$1000,B9,'🤸 Ingresos Pole'!$J$2:$J$1000,"Paquete"))</f>
        <v>2</v>
      </c>
      <c r="I9" s="29">
        <f>IF(B9="","",COUNTIF('🤸 Ingresos Pole'!$C$2:$C$1000,B9))</f>
        <v>2</v>
      </c>
      <c r="J9" s="30">
        <f>IF(B9="","",SUMIF('🤸 Ingresos Pole'!$C$2:$C$1000,B9,'🤸 Ingresos Pole'!$N$2:$N$1000))</f>
        <v>480000</v>
      </c>
      <c r="K9" s="31">
        <f>IF(OR(B9="",I9=0),"",_xlfn.MINIFS('🤸 Ingresos Pole'!$B$2:$B$1000,'🤸 Ingresos Pole'!$C$2:$C$1000,B9))</f>
        <v>46267</v>
      </c>
      <c r="L9" s="31">
        <f>IF(OR(B9="",I9=0),"",_xlfn.MAXIFS('🤸 Ingresos Pole'!$B$2:$B$1000,'🤸 Ingresos Pole'!$C$2:$C$1000,B9))</f>
        <v>46295</v>
      </c>
      <c r="M9" s="29" t="str">
        <f t="shared" si="1"/>
        <v>Recurrente</v>
      </c>
    </row>
    <row r="10" spans="1:13" x14ac:dyDescent="0.35">
      <c r="A10" s="26" t="s">
        <v>98</v>
      </c>
      <c r="B10" s="26" t="s">
        <v>99</v>
      </c>
      <c r="C10" s="27"/>
      <c r="D10" s="26"/>
      <c r="E10" s="26"/>
      <c r="F10" s="28"/>
      <c r="G10" s="29" t="str">
        <f t="shared" ca="1" si="0"/>
        <v/>
      </c>
      <c r="H10" s="29">
        <f>IF(B10="","",COUNTIFS('🤸 Ingresos Pole'!$C$2:$C$1000,B10,'🤸 Ingresos Pole'!$J$2:$J$1000,"Paquete"))</f>
        <v>1</v>
      </c>
      <c r="I10" s="29">
        <f>IF(B10="","",COUNTIF('🤸 Ingresos Pole'!$C$2:$C$1000,B10))</f>
        <v>1</v>
      </c>
      <c r="J10" s="30">
        <f>IF(B10="","",SUMIF('🤸 Ingresos Pole'!$C$2:$C$1000,B10,'🤸 Ingresos Pole'!$N$2:$N$1000))</f>
        <v>240000</v>
      </c>
      <c r="K10" s="31">
        <f>IF(OR(B10="",I10=0),"",_xlfn.MINIFS('🤸 Ingresos Pole'!$B$2:$B$1000,'🤸 Ingresos Pole'!$C$2:$C$1000,B10))</f>
        <v>46267</v>
      </c>
      <c r="L10" s="31">
        <f>IF(OR(B10="",I10=0),"",_xlfn.MAXIFS('🤸 Ingresos Pole'!$B$2:$B$1000,'🤸 Ingresos Pole'!$C$2:$C$1000,B10))</f>
        <v>46267</v>
      </c>
      <c r="M10" s="29" t="str">
        <f t="shared" si="1"/>
        <v>Nueva</v>
      </c>
    </row>
    <row r="11" spans="1:13" x14ac:dyDescent="0.35">
      <c r="A11" s="26" t="s">
        <v>100</v>
      </c>
      <c r="B11" s="26" t="s">
        <v>101</v>
      </c>
      <c r="C11" s="27"/>
      <c r="D11" s="26"/>
      <c r="E11" s="26"/>
      <c r="F11" s="28"/>
      <c r="G11" s="29" t="str">
        <f t="shared" ca="1" si="0"/>
        <v/>
      </c>
      <c r="H11" s="29">
        <f>IF(B11="","",COUNTIFS('🤸 Ingresos Pole'!$C$2:$C$1000,B11,'🤸 Ingresos Pole'!$J$2:$J$1000,"Paquete"))</f>
        <v>1</v>
      </c>
      <c r="I11" s="29">
        <f>IF(B11="","",COUNTIF('🤸 Ingresos Pole'!$C$2:$C$1000,B11))</f>
        <v>1</v>
      </c>
      <c r="J11" s="30">
        <f>IF(B11="","",SUMIF('🤸 Ingresos Pole'!$C$2:$C$1000,B11,'🤸 Ingresos Pole'!$N$2:$N$1000))</f>
        <v>240000</v>
      </c>
      <c r="K11" s="31">
        <f>IF(OR(B11="",I11=0),"",_xlfn.MINIFS('🤸 Ingresos Pole'!$B$2:$B$1000,'🤸 Ingresos Pole'!$C$2:$C$1000,B11))</f>
        <v>46272</v>
      </c>
      <c r="L11" s="31">
        <f>IF(OR(B11="",I11=0),"",_xlfn.MAXIFS('🤸 Ingresos Pole'!$B$2:$B$1000,'🤸 Ingresos Pole'!$C$2:$C$1000,B11))</f>
        <v>46272</v>
      </c>
      <c r="M11" s="29" t="str">
        <f t="shared" si="1"/>
        <v>Nueva</v>
      </c>
    </row>
    <row r="12" spans="1:13" x14ac:dyDescent="0.35">
      <c r="A12" s="26" t="s">
        <v>102</v>
      </c>
      <c r="B12" s="26" t="s">
        <v>103</v>
      </c>
      <c r="C12" s="27"/>
      <c r="D12" s="26"/>
      <c r="E12" s="26"/>
      <c r="F12" s="28"/>
      <c r="G12" s="29" t="str">
        <f t="shared" ca="1" si="0"/>
        <v/>
      </c>
      <c r="H12" s="29">
        <f>IF(B12="","",COUNTIFS('🤸 Ingresos Pole'!$C$2:$C$1000,B12,'🤸 Ingresos Pole'!$J$2:$J$1000,"Paquete"))</f>
        <v>1</v>
      </c>
      <c r="I12" s="29">
        <f>IF(B12="","",COUNTIF('🤸 Ingresos Pole'!$C$2:$C$1000,B12))</f>
        <v>1</v>
      </c>
      <c r="J12" s="30">
        <f>IF(B12="","",SUMIF('🤸 Ingresos Pole'!$C$2:$C$1000,B12,'🤸 Ingresos Pole'!$N$2:$N$1000))</f>
        <v>240000</v>
      </c>
      <c r="K12" s="31">
        <f>IF(OR(B12="",I12=0),"",_xlfn.MINIFS('🤸 Ingresos Pole'!$B$2:$B$1000,'🤸 Ingresos Pole'!$C$2:$C$1000,B12))</f>
        <v>46272</v>
      </c>
      <c r="L12" s="31">
        <f>IF(OR(B12="",I12=0),"",_xlfn.MAXIFS('🤸 Ingresos Pole'!$B$2:$B$1000,'🤸 Ingresos Pole'!$C$2:$C$1000,B12))</f>
        <v>46272</v>
      </c>
      <c r="M12" s="29" t="str">
        <f t="shared" si="1"/>
        <v>Nueva</v>
      </c>
    </row>
    <row r="13" spans="1:13" x14ac:dyDescent="0.35">
      <c r="A13" s="26" t="s">
        <v>104</v>
      </c>
      <c r="B13" s="26" t="s">
        <v>105</v>
      </c>
      <c r="C13" s="27"/>
      <c r="D13" s="26"/>
      <c r="E13" s="26"/>
      <c r="F13" s="28"/>
      <c r="G13" s="29" t="str">
        <f t="shared" ca="1" si="0"/>
        <v/>
      </c>
      <c r="H13" s="29">
        <f>IF(B13="","",COUNTIFS('🤸 Ingresos Pole'!$C$2:$C$1000,B13,'🤸 Ingresos Pole'!$J$2:$J$1000,"Paquete"))</f>
        <v>0</v>
      </c>
      <c r="I13" s="29">
        <f>IF(B13="","",COUNTIF('🤸 Ingresos Pole'!$C$2:$C$1000,B13))</f>
        <v>2</v>
      </c>
      <c r="J13" s="30">
        <f>IF(B13="","",SUMIF('🤸 Ingresos Pole'!$C$2:$C$1000,B13,'🤸 Ingresos Pole'!$N$2:$N$1000))</f>
        <v>44000</v>
      </c>
      <c r="K13" s="31">
        <f>IF(OR(B13="",I13=0),"",_xlfn.MINIFS('🤸 Ingresos Pole'!$B$2:$B$1000,'🤸 Ingresos Pole'!$C$2:$C$1000,B13))</f>
        <v>46274</v>
      </c>
      <c r="L13" s="31">
        <f>IF(OR(B13="",I13=0),"",_xlfn.MAXIFS('🤸 Ingresos Pole'!$B$2:$B$1000,'🤸 Ingresos Pole'!$C$2:$C$1000,B13))</f>
        <v>46281</v>
      </c>
      <c r="M13" s="29" t="str">
        <f t="shared" si="1"/>
        <v>Sin paquete</v>
      </c>
    </row>
    <row r="14" spans="1:13" x14ac:dyDescent="0.35">
      <c r="A14" s="26" t="s">
        <v>106</v>
      </c>
      <c r="B14" s="26" t="s">
        <v>107</v>
      </c>
      <c r="C14" s="27"/>
      <c r="D14" s="26"/>
      <c r="E14" s="26"/>
      <c r="F14" s="28"/>
      <c r="G14" s="29" t="str">
        <f t="shared" ca="1" si="0"/>
        <v/>
      </c>
      <c r="H14" s="29">
        <f>IF(B14="","",COUNTIFS('🤸 Ingresos Pole'!$C$2:$C$1000,B14,'🤸 Ingresos Pole'!$J$2:$J$1000,"Paquete"))</f>
        <v>0</v>
      </c>
      <c r="I14" s="29">
        <f>IF(B14="","",COUNTIF('🤸 Ingresos Pole'!$C$2:$C$1000,B14))</f>
        <v>4</v>
      </c>
      <c r="J14" s="30">
        <f>IF(B14="","",SUMIF('🤸 Ingresos Pole'!$C$2:$C$1000,B14,'🤸 Ingresos Pole'!$N$2:$N$1000))</f>
        <v>132000</v>
      </c>
      <c r="K14" s="31">
        <f>IF(OR(B14="",I14=0),"",_xlfn.MINIFS('🤸 Ingresos Pole'!$B$2:$B$1000,'🤸 Ingresos Pole'!$C$2:$C$1000,B14))</f>
        <v>46274</v>
      </c>
      <c r="L14" s="31">
        <f>IF(OR(B14="",I14=0),"",_xlfn.MAXIFS('🤸 Ingresos Pole'!$B$2:$B$1000,'🤸 Ingresos Pole'!$C$2:$C$1000,B14))</f>
        <v>46295</v>
      </c>
      <c r="M14" s="29" t="str">
        <f t="shared" si="1"/>
        <v>Sin paquete</v>
      </c>
    </row>
    <row r="15" spans="1:13" x14ac:dyDescent="0.35">
      <c r="A15" s="26" t="s">
        <v>108</v>
      </c>
      <c r="B15" s="26" t="s">
        <v>109</v>
      </c>
      <c r="C15" s="27"/>
      <c r="D15" s="26"/>
      <c r="E15" s="26"/>
      <c r="F15" s="28"/>
      <c r="G15" s="29" t="str">
        <f t="shared" ca="1" si="0"/>
        <v/>
      </c>
      <c r="H15" s="29">
        <f>IF(B15="","",COUNTIFS('🤸 Ingresos Pole'!$C$2:$C$1000,B15,'🤸 Ingresos Pole'!$J$2:$J$1000,"Paquete"))</f>
        <v>2</v>
      </c>
      <c r="I15" s="29">
        <f>IF(B15="","",COUNTIF('🤸 Ingresos Pole'!$C$2:$C$1000,B15))</f>
        <v>2</v>
      </c>
      <c r="J15" s="30">
        <f>IF(B15="","",SUMIF('🤸 Ingresos Pole'!$C$2:$C$1000,B15,'🤸 Ingresos Pole'!$N$2:$N$1000))</f>
        <v>590000</v>
      </c>
      <c r="K15" s="31">
        <f>IF(OR(B15="",I15=0),"",_xlfn.MINIFS('🤸 Ingresos Pole'!$B$2:$B$1000,'🤸 Ingresos Pole'!$C$2:$C$1000,B15))</f>
        <v>46276</v>
      </c>
      <c r="L15" s="31">
        <f>IF(OR(B15="",I15=0),"",_xlfn.MAXIFS('🤸 Ingresos Pole'!$B$2:$B$1000,'🤸 Ingresos Pole'!$C$2:$C$1000,B15))</f>
        <v>46295</v>
      </c>
      <c r="M15" s="29" t="str">
        <f t="shared" si="1"/>
        <v>Recurrente</v>
      </c>
    </row>
    <row r="16" spans="1:13" x14ac:dyDescent="0.35">
      <c r="A16" s="26" t="s">
        <v>110</v>
      </c>
      <c r="B16" s="26" t="s">
        <v>111</v>
      </c>
      <c r="C16" s="27"/>
      <c r="D16" s="26"/>
      <c r="E16" s="26"/>
      <c r="F16" s="28"/>
      <c r="G16" s="29" t="str">
        <f t="shared" ca="1" si="0"/>
        <v/>
      </c>
      <c r="H16" s="29">
        <f>IF(B16="","",COUNTIFS('🤸 Ingresos Pole'!$C$2:$C$1000,B16,'🤸 Ingresos Pole'!$J$2:$J$1000,"Paquete"))</f>
        <v>0</v>
      </c>
      <c r="I16" s="29">
        <f>IF(B16="","",COUNTIF('🤸 Ingresos Pole'!$C$2:$C$1000,B16))</f>
        <v>1</v>
      </c>
      <c r="J16" s="30">
        <f>IF(B16="","",SUMIF('🤸 Ingresos Pole'!$C$2:$C$1000,B16,'🤸 Ingresos Pole'!$N$2:$N$1000))</f>
        <v>44000</v>
      </c>
      <c r="K16" s="31">
        <f>IF(OR(B16="",I16=0),"",_xlfn.MINIFS('🤸 Ingresos Pole'!$B$2:$B$1000,'🤸 Ingresos Pole'!$C$2:$C$1000,B16))</f>
        <v>46280</v>
      </c>
      <c r="L16" s="31">
        <f>IF(OR(B16="",I16=0),"",_xlfn.MAXIFS('🤸 Ingresos Pole'!$B$2:$B$1000,'🤸 Ingresos Pole'!$C$2:$C$1000,B16))</f>
        <v>46280</v>
      </c>
      <c r="M16" s="29" t="str">
        <f t="shared" si="1"/>
        <v>Sin paquete</v>
      </c>
    </row>
    <row r="17" spans="1:13" x14ac:dyDescent="0.35">
      <c r="A17" s="26" t="s">
        <v>112</v>
      </c>
      <c r="B17" s="26" t="s">
        <v>113</v>
      </c>
      <c r="C17" s="27">
        <v>3204479014</v>
      </c>
      <c r="D17" s="26"/>
      <c r="E17" s="26"/>
      <c r="F17" s="28"/>
      <c r="G17" s="29" t="str">
        <f t="shared" ca="1" si="0"/>
        <v/>
      </c>
      <c r="H17" s="29">
        <f>IF(B17="","",COUNTIFS('🤸 Ingresos Pole'!$C$2:$C$1000,B17,'🤸 Ingresos Pole'!$J$2:$J$1000,"Paquete"))</f>
        <v>1</v>
      </c>
      <c r="I17" s="29">
        <f>IF(B17="","",COUNTIF('🤸 Ingresos Pole'!$C$2:$C$1000,B17))</f>
        <v>1</v>
      </c>
      <c r="J17" s="30">
        <f>IF(B17="","",SUMIF('🤸 Ingresos Pole'!$C$2:$C$1000,B17,'🤸 Ingresos Pole'!$N$2:$N$1000))</f>
        <v>480000</v>
      </c>
      <c r="K17" s="31">
        <f>IF(OR(B17="",I17=0),"",_xlfn.MINIFS('🤸 Ingresos Pole'!$B$2:$B$1000,'🤸 Ingresos Pole'!$C$2:$C$1000,B17))</f>
        <v>46281</v>
      </c>
      <c r="L17" s="31">
        <f>IF(OR(B17="",I17=0),"",_xlfn.MAXIFS('🤸 Ingresos Pole'!$B$2:$B$1000,'🤸 Ingresos Pole'!$C$2:$C$1000,B17))</f>
        <v>46281</v>
      </c>
      <c r="M17" s="29" t="str">
        <f t="shared" si="1"/>
        <v>Nueva</v>
      </c>
    </row>
    <row r="18" spans="1:13" x14ac:dyDescent="0.35">
      <c r="A18" s="26" t="s">
        <v>114</v>
      </c>
      <c r="B18" s="26" t="s">
        <v>115</v>
      </c>
      <c r="C18" s="27">
        <v>3114401669</v>
      </c>
      <c r="D18" s="26"/>
      <c r="E18" s="26"/>
      <c r="F18" s="28"/>
      <c r="G18" s="29" t="str">
        <f t="shared" ca="1" si="0"/>
        <v/>
      </c>
      <c r="H18" s="29">
        <f>IF(B18="","",COUNTIFS('🤸 Ingresos Pole'!$C$2:$C$1000,B18,'🤸 Ingresos Pole'!$J$2:$J$1000,"Paquete"))</f>
        <v>1</v>
      </c>
      <c r="I18" s="29">
        <f>IF(B18="","",COUNTIF('🤸 Ingresos Pole'!$C$2:$C$1000,B18))</f>
        <v>1</v>
      </c>
      <c r="J18" s="30">
        <f>IF(B18="","",SUMIF('🤸 Ingresos Pole'!$C$2:$C$1000,B18,'🤸 Ingresos Pole'!$N$2:$N$1000))</f>
        <v>240000</v>
      </c>
      <c r="K18" s="31">
        <f>IF(OR(B18="",I18=0),"",_xlfn.MINIFS('🤸 Ingresos Pole'!$B$2:$B$1000,'🤸 Ingresos Pole'!$C$2:$C$1000,B18))</f>
        <v>46283</v>
      </c>
      <c r="L18" s="31">
        <f>IF(OR(B18="",I18=0),"",_xlfn.MAXIFS('🤸 Ingresos Pole'!$B$2:$B$1000,'🤸 Ingresos Pole'!$C$2:$C$1000,B18))</f>
        <v>46283</v>
      </c>
      <c r="M18" s="29" t="str">
        <f t="shared" si="1"/>
        <v>Nueva</v>
      </c>
    </row>
    <row r="19" spans="1:13" x14ac:dyDescent="0.35">
      <c r="A19" s="26" t="s">
        <v>116</v>
      </c>
      <c r="B19" s="26" t="s">
        <v>117</v>
      </c>
      <c r="C19" s="27">
        <v>3186650375</v>
      </c>
      <c r="D19" s="26"/>
      <c r="E19" s="26"/>
      <c r="F19" s="28"/>
      <c r="G19" s="29" t="str">
        <f t="shared" ca="1" si="0"/>
        <v/>
      </c>
      <c r="H19" s="29">
        <f>IF(B19="","",COUNTIFS('🤸 Ingresos Pole'!$C$2:$C$1000,B19,'🤸 Ingresos Pole'!$J$2:$J$1000,"Paquete"))</f>
        <v>1</v>
      </c>
      <c r="I19" s="29">
        <f>IF(B19="","",COUNTIF('🤸 Ingresos Pole'!$C$2:$C$1000,B19))</f>
        <v>2</v>
      </c>
      <c r="J19" s="30">
        <f>IF(B19="","",SUMIF('🤸 Ingresos Pole'!$C$2:$C$1000,B19,'🤸 Ingresos Pole'!$N$2:$N$1000))</f>
        <v>290000</v>
      </c>
      <c r="K19" s="31">
        <f>IF(OR(B19="",I19=0),"",_xlfn.MINIFS('🤸 Ingresos Pole'!$B$2:$B$1000,'🤸 Ingresos Pole'!$C$2:$C$1000,B19))</f>
        <v>46283</v>
      </c>
      <c r="L19" s="31">
        <f>IF(OR(B19="",I19=0),"",_xlfn.MAXIFS('🤸 Ingresos Pole'!$B$2:$B$1000,'🤸 Ingresos Pole'!$C$2:$C$1000,B19))</f>
        <v>46295</v>
      </c>
      <c r="M19" s="29" t="str">
        <f t="shared" si="1"/>
        <v>Nueva</v>
      </c>
    </row>
    <row r="20" spans="1:13" x14ac:dyDescent="0.35">
      <c r="A20" s="26" t="s">
        <v>118</v>
      </c>
      <c r="B20" s="26" t="s">
        <v>119</v>
      </c>
      <c r="C20" s="27">
        <v>3197067161</v>
      </c>
      <c r="D20" s="26"/>
      <c r="E20" s="26"/>
      <c r="F20" s="28"/>
      <c r="G20" s="29" t="str">
        <f t="shared" ca="1" si="0"/>
        <v/>
      </c>
      <c r="H20" s="29">
        <f>IF(B20="","",COUNTIFS('🤸 Ingresos Pole'!$C$2:$C$1000,B20,'🤸 Ingresos Pole'!$J$2:$J$1000,"Paquete"))</f>
        <v>0</v>
      </c>
      <c r="I20" s="29">
        <f>IF(B20="","",COUNTIF('🤸 Ingresos Pole'!$C$2:$C$1000,B20))</f>
        <v>1</v>
      </c>
      <c r="J20" s="30">
        <f>IF(B20="","",SUMIF('🤸 Ingresos Pole'!$C$2:$C$1000,B20,'🤸 Ingresos Pole'!$N$2:$N$1000))</f>
        <v>50000</v>
      </c>
      <c r="K20" s="31">
        <f>IF(OR(B20="",I20=0),"",_xlfn.MINIFS('🤸 Ingresos Pole'!$B$2:$B$1000,'🤸 Ingresos Pole'!$C$2:$C$1000,B20))</f>
        <v>46283</v>
      </c>
      <c r="L20" s="31">
        <f>IF(OR(B20="",I20=0),"",_xlfn.MAXIFS('🤸 Ingresos Pole'!$B$2:$B$1000,'🤸 Ingresos Pole'!$C$2:$C$1000,B20))</f>
        <v>46283</v>
      </c>
      <c r="M20" s="29" t="str">
        <f t="shared" si="1"/>
        <v>Sin paquete</v>
      </c>
    </row>
    <row r="21" spans="1:13" x14ac:dyDescent="0.35">
      <c r="A21" s="26" t="s">
        <v>120</v>
      </c>
      <c r="B21" s="26" t="s">
        <v>121</v>
      </c>
      <c r="C21" s="27"/>
      <c r="D21" s="26"/>
      <c r="E21" s="26"/>
      <c r="F21" s="28"/>
      <c r="G21" s="29" t="str">
        <f t="shared" ca="1" si="0"/>
        <v/>
      </c>
      <c r="H21" s="29">
        <f>IF(B21="","",COUNTIFS('🤸 Ingresos Pole'!$C$2:$C$1000,B21,'🤸 Ingresos Pole'!$J$2:$J$1000,"Paquete"))</f>
        <v>1</v>
      </c>
      <c r="I21" s="29">
        <f>IF(B21="","",COUNTIF('🤸 Ingresos Pole'!$C$2:$C$1000,B21))</f>
        <v>2</v>
      </c>
      <c r="J21" s="30">
        <f>IF(B21="","",SUMIF('🤸 Ingresos Pole'!$C$2:$C$1000,B21,'🤸 Ingresos Pole'!$N$2:$N$1000))</f>
        <v>200000</v>
      </c>
      <c r="K21" s="31">
        <f>IF(OR(B21="",I21=0),"",_xlfn.MINIFS('🤸 Ingresos Pole'!$B$2:$B$1000,'🤸 Ingresos Pole'!$C$2:$C$1000,B21))</f>
        <v>46287</v>
      </c>
      <c r="L21" s="31">
        <f>IF(OR(B21="",I21=0),"",_xlfn.MAXIFS('🤸 Ingresos Pole'!$B$2:$B$1000,'🤸 Ingresos Pole'!$C$2:$C$1000,B21))</f>
        <v>46291</v>
      </c>
      <c r="M21" s="29" t="str">
        <f t="shared" si="1"/>
        <v>Nueva</v>
      </c>
    </row>
    <row r="22" spans="1:13" x14ac:dyDescent="0.35">
      <c r="A22" s="26" t="s">
        <v>122</v>
      </c>
      <c r="B22" s="26" t="s">
        <v>123</v>
      </c>
      <c r="C22" s="27">
        <v>3123221477</v>
      </c>
      <c r="D22" s="26"/>
      <c r="E22" s="26"/>
      <c r="F22" s="28"/>
      <c r="G22" s="29" t="str">
        <f t="shared" ca="1" si="0"/>
        <v/>
      </c>
      <c r="H22" s="29">
        <f>IF(B22="","",COUNTIFS('🤸 Ingresos Pole'!$C$2:$C$1000,B22,'🤸 Ingresos Pole'!$J$2:$J$1000,"Paquete"))</f>
        <v>1</v>
      </c>
      <c r="I22" s="29">
        <f>IF(B22="","",COUNTIF('🤸 Ingresos Pole'!$C$2:$C$1000,B22))</f>
        <v>1</v>
      </c>
      <c r="J22" s="30">
        <f>IF(B22="","",SUMIF('🤸 Ingresos Pole'!$C$2:$C$1000,B22,'🤸 Ingresos Pole'!$N$2:$N$1000))</f>
        <v>350000</v>
      </c>
      <c r="K22" s="31">
        <f>IF(OR(B22="",I22=0),"",_xlfn.MINIFS('🤸 Ingresos Pole'!$B$2:$B$1000,'🤸 Ingresos Pole'!$C$2:$C$1000,B22))</f>
        <v>46291</v>
      </c>
      <c r="L22" s="31">
        <f>IF(OR(B22="",I22=0),"",_xlfn.MAXIFS('🤸 Ingresos Pole'!$B$2:$B$1000,'🤸 Ingresos Pole'!$C$2:$C$1000,B22))</f>
        <v>46291</v>
      </c>
      <c r="M22" s="29" t="str">
        <f t="shared" si="1"/>
        <v>Nueva</v>
      </c>
    </row>
    <row r="23" spans="1:13" x14ac:dyDescent="0.35">
      <c r="A23" s="26" t="s">
        <v>124</v>
      </c>
      <c r="B23" s="26" t="s">
        <v>125</v>
      </c>
      <c r="C23" s="27"/>
      <c r="D23" s="26"/>
      <c r="E23" s="26"/>
      <c r="F23" s="28"/>
      <c r="G23" s="29" t="str">
        <f t="shared" ca="1" si="0"/>
        <v/>
      </c>
      <c r="H23" s="29">
        <f>IF(B23="","",COUNTIFS('🤸 Ingresos Pole'!$C$2:$C$1000,B23,'🤸 Ingresos Pole'!$J$2:$J$1000,"Paquete"))</f>
        <v>1</v>
      </c>
      <c r="I23" s="29">
        <f>IF(B23="","",COUNTIF('🤸 Ingresos Pole'!$C$2:$C$1000,B23))</f>
        <v>1</v>
      </c>
      <c r="J23" s="30">
        <f>IF(B23="","",SUMIF('🤸 Ingresos Pole'!$C$2:$C$1000,B23,'🤸 Ingresos Pole'!$N$2:$N$1000))</f>
        <v>240000</v>
      </c>
      <c r="K23" s="31">
        <f>IF(OR(B23="",I23=0),"",_xlfn.MINIFS('🤸 Ingresos Pole'!$B$2:$B$1000,'🤸 Ingresos Pole'!$C$2:$C$1000,B23))</f>
        <v>46293</v>
      </c>
      <c r="L23" s="31">
        <f>IF(OR(B23="",I23=0),"",_xlfn.MAXIFS('🤸 Ingresos Pole'!$B$2:$B$1000,'🤸 Ingresos Pole'!$C$2:$C$1000,B23))</f>
        <v>46293</v>
      </c>
      <c r="M23" s="29" t="str">
        <f t="shared" si="1"/>
        <v>Nueva</v>
      </c>
    </row>
    <row r="24" spans="1:13" x14ac:dyDescent="0.35">
      <c r="A24" s="26" t="s">
        <v>126</v>
      </c>
      <c r="B24" s="26" t="s">
        <v>127</v>
      </c>
      <c r="C24" s="27"/>
      <c r="D24" s="26"/>
      <c r="E24" s="26"/>
      <c r="F24" s="28"/>
      <c r="G24" s="29" t="str">
        <f t="shared" ca="1" si="0"/>
        <v/>
      </c>
      <c r="H24" s="29">
        <f>IF(B24="","",COUNTIFS('🤸 Ingresos Pole'!$C$2:$C$1000,B24,'🤸 Ingresos Pole'!$J$2:$J$1000,"Paquete"))</f>
        <v>1</v>
      </c>
      <c r="I24" s="29">
        <f>IF(B24="","",COUNTIF('🤸 Ingresos Pole'!$C$2:$C$1000,B24))</f>
        <v>1</v>
      </c>
      <c r="J24" s="30">
        <f>IF(B24="","",SUMIF('🤸 Ingresos Pole'!$C$2:$C$1000,B24,'🤸 Ingresos Pole'!$N$2:$N$1000))</f>
        <v>480000</v>
      </c>
      <c r="K24" s="31">
        <f>IF(OR(B24="",I24=0),"",_xlfn.MINIFS('🤸 Ingresos Pole'!$B$2:$B$1000,'🤸 Ingresos Pole'!$C$2:$C$1000,B24))</f>
        <v>46294</v>
      </c>
      <c r="L24" s="31">
        <f>IF(OR(B24="",I24=0),"",_xlfn.MAXIFS('🤸 Ingresos Pole'!$B$2:$B$1000,'🤸 Ingresos Pole'!$C$2:$C$1000,B24))</f>
        <v>46294</v>
      </c>
      <c r="M24" s="29" t="str">
        <f t="shared" si="1"/>
        <v>Nueva</v>
      </c>
    </row>
    <row r="25" spans="1:13" x14ac:dyDescent="0.35">
      <c r="A25" s="26" t="s">
        <v>128</v>
      </c>
      <c r="B25" s="26" t="s">
        <v>129</v>
      </c>
      <c r="C25" s="27"/>
      <c r="D25" s="26"/>
      <c r="E25" s="26"/>
      <c r="F25" s="28"/>
      <c r="G25" s="29" t="str">
        <f t="shared" ca="1" si="0"/>
        <v/>
      </c>
      <c r="H25" s="29">
        <f>IF(B25="","",COUNTIFS('🤸 Ingresos Pole'!$C$2:$C$1000,B25,'🤸 Ingresos Pole'!$J$2:$J$1000,"Paquete"))</f>
        <v>1</v>
      </c>
      <c r="I25" s="29">
        <f>IF(B25="","",COUNTIF('🤸 Ingresos Pole'!$C$2:$C$1000,B25))</f>
        <v>1</v>
      </c>
      <c r="J25" s="30">
        <f>IF(B25="","",SUMIF('🤸 Ingresos Pole'!$C$2:$C$1000,B25,'🤸 Ingresos Pole'!$N$2:$N$1000))</f>
        <v>0</v>
      </c>
      <c r="K25" s="31">
        <f>IF(OR(B25="",I25=0),"",_xlfn.MINIFS('🤸 Ingresos Pole'!$B$2:$B$1000,'🤸 Ingresos Pole'!$C$2:$C$1000,B25))</f>
        <v>46294</v>
      </c>
      <c r="L25" s="31">
        <f>IF(OR(B25="",I25=0),"",_xlfn.MAXIFS('🤸 Ingresos Pole'!$B$2:$B$1000,'🤸 Ingresos Pole'!$C$2:$C$1000,B25))</f>
        <v>46294</v>
      </c>
      <c r="M25" s="29" t="str">
        <f t="shared" si="1"/>
        <v>Nueva</v>
      </c>
    </row>
    <row r="26" spans="1:13" x14ac:dyDescent="0.35">
      <c r="A26" s="26" t="s">
        <v>130</v>
      </c>
      <c r="B26" s="26" t="s">
        <v>131</v>
      </c>
      <c r="C26" s="27"/>
      <c r="D26" s="26"/>
      <c r="E26" s="26"/>
      <c r="F26" s="28"/>
      <c r="G26" s="29" t="str">
        <f t="shared" ca="1" si="0"/>
        <v/>
      </c>
      <c r="H26" s="29">
        <f>IF(B26="","",COUNTIFS('🤸 Ingresos Pole'!$C$2:$C$1000,B26,'🤸 Ingresos Pole'!$J$2:$J$1000,"Paquete"))</f>
        <v>1</v>
      </c>
      <c r="I26" s="29">
        <f>IF(B26="","",COUNTIF('🤸 Ingresos Pole'!$C$2:$C$1000,B26))</f>
        <v>1</v>
      </c>
      <c r="J26" s="30">
        <f>IF(B26="","",SUMIF('🤸 Ingresos Pole'!$C$2:$C$1000,B26,'🤸 Ingresos Pole'!$N$2:$N$1000))</f>
        <v>240000</v>
      </c>
      <c r="K26" s="31">
        <f>IF(OR(B26="",I26=0),"",_xlfn.MINIFS('🤸 Ingresos Pole'!$B$2:$B$1000,'🤸 Ingresos Pole'!$C$2:$C$1000,B26))</f>
        <v>46294</v>
      </c>
      <c r="L26" s="31">
        <f>IF(OR(B26="",I26=0),"",_xlfn.MAXIFS('🤸 Ingresos Pole'!$B$2:$B$1000,'🤸 Ingresos Pole'!$C$2:$C$1000,B26))</f>
        <v>46294</v>
      </c>
      <c r="M26" s="29" t="str">
        <f t="shared" si="1"/>
        <v>Nueva</v>
      </c>
    </row>
    <row r="27" spans="1:13" x14ac:dyDescent="0.35">
      <c r="A27" s="26" t="s">
        <v>132</v>
      </c>
      <c r="B27" s="26" t="s">
        <v>133</v>
      </c>
      <c r="C27" s="27"/>
      <c r="D27" s="26"/>
      <c r="E27" s="26"/>
      <c r="F27" s="28"/>
      <c r="G27" s="29" t="str">
        <f t="shared" ca="1" si="0"/>
        <v/>
      </c>
      <c r="H27" s="29">
        <f>IF(B27="","",COUNTIFS('🤸 Ingresos Pole'!$C$2:$C$1000,B27,'🤸 Ingresos Pole'!$J$2:$J$1000,"Paquete"))</f>
        <v>1</v>
      </c>
      <c r="I27" s="29">
        <f>IF(B27="","",COUNTIF('🤸 Ingresos Pole'!$C$2:$C$1000,B27))</f>
        <v>2</v>
      </c>
      <c r="J27" s="30">
        <f>IF(B27="","",SUMIF('🤸 Ingresos Pole'!$C$2:$C$1000,B27,'🤸 Ingresos Pole'!$N$2:$N$1000))</f>
        <v>290000</v>
      </c>
      <c r="K27" s="31">
        <f>IF(OR(B27="",I27=0),"",_xlfn.MINIFS('🤸 Ingresos Pole'!$B$2:$B$1000,'🤸 Ingresos Pole'!$C$2:$C$1000,B27))</f>
        <v>46294</v>
      </c>
      <c r="L27" s="31">
        <f>IF(OR(B27="",I27=0),"",_xlfn.MAXIFS('🤸 Ingresos Pole'!$B$2:$B$1000,'🤸 Ingresos Pole'!$C$2:$C$1000,B27))</f>
        <v>46295</v>
      </c>
      <c r="M27" s="29" t="str">
        <f t="shared" si="1"/>
        <v>Nueva</v>
      </c>
    </row>
    <row r="28" spans="1:13" x14ac:dyDescent="0.35">
      <c r="A28" s="26" t="s">
        <v>134</v>
      </c>
      <c r="B28" s="26" t="s">
        <v>135</v>
      </c>
      <c r="C28" s="27"/>
      <c r="D28" s="26"/>
      <c r="E28" s="26"/>
      <c r="F28" s="28"/>
      <c r="G28" s="29" t="str">
        <f t="shared" ca="1" si="0"/>
        <v/>
      </c>
      <c r="H28" s="29">
        <f>IF(B28="","",COUNTIFS('🤸 Ingresos Pole'!$C$2:$C$1000,B28,'🤸 Ingresos Pole'!$J$2:$J$1000,"Paquete"))</f>
        <v>1</v>
      </c>
      <c r="I28" s="29">
        <f>IF(B28="","",COUNTIF('🤸 Ingresos Pole'!$C$2:$C$1000,B28))</f>
        <v>1</v>
      </c>
      <c r="J28" s="30">
        <f>IF(B28="","",SUMIF('🤸 Ingresos Pole'!$C$2:$C$1000,B28,'🤸 Ingresos Pole'!$N$2:$N$1000))</f>
        <v>240000</v>
      </c>
      <c r="K28" s="31">
        <f>IF(OR(B28="",I28=0),"",_xlfn.MINIFS('🤸 Ingresos Pole'!$B$2:$B$1000,'🤸 Ingresos Pole'!$C$2:$C$1000,B28))</f>
        <v>46295</v>
      </c>
      <c r="L28" s="31">
        <f>IF(OR(B28="",I28=0),"",_xlfn.MAXIFS('🤸 Ingresos Pole'!$B$2:$B$1000,'🤸 Ingresos Pole'!$C$2:$C$1000,B28))</f>
        <v>46295</v>
      </c>
      <c r="M28" s="29" t="str">
        <f t="shared" si="1"/>
        <v>Nueva</v>
      </c>
    </row>
    <row r="29" spans="1:13" x14ac:dyDescent="0.35">
      <c r="A29" s="26" t="s">
        <v>136</v>
      </c>
      <c r="B29" s="26"/>
      <c r="C29" s="27"/>
      <c r="D29" s="26"/>
      <c r="E29" s="26"/>
      <c r="F29" s="28"/>
      <c r="G29" s="29" t="str">
        <f t="shared" ca="1" si="0"/>
        <v/>
      </c>
      <c r="H29" s="29" t="str">
        <f>IF(B29="","",COUNTIFS('🤸 Ingresos Pole'!$C$2:$C$1000,B29,'🤸 Ingresos Pole'!$J$2:$J$1000,"Paquete"))</f>
        <v/>
      </c>
      <c r="I29" s="29" t="str">
        <f>IF(B29="","",COUNTIF('🤸 Ingresos Pole'!$C$2:$C$1000,B29))</f>
        <v/>
      </c>
      <c r="J29" s="30" t="str">
        <f>IF(B29="","",SUMIF('🤸 Ingresos Pole'!$C$2:$C$1000,B29,'🤸 Ingresos Pole'!$N$2:$N$1000))</f>
        <v/>
      </c>
      <c r="K29" s="31" t="str">
        <f>IF(OR(B29="",I29=0),"",_xlfn.MINIFS('🤸 Ingresos Pole'!$B$2:$B$1000,'🤸 Ingresos Pole'!$C$2:$C$1000,B29))</f>
        <v/>
      </c>
      <c r="L29" s="31" t="str">
        <f>IF(OR(B29="",I29=0),"",_xlfn.MAXIFS('🤸 Ingresos Pole'!$B$2:$B$1000,'🤸 Ingresos Pole'!$C$2:$C$1000,B29))</f>
        <v/>
      </c>
      <c r="M29" s="29" t="str">
        <f t="shared" si="1"/>
        <v/>
      </c>
    </row>
    <row r="30" spans="1:13" x14ac:dyDescent="0.35">
      <c r="A30" s="26" t="s">
        <v>137</v>
      </c>
      <c r="B30" s="26"/>
      <c r="C30" s="27"/>
      <c r="D30" s="26"/>
      <c r="E30" s="26"/>
      <c r="F30" s="28"/>
      <c r="G30" s="29" t="str">
        <f t="shared" ca="1" si="0"/>
        <v/>
      </c>
      <c r="H30" s="29" t="str">
        <f>IF(B30="","",COUNTIFS('🤸 Ingresos Pole'!$C$2:$C$1000,B30,'🤸 Ingresos Pole'!$J$2:$J$1000,"Paquete"))</f>
        <v/>
      </c>
      <c r="I30" s="29" t="str">
        <f>IF(B30="","",COUNTIF('🤸 Ingresos Pole'!$C$2:$C$1000,B30))</f>
        <v/>
      </c>
      <c r="J30" s="30" t="str">
        <f>IF(B30="","",SUMIF('🤸 Ingresos Pole'!$C$2:$C$1000,B30,'🤸 Ingresos Pole'!$N$2:$N$1000))</f>
        <v/>
      </c>
      <c r="K30" s="31" t="str">
        <f>IF(OR(B30="",I30=0),"",_xlfn.MINIFS('🤸 Ingresos Pole'!$B$2:$B$1000,'🤸 Ingresos Pole'!$C$2:$C$1000,B30))</f>
        <v/>
      </c>
      <c r="L30" s="31" t="str">
        <f>IF(OR(B30="",I30=0),"",_xlfn.MAXIFS('🤸 Ingresos Pole'!$B$2:$B$1000,'🤸 Ingresos Pole'!$C$2:$C$1000,B30))</f>
        <v/>
      </c>
      <c r="M30" s="29" t="str">
        <f t="shared" si="1"/>
        <v/>
      </c>
    </row>
    <row r="31" spans="1:13" x14ac:dyDescent="0.35">
      <c r="A31" s="26" t="s">
        <v>138</v>
      </c>
      <c r="B31" s="26"/>
      <c r="C31" s="27"/>
      <c r="D31" s="26"/>
      <c r="E31" s="26"/>
      <c r="F31" s="28"/>
      <c r="G31" s="29" t="str">
        <f t="shared" ca="1" si="0"/>
        <v/>
      </c>
      <c r="H31" s="29" t="str">
        <f>IF(B31="","",COUNTIFS('🤸 Ingresos Pole'!$C$2:$C$1000,B31,'🤸 Ingresos Pole'!$J$2:$J$1000,"Paquete"))</f>
        <v/>
      </c>
      <c r="I31" s="29" t="str">
        <f>IF(B31="","",COUNTIF('🤸 Ingresos Pole'!$C$2:$C$1000,B31))</f>
        <v/>
      </c>
      <c r="J31" s="30" t="str">
        <f>IF(B31="","",SUMIF('🤸 Ingresos Pole'!$C$2:$C$1000,B31,'🤸 Ingresos Pole'!$N$2:$N$1000))</f>
        <v/>
      </c>
      <c r="K31" s="31" t="str">
        <f>IF(OR(B31="",I31=0),"",_xlfn.MINIFS('🤸 Ingresos Pole'!$B$2:$B$1000,'🤸 Ingresos Pole'!$C$2:$C$1000,B31))</f>
        <v/>
      </c>
      <c r="L31" s="31" t="str">
        <f>IF(OR(B31="",I31=0),"",_xlfn.MAXIFS('🤸 Ingresos Pole'!$B$2:$B$1000,'🤸 Ingresos Pole'!$C$2:$C$1000,B31))</f>
        <v/>
      </c>
      <c r="M31" s="29" t="str">
        <f t="shared" si="1"/>
        <v/>
      </c>
    </row>
    <row r="32" spans="1:13" x14ac:dyDescent="0.35">
      <c r="A32" s="26" t="s">
        <v>139</v>
      </c>
      <c r="B32" s="26"/>
      <c r="C32" s="27"/>
      <c r="D32" s="26"/>
      <c r="E32" s="26"/>
      <c r="F32" s="28"/>
      <c r="G32" s="29" t="str">
        <f t="shared" ca="1" si="0"/>
        <v/>
      </c>
      <c r="H32" s="29" t="str">
        <f>IF(B32="","",COUNTIFS('🤸 Ingresos Pole'!$C$2:$C$1000,B32,'🤸 Ingresos Pole'!$J$2:$J$1000,"Paquete"))</f>
        <v/>
      </c>
      <c r="I32" s="29" t="str">
        <f>IF(B32="","",COUNTIF('🤸 Ingresos Pole'!$C$2:$C$1000,B32))</f>
        <v/>
      </c>
      <c r="J32" s="30" t="str">
        <f>IF(B32="","",SUMIF('🤸 Ingresos Pole'!$C$2:$C$1000,B32,'🤸 Ingresos Pole'!$N$2:$N$1000))</f>
        <v/>
      </c>
      <c r="K32" s="31" t="str">
        <f>IF(OR(B32="",I32=0),"",_xlfn.MINIFS('🤸 Ingresos Pole'!$B$2:$B$1000,'🤸 Ingresos Pole'!$C$2:$C$1000,B32))</f>
        <v/>
      </c>
      <c r="L32" s="31" t="str">
        <f>IF(OR(B32="",I32=0),"",_xlfn.MAXIFS('🤸 Ingresos Pole'!$B$2:$B$1000,'🤸 Ingresos Pole'!$C$2:$C$1000,B32))</f>
        <v/>
      </c>
      <c r="M32" s="29" t="str">
        <f t="shared" si="1"/>
        <v/>
      </c>
    </row>
    <row r="33" spans="1:13" x14ac:dyDescent="0.35">
      <c r="A33" s="26" t="s">
        <v>140</v>
      </c>
      <c r="B33" s="26"/>
      <c r="C33" s="27"/>
      <c r="D33" s="26"/>
      <c r="E33" s="26"/>
      <c r="F33" s="28"/>
      <c r="G33" s="29" t="str">
        <f t="shared" ca="1" si="0"/>
        <v/>
      </c>
      <c r="H33" s="29" t="str">
        <f>IF(B33="","",COUNTIFS('🤸 Ingresos Pole'!$C$2:$C$1000,B33,'🤸 Ingresos Pole'!$J$2:$J$1000,"Paquete"))</f>
        <v/>
      </c>
      <c r="I33" s="29" t="str">
        <f>IF(B33="","",COUNTIF('🤸 Ingresos Pole'!$C$2:$C$1000,B33))</f>
        <v/>
      </c>
      <c r="J33" s="30" t="str">
        <f>IF(B33="","",SUMIF('🤸 Ingresos Pole'!$C$2:$C$1000,B33,'🤸 Ingresos Pole'!$N$2:$N$1000))</f>
        <v/>
      </c>
      <c r="K33" s="31" t="str">
        <f>IF(OR(B33="",I33=0),"",_xlfn.MINIFS('🤸 Ingresos Pole'!$B$2:$B$1000,'🤸 Ingresos Pole'!$C$2:$C$1000,B33))</f>
        <v/>
      </c>
      <c r="L33" s="31" t="str">
        <f>IF(OR(B33="",I33=0),"",_xlfn.MAXIFS('🤸 Ingresos Pole'!$B$2:$B$1000,'🤸 Ingresos Pole'!$C$2:$C$1000,B33))</f>
        <v/>
      </c>
      <c r="M33" s="29" t="str">
        <f t="shared" si="1"/>
        <v/>
      </c>
    </row>
    <row r="34" spans="1:13" x14ac:dyDescent="0.35">
      <c r="A34" s="26" t="s">
        <v>141</v>
      </c>
      <c r="B34" s="26"/>
      <c r="C34" s="27"/>
      <c r="D34" s="26"/>
      <c r="E34" s="26"/>
      <c r="F34" s="28"/>
      <c r="G34" s="29" t="str">
        <f t="shared" ca="1" si="0"/>
        <v/>
      </c>
      <c r="H34" s="29" t="str">
        <f>IF(B34="","",COUNTIFS('🤸 Ingresos Pole'!$C$2:$C$1000,B34,'🤸 Ingresos Pole'!$J$2:$J$1000,"Paquete"))</f>
        <v/>
      </c>
      <c r="I34" s="29" t="str">
        <f>IF(B34="","",COUNTIF('🤸 Ingresos Pole'!$C$2:$C$1000,B34))</f>
        <v/>
      </c>
      <c r="J34" s="30" t="str">
        <f>IF(B34="","",SUMIF('🤸 Ingresos Pole'!$C$2:$C$1000,B34,'🤸 Ingresos Pole'!$N$2:$N$1000))</f>
        <v/>
      </c>
      <c r="K34" s="31" t="str">
        <f>IF(OR(B34="",I34=0),"",_xlfn.MINIFS('🤸 Ingresos Pole'!$B$2:$B$1000,'🤸 Ingresos Pole'!$C$2:$C$1000,B34))</f>
        <v/>
      </c>
      <c r="L34" s="31" t="str">
        <f>IF(OR(B34="",I34=0),"",_xlfn.MAXIFS('🤸 Ingresos Pole'!$B$2:$B$1000,'🤸 Ingresos Pole'!$C$2:$C$1000,B34))</f>
        <v/>
      </c>
      <c r="M34" s="29" t="str">
        <f t="shared" si="1"/>
        <v/>
      </c>
    </row>
    <row r="35" spans="1:13" x14ac:dyDescent="0.35">
      <c r="A35" s="26" t="s">
        <v>142</v>
      </c>
      <c r="B35" s="26"/>
      <c r="C35" s="27"/>
      <c r="D35" s="26"/>
      <c r="E35" s="26"/>
      <c r="F35" s="28"/>
      <c r="G35" s="29" t="str">
        <f t="shared" ca="1" si="0"/>
        <v/>
      </c>
      <c r="H35" s="29" t="str">
        <f>IF(B35="","",COUNTIFS('🤸 Ingresos Pole'!$C$2:$C$1000,B35,'🤸 Ingresos Pole'!$J$2:$J$1000,"Paquete"))</f>
        <v/>
      </c>
      <c r="I35" s="29" t="str">
        <f>IF(B35="","",COUNTIF('🤸 Ingresos Pole'!$C$2:$C$1000,B35))</f>
        <v/>
      </c>
      <c r="J35" s="30" t="str">
        <f>IF(B35="","",SUMIF('🤸 Ingresos Pole'!$C$2:$C$1000,B35,'🤸 Ingresos Pole'!$N$2:$N$1000))</f>
        <v/>
      </c>
      <c r="K35" s="31" t="str">
        <f>IF(OR(B35="",I35=0),"",_xlfn.MINIFS('🤸 Ingresos Pole'!$B$2:$B$1000,'🤸 Ingresos Pole'!$C$2:$C$1000,B35))</f>
        <v/>
      </c>
      <c r="L35" s="31" t="str">
        <f>IF(OR(B35="",I35=0),"",_xlfn.MAXIFS('🤸 Ingresos Pole'!$B$2:$B$1000,'🤸 Ingresos Pole'!$C$2:$C$1000,B35))</f>
        <v/>
      </c>
      <c r="M35" s="29" t="str">
        <f t="shared" si="1"/>
        <v/>
      </c>
    </row>
    <row r="36" spans="1:13" x14ac:dyDescent="0.35">
      <c r="A36" s="26" t="s">
        <v>143</v>
      </c>
      <c r="B36" s="26"/>
      <c r="C36" s="27"/>
      <c r="D36" s="26"/>
      <c r="E36" s="26"/>
      <c r="F36" s="28"/>
      <c r="G36" s="29" t="str">
        <f t="shared" ca="1" si="0"/>
        <v/>
      </c>
      <c r="H36" s="29" t="str">
        <f>IF(B36="","",COUNTIFS('🤸 Ingresos Pole'!$C$2:$C$1000,B36,'🤸 Ingresos Pole'!$J$2:$J$1000,"Paquete"))</f>
        <v/>
      </c>
      <c r="I36" s="29" t="str">
        <f>IF(B36="","",COUNTIF('🤸 Ingresos Pole'!$C$2:$C$1000,B36))</f>
        <v/>
      </c>
      <c r="J36" s="30" t="str">
        <f>IF(B36="","",SUMIF('🤸 Ingresos Pole'!$C$2:$C$1000,B36,'🤸 Ingresos Pole'!$N$2:$N$1000))</f>
        <v/>
      </c>
      <c r="K36" s="31" t="str">
        <f>IF(OR(B36="",I36=0),"",_xlfn.MINIFS('🤸 Ingresos Pole'!$B$2:$B$1000,'🤸 Ingresos Pole'!$C$2:$C$1000,B36))</f>
        <v/>
      </c>
      <c r="L36" s="31" t="str">
        <f>IF(OR(B36="",I36=0),"",_xlfn.MAXIFS('🤸 Ingresos Pole'!$B$2:$B$1000,'🤸 Ingresos Pole'!$C$2:$C$1000,B36))</f>
        <v/>
      </c>
      <c r="M36" s="29" t="str">
        <f t="shared" si="1"/>
        <v/>
      </c>
    </row>
    <row r="37" spans="1:13" x14ac:dyDescent="0.35">
      <c r="A37" s="26" t="s">
        <v>144</v>
      </c>
      <c r="B37" s="26"/>
      <c r="C37" s="27"/>
      <c r="D37" s="26"/>
      <c r="E37" s="26"/>
      <c r="F37" s="28"/>
      <c r="G37" s="29" t="str">
        <f t="shared" ca="1" si="0"/>
        <v/>
      </c>
      <c r="H37" s="29" t="str">
        <f>IF(B37="","",COUNTIFS('🤸 Ingresos Pole'!$C$2:$C$1000,B37,'🤸 Ingresos Pole'!$J$2:$J$1000,"Paquete"))</f>
        <v/>
      </c>
      <c r="I37" s="29" t="str">
        <f>IF(B37="","",COUNTIF('🤸 Ingresos Pole'!$C$2:$C$1000,B37))</f>
        <v/>
      </c>
      <c r="J37" s="30" t="str">
        <f>IF(B37="","",SUMIF('🤸 Ingresos Pole'!$C$2:$C$1000,B37,'🤸 Ingresos Pole'!$N$2:$N$1000))</f>
        <v/>
      </c>
      <c r="K37" s="31" t="str">
        <f>IF(OR(B37="",I37=0),"",_xlfn.MINIFS('🤸 Ingresos Pole'!$B$2:$B$1000,'🤸 Ingresos Pole'!$C$2:$C$1000,B37))</f>
        <v/>
      </c>
      <c r="L37" s="31" t="str">
        <f>IF(OR(B37="",I37=0),"",_xlfn.MAXIFS('🤸 Ingresos Pole'!$B$2:$B$1000,'🤸 Ingresos Pole'!$C$2:$C$1000,B37))</f>
        <v/>
      </c>
      <c r="M37" s="29" t="str">
        <f t="shared" si="1"/>
        <v/>
      </c>
    </row>
    <row r="38" spans="1:13" x14ac:dyDescent="0.35">
      <c r="A38" s="26" t="s">
        <v>145</v>
      </c>
      <c r="B38" s="26"/>
      <c r="C38" s="27"/>
      <c r="D38" s="26"/>
      <c r="E38" s="26"/>
      <c r="F38" s="28"/>
      <c r="G38" s="29" t="str">
        <f t="shared" ca="1" si="0"/>
        <v/>
      </c>
      <c r="H38" s="29" t="str">
        <f>IF(B38="","",COUNTIFS('🤸 Ingresos Pole'!$C$2:$C$1000,B38,'🤸 Ingresos Pole'!$J$2:$J$1000,"Paquete"))</f>
        <v/>
      </c>
      <c r="I38" s="29" t="str">
        <f>IF(B38="","",COUNTIF('🤸 Ingresos Pole'!$C$2:$C$1000,B38))</f>
        <v/>
      </c>
      <c r="J38" s="30" t="str">
        <f>IF(B38="","",SUMIF('🤸 Ingresos Pole'!$C$2:$C$1000,B38,'🤸 Ingresos Pole'!$N$2:$N$1000))</f>
        <v/>
      </c>
      <c r="K38" s="31" t="str">
        <f>IF(OR(B38="",I38=0),"",_xlfn.MINIFS('🤸 Ingresos Pole'!$B$2:$B$1000,'🤸 Ingresos Pole'!$C$2:$C$1000,B38))</f>
        <v/>
      </c>
      <c r="L38" s="31" t="str">
        <f>IF(OR(B38="",I38=0),"",_xlfn.MAXIFS('🤸 Ingresos Pole'!$B$2:$B$1000,'🤸 Ingresos Pole'!$C$2:$C$1000,B38))</f>
        <v/>
      </c>
      <c r="M38" s="29" t="str">
        <f t="shared" si="1"/>
        <v/>
      </c>
    </row>
    <row r="39" spans="1:13" x14ac:dyDescent="0.35">
      <c r="A39" s="26" t="s">
        <v>146</v>
      </c>
      <c r="B39" s="26"/>
      <c r="C39" s="27"/>
      <c r="D39" s="26"/>
      <c r="E39" s="26"/>
      <c r="F39" s="28"/>
      <c r="G39" s="29" t="str">
        <f t="shared" ca="1" si="0"/>
        <v/>
      </c>
      <c r="H39" s="29" t="str">
        <f>IF(B39="","",COUNTIFS('🤸 Ingresos Pole'!$C$2:$C$1000,B39,'🤸 Ingresos Pole'!$J$2:$J$1000,"Paquete"))</f>
        <v/>
      </c>
      <c r="I39" s="29" t="str">
        <f>IF(B39="","",COUNTIF('🤸 Ingresos Pole'!$C$2:$C$1000,B39))</f>
        <v/>
      </c>
      <c r="J39" s="30" t="str">
        <f>IF(B39="","",SUMIF('🤸 Ingresos Pole'!$C$2:$C$1000,B39,'🤸 Ingresos Pole'!$N$2:$N$1000))</f>
        <v/>
      </c>
      <c r="K39" s="31" t="str">
        <f>IF(OR(B39="",I39=0),"",_xlfn.MINIFS('🤸 Ingresos Pole'!$B$2:$B$1000,'🤸 Ingresos Pole'!$C$2:$C$1000,B39))</f>
        <v/>
      </c>
      <c r="L39" s="31" t="str">
        <f>IF(OR(B39="",I39=0),"",_xlfn.MAXIFS('🤸 Ingresos Pole'!$B$2:$B$1000,'🤸 Ingresos Pole'!$C$2:$C$1000,B39))</f>
        <v/>
      </c>
      <c r="M39" s="29" t="str">
        <f t="shared" si="1"/>
        <v/>
      </c>
    </row>
    <row r="40" spans="1:13" x14ac:dyDescent="0.35">
      <c r="A40" s="26" t="s">
        <v>147</v>
      </c>
      <c r="B40" s="26"/>
      <c r="C40" s="27"/>
      <c r="D40" s="26"/>
      <c r="E40" s="26"/>
      <c r="F40" s="28"/>
      <c r="G40" s="29" t="str">
        <f t="shared" ca="1" si="0"/>
        <v/>
      </c>
      <c r="H40" s="29" t="str">
        <f>IF(B40="","",COUNTIFS('🤸 Ingresos Pole'!$C$2:$C$1000,B40,'🤸 Ingresos Pole'!$J$2:$J$1000,"Paquete"))</f>
        <v/>
      </c>
      <c r="I40" s="29" t="str">
        <f>IF(B40="","",COUNTIF('🤸 Ingresos Pole'!$C$2:$C$1000,B40))</f>
        <v/>
      </c>
      <c r="J40" s="30" t="str">
        <f>IF(B40="","",SUMIF('🤸 Ingresos Pole'!$C$2:$C$1000,B40,'🤸 Ingresos Pole'!$N$2:$N$1000))</f>
        <v/>
      </c>
      <c r="K40" s="31" t="str">
        <f>IF(OR(B40="",I40=0),"",_xlfn.MINIFS('🤸 Ingresos Pole'!$B$2:$B$1000,'🤸 Ingresos Pole'!$C$2:$C$1000,B40))</f>
        <v/>
      </c>
      <c r="L40" s="31" t="str">
        <f>IF(OR(B40="",I40=0),"",_xlfn.MAXIFS('🤸 Ingresos Pole'!$B$2:$B$1000,'🤸 Ingresos Pole'!$C$2:$C$1000,B40))</f>
        <v/>
      </c>
      <c r="M40" s="29" t="str">
        <f t="shared" si="1"/>
        <v/>
      </c>
    </row>
    <row r="41" spans="1:13" x14ac:dyDescent="0.35">
      <c r="A41" s="26" t="s">
        <v>148</v>
      </c>
      <c r="B41" s="26"/>
      <c r="C41" s="27"/>
      <c r="D41" s="26"/>
      <c r="E41" s="26"/>
      <c r="F41" s="28"/>
      <c r="G41" s="29" t="str">
        <f t="shared" ca="1" si="0"/>
        <v/>
      </c>
      <c r="H41" s="29" t="str">
        <f>IF(B41="","",COUNTIFS('🤸 Ingresos Pole'!$C$2:$C$1000,B41,'🤸 Ingresos Pole'!$J$2:$J$1000,"Paquete"))</f>
        <v/>
      </c>
      <c r="I41" s="29" t="str">
        <f>IF(B41="","",COUNTIF('🤸 Ingresos Pole'!$C$2:$C$1000,B41))</f>
        <v/>
      </c>
      <c r="J41" s="30" t="str">
        <f>IF(B41="","",SUMIF('🤸 Ingresos Pole'!$C$2:$C$1000,B41,'🤸 Ingresos Pole'!$N$2:$N$1000))</f>
        <v/>
      </c>
      <c r="K41" s="31" t="str">
        <f>IF(OR(B41="",I41=0),"",_xlfn.MINIFS('🤸 Ingresos Pole'!$B$2:$B$1000,'🤸 Ingresos Pole'!$C$2:$C$1000,B41))</f>
        <v/>
      </c>
      <c r="L41" s="31" t="str">
        <f>IF(OR(B41="",I41=0),"",_xlfn.MAXIFS('🤸 Ingresos Pole'!$B$2:$B$1000,'🤸 Ingresos Pole'!$C$2:$C$1000,B41))</f>
        <v/>
      </c>
      <c r="M41" s="29" t="str">
        <f t="shared" si="1"/>
        <v/>
      </c>
    </row>
    <row r="42" spans="1:13" x14ac:dyDescent="0.35">
      <c r="A42" s="26" t="s">
        <v>149</v>
      </c>
      <c r="B42" s="26"/>
      <c r="C42" s="27"/>
      <c r="D42" s="26"/>
      <c r="E42" s="26"/>
      <c r="F42" s="28"/>
      <c r="G42" s="29" t="str">
        <f t="shared" ca="1" si="0"/>
        <v/>
      </c>
      <c r="H42" s="29" t="str">
        <f>IF(B42="","",COUNTIFS('🤸 Ingresos Pole'!$C$2:$C$1000,B42,'🤸 Ingresos Pole'!$J$2:$J$1000,"Paquete"))</f>
        <v/>
      </c>
      <c r="I42" s="29" t="str">
        <f>IF(B42="","",COUNTIF('🤸 Ingresos Pole'!$C$2:$C$1000,B42))</f>
        <v/>
      </c>
      <c r="J42" s="30" t="str">
        <f>IF(B42="","",SUMIF('🤸 Ingresos Pole'!$C$2:$C$1000,B42,'🤸 Ingresos Pole'!$N$2:$N$1000))</f>
        <v/>
      </c>
      <c r="K42" s="31" t="str">
        <f>IF(OR(B42="",I42=0),"",_xlfn.MINIFS('🤸 Ingresos Pole'!$B$2:$B$1000,'🤸 Ingresos Pole'!$C$2:$C$1000,B42))</f>
        <v/>
      </c>
      <c r="L42" s="31" t="str">
        <f>IF(OR(B42="",I42=0),"",_xlfn.MAXIFS('🤸 Ingresos Pole'!$B$2:$B$1000,'🤸 Ingresos Pole'!$C$2:$C$1000,B42))</f>
        <v/>
      </c>
      <c r="M42" s="29" t="str">
        <f t="shared" si="1"/>
        <v/>
      </c>
    </row>
    <row r="43" spans="1:13" x14ac:dyDescent="0.35">
      <c r="A43" s="26" t="s">
        <v>150</v>
      </c>
      <c r="B43" s="26"/>
      <c r="C43" s="27"/>
      <c r="D43" s="26"/>
      <c r="E43" s="26"/>
      <c r="F43" s="28"/>
      <c r="G43" s="29" t="str">
        <f t="shared" ca="1" si="0"/>
        <v/>
      </c>
      <c r="H43" s="29" t="str">
        <f>IF(B43="","",COUNTIFS('🤸 Ingresos Pole'!$C$2:$C$1000,B43,'🤸 Ingresos Pole'!$J$2:$J$1000,"Paquete"))</f>
        <v/>
      </c>
      <c r="I43" s="29" t="str">
        <f>IF(B43="","",COUNTIF('🤸 Ingresos Pole'!$C$2:$C$1000,B43))</f>
        <v/>
      </c>
      <c r="J43" s="30" t="str">
        <f>IF(B43="","",SUMIF('🤸 Ingresos Pole'!$C$2:$C$1000,B43,'🤸 Ingresos Pole'!$N$2:$N$1000))</f>
        <v/>
      </c>
      <c r="K43" s="31" t="str">
        <f>IF(OR(B43="",I43=0),"",_xlfn.MINIFS('🤸 Ingresos Pole'!$B$2:$B$1000,'🤸 Ingresos Pole'!$C$2:$C$1000,B43))</f>
        <v/>
      </c>
      <c r="L43" s="31" t="str">
        <f>IF(OR(B43="",I43=0),"",_xlfn.MAXIFS('🤸 Ingresos Pole'!$B$2:$B$1000,'🤸 Ingresos Pole'!$C$2:$C$1000,B43))</f>
        <v/>
      </c>
      <c r="M43" s="29" t="str">
        <f t="shared" si="1"/>
        <v/>
      </c>
    </row>
    <row r="44" spans="1:13" x14ac:dyDescent="0.35">
      <c r="A44" s="26" t="s">
        <v>151</v>
      </c>
      <c r="B44" s="26"/>
      <c r="C44" s="27"/>
      <c r="D44" s="26"/>
      <c r="E44" s="26"/>
      <c r="F44" s="28"/>
      <c r="G44" s="29" t="str">
        <f t="shared" ca="1" si="0"/>
        <v/>
      </c>
      <c r="H44" s="29" t="str">
        <f>IF(B44="","",COUNTIFS('🤸 Ingresos Pole'!$C$2:$C$1000,B44,'🤸 Ingresos Pole'!$J$2:$J$1000,"Paquete"))</f>
        <v/>
      </c>
      <c r="I44" s="29" t="str">
        <f>IF(B44="","",COUNTIF('🤸 Ingresos Pole'!$C$2:$C$1000,B44))</f>
        <v/>
      </c>
      <c r="J44" s="30" t="str">
        <f>IF(B44="","",SUMIF('🤸 Ingresos Pole'!$C$2:$C$1000,B44,'🤸 Ingresos Pole'!$N$2:$N$1000))</f>
        <v/>
      </c>
      <c r="K44" s="31" t="str">
        <f>IF(OR(B44="",I44=0),"",_xlfn.MINIFS('🤸 Ingresos Pole'!$B$2:$B$1000,'🤸 Ingresos Pole'!$C$2:$C$1000,B44))</f>
        <v/>
      </c>
      <c r="L44" s="31" t="str">
        <f>IF(OR(B44="",I44=0),"",_xlfn.MAXIFS('🤸 Ingresos Pole'!$B$2:$B$1000,'🤸 Ingresos Pole'!$C$2:$C$1000,B44))</f>
        <v/>
      </c>
      <c r="M44" s="29" t="str">
        <f t="shared" si="1"/>
        <v/>
      </c>
    </row>
    <row r="45" spans="1:13" x14ac:dyDescent="0.35">
      <c r="A45" s="26" t="s">
        <v>152</v>
      </c>
      <c r="B45" s="26"/>
      <c r="C45" s="27"/>
      <c r="D45" s="26"/>
      <c r="E45" s="26"/>
      <c r="F45" s="28"/>
      <c r="G45" s="29" t="str">
        <f t="shared" ca="1" si="0"/>
        <v/>
      </c>
      <c r="H45" s="29" t="str">
        <f>IF(B45="","",COUNTIFS('🤸 Ingresos Pole'!$C$2:$C$1000,B45,'🤸 Ingresos Pole'!$J$2:$J$1000,"Paquete"))</f>
        <v/>
      </c>
      <c r="I45" s="29" t="str">
        <f>IF(B45="","",COUNTIF('🤸 Ingresos Pole'!$C$2:$C$1000,B45))</f>
        <v/>
      </c>
      <c r="J45" s="30" t="str">
        <f>IF(B45="","",SUMIF('🤸 Ingresos Pole'!$C$2:$C$1000,B45,'🤸 Ingresos Pole'!$N$2:$N$1000))</f>
        <v/>
      </c>
      <c r="K45" s="31" t="str">
        <f>IF(OR(B45="",I45=0),"",_xlfn.MINIFS('🤸 Ingresos Pole'!$B$2:$B$1000,'🤸 Ingresos Pole'!$C$2:$C$1000,B45))</f>
        <v/>
      </c>
      <c r="L45" s="31" t="str">
        <f>IF(OR(B45="",I45=0),"",_xlfn.MAXIFS('🤸 Ingresos Pole'!$B$2:$B$1000,'🤸 Ingresos Pole'!$C$2:$C$1000,B45))</f>
        <v/>
      </c>
      <c r="M45" s="29" t="str">
        <f t="shared" si="1"/>
        <v/>
      </c>
    </row>
    <row r="46" spans="1:13" x14ac:dyDescent="0.35">
      <c r="A46" s="26" t="s">
        <v>153</v>
      </c>
      <c r="B46" s="26"/>
      <c r="C46" s="27"/>
      <c r="D46" s="26"/>
      <c r="E46" s="26"/>
      <c r="F46" s="28"/>
      <c r="G46" s="29" t="str">
        <f t="shared" ca="1" si="0"/>
        <v/>
      </c>
      <c r="H46" s="29" t="str">
        <f>IF(B46="","",COUNTIFS('🤸 Ingresos Pole'!$C$2:$C$1000,B46,'🤸 Ingresos Pole'!$J$2:$J$1000,"Paquete"))</f>
        <v/>
      </c>
      <c r="I46" s="29" t="str">
        <f>IF(B46="","",COUNTIF('🤸 Ingresos Pole'!$C$2:$C$1000,B46))</f>
        <v/>
      </c>
      <c r="J46" s="30" t="str">
        <f>IF(B46="","",SUMIF('🤸 Ingresos Pole'!$C$2:$C$1000,B46,'🤸 Ingresos Pole'!$N$2:$N$1000))</f>
        <v/>
      </c>
      <c r="K46" s="31" t="str">
        <f>IF(OR(B46="",I46=0),"",_xlfn.MINIFS('🤸 Ingresos Pole'!$B$2:$B$1000,'🤸 Ingresos Pole'!$C$2:$C$1000,B46))</f>
        <v/>
      </c>
      <c r="L46" s="31" t="str">
        <f>IF(OR(B46="",I46=0),"",_xlfn.MAXIFS('🤸 Ingresos Pole'!$B$2:$B$1000,'🤸 Ingresos Pole'!$C$2:$C$1000,B46))</f>
        <v/>
      </c>
      <c r="M46" s="29" t="str">
        <f t="shared" si="1"/>
        <v/>
      </c>
    </row>
    <row r="47" spans="1:13" x14ac:dyDescent="0.35">
      <c r="A47" s="26" t="s">
        <v>154</v>
      </c>
      <c r="B47" s="26"/>
      <c r="C47" s="27"/>
      <c r="D47" s="26"/>
      <c r="E47" s="26"/>
      <c r="F47" s="28"/>
      <c r="G47" s="29" t="str">
        <f t="shared" ca="1" si="0"/>
        <v/>
      </c>
      <c r="H47" s="29" t="str">
        <f>IF(B47="","",COUNTIFS('🤸 Ingresos Pole'!$C$2:$C$1000,B47,'🤸 Ingresos Pole'!$J$2:$J$1000,"Paquete"))</f>
        <v/>
      </c>
      <c r="I47" s="29" t="str">
        <f>IF(B47="","",COUNTIF('🤸 Ingresos Pole'!$C$2:$C$1000,B47))</f>
        <v/>
      </c>
      <c r="J47" s="30" t="str">
        <f>IF(B47="","",SUMIF('🤸 Ingresos Pole'!$C$2:$C$1000,B47,'🤸 Ingresos Pole'!$N$2:$N$1000))</f>
        <v/>
      </c>
      <c r="K47" s="31" t="str">
        <f>IF(OR(B47="",I47=0),"",_xlfn.MINIFS('🤸 Ingresos Pole'!$B$2:$B$1000,'🤸 Ingresos Pole'!$C$2:$C$1000,B47))</f>
        <v/>
      </c>
      <c r="L47" s="31" t="str">
        <f>IF(OR(B47="",I47=0),"",_xlfn.MAXIFS('🤸 Ingresos Pole'!$B$2:$B$1000,'🤸 Ingresos Pole'!$C$2:$C$1000,B47))</f>
        <v/>
      </c>
      <c r="M47" s="29" t="str">
        <f t="shared" si="1"/>
        <v/>
      </c>
    </row>
    <row r="48" spans="1:13" x14ac:dyDescent="0.35">
      <c r="A48" s="26" t="s">
        <v>155</v>
      </c>
      <c r="B48" s="26"/>
      <c r="C48" s="27"/>
      <c r="D48" s="26"/>
      <c r="E48" s="26"/>
      <c r="F48" s="28"/>
      <c r="G48" s="29" t="str">
        <f t="shared" ca="1" si="0"/>
        <v/>
      </c>
      <c r="H48" s="29" t="str">
        <f>IF(B48="","",COUNTIFS('🤸 Ingresos Pole'!$C$2:$C$1000,B48,'🤸 Ingresos Pole'!$J$2:$J$1000,"Paquete"))</f>
        <v/>
      </c>
      <c r="I48" s="29" t="str">
        <f>IF(B48="","",COUNTIF('🤸 Ingresos Pole'!$C$2:$C$1000,B48))</f>
        <v/>
      </c>
      <c r="J48" s="30" t="str">
        <f>IF(B48="","",SUMIF('🤸 Ingresos Pole'!$C$2:$C$1000,B48,'🤸 Ingresos Pole'!$N$2:$N$1000))</f>
        <v/>
      </c>
      <c r="K48" s="31" t="str">
        <f>IF(OR(B48="",I48=0),"",_xlfn.MINIFS('🤸 Ingresos Pole'!$B$2:$B$1000,'🤸 Ingresos Pole'!$C$2:$C$1000,B48))</f>
        <v/>
      </c>
      <c r="L48" s="31" t="str">
        <f>IF(OR(B48="",I48=0),"",_xlfn.MAXIFS('🤸 Ingresos Pole'!$B$2:$B$1000,'🤸 Ingresos Pole'!$C$2:$C$1000,B48))</f>
        <v/>
      </c>
      <c r="M48" s="29" t="str">
        <f t="shared" si="1"/>
        <v/>
      </c>
    </row>
    <row r="49" spans="1:13" x14ac:dyDescent="0.35">
      <c r="A49" s="26" t="s">
        <v>156</v>
      </c>
      <c r="B49" s="26"/>
      <c r="C49" s="27"/>
      <c r="D49" s="26"/>
      <c r="E49" s="26"/>
      <c r="F49" s="28"/>
      <c r="G49" s="29" t="str">
        <f t="shared" ca="1" si="0"/>
        <v/>
      </c>
      <c r="H49" s="29" t="str">
        <f>IF(B49="","",COUNTIFS('🤸 Ingresos Pole'!$C$2:$C$1000,B49,'🤸 Ingresos Pole'!$J$2:$J$1000,"Paquete"))</f>
        <v/>
      </c>
      <c r="I49" s="29" t="str">
        <f>IF(B49="","",COUNTIF('🤸 Ingresos Pole'!$C$2:$C$1000,B49))</f>
        <v/>
      </c>
      <c r="J49" s="30" t="str">
        <f>IF(B49="","",SUMIF('🤸 Ingresos Pole'!$C$2:$C$1000,B49,'🤸 Ingresos Pole'!$N$2:$N$1000))</f>
        <v/>
      </c>
      <c r="K49" s="31" t="str">
        <f>IF(OR(B49="",I49=0),"",_xlfn.MINIFS('🤸 Ingresos Pole'!$B$2:$B$1000,'🤸 Ingresos Pole'!$C$2:$C$1000,B49))</f>
        <v/>
      </c>
      <c r="L49" s="31" t="str">
        <f>IF(OR(B49="",I49=0),"",_xlfn.MAXIFS('🤸 Ingresos Pole'!$B$2:$B$1000,'🤸 Ingresos Pole'!$C$2:$C$1000,B49))</f>
        <v/>
      </c>
      <c r="M49" s="29" t="str">
        <f t="shared" si="1"/>
        <v/>
      </c>
    </row>
    <row r="50" spans="1:13" x14ac:dyDescent="0.35">
      <c r="A50" s="26" t="s">
        <v>157</v>
      </c>
      <c r="B50" s="26"/>
      <c r="C50" s="27"/>
      <c r="D50" s="26"/>
      <c r="E50" s="26"/>
      <c r="F50" s="28"/>
      <c r="G50" s="29" t="str">
        <f t="shared" ca="1" si="0"/>
        <v/>
      </c>
      <c r="H50" s="29" t="str">
        <f>IF(B50="","",COUNTIFS('🤸 Ingresos Pole'!$C$2:$C$1000,B50,'🤸 Ingresos Pole'!$J$2:$J$1000,"Paquete"))</f>
        <v/>
      </c>
      <c r="I50" s="29" t="str">
        <f>IF(B50="","",COUNTIF('🤸 Ingresos Pole'!$C$2:$C$1000,B50))</f>
        <v/>
      </c>
      <c r="J50" s="30" t="str">
        <f>IF(B50="","",SUMIF('🤸 Ingresos Pole'!$C$2:$C$1000,B50,'🤸 Ingresos Pole'!$N$2:$N$1000))</f>
        <v/>
      </c>
      <c r="K50" s="31" t="str">
        <f>IF(OR(B50="",I50=0),"",_xlfn.MINIFS('🤸 Ingresos Pole'!$B$2:$B$1000,'🤸 Ingresos Pole'!$C$2:$C$1000,B50))</f>
        <v/>
      </c>
      <c r="L50" s="31" t="str">
        <f>IF(OR(B50="",I50=0),"",_xlfn.MAXIFS('🤸 Ingresos Pole'!$B$2:$B$1000,'🤸 Ingresos Pole'!$C$2:$C$1000,B50))</f>
        <v/>
      </c>
      <c r="M50" s="29" t="str">
        <f t="shared" si="1"/>
        <v/>
      </c>
    </row>
    <row r="51" spans="1:13" x14ac:dyDescent="0.35">
      <c r="A51" s="26" t="s">
        <v>158</v>
      </c>
      <c r="B51" s="26"/>
      <c r="C51" s="27"/>
      <c r="D51" s="26"/>
      <c r="E51" s="26"/>
      <c r="F51" s="28"/>
      <c r="G51" s="29" t="str">
        <f t="shared" ca="1" si="0"/>
        <v/>
      </c>
      <c r="H51" s="29" t="str">
        <f>IF(B51="","",COUNTIFS('🤸 Ingresos Pole'!$C$2:$C$1000,B51,'🤸 Ingresos Pole'!$J$2:$J$1000,"Paquete"))</f>
        <v/>
      </c>
      <c r="I51" s="29" t="str">
        <f>IF(B51="","",COUNTIF('🤸 Ingresos Pole'!$C$2:$C$1000,B51))</f>
        <v/>
      </c>
      <c r="J51" s="30" t="str">
        <f>IF(B51="","",SUMIF('🤸 Ingresos Pole'!$C$2:$C$1000,B51,'🤸 Ingresos Pole'!$N$2:$N$1000))</f>
        <v/>
      </c>
      <c r="K51" s="31" t="str">
        <f>IF(OR(B51="",I51=0),"",_xlfn.MINIFS('🤸 Ingresos Pole'!$B$2:$B$1000,'🤸 Ingresos Pole'!$C$2:$C$1000,B51))</f>
        <v/>
      </c>
      <c r="L51" s="31" t="str">
        <f>IF(OR(B51="",I51=0),"",_xlfn.MAXIFS('🤸 Ingresos Pole'!$B$2:$B$1000,'🤸 Ingresos Pole'!$C$2:$C$1000,B51))</f>
        <v/>
      </c>
      <c r="M51" s="29" t="str">
        <f t="shared" si="1"/>
        <v/>
      </c>
    </row>
    <row r="52" spans="1:13" x14ac:dyDescent="0.35">
      <c r="A52" s="26" t="s">
        <v>159</v>
      </c>
      <c r="B52" s="26"/>
      <c r="C52" s="27"/>
      <c r="D52" s="26"/>
      <c r="E52" s="26"/>
      <c r="F52" s="28"/>
      <c r="G52" s="29" t="str">
        <f t="shared" ca="1" si="0"/>
        <v/>
      </c>
      <c r="H52" s="29" t="str">
        <f>IF(B52="","",COUNTIFS('🤸 Ingresos Pole'!$C$2:$C$1000,B52,'🤸 Ingresos Pole'!$J$2:$J$1000,"Paquete"))</f>
        <v/>
      </c>
      <c r="I52" s="29" t="str">
        <f>IF(B52="","",COUNTIF('🤸 Ingresos Pole'!$C$2:$C$1000,B52))</f>
        <v/>
      </c>
      <c r="J52" s="30" t="str">
        <f>IF(B52="","",SUMIF('🤸 Ingresos Pole'!$C$2:$C$1000,B52,'🤸 Ingresos Pole'!$N$2:$N$1000))</f>
        <v/>
      </c>
      <c r="K52" s="31" t="str">
        <f>IF(OR(B52="",I52=0),"",_xlfn.MINIFS('🤸 Ingresos Pole'!$B$2:$B$1000,'🤸 Ingresos Pole'!$C$2:$C$1000,B52))</f>
        <v/>
      </c>
      <c r="L52" s="31" t="str">
        <f>IF(OR(B52="",I52=0),"",_xlfn.MAXIFS('🤸 Ingresos Pole'!$B$2:$B$1000,'🤸 Ingresos Pole'!$C$2:$C$1000,B52))</f>
        <v/>
      </c>
      <c r="M52" s="29" t="str">
        <f t="shared" si="1"/>
        <v/>
      </c>
    </row>
    <row r="53" spans="1:13" x14ac:dyDescent="0.35">
      <c r="A53" s="26" t="s">
        <v>160</v>
      </c>
      <c r="B53" s="26"/>
      <c r="C53" s="27"/>
      <c r="D53" s="26"/>
      <c r="E53" s="26"/>
      <c r="F53" s="28"/>
      <c r="G53" s="29" t="str">
        <f t="shared" ca="1" si="0"/>
        <v/>
      </c>
      <c r="H53" s="29" t="str">
        <f>IF(B53="","",COUNTIFS('🤸 Ingresos Pole'!$C$2:$C$1000,B53,'🤸 Ingresos Pole'!$J$2:$J$1000,"Paquete"))</f>
        <v/>
      </c>
      <c r="I53" s="29" t="str">
        <f>IF(B53="","",COUNTIF('🤸 Ingresos Pole'!$C$2:$C$1000,B53))</f>
        <v/>
      </c>
      <c r="J53" s="30" t="str">
        <f>IF(B53="","",SUMIF('🤸 Ingresos Pole'!$C$2:$C$1000,B53,'🤸 Ingresos Pole'!$N$2:$N$1000))</f>
        <v/>
      </c>
      <c r="K53" s="31" t="str">
        <f>IF(OR(B53="",I53=0),"",_xlfn.MINIFS('🤸 Ingresos Pole'!$B$2:$B$1000,'🤸 Ingresos Pole'!$C$2:$C$1000,B53))</f>
        <v/>
      </c>
      <c r="L53" s="31" t="str">
        <f>IF(OR(B53="",I53=0),"",_xlfn.MAXIFS('🤸 Ingresos Pole'!$B$2:$B$1000,'🤸 Ingresos Pole'!$C$2:$C$1000,B53))</f>
        <v/>
      </c>
      <c r="M53" s="29" t="str">
        <f t="shared" si="1"/>
        <v/>
      </c>
    </row>
    <row r="54" spans="1:13" x14ac:dyDescent="0.35">
      <c r="A54" s="26" t="s">
        <v>161</v>
      </c>
      <c r="B54" s="26"/>
      <c r="C54" s="27"/>
      <c r="D54" s="26"/>
      <c r="E54" s="26"/>
      <c r="F54" s="28"/>
      <c r="G54" s="29" t="str">
        <f t="shared" ca="1" si="0"/>
        <v/>
      </c>
      <c r="H54" s="29" t="str">
        <f>IF(B54="","",COUNTIFS('🤸 Ingresos Pole'!$C$2:$C$1000,B54,'🤸 Ingresos Pole'!$J$2:$J$1000,"Paquete"))</f>
        <v/>
      </c>
      <c r="I54" s="29" t="str">
        <f>IF(B54="","",COUNTIF('🤸 Ingresos Pole'!$C$2:$C$1000,B54))</f>
        <v/>
      </c>
      <c r="J54" s="30" t="str">
        <f>IF(B54="","",SUMIF('🤸 Ingresos Pole'!$C$2:$C$1000,B54,'🤸 Ingresos Pole'!$N$2:$N$1000))</f>
        <v/>
      </c>
      <c r="K54" s="31" t="str">
        <f>IF(OR(B54="",I54=0),"",_xlfn.MINIFS('🤸 Ingresos Pole'!$B$2:$B$1000,'🤸 Ingresos Pole'!$C$2:$C$1000,B54))</f>
        <v/>
      </c>
      <c r="L54" s="31" t="str">
        <f>IF(OR(B54="",I54=0),"",_xlfn.MAXIFS('🤸 Ingresos Pole'!$B$2:$B$1000,'🤸 Ingresos Pole'!$C$2:$C$1000,B54))</f>
        <v/>
      </c>
      <c r="M54" s="29" t="str">
        <f t="shared" si="1"/>
        <v/>
      </c>
    </row>
    <row r="55" spans="1:13" x14ac:dyDescent="0.35">
      <c r="A55" s="26" t="s">
        <v>162</v>
      </c>
      <c r="B55" s="26"/>
      <c r="C55" s="27"/>
      <c r="D55" s="26"/>
      <c r="E55" s="26"/>
      <c r="F55" s="28"/>
      <c r="G55" s="29" t="str">
        <f t="shared" ca="1" si="0"/>
        <v/>
      </c>
      <c r="H55" s="29" t="str">
        <f>IF(B55="","",COUNTIFS('🤸 Ingresos Pole'!$C$2:$C$1000,B55,'🤸 Ingresos Pole'!$J$2:$J$1000,"Paquete"))</f>
        <v/>
      </c>
      <c r="I55" s="29" t="str">
        <f>IF(B55="","",COUNTIF('🤸 Ingresos Pole'!$C$2:$C$1000,B55))</f>
        <v/>
      </c>
      <c r="J55" s="30" t="str">
        <f>IF(B55="","",SUMIF('🤸 Ingresos Pole'!$C$2:$C$1000,B55,'🤸 Ingresos Pole'!$N$2:$N$1000))</f>
        <v/>
      </c>
      <c r="K55" s="31" t="str">
        <f>IF(OR(B55="",I55=0),"",_xlfn.MINIFS('🤸 Ingresos Pole'!$B$2:$B$1000,'🤸 Ingresos Pole'!$C$2:$C$1000,B55))</f>
        <v/>
      </c>
      <c r="L55" s="31" t="str">
        <f>IF(OR(B55="",I55=0),"",_xlfn.MAXIFS('🤸 Ingresos Pole'!$B$2:$B$1000,'🤸 Ingresos Pole'!$C$2:$C$1000,B55))</f>
        <v/>
      </c>
      <c r="M55" s="29" t="str">
        <f t="shared" si="1"/>
        <v/>
      </c>
    </row>
    <row r="56" spans="1:13" x14ac:dyDescent="0.35">
      <c r="A56" s="26" t="s">
        <v>163</v>
      </c>
      <c r="B56" s="26"/>
      <c r="C56" s="27"/>
      <c r="D56" s="26"/>
      <c r="E56" s="26"/>
      <c r="F56" s="28"/>
      <c r="G56" s="29" t="str">
        <f t="shared" ca="1" si="0"/>
        <v/>
      </c>
      <c r="H56" s="29" t="str">
        <f>IF(B56="","",COUNTIFS('🤸 Ingresos Pole'!$C$2:$C$1000,B56,'🤸 Ingresos Pole'!$J$2:$J$1000,"Paquete"))</f>
        <v/>
      </c>
      <c r="I56" s="29" t="str">
        <f>IF(B56="","",COUNTIF('🤸 Ingresos Pole'!$C$2:$C$1000,B56))</f>
        <v/>
      </c>
      <c r="J56" s="30" t="str">
        <f>IF(B56="","",SUMIF('🤸 Ingresos Pole'!$C$2:$C$1000,B56,'🤸 Ingresos Pole'!$N$2:$N$1000))</f>
        <v/>
      </c>
      <c r="K56" s="31" t="str">
        <f>IF(OR(B56="",I56=0),"",_xlfn.MINIFS('🤸 Ingresos Pole'!$B$2:$B$1000,'🤸 Ingresos Pole'!$C$2:$C$1000,B56))</f>
        <v/>
      </c>
      <c r="L56" s="31" t="str">
        <f>IF(OR(B56="",I56=0),"",_xlfn.MAXIFS('🤸 Ingresos Pole'!$B$2:$B$1000,'🤸 Ingresos Pole'!$C$2:$C$1000,B56))</f>
        <v/>
      </c>
      <c r="M56" s="29" t="str">
        <f t="shared" si="1"/>
        <v/>
      </c>
    </row>
    <row r="57" spans="1:13" x14ac:dyDescent="0.35">
      <c r="A57" s="26" t="s">
        <v>164</v>
      </c>
      <c r="B57" s="26"/>
      <c r="C57" s="27"/>
      <c r="D57" s="26"/>
      <c r="E57" s="26"/>
      <c r="F57" s="28"/>
      <c r="G57" s="29" t="str">
        <f t="shared" ca="1" si="0"/>
        <v/>
      </c>
      <c r="H57" s="29" t="str">
        <f>IF(B57="","",COUNTIFS('🤸 Ingresos Pole'!$C$2:$C$1000,B57,'🤸 Ingresos Pole'!$J$2:$J$1000,"Paquete"))</f>
        <v/>
      </c>
      <c r="I57" s="29" t="str">
        <f>IF(B57="","",COUNTIF('🤸 Ingresos Pole'!$C$2:$C$1000,B57))</f>
        <v/>
      </c>
      <c r="J57" s="30" t="str">
        <f>IF(B57="","",SUMIF('🤸 Ingresos Pole'!$C$2:$C$1000,B57,'🤸 Ingresos Pole'!$N$2:$N$1000))</f>
        <v/>
      </c>
      <c r="K57" s="31" t="str">
        <f>IF(OR(B57="",I57=0),"",_xlfn.MINIFS('🤸 Ingresos Pole'!$B$2:$B$1000,'🤸 Ingresos Pole'!$C$2:$C$1000,B57))</f>
        <v/>
      </c>
      <c r="L57" s="31" t="str">
        <f>IF(OR(B57="",I57=0),"",_xlfn.MAXIFS('🤸 Ingresos Pole'!$B$2:$B$1000,'🤸 Ingresos Pole'!$C$2:$C$1000,B57))</f>
        <v/>
      </c>
      <c r="M57" s="29" t="str">
        <f t="shared" si="1"/>
        <v/>
      </c>
    </row>
    <row r="58" spans="1:13" x14ac:dyDescent="0.35">
      <c r="A58" s="26" t="s">
        <v>165</v>
      </c>
      <c r="B58" s="26"/>
      <c r="C58" s="27"/>
      <c r="D58" s="26"/>
      <c r="E58" s="26"/>
      <c r="F58" s="28"/>
      <c r="G58" s="29" t="str">
        <f t="shared" ca="1" si="0"/>
        <v/>
      </c>
      <c r="H58" s="29" t="str">
        <f>IF(B58="","",COUNTIFS('🤸 Ingresos Pole'!$C$2:$C$1000,B58,'🤸 Ingresos Pole'!$J$2:$J$1000,"Paquete"))</f>
        <v/>
      </c>
      <c r="I58" s="29" t="str">
        <f>IF(B58="","",COUNTIF('🤸 Ingresos Pole'!$C$2:$C$1000,B58))</f>
        <v/>
      </c>
      <c r="J58" s="30" t="str">
        <f>IF(B58="","",SUMIF('🤸 Ingresos Pole'!$C$2:$C$1000,B58,'🤸 Ingresos Pole'!$N$2:$N$1000))</f>
        <v/>
      </c>
      <c r="K58" s="31" t="str">
        <f>IF(OR(B58="",I58=0),"",_xlfn.MINIFS('🤸 Ingresos Pole'!$B$2:$B$1000,'🤸 Ingresos Pole'!$C$2:$C$1000,B58))</f>
        <v/>
      </c>
      <c r="L58" s="31" t="str">
        <f>IF(OR(B58="",I58=0),"",_xlfn.MAXIFS('🤸 Ingresos Pole'!$B$2:$B$1000,'🤸 Ingresos Pole'!$C$2:$C$1000,B58))</f>
        <v/>
      </c>
      <c r="M58" s="29" t="str">
        <f t="shared" si="1"/>
        <v/>
      </c>
    </row>
    <row r="59" spans="1:13" x14ac:dyDescent="0.35">
      <c r="A59" s="26" t="s">
        <v>166</v>
      </c>
      <c r="B59" s="26"/>
      <c r="C59" s="27"/>
      <c r="D59" s="26"/>
      <c r="E59" s="26"/>
      <c r="F59" s="28"/>
      <c r="G59" s="29" t="str">
        <f t="shared" ca="1" si="0"/>
        <v/>
      </c>
      <c r="H59" s="29" t="str">
        <f>IF(B59="","",COUNTIFS('🤸 Ingresos Pole'!$C$2:$C$1000,B59,'🤸 Ingresos Pole'!$J$2:$J$1000,"Paquete"))</f>
        <v/>
      </c>
      <c r="I59" s="29" t="str">
        <f>IF(B59="","",COUNTIF('🤸 Ingresos Pole'!$C$2:$C$1000,B59))</f>
        <v/>
      </c>
      <c r="J59" s="30" t="str">
        <f>IF(B59="","",SUMIF('🤸 Ingresos Pole'!$C$2:$C$1000,B59,'🤸 Ingresos Pole'!$N$2:$N$1000))</f>
        <v/>
      </c>
      <c r="K59" s="31" t="str">
        <f>IF(OR(B59="",I59=0),"",_xlfn.MINIFS('🤸 Ingresos Pole'!$B$2:$B$1000,'🤸 Ingresos Pole'!$C$2:$C$1000,B59))</f>
        <v/>
      </c>
      <c r="L59" s="31" t="str">
        <f>IF(OR(B59="",I59=0),"",_xlfn.MAXIFS('🤸 Ingresos Pole'!$B$2:$B$1000,'🤸 Ingresos Pole'!$C$2:$C$1000,B59))</f>
        <v/>
      </c>
      <c r="M59" s="29" t="str">
        <f t="shared" si="1"/>
        <v/>
      </c>
    </row>
    <row r="60" spans="1:13" x14ac:dyDescent="0.35">
      <c r="A60" s="26" t="s">
        <v>167</v>
      </c>
      <c r="B60" s="26"/>
      <c r="C60" s="27"/>
      <c r="D60" s="26"/>
      <c r="E60" s="26"/>
      <c r="F60" s="28"/>
      <c r="G60" s="29" t="str">
        <f t="shared" ca="1" si="0"/>
        <v/>
      </c>
      <c r="H60" s="29" t="str">
        <f>IF(B60="","",COUNTIFS('🤸 Ingresos Pole'!$C$2:$C$1000,B60,'🤸 Ingresos Pole'!$J$2:$J$1000,"Paquete"))</f>
        <v/>
      </c>
      <c r="I60" s="29" t="str">
        <f>IF(B60="","",COUNTIF('🤸 Ingresos Pole'!$C$2:$C$1000,B60))</f>
        <v/>
      </c>
      <c r="J60" s="30" t="str">
        <f>IF(B60="","",SUMIF('🤸 Ingresos Pole'!$C$2:$C$1000,B60,'🤸 Ingresos Pole'!$N$2:$N$1000))</f>
        <v/>
      </c>
      <c r="K60" s="31" t="str">
        <f>IF(OR(B60="",I60=0),"",_xlfn.MINIFS('🤸 Ingresos Pole'!$B$2:$B$1000,'🤸 Ingresos Pole'!$C$2:$C$1000,B60))</f>
        <v/>
      </c>
      <c r="L60" s="31" t="str">
        <f>IF(OR(B60="",I60=0),"",_xlfn.MAXIFS('🤸 Ingresos Pole'!$B$2:$B$1000,'🤸 Ingresos Pole'!$C$2:$C$1000,B60))</f>
        <v/>
      </c>
      <c r="M60" s="29" t="str">
        <f t="shared" si="1"/>
        <v/>
      </c>
    </row>
    <row r="61" spans="1:13" x14ac:dyDescent="0.35">
      <c r="A61" s="26" t="s">
        <v>168</v>
      </c>
      <c r="B61" s="26"/>
      <c r="C61" s="27"/>
      <c r="D61" s="26"/>
      <c r="E61" s="26"/>
      <c r="F61" s="28"/>
      <c r="G61" s="29" t="str">
        <f t="shared" ca="1" si="0"/>
        <v/>
      </c>
      <c r="H61" s="29" t="str">
        <f>IF(B61="","",COUNTIFS('🤸 Ingresos Pole'!$C$2:$C$1000,B61,'🤸 Ingresos Pole'!$J$2:$J$1000,"Paquete"))</f>
        <v/>
      </c>
      <c r="I61" s="29" t="str">
        <f>IF(B61="","",COUNTIF('🤸 Ingresos Pole'!$C$2:$C$1000,B61))</f>
        <v/>
      </c>
      <c r="J61" s="30" t="str">
        <f>IF(B61="","",SUMIF('🤸 Ingresos Pole'!$C$2:$C$1000,B61,'🤸 Ingresos Pole'!$N$2:$N$1000))</f>
        <v/>
      </c>
      <c r="K61" s="31" t="str">
        <f>IF(OR(B61="",I61=0),"",_xlfn.MINIFS('🤸 Ingresos Pole'!$B$2:$B$1000,'🤸 Ingresos Pole'!$C$2:$C$1000,B61))</f>
        <v/>
      </c>
      <c r="L61" s="31" t="str">
        <f>IF(OR(B61="",I61=0),"",_xlfn.MAXIFS('🤸 Ingresos Pole'!$B$2:$B$1000,'🤸 Ingresos Pole'!$C$2:$C$1000,B61))</f>
        <v/>
      </c>
      <c r="M61" s="29" t="str">
        <f t="shared" si="1"/>
        <v/>
      </c>
    </row>
    <row r="62" spans="1:13" x14ac:dyDescent="0.35">
      <c r="A62" s="26" t="s">
        <v>169</v>
      </c>
      <c r="B62" s="26"/>
      <c r="C62" s="27"/>
      <c r="D62" s="26"/>
      <c r="E62" s="26"/>
      <c r="F62" s="28"/>
      <c r="G62" s="29" t="str">
        <f t="shared" ca="1" si="0"/>
        <v/>
      </c>
      <c r="H62" s="29" t="str">
        <f>IF(B62="","",COUNTIFS('🤸 Ingresos Pole'!$C$2:$C$1000,B62,'🤸 Ingresos Pole'!$J$2:$J$1000,"Paquete"))</f>
        <v/>
      </c>
      <c r="I62" s="29" t="str">
        <f>IF(B62="","",COUNTIF('🤸 Ingresos Pole'!$C$2:$C$1000,B62))</f>
        <v/>
      </c>
      <c r="J62" s="30" t="str">
        <f>IF(B62="","",SUMIF('🤸 Ingresos Pole'!$C$2:$C$1000,B62,'🤸 Ingresos Pole'!$N$2:$N$1000))</f>
        <v/>
      </c>
      <c r="K62" s="31" t="str">
        <f>IF(OR(B62="",I62=0),"",_xlfn.MINIFS('🤸 Ingresos Pole'!$B$2:$B$1000,'🤸 Ingresos Pole'!$C$2:$C$1000,B62))</f>
        <v/>
      </c>
      <c r="L62" s="31" t="str">
        <f>IF(OR(B62="",I62=0),"",_xlfn.MAXIFS('🤸 Ingresos Pole'!$B$2:$B$1000,'🤸 Ingresos Pole'!$C$2:$C$1000,B62))</f>
        <v/>
      </c>
      <c r="M62" s="29" t="str">
        <f t="shared" si="1"/>
        <v/>
      </c>
    </row>
    <row r="63" spans="1:13" x14ac:dyDescent="0.35">
      <c r="A63" s="26" t="s">
        <v>170</v>
      </c>
      <c r="B63" s="26"/>
      <c r="C63" s="27"/>
      <c r="D63" s="26"/>
      <c r="E63" s="26"/>
      <c r="F63" s="28"/>
      <c r="G63" s="29" t="str">
        <f t="shared" ca="1" si="0"/>
        <v/>
      </c>
      <c r="H63" s="29" t="str">
        <f>IF(B63="","",COUNTIFS('🤸 Ingresos Pole'!$C$2:$C$1000,B63,'🤸 Ingresos Pole'!$J$2:$J$1000,"Paquete"))</f>
        <v/>
      </c>
      <c r="I63" s="29" t="str">
        <f>IF(B63="","",COUNTIF('🤸 Ingresos Pole'!$C$2:$C$1000,B63))</f>
        <v/>
      </c>
      <c r="J63" s="30" t="str">
        <f>IF(B63="","",SUMIF('🤸 Ingresos Pole'!$C$2:$C$1000,B63,'🤸 Ingresos Pole'!$N$2:$N$1000))</f>
        <v/>
      </c>
      <c r="K63" s="31" t="str">
        <f>IF(OR(B63="",I63=0),"",_xlfn.MINIFS('🤸 Ingresos Pole'!$B$2:$B$1000,'🤸 Ingresos Pole'!$C$2:$C$1000,B63))</f>
        <v/>
      </c>
      <c r="L63" s="31" t="str">
        <f>IF(OR(B63="",I63=0),"",_xlfn.MAXIFS('🤸 Ingresos Pole'!$B$2:$B$1000,'🤸 Ingresos Pole'!$C$2:$C$1000,B63))</f>
        <v/>
      </c>
      <c r="M63" s="29" t="str">
        <f t="shared" si="1"/>
        <v/>
      </c>
    </row>
    <row r="64" spans="1:13" x14ac:dyDescent="0.35">
      <c r="A64" s="26" t="s">
        <v>171</v>
      </c>
      <c r="B64" s="26"/>
      <c r="C64" s="27"/>
      <c r="D64" s="26"/>
      <c r="E64" s="26"/>
      <c r="F64" s="28"/>
      <c r="G64" s="29" t="str">
        <f t="shared" ca="1" si="0"/>
        <v/>
      </c>
      <c r="H64" s="29" t="str">
        <f>IF(B64="","",COUNTIFS('🤸 Ingresos Pole'!$C$2:$C$1000,B64,'🤸 Ingresos Pole'!$J$2:$J$1000,"Paquete"))</f>
        <v/>
      </c>
      <c r="I64" s="29" t="str">
        <f>IF(B64="","",COUNTIF('🤸 Ingresos Pole'!$C$2:$C$1000,B64))</f>
        <v/>
      </c>
      <c r="J64" s="30" t="str">
        <f>IF(B64="","",SUMIF('🤸 Ingresos Pole'!$C$2:$C$1000,B64,'🤸 Ingresos Pole'!$N$2:$N$1000))</f>
        <v/>
      </c>
      <c r="K64" s="31" t="str">
        <f>IF(OR(B64="",I64=0),"",_xlfn.MINIFS('🤸 Ingresos Pole'!$B$2:$B$1000,'🤸 Ingresos Pole'!$C$2:$C$1000,B64))</f>
        <v/>
      </c>
      <c r="L64" s="31" t="str">
        <f>IF(OR(B64="",I64=0),"",_xlfn.MAXIFS('🤸 Ingresos Pole'!$B$2:$B$1000,'🤸 Ingresos Pole'!$C$2:$C$1000,B64))</f>
        <v/>
      </c>
      <c r="M64" s="29" t="str">
        <f t="shared" si="1"/>
        <v/>
      </c>
    </row>
    <row r="65" spans="1:13" x14ac:dyDescent="0.35">
      <c r="A65" s="26" t="s">
        <v>172</v>
      </c>
      <c r="B65" s="26"/>
      <c r="C65" s="27"/>
      <c r="D65" s="26"/>
      <c r="E65" s="26"/>
      <c r="F65" s="28"/>
      <c r="G65" s="29" t="str">
        <f t="shared" ca="1" si="0"/>
        <v/>
      </c>
      <c r="H65" s="29" t="str">
        <f>IF(B65="","",COUNTIFS('🤸 Ingresos Pole'!$C$2:$C$1000,B65,'🤸 Ingresos Pole'!$J$2:$J$1000,"Paquete"))</f>
        <v/>
      </c>
      <c r="I65" s="29" t="str">
        <f>IF(B65="","",COUNTIF('🤸 Ingresos Pole'!$C$2:$C$1000,B65))</f>
        <v/>
      </c>
      <c r="J65" s="30" t="str">
        <f>IF(B65="","",SUMIF('🤸 Ingresos Pole'!$C$2:$C$1000,B65,'🤸 Ingresos Pole'!$N$2:$N$1000))</f>
        <v/>
      </c>
      <c r="K65" s="31" t="str">
        <f>IF(OR(B65="",I65=0),"",_xlfn.MINIFS('🤸 Ingresos Pole'!$B$2:$B$1000,'🤸 Ingresos Pole'!$C$2:$C$1000,B65))</f>
        <v/>
      </c>
      <c r="L65" s="31" t="str">
        <f>IF(OR(B65="",I65=0),"",_xlfn.MAXIFS('🤸 Ingresos Pole'!$B$2:$B$1000,'🤸 Ingresos Pole'!$C$2:$C$1000,B65))</f>
        <v/>
      </c>
      <c r="M65" s="29" t="str">
        <f t="shared" si="1"/>
        <v/>
      </c>
    </row>
    <row r="66" spans="1:13" x14ac:dyDescent="0.35">
      <c r="A66" s="26" t="s">
        <v>173</v>
      </c>
      <c r="B66" s="26"/>
      <c r="C66" s="27"/>
      <c r="D66" s="26"/>
      <c r="E66" s="26"/>
      <c r="F66" s="28"/>
      <c r="G66" s="29" t="str">
        <f t="shared" ref="G66:G129" ca="1" si="2">IF(F66="","",DATEDIF(F66,TODAY(),"Y"))</f>
        <v/>
      </c>
      <c r="H66" s="29" t="str">
        <f>IF(B66="","",COUNTIFS('🤸 Ingresos Pole'!$C$2:$C$1000,B66,'🤸 Ingresos Pole'!$J$2:$J$1000,"Paquete"))</f>
        <v/>
      </c>
      <c r="I66" s="29" t="str">
        <f>IF(B66="","",COUNTIF('🤸 Ingresos Pole'!$C$2:$C$1000,B66))</f>
        <v/>
      </c>
      <c r="J66" s="30" t="str">
        <f>IF(B66="","",SUMIF('🤸 Ingresos Pole'!$C$2:$C$1000,B66,'🤸 Ingresos Pole'!$N$2:$N$1000))</f>
        <v/>
      </c>
      <c r="K66" s="31" t="str">
        <f>IF(OR(B66="",I66=0),"",_xlfn.MINIFS('🤸 Ingresos Pole'!$B$2:$B$1000,'🤸 Ingresos Pole'!$C$2:$C$1000,B66))</f>
        <v/>
      </c>
      <c r="L66" s="31" t="str">
        <f>IF(OR(B66="",I66=0),"",_xlfn.MAXIFS('🤸 Ingresos Pole'!$B$2:$B$1000,'🤸 Ingresos Pole'!$C$2:$C$1000,B66))</f>
        <v/>
      </c>
      <c r="M66" s="29" t="str">
        <f t="shared" ref="M66:M129" si="3">IF(OR(B66="",I66=0),"",IF(H66=0,"Sin paquete",IF(H66=1,"Nueva","Recurrente")))</f>
        <v/>
      </c>
    </row>
    <row r="67" spans="1:13" x14ac:dyDescent="0.35">
      <c r="A67" s="26" t="s">
        <v>174</v>
      </c>
      <c r="B67" s="26"/>
      <c r="C67" s="27"/>
      <c r="D67" s="26"/>
      <c r="E67" s="26"/>
      <c r="F67" s="28"/>
      <c r="G67" s="29" t="str">
        <f t="shared" ca="1" si="2"/>
        <v/>
      </c>
      <c r="H67" s="29" t="str">
        <f>IF(B67="","",COUNTIFS('🤸 Ingresos Pole'!$C$2:$C$1000,B67,'🤸 Ingresos Pole'!$J$2:$J$1000,"Paquete"))</f>
        <v/>
      </c>
      <c r="I67" s="29" t="str">
        <f>IF(B67="","",COUNTIF('🤸 Ingresos Pole'!$C$2:$C$1000,B67))</f>
        <v/>
      </c>
      <c r="J67" s="30" t="str">
        <f>IF(B67="","",SUMIF('🤸 Ingresos Pole'!$C$2:$C$1000,B67,'🤸 Ingresos Pole'!$N$2:$N$1000))</f>
        <v/>
      </c>
      <c r="K67" s="31" t="str">
        <f>IF(OR(B67="",I67=0),"",_xlfn.MINIFS('🤸 Ingresos Pole'!$B$2:$B$1000,'🤸 Ingresos Pole'!$C$2:$C$1000,B67))</f>
        <v/>
      </c>
      <c r="L67" s="31" t="str">
        <f>IF(OR(B67="",I67=0),"",_xlfn.MAXIFS('🤸 Ingresos Pole'!$B$2:$B$1000,'🤸 Ingresos Pole'!$C$2:$C$1000,B67))</f>
        <v/>
      </c>
      <c r="M67" s="29" t="str">
        <f t="shared" si="3"/>
        <v/>
      </c>
    </row>
    <row r="68" spans="1:13" x14ac:dyDescent="0.35">
      <c r="A68" s="26" t="s">
        <v>175</v>
      </c>
      <c r="B68" s="26"/>
      <c r="C68" s="27"/>
      <c r="D68" s="26"/>
      <c r="E68" s="26"/>
      <c r="F68" s="28"/>
      <c r="G68" s="29" t="str">
        <f t="shared" ca="1" si="2"/>
        <v/>
      </c>
      <c r="H68" s="29" t="str">
        <f>IF(B68="","",COUNTIFS('🤸 Ingresos Pole'!$C$2:$C$1000,B68,'🤸 Ingresos Pole'!$J$2:$J$1000,"Paquete"))</f>
        <v/>
      </c>
      <c r="I68" s="29" t="str">
        <f>IF(B68="","",COUNTIF('🤸 Ingresos Pole'!$C$2:$C$1000,B68))</f>
        <v/>
      </c>
      <c r="J68" s="30" t="str">
        <f>IF(B68="","",SUMIF('🤸 Ingresos Pole'!$C$2:$C$1000,B68,'🤸 Ingresos Pole'!$N$2:$N$1000))</f>
        <v/>
      </c>
      <c r="K68" s="31" t="str">
        <f>IF(OR(B68="",I68=0),"",_xlfn.MINIFS('🤸 Ingresos Pole'!$B$2:$B$1000,'🤸 Ingresos Pole'!$C$2:$C$1000,B68))</f>
        <v/>
      </c>
      <c r="L68" s="31" t="str">
        <f>IF(OR(B68="",I68=0),"",_xlfn.MAXIFS('🤸 Ingresos Pole'!$B$2:$B$1000,'🤸 Ingresos Pole'!$C$2:$C$1000,B68))</f>
        <v/>
      </c>
      <c r="M68" s="29" t="str">
        <f t="shared" si="3"/>
        <v/>
      </c>
    </row>
    <row r="69" spans="1:13" x14ac:dyDescent="0.35">
      <c r="A69" s="26" t="s">
        <v>176</v>
      </c>
      <c r="B69" s="26"/>
      <c r="C69" s="27"/>
      <c r="D69" s="26"/>
      <c r="E69" s="26"/>
      <c r="F69" s="28"/>
      <c r="G69" s="29" t="str">
        <f t="shared" ca="1" si="2"/>
        <v/>
      </c>
      <c r="H69" s="29" t="str">
        <f>IF(B69="","",COUNTIFS('🤸 Ingresos Pole'!$C$2:$C$1000,B69,'🤸 Ingresos Pole'!$J$2:$J$1000,"Paquete"))</f>
        <v/>
      </c>
      <c r="I69" s="29" t="str">
        <f>IF(B69="","",COUNTIF('🤸 Ingresos Pole'!$C$2:$C$1000,B69))</f>
        <v/>
      </c>
      <c r="J69" s="30" t="str">
        <f>IF(B69="","",SUMIF('🤸 Ingresos Pole'!$C$2:$C$1000,B69,'🤸 Ingresos Pole'!$N$2:$N$1000))</f>
        <v/>
      </c>
      <c r="K69" s="31" t="str">
        <f>IF(OR(B69="",I69=0),"",_xlfn.MINIFS('🤸 Ingresos Pole'!$B$2:$B$1000,'🤸 Ingresos Pole'!$C$2:$C$1000,B69))</f>
        <v/>
      </c>
      <c r="L69" s="31" t="str">
        <f>IF(OR(B69="",I69=0),"",_xlfn.MAXIFS('🤸 Ingresos Pole'!$B$2:$B$1000,'🤸 Ingresos Pole'!$C$2:$C$1000,B69))</f>
        <v/>
      </c>
      <c r="M69" s="29" t="str">
        <f t="shared" si="3"/>
        <v/>
      </c>
    </row>
    <row r="70" spans="1:13" x14ac:dyDescent="0.35">
      <c r="A70" s="26" t="s">
        <v>177</v>
      </c>
      <c r="B70" s="26"/>
      <c r="C70" s="27"/>
      <c r="D70" s="26"/>
      <c r="E70" s="26"/>
      <c r="F70" s="28"/>
      <c r="G70" s="29" t="str">
        <f t="shared" ca="1" si="2"/>
        <v/>
      </c>
      <c r="H70" s="29" t="str">
        <f>IF(B70="","",COUNTIFS('🤸 Ingresos Pole'!$C$2:$C$1000,B70,'🤸 Ingresos Pole'!$J$2:$J$1000,"Paquete"))</f>
        <v/>
      </c>
      <c r="I70" s="29" t="str">
        <f>IF(B70="","",COUNTIF('🤸 Ingresos Pole'!$C$2:$C$1000,B70))</f>
        <v/>
      </c>
      <c r="J70" s="30" t="str">
        <f>IF(B70="","",SUMIF('🤸 Ingresos Pole'!$C$2:$C$1000,B70,'🤸 Ingresos Pole'!$N$2:$N$1000))</f>
        <v/>
      </c>
      <c r="K70" s="31" t="str">
        <f>IF(OR(B70="",I70=0),"",_xlfn.MINIFS('🤸 Ingresos Pole'!$B$2:$B$1000,'🤸 Ingresos Pole'!$C$2:$C$1000,B70))</f>
        <v/>
      </c>
      <c r="L70" s="31" t="str">
        <f>IF(OR(B70="",I70=0),"",_xlfn.MAXIFS('🤸 Ingresos Pole'!$B$2:$B$1000,'🤸 Ingresos Pole'!$C$2:$C$1000,B70))</f>
        <v/>
      </c>
      <c r="M70" s="29" t="str">
        <f t="shared" si="3"/>
        <v/>
      </c>
    </row>
    <row r="71" spans="1:13" x14ac:dyDescent="0.35">
      <c r="A71" s="26" t="s">
        <v>178</v>
      </c>
      <c r="B71" s="26"/>
      <c r="C71" s="27"/>
      <c r="D71" s="26"/>
      <c r="E71" s="26"/>
      <c r="F71" s="28"/>
      <c r="G71" s="29" t="str">
        <f t="shared" ca="1" si="2"/>
        <v/>
      </c>
      <c r="H71" s="29" t="str">
        <f>IF(B71="","",COUNTIFS('🤸 Ingresos Pole'!$C$2:$C$1000,B71,'🤸 Ingresos Pole'!$J$2:$J$1000,"Paquete"))</f>
        <v/>
      </c>
      <c r="I71" s="29" t="str">
        <f>IF(B71="","",COUNTIF('🤸 Ingresos Pole'!$C$2:$C$1000,B71))</f>
        <v/>
      </c>
      <c r="J71" s="30" t="str">
        <f>IF(B71="","",SUMIF('🤸 Ingresos Pole'!$C$2:$C$1000,B71,'🤸 Ingresos Pole'!$N$2:$N$1000))</f>
        <v/>
      </c>
      <c r="K71" s="31" t="str">
        <f>IF(OR(B71="",I71=0),"",_xlfn.MINIFS('🤸 Ingresos Pole'!$B$2:$B$1000,'🤸 Ingresos Pole'!$C$2:$C$1000,B71))</f>
        <v/>
      </c>
      <c r="L71" s="31" t="str">
        <f>IF(OR(B71="",I71=0),"",_xlfn.MAXIFS('🤸 Ingresos Pole'!$B$2:$B$1000,'🤸 Ingresos Pole'!$C$2:$C$1000,B71))</f>
        <v/>
      </c>
      <c r="M71" s="29" t="str">
        <f t="shared" si="3"/>
        <v/>
      </c>
    </row>
    <row r="72" spans="1:13" x14ac:dyDescent="0.35">
      <c r="A72" s="26" t="s">
        <v>179</v>
      </c>
      <c r="B72" s="26"/>
      <c r="C72" s="27"/>
      <c r="D72" s="26"/>
      <c r="E72" s="26"/>
      <c r="F72" s="28"/>
      <c r="G72" s="29" t="str">
        <f t="shared" ca="1" si="2"/>
        <v/>
      </c>
      <c r="H72" s="29" t="str">
        <f>IF(B72="","",COUNTIFS('🤸 Ingresos Pole'!$C$2:$C$1000,B72,'🤸 Ingresos Pole'!$J$2:$J$1000,"Paquete"))</f>
        <v/>
      </c>
      <c r="I72" s="29" t="str">
        <f>IF(B72="","",COUNTIF('🤸 Ingresos Pole'!$C$2:$C$1000,B72))</f>
        <v/>
      </c>
      <c r="J72" s="30" t="str">
        <f>IF(B72="","",SUMIF('🤸 Ingresos Pole'!$C$2:$C$1000,B72,'🤸 Ingresos Pole'!$N$2:$N$1000))</f>
        <v/>
      </c>
      <c r="K72" s="31" t="str">
        <f>IF(OR(B72="",I72=0),"",_xlfn.MINIFS('🤸 Ingresos Pole'!$B$2:$B$1000,'🤸 Ingresos Pole'!$C$2:$C$1000,B72))</f>
        <v/>
      </c>
      <c r="L72" s="31" t="str">
        <f>IF(OR(B72="",I72=0),"",_xlfn.MAXIFS('🤸 Ingresos Pole'!$B$2:$B$1000,'🤸 Ingresos Pole'!$C$2:$C$1000,B72))</f>
        <v/>
      </c>
      <c r="M72" s="29" t="str">
        <f t="shared" si="3"/>
        <v/>
      </c>
    </row>
    <row r="73" spans="1:13" x14ac:dyDescent="0.35">
      <c r="A73" s="26" t="s">
        <v>180</v>
      </c>
      <c r="B73" s="26"/>
      <c r="C73" s="27"/>
      <c r="D73" s="26"/>
      <c r="E73" s="26"/>
      <c r="F73" s="28"/>
      <c r="G73" s="29" t="str">
        <f t="shared" ca="1" si="2"/>
        <v/>
      </c>
      <c r="H73" s="29" t="str">
        <f>IF(B73="","",COUNTIFS('🤸 Ingresos Pole'!$C$2:$C$1000,B73,'🤸 Ingresos Pole'!$J$2:$J$1000,"Paquete"))</f>
        <v/>
      </c>
      <c r="I73" s="29" t="str">
        <f>IF(B73="","",COUNTIF('🤸 Ingresos Pole'!$C$2:$C$1000,B73))</f>
        <v/>
      </c>
      <c r="J73" s="30" t="str">
        <f>IF(B73="","",SUMIF('🤸 Ingresos Pole'!$C$2:$C$1000,B73,'🤸 Ingresos Pole'!$N$2:$N$1000))</f>
        <v/>
      </c>
      <c r="K73" s="31" t="str">
        <f>IF(OR(B73="",I73=0),"",_xlfn.MINIFS('🤸 Ingresos Pole'!$B$2:$B$1000,'🤸 Ingresos Pole'!$C$2:$C$1000,B73))</f>
        <v/>
      </c>
      <c r="L73" s="31" t="str">
        <f>IF(OR(B73="",I73=0),"",_xlfn.MAXIFS('🤸 Ingresos Pole'!$B$2:$B$1000,'🤸 Ingresos Pole'!$C$2:$C$1000,B73))</f>
        <v/>
      </c>
      <c r="M73" s="29" t="str">
        <f t="shared" si="3"/>
        <v/>
      </c>
    </row>
    <row r="74" spans="1:13" x14ac:dyDescent="0.35">
      <c r="A74" s="26" t="s">
        <v>181</v>
      </c>
      <c r="B74" s="26"/>
      <c r="C74" s="27"/>
      <c r="D74" s="26"/>
      <c r="E74" s="26"/>
      <c r="F74" s="28"/>
      <c r="G74" s="29" t="str">
        <f t="shared" ca="1" si="2"/>
        <v/>
      </c>
      <c r="H74" s="29" t="str">
        <f>IF(B74="","",COUNTIFS('🤸 Ingresos Pole'!$C$2:$C$1000,B74,'🤸 Ingresos Pole'!$J$2:$J$1000,"Paquete"))</f>
        <v/>
      </c>
      <c r="I74" s="29" t="str">
        <f>IF(B74="","",COUNTIF('🤸 Ingresos Pole'!$C$2:$C$1000,B74))</f>
        <v/>
      </c>
      <c r="J74" s="30" t="str">
        <f>IF(B74="","",SUMIF('🤸 Ingresos Pole'!$C$2:$C$1000,B74,'🤸 Ingresos Pole'!$N$2:$N$1000))</f>
        <v/>
      </c>
      <c r="K74" s="31" t="str">
        <f>IF(OR(B74="",I74=0),"",_xlfn.MINIFS('🤸 Ingresos Pole'!$B$2:$B$1000,'🤸 Ingresos Pole'!$C$2:$C$1000,B74))</f>
        <v/>
      </c>
      <c r="L74" s="31" t="str">
        <f>IF(OR(B74="",I74=0),"",_xlfn.MAXIFS('🤸 Ingresos Pole'!$B$2:$B$1000,'🤸 Ingresos Pole'!$C$2:$C$1000,B74))</f>
        <v/>
      </c>
      <c r="M74" s="29" t="str">
        <f t="shared" si="3"/>
        <v/>
      </c>
    </row>
    <row r="75" spans="1:13" x14ac:dyDescent="0.35">
      <c r="A75" s="26" t="s">
        <v>182</v>
      </c>
      <c r="B75" s="26"/>
      <c r="C75" s="27"/>
      <c r="D75" s="26"/>
      <c r="E75" s="26"/>
      <c r="F75" s="28"/>
      <c r="G75" s="29" t="str">
        <f t="shared" ca="1" si="2"/>
        <v/>
      </c>
      <c r="H75" s="29" t="str">
        <f>IF(B75="","",COUNTIFS('🤸 Ingresos Pole'!$C$2:$C$1000,B75,'🤸 Ingresos Pole'!$J$2:$J$1000,"Paquete"))</f>
        <v/>
      </c>
      <c r="I75" s="29" t="str">
        <f>IF(B75="","",COUNTIF('🤸 Ingresos Pole'!$C$2:$C$1000,B75))</f>
        <v/>
      </c>
      <c r="J75" s="30" t="str">
        <f>IF(B75="","",SUMIF('🤸 Ingresos Pole'!$C$2:$C$1000,B75,'🤸 Ingresos Pole'!$N$2:$N$1000))</f>
        <v/>
      </c>
      <c r="K75" s="31" t="str">
        <f>IF(OR(B75="",I75=0),"",_xlfn.MINIFS('🤸 Ingresos Pole'!$B$2:$B$1000,'🤸 Ingresos Pole'!$C$2:$C$1000,B75))</f>
        <v/>
      </c>
      <c r="L75" s="31" t="str">
        <f>IF(OR(B75="",I75=0),"",_xlfn.MAXIFS('🤸 Ingresos Pole'!$B$2:$B$1000,'🤸 Ingresos Pole'!$C$2:$C$1000,B75))</f>
        <v/>
      </c>
      <c r="M75" s="29" t="str">
        <f t="shared" si="3"/>
        <v/>
      </c>
    </row>
    <row r="76" spans="1:13" x14ac:dyDescent="0.35">
      <c r="A76" s="26" t="s">
        <v>183</v>
      </c>
      <c r="B76" s="26"/>
      <c r="C76" s="27"/>
      <c r="D76" s="26"/>
      <c r="E76" s="26"/>
      <c r="F76" s="28"/>
      <c r="G76" s="29" t="str">
        <f t="shared" ca="1" si="2"/>
        <v/>
      </c>
      <c r="H76" s="29" t="str">
        <f>IF(B76="","",COUNTIFS('🤸 Ingresos Pole'!$C$2:$C$1000,B76,'🤸 Ingresos Pole'!$J$2:$J$1000,"Paquete"))</f>
        <v/>
      </c>
      <c r="I76" s="29" t="str">
        <f>IF(B76="","",COUNTIF('🤸 Ingresos Pole'!$C$2:$C$1000,B76))</f>
        <v/>
      </c>
      <c r="J76" s="30" t="str">
        <f>IF(B76="","",SUMIF('🤸 Ingresos Pole'!$C$2:$C$1000,B76,'🤸 Ingresos Pole'!$N$2:$N$1000))</f>
        <v/>
      </c>
      <c r="K76" s="31" t="str">
        <f>IF(OR(B76="",I76=0),"",_xlfn.MINIFS('🤸 Ingresos Pole'!$B$2:$B$1000,'🤸 Ingresos Pole'!$C$2:$C$1000,B76))</f>
        <v/>
      </c>
      <c r="L76" s="31" t="str">
        <f>IF(OR(B76="",I76=0),"",_xlfn.MAXIFS('🤸 Ingresos Pole'!$B$2:$B$1000,'🤸 Ingresos Pole'!$C$2:$C$1000,B76))</f>
        <v/>
      </c>
      <c r="M76" s="29" t="str">
        <f t="shared" si="3"/>
        <v/>
      </c>
    </row>
    <row r="77" spans="1:13" x14ac:dyDescent="0.35">
      <c r="A77" s="26" t="s">
        <v>184</v>
      </c>
      <c r="B77" s="26"/>
      <c r="C77" s="27"/>
      <c r="D77" s="26"/>
      <c r="E77" s="26"/>
      <c r="F77" s="28"/>
      <c r="G77" s="29" t="str">
        <f t="shared" ca="1" si="2"/>
        <v/>
      </c>
      <c r="H77" s="29" t="str">
        <f>IF(B77="","",COUNTIFS('🤸 Ingresos Pole'!$C$2:$C$1000,B77,'🤸 Ingresos Pole'!$J$2:$J$1000,"Paquete"))</f>
        <v/>
      </c>
      <c r="I77" s="29" t="str">
        <f>IF(B77="","",COUNTIF('🤸 Ingresos Pole'!$C$2:$C$1000,B77))</f>
        <v/>
      </c>
      <c r="J77" s="30" t="str">
        <f>IF(B77="","",SUMIF('🤸 Ingresos Pole'!$C$2:$C$1000,B77,'🤸 Ingresos Pole'!$N$2:$N$1000))</f>
        <v/>
      </c>
      <c r="K77" s="31" t="str">
        <f>IF(OR(B77="",I77=0),"",_xlfn.MINIFS('🤸 Ingresos Pole'!$B$2:$B$1000,'🤸 Ingresos Pole'!$C$2:$C$1000,B77))</f>
        <v/>
      </c>
      <c r="L77" s="31" t="str">
        <f>IF(OR(B77="",I77=0),"",_xlfn.MAXIFS('🤸 Ingresos Pole'!$B$2:$B$1000,'🤸 Ingresos Pole'!$C$2:$C$1000,B77))</f>
        <v/>
      </c>
      <c r="M77" s="29" t="str">
        <f t="shared" si="3"/>
        <v/>
      </c>
    </row>
    <row r="78" spans="1:13" x14ac:dyDescent="0.35">
      <c r="A78" s="26" t="s">
        <v>185</v>
      </c>
      <c r="B78" s="26"/>
      <c r="C78" s="27"/>
      <c r="D78" s="26"/>
      <c r="E78" s="26"/>
      <c r="F78" s="28"/>
      <c r="G78" s="29" t="str">
        <f t="shared" ca="1" si="2"/>
        <v/>
      </c>
      <c r="H78" s="29" t="str">
        <f>IF(B78="","",COUNTIFS('🤸 Ingresos Pole'!$C$2:$C$1000,B78,'🤸 Ingresos Pole'!$J$2:$J$1000,"Paquete"))</f>
        <v/>
      </c>
      <c r="I78" s="29" t="str">
        <f>IF(B78="","",COUNTIF('🤸 Ingresos Pole'!$C$2:$C$1000,B78))</f>
        <v/>
      </c>
      <c r="J78" s="30" t="str">
        <f>IF(B78="","",SUMIF('🤸 Ingresos Pole'!$C$2:$C$1000,B78,'🤸 Ingresos Pole'!$N$2:$N$1000))</f>
        <v/>
      </c>
      <c r="K78" s="31" t="str">
        <f>IF(OR(B78="",I78=0),"",_xlfn.MINIFS('🤸 Ingresos Pole'!$B$2:$B$1000,'🤸 Ingresos Pole'!$C$2:$C$1000,B78))</f>
        <v/>
      </c>
      <c r="L78" s="31" t="str">
        <f>IF(OR(B78="",I78=0),"",_xlfn.MAXIFS('🤸 Ingresos Pole'!$B$2:$B$1000,'🤸 Ingresos Pole'!$C$2:$C$1000,B78))</f>
        <v/>
      </c>
      <c r="M78" s="29" t="str">
        <f t="shared" si="3"/>
        <v/>
      </c>
    </row>
    <row r="79" spans="1:13" x14ac:dyDescent="0.35">
      <c r="A79" s="26" t="s">
        <v>186</v>
      </c>
      <c r="B79" s="26"/>
      <c r="C79" s="27"/>
      <c r="D79" s="26"/>
      <c r="E79" s="26"/>
      <c r="F79" s="28"/>
      <c r="G79" s="29" t="str">
        <f t="shared" ca="1" si="2"/>
        <v/>
      </c>
      <c r="H79" s="29" t="str">
        <f>IF(B79="","",COUNTIFS('🤸 Ingresos Pole'!$C$2:$C$1000,B79,'🤸 Ingresos Pole'!$J$2:$J$1000,"Paquete"))</f>
        <v/>
      </c>
      <c r="I79" s="29" t="str">
        <f>IF(B79="","",COUNTIF('🤸 Ingresos Pole'!$C$2:$C$1000,B79))</f>
        <v/>
      </c>
      <c r="J79" s="30" t="str">
        <f>IF(B79="","",SUMIF('🤸 Ingresos Pole'!$C$2:$C$1000,B79,'🤸 Ingresos Pole'!$N$2:$N$1000))</f>
        <v/>
      </c>
      <c r="K79" s="31" t="str">
        <f>IF(OR(B79="",I79=0),"",_xlfn.MINIFS('🤸 Ingresos Pole'!$B$2:$B$1000,'🤸 Ingresos Pole'!$C$2:$C$1000,B79))</f>
        <v/>
      </c>
      <c r="L79" s="31" t="str">
        <f>IF(OR(B79="",I79=0),"",_xlfn.MAXIFS('🤸 Ingresos Pole'!$B$2:$B$1000,'🤸 Ingresos Pole'!$C$2:$C$1000,B79))</f>
        <v/>
      </c>
      <c r="M79" s="29" t="str">
        <f t="shared" si="3"/>
        <v/>
      </c>
    </row>
    <row r="80" spans="1:13" x14ac:dyDescent="0.35">
      <c r="A80" s="26" t="s">
        <v>187</v>
      </c>
      <c r="B80" s="26"/>
      <c r="C80" s="27"/>
      <c r="D80" s="26"/>
      <c r="E80" s="26"/>
      <c r="F80" s="28"/>
      <c r="G80" s="29" t="str">
        <f t="shared" ca="1" si="2"/>
        <v/>
      </c>
      <c r="H80" s="29" t="str">
        <f>IF(B80="","",COUNTIFS('🤸 Ingresos Pole'!$C$2:$C$1000,B80,'🤸 Ingresos Pole'!$J$2:$J$1000,"Paquete"))</f>
        <v/>
      </c>
      <c r="I80" s="29" t="str">
        <f>IF(B80="","",COUNTIF('🤸 Ingresos Pole'!$C$2:$C$1000,B80))</f>
        <v/>
      </c>
      <c r="J80" s="30" t="str">
        <f>IF(B80="","",SUMIF('🤸 Ingresos Pole'!$C$2:$C$1000,B80,'🤸 Ingresos Pole'!$N$2:$N$1000))</f>
        <v/>
      </c>
      <c r="K80" s="31" t="str">
        <f>IF(OR(B80="",I80=0),"",_xlfn.MINIFS('🤸 Ingresos Pole'!$B$2:$B$1000,'🤸 Ingresos Pole'!$C$2:$C$1000,B80))</f>
        <v/>
      </c>
      <c r="L80" s="31" t="str">
        <f>IF(OR(B80="",I80=0),"",_xlfn.MAXIFS('🤸 Ingresos Pole'!$B$2:$B$1000,'🤸 Ingresos Pole'!$C$2:$C$1000,B80))</f>
        <v/>
      </c>
      <c r="M80" s="29" t="str">
        <f t="shared" si="3"/>
        <v/>
      </c>
    </row>
    <row r="81" spans="1:13" x14ac:dyDescent="0.35">
      <c r="A81" s="26" t="s">
        <v>188</v>
      </c>
      <c r="B81" s="26"/>
      <c r="C81" s="27"/>
      <c r="D81" s="26"/>
      <c r="E81" s="26"/>
      <c r="F81" s="28"/>
      <c r="G81" s="29" t="str">
        <f t="shared" ca="1" si="2"/>
        <v/>
      </c>
      <c r="H81" s="29" t="str">
        <f>IF(B81="","",COUNTIFS('🤸 Ingresos Pole'!$C$2:$C$1000,B81,'🤸 Ingresos Pole'!$J$2:$J$1000,"Paquete"))</f>
        <v/>
      </c>
      <c r="I81" s="29" t="str">
        <f>IF(B81="","",COUNTIF('🤸 Ingresos Pole'!$C$2:$C$1000,B81))</f>
        <v/>
      </c>
      <c r="J81" s="30" t="str">
        <f>IF(B81="","",SUMIF('🤸 Ingresos Pole'!$C$2:$C$1000,B81,'🤸 Ingresos Pole'!$N$2:$N$1000))</f>
        <v/>
      </c>
      <c r="K81" s="31" t="str">
        <f>IF(OR(B81="",I81=0),"",_xlfn.MINIFS('🤸 Ingresos Pole'!$B$2:$B$1000,'🤸 Ingresos Pole'!$C$2:$C$1000,B81))</f>
        <v/>
      </c>
      <c r="L81" s="31" t="str">
        <f>IF(OR(B81="",I81=0),"",_xlfn.MAXIFS('🤸 Ingresos Pole'!$B$2:$B$1000,'🤸 Ingresos Pole'!$C$2:$C$1000,B81))</f>
        <v/>
      </c>
      <c r="M81" s="29" t="str">
        <f t="shared" si="3"/>
        <v/>
      </c>
    </row>
    <row r="82" spans="1:13" x14ac:dyDescent="0.35">
      <c r="A82" s="26" t="s">
        <v>189</v>
      </c>
      <c r="B82" s="26"/>
      <c r="C82" s="27"/>
      <c r="D82" s="26"/>
      <c r="E82" s="26"/>
      <c r="F82" s="28"/>
      <c r="G82" s="29" t="str">
        <f t="shared" ca="1" si="2"/>
        <v/>
      </c>
      <c r="H82" s="29" t="str">
        <f>IF(B82="","",COUNTIFS('🤸 Ingresos Pole'!$C$2:$C$1000,B82,'🤸 Ingresos Pole'!$J$2:$J$1000,"Paquete"))</f>
        <v/>
      </c>
      <c r="I82" s="29" t="str">
        <f>IF(B82="","",COUNTIF('🤸 Ingresos Pole'!$C$2:$C$1000,B82))</f>
        <v/>
      </c>
      <c r="J82" s="30" t="str">
        <f>IF(B82="","",SUMIF('🤸 Ingresos Pole'!$C$2:$C$1000,B82,'🤸 Ingresos Pole'!$N$2:$N$1000))</f>
        <v/>
      </c>
      <c r="K82" s="31" t="str">
        <f>IF(OR(B82="",I82=0),"",_xlfn.MINIFS('🤸 Ingresos Pole'!$B$2:$B$1000,'🤸 Ingresos Pole'!$C$2:$C$1000,B82))</f>
        <v/>
      </c>
      <c r="L82" s="31" t="str">
        <f>IF(OR(B82="",I82=0),"",_xlfn.MAXIFS('🤸 Ingresos Pole'!$B$2:$B$1000,'🤸 Ingresos Pole'!$C$2:$C$1000,B82))</f>
        <v/>
      </c>
      <c r="M82" s="29" t="str">
        <f t="shared" si="3"/>
        <v/>
      </c>
    </row>
    <row r="83" spans="1:13" x14ac:dyDescent="0.35">
      <c r="A83" s="26" t="s">
        <v>190</v>
      </c>
      <c r="B83" s="26"/>
      <c r="C83" s="27"/>
      <c r="D83" s="26"/>
      <c r="E83" s="26"/>
      <c r="F83" s="28"/>
      <c r="G83" s="29" t="str">
        <f t="shared" ca="1" si="2"/>
        <v/>
      </c>
      <c r="H83" s="29" t="str">
        <f>IF(B83="","",COUNTIFS('🤸 Ingresos Pole'!$C$2:$C$1000,B83,'🤸 Ingresos Pole'!$J$2:$J$1000,"Paquete"))</f>
        <v/>
      </c>
      <c r="I83" s="29" t="str">
        <f>IF(B83="","",COUNTIF('🤸 Ingresos Pole'!$C$2:$C$1000,B83))</f>
        <v/>
      </c>
      <c r="J83" s="30" t="str">
        <f>IF(B83="","",SUMIF('🤸 Ingresos Pole'!$C$2:$C$1000,B83,'🤸 Ingresos Pole'!$N$2:$N$1000))</f>
        <v/>
      </c>
      <c r="K83" s="31" t="str">
        <f>IF(OR(B83="",I83=0),"",_xlfn.MINIFS('🤸 Ingresos Pole'!$B$2:$B$1000,'🤸 Ingresos Pole'!$C$2:$C$1000,B83))</f>
        <v/>
      </c>
      <c r="L83" s="31" t="str">
        <f>IF(OR(B83="",I83=0),"",_xlfn.MAXIFS('🤸 Ingresos Pole'!$B$2:$B$1000,'🤸 Ingresos Pole'!$C$2:$C$1000,B83))</f>
        <v/>
      </c>
      <c r="M83" s="29" t="str">
        <f t="shared" si="3"/>
        <v/>
      </c>
    </row>
    <row r="84" spans="1:13" x14ac:dyDescent="0.35">
      <c r="A84" s="26" t="s">
        <v>191</v>
      </c>
      <c r="B84" s="26"/>
      <c r="C84" s="27"/>
      <c r="D84" s="26"/>
      <c r="E84" s="26"/>
      <c r="F84" s="28"/>
      <c r="G84" s="29" t="str">
        <f t="shared" ca="1" si="2"/>
        <v/>
      </c>
      <c r="H84" s="29" t="str">
        <f>IF(B84="","",COUNTIFS('🤸 Ingresos Pole'!$C$2:$C$1000,B84,'🤸 Ingresos Pole'!$J$2:$J$1000,"Paquete"))</f>
        <v/>
      </c>
      <c r="I84" s="29" t="str">
        <f>IF(B84="","",COUNTIF('🤸 Ingresos Pole'!$C$2:$C$1000,B84))</f>
        <v/>
      </c>
      <c r="J84" s="30" t="str">
        <f>IF(B84="","",SUMIF('🤸 Ingresos Pole'!$C$2:$C$1000,B84,'🤸 Ingresos Pole'!$N$2:$N$1000))</f>
        <v/>
      </c>
      <c r="K84" s="31" t="str">
        <f>IF(OR(B84="",I84=0),"",_xlfn.MINIFS('🤸 Ingresos Pole'!$B$2:$B$1000,'🤸 Ingresos Pole'!$C$2:$C$1000,B84))</f>
        <v/>
      </c>
      <c r="L84" s="31" t="str">
        <f>IF(OR(B84="",I84=0),"",_xlfn.MAXIFS('🤸 Ingresos Pole'!$B$2:$B$1000,'🤸 Ingresos Pole'!$C$2:$C$1000,B84))</f>
        <v/>
      </c>
      <c r="M84" s="29" t="str">
        <f t="shared" si="3"/>
        <v/>
      </c>
    </row>
    <row r="85" spans="1:13" x14ac:dyDescent="0.35">
      <c r="A85" s="26" t="s">
        <v>192</v>
      </c>
      <c r="B85" s="26"/>
      <c r="C85" s="27"/>
      <c r="D85" s="26"/>
      <c r="E85" s="26"/>
      <c r="F85" s="28"/>
      <c r="G85" s="29" t="str">
        <f t="shared" ca="1" si="2"/>
        <v/>
      </c>
      <c r="H85" s="29" t="str">
        <f>IF(B85="","",COUNTIFS('🤸 Ingresos Pole'!$C$2:$C$1000,B85,'🤸 Ingresos Pole'!$J$2:$J$1000,"Paquete"))</f>
        <v/>
      </c>
      <c r="I85" s="29" t="str">
        <f>IF(B85="","",COUNTIF('🤸 Ingresos Pole'!$C$2:$C$1000,B85))</f>
        <v/>
      </c>
      <c r="J85" s="30" t="str">
        <f>IF(B85="","",SUMIF('🤸 Ingresos Pole'!$C$2:$C$1000,B85,'🤸 Ingresos Pole'!$N$2:$N$1000))</f>
        <v/>
      </c>
      <c r="K85" s="31" t="str">
        <f>IF(OR(B85="",I85=0),"",_xlfn.MINIFS('🤸 Ingresos Pole'!$B$2:$B$1000,'🤸 Ingresos Pole'!$C$2:$C$1000,B85))</f>
        <v/>
      </c>
      <c r="L85" s="31" t="str">
        <f>IF(OR(B85="",I85=0),"",_xlfn.MAXIFS('🤸 Ingresos Pole'!$B$2:$B$1000,'🤸 Ingresos Pole'!$C$2:$C$1000,B85))</f>
        <v/>
      </c>
      <c r="M85" s="29" t="str">
        <f t="shared" si="3"/>
        <v/>
      </c>
    </row>
    <row r="86" spans="1:13" x14ac:dyDescent="0.35">
      <c r="A86" s="26" t="s">
        <v>193</v>
      </c>
      <c r="B86" s="26"/>
      <c r="C86" s="27"/>
      <c r="D86" s="26"/>
      <c r="E86" s="26"/>
      <c r="F86" s="28"/>
      <c r="G86" s="29" t="str">
        <f t="shared" ca="1" si="2"/>
        <v/>
      </c>
      <c r="H86" s="29" t="str">
        <f>IF(B86="","",COUNTIFS('🤸 Ingresos Pole'!$C$2:$C$1000,B86,'🤸 Ingresos Pole'!$J$2:$J$1000,"Paquete"))</f>
        <v/>
      </c>
      <c r="I86" s="29" t="str">
        <f>IF(B86="","",COUNTIF('🤸 Ingresos Pole'!$C$2:$C$1000,B86))</f>
        <v/>
      </c>
      <c r="J86" s="30" t="str">
        <f>IF(B86="","",SUMIF('🤸 Ingresos Pole'!$C$2:$C$1000,B86,'🤸 Ingresos Pole'!$N$2:$N$1000))</f>
        <v/>
      </c>
      <c r="K86" s="31" t="str">
        <f>IF(OR(B86="",I86=0),"",_xlfn.MINIFS('🤸 Ingresos Pole'!$B$2:$B$1000,'🤸 Ingresos Pole'!$C$2:$C$1000,B86))</f>
        <v/>
      </c>
      <c r="L86" s="31" t="str">
        <f>IF(OR(B86="",I86=0),"",_xlfn.MAXIFS('🤸 Ingresos Pole'!$B$2:$B$1000,'🤸 Ingresos Pole'!$C$2:$C$1000,B86))</f>
        <v/>
      </c>
      <c r="M86" s="29" t="str">
        <f t="shared" si="3"/>
        <v/>
      </c>
    </row>
    <row r="87" spans="1:13" x14ac:dyDescent="0.35">
      <c r="A87" s="26" t="s">
        <v>194</v>
      </c>
      <c r="B87" s="26"/>
      <c r="C87" s="27"/>
      <c r="D87" s="26"/>
      <c r="E87" s="26"/>
      <c r="F87" s="28"/>
      <c r="G87" s="29" t="str">
        <f t="shared" ca="1" si="2"/>
        <v/>
      </c>
      <c r="H87" s="29" t="str">
        <f>IF(B87="","",COUNTIFS('🤸 Ingresos Pole'!$C$2:$C$1000,B87,'🤸 Ingresos Pole'!$J$2:$J$1000,"Paquete"))</f>
        <v/>
      </c>
      <c r="I87" s="29" t="str">
        <f>IF(B87="","",COUNTIF('🤸 Ingresos Pole'!$C$2:$C$1000,B87))</f>
        <v/>
      </c>
      <c r="J87" s="30" t="str">
        <f>IF(B87="","",SUMIF('🤸 Ingresos Pole'!$C$2:$C$1000,B87,'🤸 Ingresos Pole'!$N$2:$N$1000))</f>
        <v/>
      </c>
      <c r="K87" s="31" t="str">
        <f>IF(OR(B87="",I87=0),"",_xlfn.MINIFS('🤸 Ingresos Pole'!$B$2:$B$1000,'🤸 Ingresos Pole'!$C$2:$C$1000,B87))</f>
        <v/>
      </c>
      <c r="L87" s="31" t="str">
        <f>IF(OR(B87="",I87=0),"",_xlfn.MAXIFS('🤸 Ingresos Pole'!$B$2:$B$1000,'🤸 Ingresos Pole'!$C$2:$C$1000,B87))</f>
        <v/>
      </c>
      <c r="M87" s="29" t="str">
        <f t="shared" si="3"/>
        <v/>
      </c>
    </row>
    <row r="88" spans="1:13" x14ac:dyDescent="0.35">
      <c r="A88" s="26" t="s">
        <v>195</v>
      </c>
      <c r="B88" s="26"/>
      <c r="C88" s="27"/>
      <c r="D88" s="26"/>
      <c r="E88" s="26"/>
      <c r="F88" s="28"/>
      <c r="G88" s="29" t="str">
        <f t="shared" ca="1" si="2"/>
        <v/>
      </c>
      <c r="H88" s="29" t="str">
        <f>IF(B88="","",COUNTIFS('🤸 Ingresos Pole'!$C$2:$C$1000,B88,'🤸 Ingresos Pole'!$J$2:$J$1000,"Paquete"))</f>
        <v/>
      </c>
      <c r="I88" s="29" t="str">
        <f>IF(B88="","",COUNTIF('🤸 Ingresos Pole'!$C$2:$C$1000,B88))</f>
        <v/>
      </c>
      <c r="J88" s="30" t="str">
        <f>IF(B88="","",SUMIF('🤸 Ingresos Pole'!$C$2:$C$1000,B88,'🤸 Ingresos Pole'!$N$2:$N$1000))</f>
        <v/>
      </c>
      <c r="K88" s="31" t="str">
        <f>IF(OR(B88="",I88=0),"",_xlfn.MINIFS('🤸 Ingresos Pole'!$B$2:$B$1000,'🤸 Ingresos Pole'!$C$2:$C$1000,B88))</f>
        <v/>
      </c>
      <c r="L88" s="31" t="str">
        <f>IF(OR(B88="",I88=0),"",_xlfn.MAXIFS('🤸 Ingresos Pole'!$B$2:$B$1000,'🤸 Ingresos Pole'!$C$2:$C$1000,B88))</f>
        <v/>
      </c>
      <c r="M88" s="29" t="str">
        <f t="shared" si="3"/>
        <v/>
      </c>
    </row>
    <row r="89" spans="1:13" x14ac:dyDescent="0.35">
      <c r="A89" s="26" t="s">
        <v>196</v>
      </c>
      <c r="B89" s="26"/>
      <c r="C89" s="27"/>
      <c r="D89" s="26"/>
      <c r="E89" s="26"/>
      <c r="F89" s="28"/>
      <c r="G89" s="29" t="str">
        <f t="shared" ca="1" si="2"/>
        <v/>
      </c>
      <c r="H89" s="29" t="str">
        <f>IF(B89="","",COUNTIFS('🤸 Ingresos Pole'!$C$2:$C$1000,B89,'🤸 Ingresos Pole'!$J$2:$J$1000,"Paquete"))</f>
        <v/>
      </c>
      <c r="I89" s="29" t="str">
        <f>IF(B89="","",COUNTIF('🤸 Ingresos Pole'!$C$2:$C$1000,B89))</f>
        <v/>
      </c>
      <c r="J89" s="30" t="str">
        <f>IF(B89="","",SUMIF('🤸 Ingresos Pole'!$C$2:$C$1000,B89,'🤸 Ingresos Pole'!$N$2:$N$1000))</f>
        <v/>
      </c>
      <c r="K89" s="31" t="str">
        <f>IF(OR(B89="",I89=0),"",_xlfn.MINIFS('🤸 Ingresos Pole'!$B$2:$B$1000,'🤸 Ingresos Pole'!$C$2:$C$1000,B89))</f>
        <v/>
      </c>
      <c r="L89" s="31" t="str">
        <f>IF(OR(B89="",I89=0),"",_xlfn.MAXIFS('🤸 Ingresos Pole'!$B$2:$B$1000,'🤸 Ingresos Pole'!$C$2:$C$1000,B89))</f>
        <v/>
      </c>
      <c r="M89" s="29" t="str">
        <f t="shared" si="3"/>
        <v/>
      </c>
    </row>
    <row r="90" spans="1:13" x14ac:dyDescent="0.35">
      <c r="A90" s="26" t="s">
        <v>197</v>
      </c>
      <c r="B90" s="26"/>
      <c r="C90" s="27"/>
      <c r="D90" s="26"/>
      <c r="E90" s="26"/>
      <c r="F90" s="28"/>
      <c r="G90" s="29" t="str">
        <f t="shared" ca="1" si="2"/>
        <v/>
      </c>
      <c r="H90" s="29" t="str">
        <f>IF(B90="","",COUNTIFS('🤸 Ingresos Pole'!$C$2:$C$1000,B90,'🤸 Ingresos Pole'!$J$2:$J$1000,"Paquete"))</f>
        <v/>
      </c>
      <c r="I90" s="29" t="str">
        <f>IF(B90="","",COUNTIF('🤸 Ingresos Pole'!$C$2:$C$1000,B90))</f>
        <v/>
      </c>
      <c r="J90" s="30" t="str">
        <f>IF(B90="","",SUMIF('🤸 Ingresos Pole'!$C$2:$C$1000,B90,'🤸 Ingresos Pole'!$N$2:$N$1000))</f>
        <v/>
      </c>
      <c r="K90" s="31" t="str">
        <f>IF(OR(B90="",I90=0),"",_xlfn.MINIFS('🤸 Ingresos Pole'!$B$2:$B$1000,'🤸 Ingresos Pole'!$C$2:$C$1000,B90))</f>
        <v/>
      </c>
      <c r="L90" s="31" t="str">
        <f>IF(OR(B90="",I90=0),"",_xlfn.MAXIFS('🤸 Ingresos Pole'!$B$2:$B$1000,'🤸 Ingresos Pole'!$C$2:$C$1000,B90))</f>
        <v/>
      </c>
      <c r="M90" s="29" t="str">
        <f t="shared" si="3"/>
        <v/>
      </c>
    </row>
    <row r="91" spans="1:13" x14ac:dyDescent="0.35">
      <c r="A91" s="26" t="s">
        <v>198</v>
      </c>
      <c r="B91" s="26"/>
      <c r="C91" s="27"/>
      <c r="D91" s="26"/>
      <c r="E91" s="26"/>
      <c r="F91" s="28"/>
      <c r="G91" s="29" t="str">
        <f t="shared" ca="1" si="2"/>
        <v/>
      </c>
      <c r="H91" s="29" t="str">
        <f>IF(B91="","",COUNTIFS('🤸 Ingresos Pole'!$C$2:$C$1000,B91,'🤸 Ingresos Pole'!$J$2:$J$1000,"Paquete"))</f>
        <v/>
      </c>
      <c r="I91" s="29" t="str">
        <f>IF(B91="","",COUNTIF('🤸 Ingresos Pole'!$C$2:$C$1000,B91))</f>
        <v/>
      </c>
      <c r="J91" s="30" t="str">
        <f>IF(B91="","",SUMIF('🤸 Ingresos Pole'!$C$2:$C$1000,B91,'🤸 Ingresos Pole'!$N$2:$N$1000))</f>
        <v/>
      </c>
      <c r="K91" s="31" t="str">
        <f>IF(OR(B91="",I91=0),"",_xlfn.MINIFS('🤸 Ingresos Pole'!$B$2:$B$1000,'🤸 Ingresos Pole'!$C$2:$C$1000,B91))</f>
        <v/>
      </c>
      <c r="L91" s="31" t="str">
        <f>IF(OR(B91="",I91=0),"",_xlfn.MAXIFS('🤸 Ingresos Pole'!$B$2:$B$1000,'🤸 Ingresos Pole'!$C$2:$C$1000,B91))</f>
        <v/>
      </c>
      <c r="M91" s="29" t="str">
        <f t="shared" si="3"/>
        <v/>
      </c>
    </row>
    <row r="92" spans="1:13" x14ac:dyDescent="0.35">
      <c r="A92" s="26" t="s">
        <v>199</v>
      </c>
      <c r="B92" s="26"/>
      <c r="C92" s="27"/>
      <c r="D92" s="26"/>
      <c r="E92" s="26"/>
      <c r="F92" s="28"/>
      <c r="G92" s="29" t="str">
        <f t="shared" ca="1" si="2"/>
        <v/>
      </c>
      <c r="H92" s="29" t="str">
        <f>IF(B92="","",COUNTIFS('🤸 Ingresos Pole'!$C$2:$C$1000,B92,'🤸 Ingresos Pole'!$J$2:$J$1000,"Paquete"))</f>
        <v/>
      </c>
      <c r="I92" s="29" t="str">
        <f>IF(B92="","",COUNTIF('🤸 Ingresos Pole'!$C$2:$C$1000,B92))</f>
        <v/>
      </c>
      <c r="J92" s="30" t="str">
        <f>IF(B92="","",SUMIF('🤸 Ingresos Pole'!$C$2:$C$1000,B92,'🤸 Ingresos Pole'!$N$2:$N$1000))</f>
        <v/>
      </c>
      <c r="K92" s="31" t="str">
        <f>IF(OR(B92="",I92=0),"",_xlfn.MINIFS('🤸 Ingresos Pole'!$B$2:$B$1000,'🤸 Ingresos Pole'!$C$2:$C$1000,B92))</f>
        <v/>
      </c>
      <c r="L92" s="31" t="str">
        <f>IF(OR(B92="",I92=0),"",_xlfn.MAXIFS('🤸 Ingresos Pole'!$B$2:$B$1000,'🤸 Ingresos Pole'!$C$2:$C$1000,B92))</f>
        <v/>
      </c>
      <c r="M92" s="29" t="str">
        <f t="shared" si="3"/>
        <v/>
      </c>
    </row>
    <row r="93" spans="1:13" x14ac:dyDescent="0.35">
      <c r="A93" s="26" t="s">
        <v>200</v>
      </c>
      <c r="B93" s="26"/>
      <c r="C93" s="27"/>
      <c r="D93" s="26"/>
      <c r="E93" s="26"/>
      <c r="F93" s="28"/>
      <c r="G93" s="29" t="str">
        <f t="shared" ca="1" si="2"/>
        <v/>
      </c>
      <c r="H93" s="29" t="str">
        <f>IF(B93="","",COUNTIFS('🤸 Ingresos Pole'!$C$2:$C$1000,B93,'🤸 Ingresos Pole'!$J$2:$J$1000,"Paquete"))</f>
        <v/>
      </c>
      <c r="I93" s="29" t="str">
        <f>IF(B93="","",COUNTIF('🤸 Ingresos Pole'!$C$2:$C$1000,B93))</f>
        <v/>
      </c>
      <c r="J93" s="30" t="str">
        <f>IF(B93="","",SUMIF('🤸 Ingresos Pole'!$C$2:$C$1000,B93,'🤸 Ingresos Pole'!$N$2:$N$1000))</f>
        <v/>
      </c>
      <c r="K93" s="31" t="str">
        <f>IF(OR(B93="",I93=0),"",_xlfn.MINIFS('🤸 Ingresos Pole'!$B$2:$B$1000,'🤸 Ingresos Pole'!$C$2:$C$1000,B93))</f>
        <v/>
      </c>
      <c r="L93" s="31" t="str">
        <f>IF(OR(B93="",I93=0),"",_xlfn.MAXIFS('🤸 Ingresos Pole'!$B$2:$B$1000,'🤸 Ingresos Pole'!$C$2:$C$1000,B93))</f>
        <v/>
      </c>
      <c r="M93" s="29" t="str">
        <f t="shared" si="3"/>
        <v/>
      </c>
    </row>
    <row r="94" spans="1:13" x14ac:dyDescent="0.35">
      <c r="A94" s="26" t="s">
        <v>201</v>
      </c>
      <c r="B94" s="26"/>
      <c r="C94" s="27"/>
      <c r="D94" s="26"/>
      <c r="E94" s="26"/>
      <c r="F94" s="28"/>
      <c r="G94" s="29" t="str">
        <f t="shared" ca="1" si="2"/>
        <v/>
      </c>
      <c r="H94" s="29" t="str">
        <f>IF(B94="","",COUNTIFS('🤸 Ingresos Pole'!$C$2:$C$1000,B94,'🤸 Ingresos Pole'!$J$2:$J$1000,"Paquete"))</f>
        <v/>
      </c>
      <c r="I94" s="29" t="str">
        <f>IF(B94="","",COUNTIF('🤸 Ingresos Pole'!$C$2:$C$1000,B94))</f>
        <v/>
      </c>
      <c r="J94" s="30" t="str">
        <f>IF(B94="","",SUMIF('🤸 Ingresos Pole'!$C$2:$C$1000,B94,'🤸 Ingresos Pole'!$N$2:$N$1000))</f>
        <v/>
      </c>
      <c r="K94" s="31" t="str">
        <f>IF(OR(B94="",I94=0),"",_xlfn.MINIFS('🤸 Ingresos Pole'!$B$2:$B$1000,'🤸 Ingresos Pole'!$C$2:$C$1000,B94))</f>
        <v/>
      </c>
      <c r="L94" s="31" t="str">
        <f>IF(OR(B94="",I94=0),"",_xlfn.MAXIFS('🤸 Ingresos Pole'!$B$2:$B$1000,'🤸 Ingresos Pole'!$C$2:$C$1000,B94))</f>
        <v/>
      </c>
      <c r="M94" s="29" t="str">
        <f t="shared" si="3"/>
        <v/>
      </c>
    </row>
    <row r="95" spans="1:13" x14ac:dyDescent="0.35">
      <c r="A95" s="26" t="s">
        <v>202</v>
      </c>
      <c r="B95" s="26"/>
      <c r="C95" s="27"/>
      <c r="D95" s="26"/>
      <c r="E95" s="26"/>
      <c r="F95" s="28"/>
      <c r="G95" s="29" t="str">
        <f t="shared" ca="1" si="2"/>
        <v/>
      </c>
      <c r="H95" s="29" t="str">
        <f>IF(B95="","",COUNTIFS('🤸 Ingresos Pole'!$C$2:$C$1000,B95,'🤸 Ingresos Pole'!$J$2:$J$1000,"Paquete"))</f>
        <v/>
      </c>
      <c r="I95" s="29" t="str">
        <f>IF(B95="","",COUNTIF('🤸 Ingresos Pole'!$C$2:$C$1000,B95))</f>
        <v/>
      </c>
      <c r="J95" s="30" t="str">
        <f>IF(B95="","",SUMIF('🤸 Ingresos Pole'!$C$2:$C$1000,B95,'🤸 Ingresos Pole'!$N$2:$N$1000))</f>
        <v/>
      </c>
      <c r="K95" s="31" t="str">
        <f>IF(OR(B95="",I95=0),"",_xlfn.MINIFS('🤸 Ingresos Pole'!$B$2:$B$1000,'🤸 Ingresos Pole'!$C$2:$C$1000,B95))</f>
        <v/>
      </c>
      <c r="L95" s="31" t="str">
        <f>IF(OR(B95="",I95=0),"",_xlfn.MAXIFS('🤸 Ingresos Pole'!$B$2:$B$1000,'🤸 Ingresos Pole'!$C$2:$C$1000,B95))</f>
        <v/>
      </c>
      <c r="M95" s="29" t="str">
        <f t="shared" si="3"/>
        <v/>
      </c>
    </row>
    <row r="96" spans="1:13" x14ac:dyDescent="0.35">
      <c r="A96" s="26" t="s">
        <v>203</v>
      </c>
      <c r="B96" s="26"/>
      <c r="C96" s="27"/>
      <c r="D96" s="26"/>
      <c r="E96" s="26"/>
      <c r="F96" s="28"/>
      <c r="G96" s="29" t="str">
        <f t="shared" ca="1" si="2"/>
        <v/>
      </c>
      <c r="H96" s="29" t="str">
        <f>IF(B96="","",COUNTIFS('🤸 Ingresos Pole'!$C$2:$C$1000,B96,'🤸 Ingresos Pole'!$J$2:$J$1000,"Paquete"))</f>
        <v/>
      </c>
      <c r="I96" s="29" t="str">
        <f>IF(B96="","",COUNTIF('🤸 Ingresos Pole'!$C$2:$C$1000,B96))</f>
        <v/>
      </c>
      <c r="J96" s="30" t="str">
        <f>IF(B96="","",SUMIF('🤸 Ingresos Pole'!$C$2:$C$1000,B96,'🤸 Ingresos Pole'!$N$2:$N$1000))</f>
        <v/>
      </c>
      <c r="K96" s="31" t="str">
        <f>IF(OR(B96="",I96=0),"",_xlfn.MINIFS('🤸 Ingresos Pole'!$B$2:$B$1000,'🤸 Ingresos Pole'!$C$2:$C$1000,B96))</f>
        <v/>
      </c>
      <c r="L96" s="31" t="str">
        <f>IF(OR(B96="",I96=0),"",_xlfn.MAXIFS('🤸 Ingresos Pole'!$B$2:$B$1000,'🤸 Ingresos Pole'!$C$2:$C$1000,B96))</f>
        <v/>
      </c>
      <c r="M96" s="29" t="str">
        <f t="shared" si="3"/>
        <v/>
      </c>
    </row>
    <row r="97" spans="1:13" x14ac:dyDescent="0.35">
      <c r="A97" s="26" t="s">
        <v>204</v>
      </c>
      <c r="B97" s="26"/>
      <c r="C97" s="27"/>
      <c r="D97" s="26"/>
      <c r="E97" s="26"/>
      <c r="F97" s="28"/>
      <c r="G97" s="29" t="str">
        <f t="shared" ca="1" si="2"/>
        <v/>
      </c>
      <c r="H97" s="29" t="str">
        <f>IF(B97="","",COUNTIFS('🤸 Ingresos Pole'!$C$2:$C$1000,B97,'🤸 Ingresos Pole'!$J$2:$J$1000,"Paquete"))</f>
        <v/>
      </c>
      <c r="I97" s="29" t="str">
        <f>IF(B97="","",COUNTIF('🤸 Ingresos Pole'!$C$2:$C$1000,B97))</f>
        <v/>
      </c>
      <c r="J97" s="30" t="str">
        <f>IF(B97="","",SUMIF('🤸 Ingresos Pole'!$C$2:$C$1000,B97,'🤸 Ingresos Pole'!$N$2:$N$1000))</f>
        <v/>
      </c>
      <c r="K97" s="31" t="str">
        <f>IF(OR(B97="",I97=0),"",_xlfn.MINIFS('🤸 Ingresos Pole'!$B$2:$B$1000,'🤸 Ingresos Pole'!$C$2:$C$1000,B97))</f>
        <v/>
      </c>
      <c r="L97" s="31" t="str">
        <f>IF(OR(B97="",I97=0),"",_xlfn.MAXIFS('🤸 Ingresos Pole'!$B$2:$B$1000,'🤸 Ingresos Pole'!$C$2:$C$1000,B97))</f>
        <v/>
      </c>
      <c r="M97" s="29" t="str">
        <f t="shared" si="3"/>
        <v/>
      </c>
    </row>
    <row r="98" spans="1:13" x14ac:dyDescent="0.35">
      <c r="A98" s="26" t="s">
        <v>205</v>
      </c>
      <c r="B98" s="26"/>
      <c r="C98" s="27"/>
      <c r="D98" s="26"/>
      <c r="E98" s="26"/>
      <c r="F98" s="28"/>
      <c r="G98" s="29" t="str">
        <f t="shared" ca="1" si="2"/>
        <v/>
      </c>
      <c r="H98" s="29" t="str">
        <f>IF(B98="","",COUNTIFS('🤸 Ingresos Pole'!$C$2:$C$1000,B98,'🤸 Ingresos Pole'!$J$2:$J$1000,"Paquete"))</f>
        <v/>
      </c>
      <c r="I98" s="29" t="str">
        <f>IF(B98="","",COUNTIF('🤸 Ingresos Pole'!$C$2:$C$1000,B98))</f>
        <v/>
      </c>
      <c r="J98" s="30" t="str">
        <f>IF(B98="","",SUMIF('🤸 Ingresos Pole'!$C$2:$C$1000,B98,'🤸 Ingresos Pole'!$N$2:$N$1000))</f>
        <v/>
      </c>
      <c r="K98" s="31" t="str">
        <f>IF(OR(B98="",I98=0),"",_xlfn.MINIFS('🤸 Ingresos Pole'!$B$2:$B$1000,'🤸 Ingresos Pole'!$C$2:$C$1000,B98))</f>
        <v/>
      </c>
      <c r="L98" s="31" t="str">
        <f>IF(OR(B98="",I98=0),"",_xlfn.MAXIFS('🤸 Ingresos Pole'!$B$2:$B$1000,'🤸 Ingresos Pole'!$C$2:$C$1000,B98))</f>
        <v/>
      </c>
      <c r="M98" s="29" t="str">
        <f t="shared" si="3"/>
        <v/>
      </c>
    </row>
    <row r="99" spans="1:13" x14ac:dyDescent="0.35">
      <c r="A99" s="26" t="s">
        <v>206</v>
      </c>
      <c r="B99" s="26"/>
      <c r="C99" s="27"/>
      <c r="D99" s="26"/>
      <c r="E99" s="26"/>
      <c r="F99" s="28"/>
      <c r="G99" s="29" t="str">
        <f t="shared" ca="1" si="2"/>
        <v/>
      </c>
      <c r="H99" s="29" t="str">
        <f>IF(B99="","",COUNTIFS('🤸 Ingresos Pole'!$C$2:$C$1000,B99,'🤸 Ingresos Pole'!$J$2:$J$1000,"Paquete"))</f>
        <v/>
      </c>
      <c r="I99" s="29" t="str">
        <f>IF(B99="","",COUNTIF('🤸 Ingresos Pole'!$C$2:$C$1000,B99))</f>
        <v/>
      </c>
      <c r="J99" s="30" t="str">
        <f>IF(B99="","",SUMIF('🤸 Ingresos Pole'!$C$2:$C$1000,B99,'🤸 Ingresos Pole'!$N$2:$N$1000))</f>
        <v/>
      </c>
      <c r="K99" s="31" t="str">
        <f>IF(OR(B99="",I99=0),"",_xlfn.MINIFS('🤸 Ingresos Pole'!$B$2:$B$1000,'🤸 Ingresos Pole'!$C$2:$C$1000,B99))</f>
        <v/>
      </c>
      <c r="L99" s="31" t="str">
        <f>IF(OR(B99="",I99=0),"",_xlfn.MAXIFS('🤸 Ingresos Pole'!$B$2:$B$1000,'🤸 Ingresos Pole'!$C$2:$C$1000,B99))</f>
        <v/>
      </c>
      <c r="M99" s="29" t="str">
        <f t="shared" si="3"/>
        <v/>
      </c>
    </row>
    <row r="100" spans="1:13" x14ac:dyDescent="0.35">
      <c r="A100" s="26" t="s">
        <v>207</v>
      </c>
      <c r="B100" s="26"/>
      <c r="C100" s="27"/>
      <c r="D100" s="26"/>
      <c r="E100" s="26"/>
      <c r="F100" s="28"/>
      <c r="G100" s="29" t="str">
        <f t="shared" ca="1" si="2"/>
        <v/>
      </c>
      <c r="H100" s="29" t="str">
        <f>IF(B100="","",COUNTIFS('🤸 Ingresos Pole'!$C$2:$C$1000,B100,'🤸 Ingresos Pole'!$J$2:$J$1000,"Paquete"))</f>
        <v/>
      </c>
      <c r="I100" s="29" t="str">
        <f>IF(B100="","",COUNTIF('🤸 Ingresos Pole'!$C$2:$C$1000,B100))</f>
        <v/>
      </c>
      <c r="J100" s="30" t="str">
        <f>IF(B100="","",SUMIF('🤸 Ingresos Pole'!$C$2:$C$1000,B100,'🤸 Ingresos Pole'!$N$2:$N$1000))</f>
        <v/>
      </c>
      <c r="K100" s="31" t="str">
        <f>IF(OR(B100="",I100=0),"",_xlfn.MINIFS('🤸 Ingresos Pole'!$B$2:$B$1000,'🤸 Ingresos Pole'!$C$2:$C$1000,B100))</f>
        <v/>
      </c>
      <c r="L100" s="31" t="str">
        <f>IF(OR(B100="",I100=0),"",_xlfn.MAXIFS('🤸 Ingresos Pole'!$B$2:$B$1000,'🤸 Ingresos Pole'!$C$2:$C$1000,B100))</f>
        <v/>
      </c>
      <c r="M100" s="29" t="str">
        <f t="shared" si="3"/>
        <v/>
      </c>
    </row>
    <row r="101" spans="1:13" x14ac:dyDescent="0.35">
      <c r="A101" s="26" t="s">
        <v>208</v>
      </c>
      <c r="B101" s="26"/>
      <c r="C101" s="27"/>
      <c r="D101" s="26"/>
      <c r="E101" s="26"/>
      <c r="F101" s="28"/>
      <c r="G101" s="29" t="str">
        <f t="shared" ca="1" si="2"/>
        <v/>
      </c>
      <c r="H101" s="29" t="str">
        <f>IF(B101="","",COUNTIFS('🤸 Ingresos Pole'!$C$2:$C$1000,B101,'🤸 Ingresos Pole'!$J$2:$J$1000,"Paquete"))</f>
        <v/>
      </c>
      <c r="I101" s="29" t="str">
        <f>IF(B101="","",COUNTIF('🤸 Ingresos Pole'!$C$2:$C$1000,B101))</f>
        <v/>
      </c>
      <c r="J101" s="30" t="str">
        <f>IF(B101="","",SUMIF('🤸 Ingresos Pole'!$C$2:$C$1000,B101,'🤸 Ingresos Pole'!$N$2:$N$1000))</f>
        <v/>
      </c>
      <c r="K101" s="31" t="str">
        <f>IF(OR(B101="",I101=0),"",_xlfn.MINIFS('🤸 Ingresos Pole'!$B$2:$B$1000,'🤸 Ingresos Pole'!$C$2:$C$1000,B101))</f>
        <v/>
      </c>
      <c r="L101" s="31" t="str">
        <f>IF(OR(B101="",I101=0),"",_xlfn.MAXIFS('🤸 Ingresos Pole'!$B$2:$B$1000,'🤸 Ingresos Pole'!$C$2:$C$1000,B101))</f>
        <v/>
      </c>
      <c r="M101" s="29" t="str">
        <f t="shared" si="3"/>
        <v/>
      </c>
    </row>
    <row r="102" spans="1:13" x14ac:dyDescent="0.35">
      <c r="A102" s="26" t="s">
        <v>209</v>
      </c>
      <c r="B102" s="26"/>
      <c r="C102" s="27"/>
      <c r="D102" s="26"/>
      <c r="E102" s="26"/>
      <c r="F102" s="28"/>
      <c r="G102" s="29" t="str">
        <f t="shared" ca="1" si="2"/>
        <v/>
      </c>
      <c r="H102" s="29" t="str">
        <f>IF(B102="","",COUNTIFS('🤸 Ingresos Pole'!$C$2:$C$1000,B102,'🤸 Ingresos Pole'!$J$2:$J$1000,"Paquete"))</f>
        <v/>
      </c>
      <c r="I102" s="29" t="str">
        <f>IF(B102="","",COUNTIF('🤸 Ingresos Pole'!$C$2:$C$1000,B102))</f>
        <v/>
      </c>
      <c r="J102" s="30" t="str">
        <f>IF(B102="","",SUMIF('🤸 Ingresos Pole'!$C$2:$C$1000,B102,'🤸 Ingresos Pole'!$N$2:$N$1000))</f>
        <v/>
      </c>
      <c r="K102" s="31" t="str">
        <f>IF(OR(B102="",I102=0),"",_xlfn.MINIFS('🤸 Ingresos Pole'!$B$2:$B$1000,'🤸 Ingresos Pole'!$C$2:$C$1000,B102))</f>
        <v/>
      </c>
      <c r="L102" s="31" t="str">
        <f>IF(OR(B102="",I102=0),"",_xlfn.MAXIFS('🤸 Ingresos Pole'!$B$2:$B$1000,'🤸 Ingresos Pole'!$C$2:$C$1000,B102))</f>
        <v/>
      </c>
      <c r="M102" s="29" t="str">
        <f t="shared" si="3"/>
        <v/>
      </c>
    </row>
    <row r="103" spans="1:13" x14ac:dyDescent="0.35">
      <c r="A103" s="26" t="s">
        <v>210</v>
      </c>
      <c r="B103" s="26"/>
      <c r="C103" s="27"/>
      <c r="D103" s="26"/>
      <c r="E103" s="26"/>
      <c r="F103" s="28"/>
      <c r="G103" s="29" t="str">
        <f t="shared" ca="1" si="2"/>
        <v/>
      </c>
      <c r="H103" s="29" t="str">
        <f>IF(B103="","",COUNTIFS('🤸 Ingresos Pole'!$C$2:$C$1000,B103,'🤸 Ingresos Pole'!$J$2:$J$1000,"Paquete"))</f>
        <v/>
      </c>
      <c r="I103" s="29" t="str">
        <f>IF(B103="","",COUNTIF('🤸 Ingresos Pole'!$C$2:$C$1000,B103))</f>
        <v/>
      </c>
      <c r="J103" s="30" t="str">
        <f>IF(B103="","",SUMIF('🤸 Ingresos Pole'!$C$2:$C$1000,B103,'🤸 Ingresos Pole'!$N$2:$N$1000))</f>
        <v/>
      </c>
      <c r="K103" s="31" t="str">
        <f>IF(OR(B103="",I103=0),"",_xlfn.MINIFS('🤸 Ingresos Pole'!$B$2:$B$1000,'🤸 Ingresos Pole'!$C$2:$C$1000,B103))</f>
        <v/>
      </c>
      <c r="L103" s="31" t="str">
        <f>IF(OR(B103="",I103=0),"",_xlfn.MAXIFS('🤸 Ingresos Pole'!$B$2:$B$1000,'🤸 Ingresos Pole'!$C$2:$C$1000,B103))</f>
        <v/>
      </c>
      <c r="M103" s="29" t="str">
        <f t="shared" si="3"/>
        <v/>
      </c>
    </row>
    <row r="104" spans="1:13" x14ac:dyDescent="0.35">
      <c r="A104" s="26" t="s">
        <v>211</v>
      </c>
      <c r="B104" s="26"/>
      <c r="C104" s="27"/>
      <c r="D104" s="26"/>
      <c r="E104" s="26"/>
      <c r="F104" s="28"/>
      <c r="G104" s="29" t="str">
        <f t="shared" ca="1" si="2"/>
        <v/>
      </c>
      <c r="H104" s="29" t="str">
        <f>IF(B104="","",COUNTIFS('🤸 Ingresos Pole'!$C$2:$C$1000,B104,'🤸 Ingresos Pole'!$J$2:$J$1000,"Paquete"))</f>
        <v/>
      </c>
      <c r="I104" s="29" t="str">
        <f>IF(B104="","",COUNTIF('🤸 Ingresos Pole'!$C$2:$C$1000,B104))</f>
        <v/>
      </c>
      <c r="J104" s="30" t="str">
        <f>IF(B104="","",SUMIF('🤸 Ingresos Pole'!$C$2:$C$1000,B104,'🤸 Ingresos Pole'!$N$2:$N$1000))</f>
        <v/>
      </c>
      <c r="K104" s="31" t="str">
        <f>IF(OR(B104="",I104=0),"",_xlfn.MINIFS('🤸 Ingresos Pole'!$B$2:$B$1000,'🤸 Ingresos Pole'!$C$2:$C$1000,B104))</f>
        <v/>
      </c>
      <c r="L104" s="31" t="str">
        <f>IF(OR(B104="",I104=0),"",_xlfn.MAXIFS('🤸 Ingresos Pole'!$B$2:$B$1000,'🤸 Ingresos Pole'!$C$2:$C$1000,B104))</f>
        <v/>
      </c>
      <c r="M104" s="29" t="str">
        <f t="shared" si="3"/>
        <v/>
      </c>
    </row>
    <row r="105" spans="1:13" x14ac:dyDescent="0.35">
      <c r="A105" s="26" t="s">
        <v>212</v>
      </c>
      <c r="B105" s="26"/>
      <c r="C105" s="27"/>
      <c r="D105" s="26"/>
      <c r="E105" s="26"/>
      <c r="F105" s="28"/>
      <c r="G105" s="29" t="str">
        <f t="shared" ca="1" si="2"/>
        <v/>
      </c>
      <c r="H105" s="29" t="str">
        <f>IF(B105="","",COUNTIFS('🤸 Ingresos Pole'!$C$2:$C$1000,B105,'🤸 Ingresos Pole'!$J$2:$J$1000,"Paquete"))</f>
        <v/>
      </c>
      <c r="I105" s="29" t="str">
        <f>IF(B105="","",COUNTIF('🤸 Ingresos Pole'!$C$2:$C$1000,B105))</f>
        <v/>
      </c>
      <c r="J105" s="30" t="str">
        <f>IF(B105="","",SUMIF('🤸 Ingresos Pole'!$C$2:$C$1000,B105,'🤸 Ingresos Pole'!$N$2:$N$1000))</f>
        <v/>
      </c>
      <c r="K105" s="31" t="str">
        <f>IF(OR(B105="",I105=0),"",_xlfn.MINIFS('🤸 Ingresos Pole'!$B$2:$B$1000,'🤸 Ingresos Pole'!$C$2:$C$1000,B105))</f>
        <v/>
      </c>
      <c r="L105" s="31" t="str">
        <f>IF(OR(B105="",I105=0),"",_xlfn.MAXIFS('🤸 Ingresos Pole'!$B$2:$B$1000,'🤸 Ingresos Pole'!$C$2:$C$1000,B105))</f>
        <v/>
      </c>
      <c r="M105" s="29" t="str">
        <f t="shared" si="3"/>
        <v/>
      </c>
    </row>
    <row r="106" spans="1:13" x14ac:dyDescent="0.35">
      <c r="A106" s="26" t="s">
        <v>213</v>
      </c>
      <c r="B106" s="26"/>
      <c r="C106" s="27"/>
      <c r="D106" s="26"/>
      <c r="E106" s="26"/>
      <c r="F106" s="28"/>
      <c r="G106" s="29" t="str">
        <f t="shared" ca="1" si="2"/>
        <v/>
      </c>
      <c r="H106" s="29" t="str">
        <f>IF(B106="","",COUNTIFS('🤸 Ingresos Pole'!$C$2:$C$1000,B106,'🤸 Ingresos Pole'!$J$2:$J$1000,"Paquete"))</f>
        <v/>
      </c>
      <c r="I106" s="29" t="str">
        <f>IF(B106="","",COUNTIF('🤸 Ingresos Pole'!$C$2:$C$1000,B106))</f>
        <v/>
      </c>
      <c r="J106" s="30" t="str">
        <f>IF(B106="","",SUMIF('🤸 Ingresos Pole'!$C$2:$C$1000,B106,'🤸 Ingresos Pole'!$N$2:$N$1000))</f>
        <v/>
      </c>
      <c r="K106" s="31" t="str">
        <f>IF(OR(B106="",I106=0),"",_xlfn.MINIFS('🤸 Ingresos Pole'!$B$2:$B$1000,'🤸 Ingresos Pole'!$C$2:$C$1000,B106))</f>
        <v/>
      </c>
      <c r="L106" s="31" t="str">
        <f>IF(OR(B106="",I106=0),"",_xlfn.MAXIFS('🤸 Ingresos Pole'!$B$2:$B$1000,'🤸 Ingresos Pole'!$C$2:$C$1000,B106))</f>
        <v/>
      </c>
      <c r="M106" s="29" t="str">
        <f t="shared" si="3"/>
        <v/>
      </c>
    </row>
    <row r="107" spans="1:13" x14ac:dyDescent="0.35">
      <c r="A107" s="26" t="s">
        <v>214</v>
      </c>
      <c r="B107" s="26"/>
      <c r="C107" s="27"/>
      <c r="D107" s="26"/>
      <c r="E107" s="26"/>
      <c r="F107" s="28"/>
      <c r="G107" s="29" t="str">
        <f t="shared" ca="1" si="2"/>
        <v/>
      </c>
      <c r="H107" s="29" t="str">
        <f>IF(B107="","",COUNTIFS('🤸 Ingresos Pole'!$C$2:$C$1000,B107,'🤸 Ingresos Pole'!$J$2:$J$1000,"Paquete"))</f>
        <v/>
      </c>
      <c r="I107" s="29" t="str">
        <f>IF(B107="","",COUNTIF('🤸 Ingresos Pole'!$C$2:$C$1000,B107))</f>
        <v/>
      </c>
      <c r="J107" s="30" t="str">
        <f>IF(B107="","",SUMIF('🤸 Ingresos Pole'!$C$2:$C$1000,B107,'🤸 Ingresos Pole'!$N$2:$N$1000))</f>
        <v/>
      </c>
      <c r="K107" s="31" t="str">
        <f>IF(OR(B107="",I107=0),"",_xlfn.MINIFS('🤸 Ingresos Pole'!$B$2:$B$1000,'🤸 Ingresos Pole'!$C$2:$C$1000,B107))</f>
        <v/>
      </c>
      <c r="L107" s="31" t="str">
        <f>IF(OR(B107="",I107=0),"",_xlfn.MAXIFS('🤸 Ingresos Pole'!$B$2:$B$1000,'🤸 Ingresos Pole'!$C$2:$C$1000,B107))</f>
        <v/>
      </c>
      <c r="M107" s="29" t="str">
        <f t="shared" si="3"/>
        <v/>
      </c>
    </row>
    <row r="108" spans="1:13" x14ac:dyDescent="0.35">
      <c r="A108" s="26" t="s">
        <v>215</v>
      </c>
      <c r="B108" s="26"/>
      <c r="C108" s="27"/>
      <c r="D108" s="26"/>
      <c r="E108" s="26"/>
      <c r="F108" s="28"/>
      <c r="G108" s="29" t="str">
        <f t="shared" ca="1" si="2"/>
        <v/>
      </c>
      <c r="H108" s="29" t="str">
        <f>IF(B108="","",COUNTIFS('🤸 Ingresos Pole'!$C$2:$C$1000,B108,'🤸 Ingresos Pole'!$J$2:$J$1000,"Paquete"))</f>
        <v/>
      </c>
      <c r="I108" s="29" t="str">
        <f>IF(B108="","",COUNTIF('🤸 Ingresos Pole'!$C$2:$C$1000,B108))</f>
        <v/>
      </c>
      <c r="J108" s="30" t="str">
        <f>IF(B108="","",SUMIF('🤸 Ingresos Pole'!$C$2:$C$1000,B108,'🤸 Ingresos Pole'!$N$2:$N$1000))</f>
        <v/>
      </c>
      <c r="K108" s="31" t="str">
        <f>IF(OR(B108="",I108=0),"",_xlfn.MINIFS('🤸 Ingresos Pole'!$B$2:$B$1000,'🤸 Ingresos Pole'!$C$2:$C$1000,B108))</f>
        <v/>
      </c>
      <c r="L108" s="31" t="str">
        <f>IF(OR(B108="",I108=0),"",_xlfn.MAXIFS('🤸 Ingresos Pole'!$B$2:$B$1000,'🤸 Ingresos Pole'!$C$2:$C$1000,B108))</f>
        <v/>
      </c>
      <c r="M108" s="29" t="str">
        <f t="shared" si="3"/>
        <v/>
      </c>
    </row>
    <row r="109" spans="1:13" x14ac:dyDescent="0.35">
      <c r="A109" s="26" t="s">
        <v>216</v>
      </c>
      <c r="B109" s="26"/>
      <c r="C109" s="27"/>
      <c r="D109" s="26"/>
      <c r="E109" s="26"/>
      <c r="F109" s="28"/>
      <c r="G109" s="29" t="str">
        <f t="shared" ca="1" si="2"/>
        <v/>
      </c>
      <c r="H109" s="29" t="str">
        <f>IF(B109="","",COUNTIFS('🤸 Ingresos Pole'!$C$2:$C$1000,B109,'🤸 Ingresos Pole'!$J$2:$J$1000,"Paquete"))</f>
        <v/>
      </c>
      <c r="I109" s="29" t="str">
        <f>IF(B109="","",COUNTIF('🤸 Ingresos Pole'!$C$2:$C$1000,B109))</f>
        <v/>
      </c>
      <c r="J109" s="30" t="str">
        <f>IF(B109="","",SUMIF('🤸 Ingresos Pole'!$C$2:$C$1000,B109,'🤸 Ingresos Pole'!$N$2:$N$1000))</f>
        <v/>
      </c>
      <c r="K109" s="31" t="str">
        <f>IF(OR(B109="",I109=0),"",_xlfn.MINIFS('🤸 Ingresos Pole'!$B$2:$B$1000,'🤸 Ingresos Pole'!$C$2:$C$1000,B109))</f>
        <v/>
      </c>
      <c r="L109" s="31" t="str">
        <f>IF(OR(B109="",I109=0),"",_xlfn.MAXIFS('🤸 Ingresos Pole'!$B$2:$B$1000,'🤸 Ingresos Pole'!$C$2:$C$1000,B109))</f>
        <v/>
      </c>
      <c r="M109" s="29" t="str">
        <f t="shared" si="3"/>
        <v/>
      </c>
    </row>
    <row r="110" spans="1:13" x14ac:dyDescent="0.35">
      <c r="A110" s="26" t="s">
        <v>217</v>
      </c>
      <c r="B110" s="26"/>
      <c r="C110" s="27"/>
      <c r="D110" s="26"/>
      <c r="E110" s="26"/>
      <c r="F110" s="28"/>
      <c r="G110" s="29" t="str">
        <f t="shared" ca="1" si="2"/>
        <v/>
      </c>
      <c r="H110" s="29" t="str">
        <f>IF(B110="","",COUNTIFS('🤸 Ingresos Pole'!$C$2:$C$1000,B110,'🤸 Ingresos Pole'!$J$2:$J$1000,"Paquete"))</f>
        <v/>
      </c>
      <c r="I110" s="29" t="str">
        <f>IF(B110="","",COUNTIF('🤸 Ingresos Pole'!$C$2:$C$1000,B110))</f>
        <v/>
      </c>
      <c r="J110" s="30" t="str">
        <f>IF(B110="","",SUMIF('🤸 Ingresos Pole'!$C$2:$C$1000,B110,'🤸 Ingresos Pole'!$N$2:$N$1000))</f>
        <v/>
      </c>
      <c r="K110" s="31" t="str">
        <f>IF(OR(B110="",I110=0),"",_xlfn.MINIFS('🤸 Ingresos Pole'!$B$2:$B$1000,'🤸 Ingresos Pole'!$C$2:$C$1000,B110))</f>
        <v/>
      </c>
      <c r="L110" s="31" t="str">
        <f>IF(OR(B110="",I110=0),"",_xlfn.MAXIFS('🤸 Ingresos Pole'!$B$2:$B$1000,'🤸 Ingresos Pole'!$C$2:$C$1000,B110))</f>
        <v/>
      </c>
      <c r="M110" s="29" t="str">
        <f t="shared" si="3"/>
        <v/>
      </c>
    </row>
    <row r="111" spans="1:13" x14ac:dyDescent="0.35">
      <c r="A111" s="26" t="s">
        <v>218</v>
      </c>
      <c r="B111" s="26"/>
      <c r="C111" s="27"/>
      <c r="D111" s="26"/>
      <c r="E111" s="26"/>
      <c r="F111" s="28"/>
      <c r="G111" s="29" t="str">
        <f t="shared" ca="1" si="2"/>
        <v/>
      </c>
      <c r="H111" s="29" t="str">
        <f>IF(B111="","",COUNTIFS('🤸 Ingresos Pole'!$C$2:$C$1000,B111,'🤸 Ingresos Pole'!$J$2:$J$1000,"Paquete"))</f>
        <v/>
      </c>
      <c r="I111" s="29" t="str">
        <f>IF(B111="","",COUNTIF('🤸 Ingresos Pole'!$C$2:$C$1000,B111))</f>
        <v/>
      </c>
      <c r="J111" s="30" t="str">
        <f>IF(B111="","",SUMIF('🤸 Ingresos Pole'!$C$2:$C$1000,B111,'🤸 Ingresos Pole'!$N$2:$N$1000))</f>
        <v/>
      </c>
      <c r="K111" s="31" t="str">
        <f>IF(OR(B111="",I111=0),"",_xlfn.MINIFS('🤸 Ingresos Pole'!$B$2:$B$1000,'🤸 Ingresos Pole'!$C$2:$C$1000,B111))</f>
        <v/>
      </c>
      <c r="L111" s="31" t="str">
        <f>IF(OR(B111="",I111=0),"",_xlfn.MAXIFS('🤸 Ingresos Pole'!$B$2:$B$1000,'🤸 Ingresos Pole'!$C$2:$C$1000,B111))</f>
        <v/>
      </c>
      <c r="M111" s="29" t="str">
        <f t="shared" si="3"/>
        <v/>
      </c>
    </row>
    <row r="112" spans="1:13" x14ac:dyDescent="0.35">
      <c r="A112" s="26" t="s">
        <v>219</v>
      </c>
      <c r="B112" s="26"/>
      <c r="C112" s="27"/>
      <c r="D112" s="26"/>
      <c r="E112" s="26"/>
      <c r="F112" s="28"/>
      <c r="G112" s="29" t="str">
        <f t="shared" ca="1" si="2"/>
        <v/>
      </c>
      <c r="H112" s="29" t="str">
        <f>IF(B112="","",COUNTIFS('🤸 Ingresos Pole'!$C$2:$C$1000,B112,'🤸 Ingresos Pole'!$J$2:$J$1000,"Paquete"))</f>
        <v/>
      </c>
      <c r="I112" s="29" t="str">
        <f>IF(B112="","",COUNTIF('🤸 Ingresos Pole'!$C$2:$C$1000,B112))</f>
        <v/>
      </c>
      <c r="J112" s="30" t="str">
        <f>IF(B112="","",SUMIF('🤸 Ingresos Pole'!$C$2:$C$1000,B112,'🤸 Ingresos Pole'!$N$2:$N$1000))</f>
        <v/>
      </c>
      <c r="K112" s="31" t="str">
        <f>IF(OR(B112="",I112=0),"",_xlfn.MINIFS('🤸 Ingresos Pole'!$B$2:$B$1000,'🤸 Ingresos Pole'!$C$2:$C$1000,B112))</f>
        <v/>
      </c>
      <c r="L112" s="31" t="str">
        <f>IF(OR(B112="",I112=0),"",_xlfn.MAXIFS('🤸 Ingresos Pole'!$B$2:$B$1000,'🤸 Ingresos Pole'!$C$2:$C$1000,B112))</f>
        <v/>
      </c>
      <c r="M112" s="29" t="str">
        <f t="shared" si="3"/>
        <v/>
      </c>
    </row>
    <row r="113" spans="1:13" x14ac:dyDescent="0.35">
      <c r="A113" s="26" t="s">
        <v>220</v>
      </c>
      <c r="B113" s="26"/>
      <c r="C113" s="27"/>
      <c r="D113" s="26"/>
      <c r="E113" s="26"/>
      <c r="F113" s="28"/>
      <c r="G113" s="29" t="str">
        <f t="shared" ca="1" si="2"/>
        <v/>
      </c>
      <c r="H113" s="29" t="str">
        <f>IF(B113="","",COUNTIFS('🤸 Ingresos Pole'!$C$2:$C$1000,B113,'🤸 Ingresos Pole'!$J$2:$J$1000,"Paquete"))</f>
        <v/>
      </c>
      <c r="I113" s="29" t="str">
        <f>IF(B113="","",COUNTIF('🤸 Ingresos Pole'!$C$2:$C$1000,B113))</f>
        <v/>
      </c>
      <c r="J113" s="30" t="str">
        <f>IF(B113="","",SUMIF('🤸 Ingresos Pole'!$C$2:$C$1000,B113,'🤸 Ingresos Pole'!$N$2:$N$1000))</f>
        <v/>
      </c>
      <c r="K113" s="31" t="str">
        <f>IF(OR(B113="",I113=0),"",_xlfn.MINIFS('🤸 Ingresos Pole'!$B$2:$B$1000,'🤸 Ingresos Pole'!$C$2:$C$1000,B113))</f>
        <v/>
      </c>
      <c r="L113" s="31" t="str">
        <f>IF(OR(B113="",I113=0),"",_xlfn.MAXIFS('🤸 Ingresos Pole'!$B$2:$B$1000,'🤸 Ingresos Pole'!$C$2:$C$1000,B113))</f>
        <v/>
      </c>
      <c r="M113" s="29" t="str">
        <f t="shared" si="3"/>
        <v/>
      </c>
    </row>
    <row r="114" spans="1:13" x14ac:dyDescent="0.35">
      <c r="A114" s="26" t="s">
        <v>221</v>
      </c>
      <c r="B114" s="26"/>
      <c r="C114" s="27"/>
      <c r="D114" s="26"/>
      <c r="E114" s="26"/>
      <c r="F114" s="28"/>
      <c r="G114" s="29" t="str">
        <f t="shared" ca="1" si="2"/>
        <v/>
      </c>
      <c r="H114" s="29" t="str">
        <f>IF(B114="","",COUNTIFS('🤸 Ingresos Pole'!$C$2:$C$1000,B114,'🤸 Ingresos Pole'!$J$2:$J$1000,"Paquete"))</f>
        <v/>
      </c>
      <c r="I114" s="29" t="str">
        <f>IF(B114="","",COUNTIF('🤸 Ingresos Pole'!$C$2:$C$1000,B114))</f>
        <v/>
      </c>
      <c r="J114" s="30" t="str">
        <f>IF(B114="","",SUMIF('🤸 Ingresos Pole'!$C$2:$C$1000,B114,'🤸 Ingresos Pole'!$N$2:$N$1000))</f>
        <v/>
      </c>
      <c r="K114" s="31" t="str">
        <f>IF(OR(B114="",I114=0),"",_xlfn.MINIFS('🤸 Ingresos Pole'!$B$2:$B$1000,'🤸 Ingresos Pole'!$C$2:$C$1000,B114))</f>
        <v/>
      </c>
      <c r="L114" s="31" t="str">
        <f>IF(OR(B114="",I114=0),"",_xlfn.MAXIFS('🤸 Ingresos Pole'!$B$2:$B$1000,'🤸 Ingresos Pole'!$C$2:$C$1000,B114))</f>
        <v/>
      </c>
      <c r="M114" s="29" t="str">
        <f t="shared" si="3"/>
        <v/>
      </c>
    </row>
    <row r="115" spans="1:13" x14ac:dyDescent="0.35">
      <c r="A115" s="26" t="s">
        <v>222</v>
      </c>
      <c r="B115" s="26"/>
      <c r="C115" s="27"/>
      <c r="D115" s="26"/>
      <c r="E115" s="26"/>
      <c r="F115" s="28"/>
      <c r="G115" s="29" t="str">
        <f t="shared" ca="1" si="2"/>
        <v/>
      </c>
      <c r="H115" s="29" t="str">
        <f>IF(B115="","",COUNTIFS('🤸 Ingresos Pole'!$C$2:$C$1000,B115,'🤸 Ingresos Pole'!$J$2:$J$1000,"Paquete"))</f>
        <v/>
      </c>
      <c r="I115" s="29" t="str">
        <f>IF(B115="","",COUNTIF('🤸 Ingresos Pole'!$C$2:$C$1000,B115))</f>
        <v/>
      </c>
      <c r="J115" s="30" t="str">
        <f>IF(B115="","",SUMIF('🤸 Ingresos Pole'!$C$2:$C$1000,B115,'🤸 Ingresos Pole'!$N$2:$N$1000))</f>
        <v/>
      </c>
      <c r="K115" s="31" t="str">
        <f>IF(OR(B115="",I115=0),"",_xlfn.MINIFS('🤸 Ingresos Pole'!$B$2:$B$1000,'🤸 Ingresos Pole'!$C$2:$C$1000,B115))</f>
        <v/>
      </c>
      <c r="L115" s="31" t="str">
        <f>IF(OR(B115="",I115=0),"",_xlfn.MAXIFS('🤸 Ingresos Pole'!$B$2:$B$1000,'🤸 Ingresos Pole'!$C$2:$C$1000,B115))</f>
        <v/>
      </c>
      <c r="M115" s="29" t="str">
        <f t="shared" si="3"/>
        <v/>
      </c>
    </row>
    <row r="116" spans="1:13" x14ac:dyDescent="0.35">
      <c r="A116" s="26" t="s">
        <v>223</v>
      </c>
      <c r="B116" s="26"/>
      <c r="C116" s="27"/>
      <c r="D116" s="26"/>
      <c r="E116" s="26"/>
      <c r="F116" s="28"/>
      <c r="G116" s="29" t="str">
        <f t="shared" ca="1" si="2"/>
        <v/>
      </c>
      <c r="H116" s="29" t="str">
        <f>IF(B116="","",COUNTIFS('🤸 Ingresos Pole'!$C$2:$C$1000,B116,'🤸 Ingresos Pole'!$J$2:$J$1000,"Paquete"))</f>
        <v/>
      </c>
      <c r="I116" s="29" t="str">
        <f>IF(B116="","",COUNTIF('🤸 Ingresos Pole'!$C$2:$C$1000,B116))</f>
        <v/>
      </c>
      <c r="J116" s="30" t="str">
        <f>IF(B116="","",SUMIF('🤸 Ingresos Pole'!$C$2:$C$1000,B116,'🤸 Ingresos Pole'!$N$2:$N$1000))</f>
        <v/>
      </c>
      <c r="K116" s="31" t="str">
        <f>IF(OR(B116="",I116=0),"",_xlfn.MINIFS('🤸 Ingresos Pole'!$B$2:$B$1000,'🤸 Ingresos Pole'!$C$2:$C$1000,B116))</f>
        <v/>
      </c>
      <c r="L116" s="31" t="str">
        <f>IF(OR(B116="",I116=0),"",_xlfn.MAXIFS('🤸 Ingresos Pole'!$B$2:$B$1000,'🤸 Ingresos Pole'!$C$2:$C$1000,B116))</f>
        <v/>
      </c>
      <c r="M116" s="29" t="str">
        <f t="shared" si="3"/>
        <v/>
      </c>
    </row>
    <row r="117" spans="1:13" x14ac:dyDescent="0.35">
      <c r="A117" s="26" t="s">
        <v>224</v>
      </c>
      <c r="B117" s="26"/>
      <c r="C117" s="27"/>
      <c r="D117" s="26"/>
      <c r="E117" s="26"/>
      <c r="F117" s="28"/>
      <c r="G117" s="29" t="str">
        <f t="shared" ca="1" si="2"/>
        <v/>
      </c>
      <c r="H117" s="29" t="str">
        <f>IF(B117="","",COUNTIFS('🤸 Ingresos Pole'!$C$2:$C$1000,B117,'🤸 Ingresos Pole'!$J$2:$J$1000,"Paquete"))</f>
        <v/>
      </c>
      <c r="I117" s="29" t="str">
        <f>IF(B117="","",COUNTIF('🤸 Ingresos Pole'!$C$2:$C$1000,B117))</f>
        <v/>
      </c>
      <c r="J117" s="30" t="str">
        <f>IF(B117="","",SUMIF('🤸 Ingresos Pole'!$C$2:$C$1000,B117,'🤸 Ingresos Pole'!$N$2:$N$1000))</f>
        <v/>
      </c>
      <c r="K117" s="31" t="str">
        <f>IF(OR(B117="",I117=0),"",_xlfn.MINIFS('🤸 Ingresos Pole'!$B$2:$B$1000,'🤸 Ingresos Pole'!$C$2:$C$1000,B117))</f>
        <v/>
      </c>
      <c r="L117" s="31" t="str">
        <f>IF(OR(B117="",I117=0),"",_xlfn.MAXIFS('🤸 Ingresos Pole'!$B$2:$B$1000,'🤸 Ingresos Pole'!$C$2:$C$1000,B117))</f>
        <v/>
      </c>
      <c r="M117" s="29" t="str">
        <f t="shared" si="3"/>
        <v/>
      </c>
    </row>
    <row r="118" spans="1:13" x14ac:dyDescent="0.35">
      <c r="A118" s="26" t="s">
        <v>225</v>
      </c>
      <c r="B118" s="26"/>
      <c r="C118" s="27"/>
      <c r="D118" s="26"/>
      <c r="E118" s="26"/>
      <c r="F118" s="28"/>
      <c r="G118" s="29" t="str">
        <f t="shared" ca="1" si="2"/>
        <v/>
      </c>
      <c r="H118" s="29" t="str">
        <f>IF(B118="","",COUNTIFS('🤸 Ingresos Pole'!$C$2:$C$1000,B118,'🤸 Ingresos Pole'!$J$2:$J$1000,"Paquete"))</f>
        <v/>
      </c>
      <c r="I118" s="29" t="str">
        <f>IF(B118="","",COUNTIF('🤸 Ingresos Pole'!$C$2:$C$1000,B118))</f>
        <v/>
      </c>
      <c r="J118" s="30" t="str">
        <f>IF(B118="","",SUMIF('🤸 Ingresos Pole'!$C$2:$C$1000,B118,'🤸 Ingresos Pole'!$N$2:$N$1000))</f>
        <v/>
      </c>
      <c r="K118" s="31" t="str">
        <f>IF(OR(B118="",I118=0),"",_xlfn.MINIFS('🤸 Ingresos Pole'!$B$2:$B$1000,'🤸 Ingresos Pole'!$C$2:$C$1000,B118))</f>
        <v/>
      </c>
      <c r="L118" s="31" t="str">
        <f>IF(OR(B118="",I118=0),"",_xlfn.MAXIFS('🤸 Ingresos Pole'!$B$2:$B$1000,'🤸 Ingresos Pole'!$C$2:$C$1000,B118))</f>
        <v/>
      </c>
      <c r="M118" s="29" t="str">
        <f t="shared" si="3"/>
        <v/>
      </c>
    </row>
    <row r="119" spans="1:13" x14ac:dyDescent="0.35">
      <c r="A119" s="26" t="s">
        <v>226</v>
      </c>
      <c r="B119" s="26"/>
      <c r="C119" s="27"/>
      <c r="D119" s="26"/>
      <c r="E119" s="26"/>
      <c r="F119" s="28"/>
      <c r="G119" s="29" t="str">
        <f t="shared" ca="1" si="2"/>
        <v/>
      </c>
      <c r="H119" s="29" t="str">
        <f>IF(B119="","",COUNTIFS('🤸 Ingresos Pole'!$C$2:$C$1000,B119,'🤸 Ingresos Pole'!$J$2:$J$1000,"Paquete"))</f>
        <v/>
      </c>
      <c r="I119" s="29" t="str">
        <f>IF(B119="","",COUNTIF('🤸 Ingresos Pole'!$C$2:$C$1000,B119))</f>
        <v/>
      </c>
      <c r="J119" s="30" t="str">
        <f>IF(B119="","",SUMIF('🤸 Ingresos Pole'!$C$2:$C$1000,B119,'🤸 Ingresos Pole'!$N$2:$N$1000))</f>
        <v/>
      </c>
      <c r="K119" s="31" t="str">
        <f>IF(OR(B119="",I119=0),"",_xlfn.MINIFS('🤸 Ingresos Pole'!$B$2:$B$1000,'🤸 Ingresos Pole'!$C$2:$C$1000,B119))</f>
        <v/>
      </c>
      <c r="L119" s="31" t="str">
        <f>IF(OR(B119="",I119=0),"",_xlfn.MAXIFS('🤸 Ingresos Pole'!$B$2:$B$1000,'🤸 Ingresos Pole'!$C$2:$C$1000,B119))</f>
        <v/>
      </c>
      <c r="M119" s="29" t="str">
        <f t="shared" si="3"/>
        <v/>
      </c>
    </row>
    <row r="120" spans="1:13" x14ac:dyDescent="0.35">
      <c r="A120" s="26" t="s">
        <v>227</v>
      </c>
      <c r="B120" s="26"/>
      <c r="C120" s="27"/>
      <c r="D120" s="26"/>
      <c r="E120" s="26"/>
      <c r="F120" s="28"/>
      <c r="G120" s="29" t="str">
        <f t="shared" ca="1" si="2"/>
        <v/>
      </c>
      <c r="H120" s="29" t="str">
        <f>IF(B120="","",COUNTIFS('🤸 Ingresos Pole'!$C$2:$C$1000,B120,'🤸 Ingresos Pole'!$J$2:$J$1000,"Paquete"))</f>
        <v/>
      </c>
      <c r="I120" s="29" t="str">
        <f>IF(B120="","",COUNTIF('🤸 Ingresos Pole'!$C$2:$C$1000,B120))</f>
        <v/>
      </c>
      <c r="J120" s="30" t="str">
        <f>IF(B120="","",SUMIF('🤸 Ingresos Pole'!$C$2:$C$1000,B120,'🤸 Ingresos Pole'!$N$2:$N$1000))</f>
        <v/>
      </c>
      <c r="K120" s="31" t="str">
        <f>IF(OR(B120="",I120=0),"",_xlfn.MINIFS('🤸 Ingresos Pole'!$B$2:$B$1000,'🤸 Ingresos Pole'!$C$2:$C$1000,B120))</f>
        <v/>
      </c>
      <c r="L120" s="31" t="str">
        <f>IF(OR(B120="",I120=0),"",_xlfn.MAXIFS('🤸 Ingresos Pole'!$B$2:$B$1000,'🤸 Ingresos Pole'!$C$2:$C$1000,B120))</f>
        <v/>
      </c>
      <c r="M120" s="29" t="str">
        <f t="shared" si="3"/>
        <v/>
      </c>
    </row>
    <row r="121" spans="1:13" x14ac:dyDescent="0.35">
      <c r="A121" s="26" t="s">
        <v>228</v>
      </c>
      <c r="B121" s="26"/>
      <c r="C121" s="27"/>
      <c r="D121" s="26"/>
      <c r="E121" s="26"/>
      <c r="F121" s="28"/>
      <c r="G121" s="29" t="str">
        <f t="shared" ca="1" si="2"/>
        <v/>
      </c>
      <c r="H121" s="29" t="str">
        <f>IF(B121="","",COUNTIFS('🤸 Ingresos Pole'!$C$2:$C$1000,B121,'🤸 Ingresos Pole'!$J$2:$J$1000,"Paquete"))</f>
        <v/>
      </c>
      <c r="I121" s="29" t="str">
        <f>IF(B121="","",COUNTIF('🤸 Ingresos Pole'!$C$2:$C$1000,B121))</f>
        <v/>
      </c>
      <c r="J121" s="30" t="str">
        <f>IF(B121="","",SUMIF('🤸 Ingresos Pole'!$C$2:$C$1000,B121,'🤸 Ingresos Pole'!$N$2:$N$1000))</f>
        <v/>
      </c>
      <c r="K121" s="31" t="str">
        <f>IF(OR(B121="",I121=0),"",_xlfn.MINIFS('🤸 Ingresos Pole'!$B$2:$B$1000,'🤸 Ingresos Pole'!$C$2:$C$1000,B121))</f>
        <v/>
      </c>
      <c r="L121" s="31" t="str">
        <f>IF(OR(B121="",I121=0),"",_xlfn.MAXIFS('🤸 Ingresos Pole'!$B$2:$B$1000,'🤸 Ingresos Pole'!$C$2:$C$1000,B121))</f>
        <v/>
      </c>
      <c r="M121" s="29" t="str">
        <f t="shared" si="3"/>
        <v/>
      </c>
    </row>
    <row r="122" spans="1:13" x14ac:dyDescent="0.35">
      <c r="A122" s="26" t="s">
        <v>229</v>
      </c>
      <c r="B122" s="26"/>
      <c r="C122" s="27"/>
      <c r="D122" s="26"/>
      <c r="E122" s="26"/>
      <c r="F122" s="28"/>
      <c r="G122" s="29" t="str">
        <f t="shared" ca="1" si="2"/>
        <v/>
      </c>
      <c r="H122" s="29" t="str">
        <f>IF(B122="","",COUNTIFS('🤸 Ingresos Pole'!$C$2:$C$1000,B122,'🤸 Ingresos Pole'!$J$2:$J$1000,"Paquete"))</f>
        <v/>
      </c>
      <c r="I122" s="29" t="str">
        <f>IF(B122="","",COUNTIF('🤸 Ingresos Pole'!$C$2:$C$1000,B122))</f>
        <v/>
      </c>
      <c r="J122" s="30" t="str">
        <f>IF(B122="","",SUMIF('🤸 Ingresos Pole'!$C$2:$C$1000,B122,'🤸 Ingresos Pole'!$N$2:$N$1000))</f>
        <v/>
      </c>
      <c r="K122" s="31" t="str">
        <f>IF(OR(B122="",I122=0),"",_xlfn.MINIFS('🤸 Ingresos Pole'!$B$2:$B$1000,'🤸 Ingresos Pole'!$C$2:$C$1000,B122))</f>
        <v/>
      </c>
      <c r="L122" s="31" t="str">
        <f>IF(OR(B122="",I122=0),"",_xlfn.MAXIFS('🤸 Ingresos Pole'!$B$2:$B$1000,'🤸 Ingresos Pole'!$C$2:$C$1000,B122))</f>
        <v/>
      </c>
      <c r="M122" s="29" t="str">
        <f t="shared" si="3"/>
        <v/>
      </c>
    </row>
    <row r="123" spans="1:13" x14ac:dyDescent="0.35">
      <c r="A123" s="26" t="s">
        <v>230</v>
      </c>
      <c r="B123" s="26"/>
      <c r="C123" s="27"/>
      <c r="D123" s="26"/>
      <c r="E123" s="26"/>
      <c r="F123" s="28"/>
      <c r="G123" s="29" t="str">
        <f t="shared" ca="1" si="2"/>
        <v/>
      </c>
      <c r="H123" s="29" t="str">
        <f>IF(B123="","",COUNTIFS('🤸 Ingresos Pole'!$C$2:$C$1000,B123,'🤸 Ingresos Pole'!$J$2:$J$1000,"Paquete"))</f>
        <v/>
      </c>
      <c r="I123" s="29" t="str">
        <f>IF(B123="","",COUNTIF('🤸 Ingresos Pole'!$C$2:$C$1000,B123))</f>
        <v/>
      </c>
      <c r="J123" s="30" t="str">
        <f>IF(B123="","",SUMIF('🤸 Ingresos Pole'!$C$2:$C$1000,B123,'🤸 Ingresos Pole'!$N$2:$N$1000))</f>
        <v/>
      </c>
      <c r="K123" s="31" t="str">
        <f>IF(OR(B123="",I123=0),"",_xlfn.MINIFS('🤸 Ingresos Pole'!$B$2:$B$1000,'🤸 Ingresos Pole'!$C$2:$C$1000,B123))</f>
        <v/>
      </c>
      <c r="L123" s="31" t="str">
        <f>IF(OR(B123="",I123=0),"",_xlfn.MAXIFS('🤸 Ingresos Pole'!$B$2:$B$1000,'🤸 Ingresos Pole'!$C$2:$C$1000,B123))</f>
        <v/>
      </c>
      <c r="M123" s="29" t="str">
        <f t="shared" si="3"/>
        <v/>
      </c>
    </row>
    <row r="124" spans="1:13" x14ac:dyDescent="0.35">
      <c r="A124" s="26" t="s">
        <v>231</v>
      </c>
      <c r="B124" s="26"/>
      <c r="C124" s="27"/>
      <c r="D124" s="26"/>
      <c r="E124" s="26"/>
      <c r="F124" s="28"/>
      <c r="G124" s="29" t="str">
        <f t="shared" ca="1" si="2"/>
        <v/>
      </c>
      <c r="H124" s="29" t="str">
        <f>IF(B124="","",COUNTIFS('🤸 Ingresos Pole'!$C$2:$C$1000,B124,'🤸 Ingresos Pole'!$J$2:$J$1000,"Paquete"))</f>
        <v/>
      </c>
      <c r="I124" s="29" t="str">
        <f>IF(B124="","",COUNTIF('🤸 Ingresos Pole'!$C$2:$C$1000,B124))</f>
        <v/>
      </c>
      <c r="J124" s="30" t="str">
        <f>IF(B124="","",SUMIF('🤸 Ingresos Pole'!$C$2:$C$1000,B124,'🤸 Ingresos Pole'!$N$2:$N$1000))</f>
        <v/>
      </c>
      <c r="K124" s="31" t="str">
        <f>IF(OR(B124="",I124=0),"",_xlfn.MINIFS('🤸 Ingresos Pole'!$B$2:$B$1000,'🤸 Ingresos Pole'!$C$2:$C$1000,B124))</f>
        <v/>
      </c>
      <c r="L124" s="31" t="str">
        <f>IF(OR(B124="",I124=0),"",_xlfn.MAXIFS('🤸 Ingresos Pole'!$B$2:$B$1000,'🤸 Ingresos Pole'!$C$2:$C$1000,B124))</f>
        <v/>
      </c>
      <c r="M124" s="29" t="str">
        <f t="shared" si="3"/>
        <v/>
      </c>
    </row>
    <row r="125" spans="1:13" x14ac:dyDescent="0.35">
      <c r="A125" s="26" t="s">
        <v>232</v>
      </c>
      <c r="B125" s="26"/>
      <c r="C125" s="27"/>
      <c r="D125" s="26"/>
      <c r="E125" s="26"/>
      <c r="F125" s="28"/>
      <c r="G125" s="29" t="str">
        <f t="shared" ca="1" si="2"/>
        <v/>
      </c>
      <c r="H125" s="29" t="str">
        <f>IF(B125="","",COUNTIFS('🤸 Ingresos Pole'!$C$2:$C$1000,B125,'🤸 Ingresos Pole'!$J$2:$J$1000,"Paquete"))</f>
        <v/>
      </c>
      <c r="I125" s="29" t="str">
        <f>IF(B125="","",COUNTIF('🤸 Ingresos Pole'!$C$2:$C$1000,B125))</f>
        <v/>
      </c>
      <c r="J125" s="30" t="str">
        <f>IF(B125="","",SUMIF('🤸 Ingresos Pole'!$C$2:$C$1000,B125,'🤸 Ingresos Pole'!$N$2:$N$1000))</f>
        <v/>
      </c>
      <c r="K125" s="31" t="str">
        <f>IF(OR(B125="",I125=0),"",_xlfn.MINIFS('🤸 Ingresos Pole'!$B$2:$B$1000,'🤸 Ingresos Pole'!$C$2:$C$1000,B125))</f>
        <v/>
      </c>
      <c r="L125" s="31" t="str">
        <f>IF(OR(B125="",I125=0),"",_xlfn.MAXIFS('🤸 Ingresos Pole'!$B$2:$B$1000,'🤸 Ingresos Pole'!$C$2:$C$1000,B125))</f>
        <v/>
      </c>
      <c r="M125" s="29" t="str">
        <f t="shared" si="3"/>
        <v/>
      </c>
    </row>
    <row r="126" spans="1:13" x14ac:dyDescent="0.35">
      <c r="A126" s="26" t="s">
        <v>233</v>
      </c>
      <c r="B126" s="26"/>
      <c r="C126" s="27"/>
      <c r="D126" s="26"/>
      <c r="E126" s="26"/>
      <c r="F126" s="28"/>
      <c r="G126" s="29" t="str">
        <f t="shared" ca="1" si="2"/>
        <v/>
      </c>
      <c r="H126" s="29" t="str">
        <f>IF(B126="","",COUNTIFS('🤸 Ingresos Pole'!$C$2:$C$1000,B126,'🤸 Ingresos Pole'!$J$2:$J$1000,"Paquete"))</f>
        <v/>
      </c>
      <c r="I126" s="29" t="str">
        <f>IF(B126="","",COUNTIF('🤸 Ingresos Pole'!$C$2:$C$1000,B126))</f>
        <v/>
      </c>
      <c r="J126" s="30" t="str">
        <f>IF(B126="","",SUMIF('🤸 Ingresos Pole'!$C$2:$C$1000,B126,'🤸 Ingresos Pole'!$N$2:$N$1000))</f>
        <v/>
      </c>
      <c r="K126" s="31" t="str">
        <f>IF(OR(B126="",I126=0),"",_xlfn.MINIFS('🤸 Ingresos Pole'!$B$2:$B$1000,'🤸 Ingresos Pole'!$C$2:$C$1000,B126))</f>
        <v/>
      </c>
      <c r="L126" s="31" t="str">
        <f>IF(OR(B126="",I126=0),"",_xlfn.MAXIFS('🤸 Ingresos Pole'!$B$2:$B$1000,'🤸 Ingresos Pole'!$C$2:$C$1000,B126))</f>
        <v/>
      </c>
      <c r="M126" s="29" t="str">
        <f t="shared" si="3"/>
        <v/>
      </c>
    </row>
    <row r="127" spans="1:13" x14ac:dyDescent="0.35">
      <c r="A127" s="26" t="s">
        <v>234</v>
      </c>
      <c r="B127" s="26"/>
      <c r="C127" s="27"/>
      <c r="D127" s="26"/>
      <c r="E127" s="26"/>
      <c r="F127" s="28"/>
      <c r="G127" s="29" t="str">
        <f t="shared" ca="1" si="2"/>
        <v/>
      </c>
      <c r="H127" s="29" t="str">
        <f>IF(B127="","",COUNTIFS('🤸 Ingresos Pole'!$C$2:$C$1000,B127,'🤸 Ingresos Pole'!$J$2:$J$1000,"Paquete"))</f>
        <v/>
      </c>
      <c r="I127" s="29" t="str">
        <f>IF(B127="","",COUNTIF('🤸 Ingresos Pole'!$C$2:$C$1000,B127))</f>
        <v/>
      </c>
      <c r="J127" s="30" t="str">
        <f>IF(B127="","",SUMIF('🤸 Ingresos Pole'!$C$2:$C$1000,B127,'🤸 Ingresos Pole'!$N$2:$N$1000))</f>
        <v/>
      </c>
      <c r="K127" s="31" t="str">
        <f>IF(OR(B127="",I127=0),"",_xlfn.MINIFS('🤸 Ingresos Pole'!$B$2:$B$1000,'🤸 Ingresos Pole'!$C$2:$C$1000,B127))</f>
        <v/>
      </c>
      <c r="L127" s="31" t="str">
        <f>IF(OR(B127="",I127=0),"",_xlfn.MAXIFS('🤸 Ingresos Pole'!$B$2:$B$1000,'🤸 Ingresos Pole'!$C$2:$C$1000,B127))</f>
        <v/>
      </c>
      <c r="M127" s="29" t="str">
        <f t="shared" si="3"/>
        <v/>
      </c>
    </row>
    <row r="128" spans="1:13" x14ac:dyDescent="0.35">
      <c r="A128" s="26" t="s">
        <v>235</v>
      </c>
      <c r="B128" s="26"/>
      <c r="C128" s="27"/>
      <c r="D128" s="26"/>
      <c r="E128" s="26"/>
      <c r="F128" s="28"/>
      <c r="G128" s="29" t="str">
        <f t="shared" ca="1" si="2"/>
        <v/>
      </c>
      <c r="H128" s="29" t="str">
        <f>IF(B128="","",COUNTIFS('🤸 Ingresos Pole'!$C$2:$C$1000,B128,'🤸 Ingresos Pole'!$J$2:$J$1000,"Paquete"))</f>
        <v/>
      </c>
      <c r="I128" s="29" t="str">
        <f>IF(B128="","",COUNTIF('🤸 Ingresos Pole'!$C$2:$C$1000,B128))</f>
        <v/>
      </c>
      <c r="J128" s="30" t="str">
        <f>IF(B128="","",SUMIF('🤸 Ingresos Pole'!$C$2:$C$1000,B128,'🤸 Ingresos Pole'!$N$2:$N$1000))</f>
        <v/>
      </c>
      <c r="K128" s="31" t="str">
        <f>IF(OR(B128="",I128=0),"",_xlfn.MINIFS('🤸 Ingresos Pole'!$B$2:$B$1000,'🤸 Ingresos Pole'!$C$2:$C$1000,B128))</f>
        <v/>
      </c>
      <c r="L128" s="31" t="str">
        <f>IF(OR(B128="",I128=0),"",_xlfn.MAXIFS('🤸 Ingresos Pole'!$B$2:$B$1000,'🤸 Ingresos Pole'!$C$2:$C$1000,B128))</f>
        <v/>
      </c>
      <c r="M128" s="29" t="str">
        <f t="shared" si="3"/>
        <v/>
      </c>
    </row>
    <row r="129" spans="1:13" x14ac:dyDescent="0.35">
      <c r="A129" s="26" t="s">
        <v>236</v>
      </c>
      <c r="B129" s="26"/>
      <c r="C129" s="27"/>
      <c r="D129" s="26"/>
      <c r="E129" s="26"/>
      <c r="F129" s="28"/>
      <c r="G129" s="29" t="str">
        <f t="shared" ca="1" si="2"/>
        <v/>
      </c>
      <c r="H129" s="29" t="str">
        <f>IF(B129="","",COUNTIFS('🤸 Ingresos Pole'!$C$2:$C$1000,B129,'🤸 Ingresos Pole'!$J$2:$J$1000,"Paquete"))</f>
        <v/>
      </c>
      <c r="I129" s="29" t="str">
        <f>IF(B129="","",COUNTIF('🤸 Ingresos Pole'!$C$2:$C$1000,B129))</f>
        <v/>
      </c>
      <c r="J129" s="30" t="str">
        <f>IF(B129="","",SUMIF('🤸 Ingresos Pole'!$C$2:$C$1000,B129,'🤸 Ingresos Pole'!$N$2:$N$1000))</f>
        <v/>
      </c>
      <c r="K129" s="31" t="str">
        <f>IF(OR(B129="",I129=0),"",_xlfn.MINIFS('🤸 Ingresos Pole'!$B$2:$B$1000,'🤸 Ingresos Pole'!$C$2:$C$1000,B129))</f>
        <v/>
      </c>
      <c r="L129" s="31" t="str">
        <f>IF(OR(B129="",I129=0),"",_xlfn.MAXIFS('🤸 Ingresos Pole'!$B$2:$B$1000,'🤸 Ingresos Pole'!$C$2:$C$1000,B129))</f>
        <v/>
      </c>
      <c r="M129" s="29" t="str">
        <f t="shared" si="3"/>
        <v/>
      </c>
    </row>
    <row r="130" spans="1:13" x14ac:dyDescent="0.35">
      <c r="A130" s="26" t="s">
        <v>237</v>
      </c>
      <c r="B130" s="26"/>
      <c r="C130" s="27"/>
      <c r="D130" s="26"/>
      <c r="E130" s="26"/>
      <c r="F130" s="28"/>
      <c r="G130" s="29" t="str">
        <f t="shared" ref="G130:G193" ca="1" si="4">IF(F130="","",DATEDIF(F130,TODAY(),"Y"))</f>
        <v/>
      </c>
      <c r="H130" s="29" t="str">
        <f>IF(B130="","",COUNTIFS('🤸 Ingresos Pole'!$C$2:$C$1000,B130,'🤸 Ingresos Pole'!$J$2:$J$1000,"Paquete"))</f>
        <v/>
      </c>
      <c r="I130" s="29" t="str">
        <f>IF(B130="","",COUNTIF('🤸 Ingresos Pole'!$C$2:$C$1000,B130))</f>
        <v/>
      </c>
      <c r="J130" s="30" t="str">
        <f>IF(B130="","",SUMIF('🤸 Ingresos Pole'!$C$2:$C$1000,B130,'🤸 Ingresos Pole'!$N$2:$N$1000))</f>
        <v/>
      </c>
      <c r="K130" s="31" t="str">
        <f>IF(OR(B130="",I130=0),"",_xlfn.MINIFS('🤸 Ingresos Pole'!$B$2:$B$1000,'🤸 Ingresos Pole'!$C$2:$C$1000,B130))</f>
        <v/>
      </c>
      <c r="L130" s="31" t="str">
        <f>IF(OR(B130="",I130=0),"",_xlfn.MAXIFS('🤸 Ingresos Pole'!$B$2:$B$1000,'🤸 Ingresos Pole'!$C$2:$C$1000,B130))</f>
        <v/>
      </c>
      <c r="M130" s="29" t="str">
        <f t="shared" ref="M130:M193" si="5">IF(OR(B130="",I130=0),"",IF(H130=0,"Sin paquete",IF(H130=1,"Nueva","Recurrente")))</f>
        <v/>
      </c>
    </row>
    <row r="131" spans="1:13" x14ac:dyDescent="0.35">
      <c r="A131" s="26" t="s">
        <v>238</v>
      </c>
      <c r="B131" s="26"/>
      <c r="C131" s="27"/>
      <c r="D131" s="26"/>
      <c r="E131" s="26"/>
      <c r="F131" s="28"/>
      <c r="G131" s="29" t="str">
        <f t="shared" ca="1" si="4"/>
        <v/>
      </c>
      <c r="H131" s="29" t="str">
        <f>IF(B131="","",COUNTIFS('🤸 Ingresos Pole'!$C$2:$C$1000,B131,'🤸 Ingresos Pole'!$J$2:$J$1000,"Paquete"))</f>
        <v/>
      </c>
      <c r="I131" s="29" t="str">
        <f>IF(B131="","",COUNTIF('🤸 Ingresos Pole'!$C$2:$C$1000,B131))</f>
        <v/>
      </c>
      <c r="J131" s="30" t="str">
        <f>IF(B131="","",SUMIF('🤸 Ingresos Pole'!$C$2:$C$1000,B131,'🤸 Ingresos Pole'!$N$2:$N$1000))</f>
        <v/>
      </c>
      <c r="K131" s="31" t="str">
        <f>IF(OR(B131="",I131=0),"",_xlfn.MINIFS('🤸 Ingresos Pole'!$B$2:$B$1000,'🤸 Ingresos Pole'!$C$2:$C$1000,B131))</f>
        <v/>
      </c>
      <c r="L131" s="31" t="str">
        <f>IF(OR(B131="",I131=0),"",_xlfn.MAXIFS('🤸 Ingresos Pole'!$B$2:$B$1000,'🤸 Ingresos Pole'!$C$2:$C$1000,B131))</f>
        <v/>
      </c>
      <c r="M131" s="29" t="str">
        <f t="shared" si="5"/>
        <v/>
      </c>
    </row>
    <row r="132" spans="1:13" x14ac:dyDescent="0.35">
      <c r="A132" s="26" t="s">
        <v>239</v>
      </c>
      <c r="B132" s="26"/>
      <c r="C132" s="27"/>
      <c r="D132" s="26"/>
      <c r="E132" s="26"/>
      <c r="F132" s="28"/>
      <c r="G132" s="29" t="str">
        <f t="shared" ca="1" si="4"/>
        <v/>
      </c>
      <c r="H132" s="29" t="str">
        <f>IF(B132="","",COUNTIFS('🤸 Ingresos Pole'!$C$2:$C$1000,B132,'🤸 Ingresos Pole'!$J$2:$J$1000,"Paquete"))</f>
        <v/>
      </c>
      <c r="I132" s="29" t="str">
        <f>IF(B132="","",COUNTIF('🤸 Ingresos Pole'!$C$2:$C$1000,B132))</f>
        <v/>
      </c>
      <c r="J132" s="30" t="str">
        <f>IF(B132="","",SUMIF('🤸 Ingresos Pole'!$C$2:$C$1000,B132,'🤸 Ingresos Pole'!$N$2:$N$1000))</f>
        <v/>
      </c>
      <c r="K132" s="31" t="str">
        <f>IF(OR(B132="",I132=0),"",_xlfn.MINIFS('🤸 Ingresos Pole'!$B$2:$B$1000,'🤸 Ingresos Pole'!$C$2:$C$1000,B132))</f>
        <v/>
      </c>
      <c r="L132" s="31" t="str">
        <f>IF(OR(B132="",I132=0),"",_xlfn.MAXIFS('🤸 Ingresos Pole'!$B$2:$B$1000,'🤸 Ingresos Pole'!$C$2:$C$1000,B132))</f>
        <v/>
      </c>
      <c r="M132" s="29" t="str">
        <f t="shared" si="5"/>
        <v/>
      </c>
    </row>
    <row r="133" spans="1:13" x14ac:dyDescent="0.35">
      <c r="A133" s="26" t="s">
        <v>240</v>
      </c>
      <c r="B133" s="26"/>
      <c r="C133" s="27"/>
      <c r="D133" s="26"/>
      <c r="E133" s="26"/>
      <c r="F133" s="28"/>
      <c r="G133" s="29" t="str">
        <f t="shared" ca="1" si="4"/>
        <v/>
      </c>
      <c r="H133" s="29" t="str">
        <f>IF(B133="","",COUNTIFS('🤸 Ingresos Pole'!$C$2:$C$1000,B133,'🤸 Ingresos Pole'!$J$2:$J$1000,"Paquete"))</f>
        <v/>
      </c>
      <c r="I133" s="29" t="str">
        <f>IF(B133="","",COUNTIF('🤸 Ingresos Pole'!$C$2:$C$1000,B133))</f>
        <v/>
      </c>
      <c r="J133" s="30" t="str">
        <f>IF(B133="","",SUMIF('🤸 Ingresos Pole'!$C$2:$C$1000,B133,'🤸 Ingresos Pole'!$N$2:$N$1000))</f>
        <v/>
      </c>
      <c r="K133" s="31" t="str">
        <f>IF(OR(B133="",I133=0),"",_xlfn.MINIFS('🤸 Ingresos Pole'!$B$2:$B$1000,'🤸 Ingresos Pole'!$C$2:$C$1000,B133))</f>
        <v/>
      </c>
      <c r="L133" s="31" t="str">
        <f>IF(OR(B133="",I133=0),"",_xlfn.MAXIFS('🤸 Ingresos Pole'!$B$2:$B$1000,'🤸 Ingresos Pole'!$C$2:$C$1000,B133))</f>
        <v/>
      </c>
      <c r="M133" s="29" t="str">
        <f t="shared" si="5"/>
        <v/>
      </c>
    </row>
    <row r="134" spans="1:13" x14ac:dyDescent="0.35">
      <c r="A134" s="26" t="s">
        <v>241</v>
      </c>
      <c r="B134" s="26"/>
      <c r="C134" s="27"/>
      <c r="D134" s="26"/>
      <c r="E134" s="26"/>
      <c r="F134" s="28"/>
      <c r="G134" s="29" t="str">
        <f t="shared" ca="1" si="4"/>
        <v/>
      </c>
      <c r="H134" s="29" t="str">
        <f>IF(B134="","",COUNTIFS('🤸 Ingresos Pole'!$C$2:$C$1000,B134,'🤸 Ingresos Pole'!$J$2:$J$1000,"Paquete"))</f>
        <v/>
      </c>
      <c r="I134" s="29" t="str">
        <f>IF(B134="","",COUNTIF('🤸 Ingresos Pole'!$C$2:$C$1000,B134))</f>
        <v/>
      </c>
      <c r="J134" s="30" t="str">
        <f>IF(B134="","",SUMIF('🤸 Ingresos Pole'!$C$2:$C$1000,B134,'🤸 Ingresos Pole'!$N$2:$N$1000))</f>
        <v/>
      </c>
      <c r="K134" s="31" t="str">
        <f>IF(OR(B134="",I134=0),"",_xlfn.MINIFS('🤸 Ingresos Pole'!$B$2:$B$1000,'🤸 Ingresos Pole'!$C$2:$C$1000,B134))</f>
        <v/>
      </c>
      <c r="L134" s="31" t="str">
        <f>IF(OR(B134="",I134=0),"",_xlfn.MAXIFS('🤸 Ingresos Pole'!$B$2:$B$1000,'🤸 Ingresos Pole'!$C$2:$C$1000,B134))</f>
        <v/>
      </c>
      <c r="M134" s="29" t="str">
        <f t="shared" si="5"/>
        <v/>
      </c>
    </row>
    <row r="135" spans="1:13" x14ac:dyDescent="0.35">
      <c r="A135" s="26" t="s">
        <v>242</v>
      </c>
      <c r="B135" s="26"/>
      <c r="C135" s="27"/>
      <c r="D135" s="26"/>
      <c r="E135" s="26"/>
      <c r="F135" s="28"/>
      <c r="G135" s="29" t="str">
        <f t="shared" ca="1" si="4"/>
        <v/>
      </c>
      <c r="H135" s="29" t="str">
        <f>IF(B135="","",COUNTIFS('🤸 Ingresos Pole'!$C$2:$C$1000,B135,'🤸 Ingresos Pole'!$J$2:$J$1000,"Paquete"))</f>
        <v/>
      </c>
      <c r="I135" s="29" t="str">
        <f>IF(B135="","",COUNTIF('🤸 Ingresos Pole'!$C$2:$C$1000,B135))</f>
        <v/>
      </c>
      <c r="J135" s="30" t="str">
        <f>IF(B135="","",SUMIF('🤸 Ingresos Pole'!$C$2:$C$1000,B135,'🤸 Ingresos Pole'!$N$2:$N$1000))</f>
        <v/>
      </c>
      <c r="K135" s="31" t="str">
        <f>IF(OR(B135="",I135=0),"",_xlfn.MINIFS('🤸 Ingresos Pole'!$B$2:$B$1000,'🤸 Ingresos Pole'!$C$2:$C$1000,B135))</f>
        <v/>
      </c>
      <c r="L135" s="31" t="str">
        <f>IF(OR(B135="",I135=0),"",_xlfn.MAXIFS('🤸 Ingresos Pole'!$B$2:$B$1000,'🤸 Ingresos Pole'!$C$2:$C$1000,B135))</f>
        <v/>
      </c>
      <c r="M135" s="29" t="str">
        <f t="shared" si="5"/>
        <v/>
      </c>
    </row>
    <row r="136" spans="1:13" x14ac:dyDescent="0.35">
      <c r="A136" s="26" t="s">
        <v>243</v>
      </c>
      <c r="B136" s="26"/>
      <c r="C136" s="27"/>
      <c r="D136" s="26"/>
      <c r="E136" s="26"/>
      <c r="F136" s="28"/>
      <c r="G136" s="29" t="str">
        <f t="shared" ca="1" si="4"/>
        <v/>
      </c>
      <c r="H136" s="29" t="str">
        <f>IF(B136="","",COUNTIFS('🤸 Ingresos Pole'!$C$2:$C$1000,B136,'🤸 Ingresos Pole'!$J$2:$J$1000,"Paquete"))</f>
        <v/>
      </c>
      <c r="I136" s="29" t="str">
        <f>IF(B136="","",COUNTIF('🤸 Ingresos Pole'!$C$2:$C$1000,B136))</f>
        <v/>
      </c>
      <c r="J136" s="30" t="str">
        <f>IF(B136="","",SUMIF('🤸 Ingresos Pole'!$C$2:$C$1000,B136,'🤸 Ingresos Pole'!$N$2:$N$1000))</f>
        <v/>
      </c>
      <c r="K136" s="31" t="str">
        <f>IF(OR(B136="",I136=0),"",_xlfn.MINIFS('🤸 Ingresos Pole'!$B$2:$B$1000,'🤸 Ingresos Pole'!$C$2:$C$1000,B136))</f>
        <v/>
      </c>
      <c r="L136" s="31" t="str">
        <f>IF(OR(B136="",I136=0),"",_xlfn.MAXIFS('🤸 Ingresos Pole'!$B$2:$B$1000,'🤸 Ingresos Pole'!$C$2:$C$1000,B136))</f>
        <v/>
      </c>
      <c r="M136" s="29" t="str">
        <f t="shared" si="5"/>
        <v/>
      </c>
    </row>
    <row r="137" spans="1:13" x14ac:dyDescent="0.35">
      <c r="A137" s="26" t="s">
        <v>244</v>
      </c>
      <c r="B137" s="26"/>
      <c r="C137" s="27"/>
      <c r="D137" s="26"/>
      <c r="E137" s="26"/>
      <c r="F137" s="28"/>
      <c r="G137" s="29" t="str">
        <f t="shared" ca="1" si="4"/>
        <v/>
      </c>
      <c r="H137" s="29" t="str">
        <f>IF(B137="","",COUNTIFS('🤸 Ingresos Pole'!$C$2:$C$1000,B137,'🤸 Ingresos Pole'!$J$2:$J$1000,"Paquete"))</f>
        <v/>
      </c>
      <c r="I137" s="29" t="str">
        <f>IF(B137="","",COUNTIF('🤸 Ingresos Pole'!$C$2:$C$1000,B137))</f>
        <v/>
      </c>
      <c r="J137" s="30" t="str">
        <f>IF(B137="","",SUMIF('🤸 Ingresos Pole'!$C$2:$C$1000,B137,'🤸 Ingresos Pole'!$N$2:$N$1000))</f>
        <v/>
      </c>
      <c r="K137" s="31" t="str">
        <f>IF(OR(B137="",I137=0),"",_xlfn.MINIFS('🤸 Ingresos Pole'!$B$2:$B$1000,'🤸 Ingresos Pole'!$C$2:$C$1000,B137))</f>
        <v/>
      </c>
      <c r="L137" s="31" t="str">
        <f>IF(OR(B137="",I137=0),"",_xlfn.MAXIFS('🤸 Ingresos Pole'!$B$2:$B$1000,'🤸 Ingresos Pole'!$C$2:$C$1000,B137))</f>
        <v/>
      </c>
      <c r="M137" s="29" t="str">
        <f t="shared" si="5"/>
        <v/>
      </c>
    </row>
    <row r="138" spans="1:13" x14ac:dyDescent="0.35">
      <c r="A138" s="26" t="s">
        <v>245</v>
      </c>
      <c r="B138" s="26"/>
      <c r="C138" s="27"/>
      <c r="D138" s="26"/>
      <c r="E138" s="26"/>
      <c r="F138" s="28"/>
      <c r="G138" s="29" t="str">
        <f t="shared" ca="1" si="4"/>
        <v/>
      </c>
      <c r="H138" s="29" t="str">
        <f>IF(B138="","",COUNTIFS('🤸 Ingresos Pole'!$C$2:$C$1000,B138,'🤸 Ingresos Pole'!$J$2:$J$1000,"Paquete"))</f>
        <v/>
      </c>
      <c r="I138" s="29" t="str">
        <f>IF(B138="","",COUNTIF('🤸 Ingresos Pole'!$C$2:$C$1000,B138))</f>
        <v/>
      </c>
      <c r="J138" s="30" t="str">
        <f>IF(B138="","",SUMIF('🤸 Ingresos Pole'!$C$2:$C$1000,B138,'🤸 Ingresos Pole'!$N$2:$N$1000))</f>
        <v/>
      </c>
      <c r="K138" s="31" t="str">
        <f>IF(OR(B138="",I138=0),"",_xlfn.MINIFS('🤸 Ingresos Pole'!$B$2:$B$1000,'🤸 Ingresos Pole'!$C$2:$C$1000,B138))</f>
        <v/>
      </c>
      <c r="L138" s="31" t="str">
        <f>IF(OR(B138="",I138=0),"",_xlfn.MAXIFS('🤸 Ingresos Pole'!$B$2:$B$1000,'🤸 Ingresos Pole'!$C$2:$C$1000,B138))</f>
        <v/>
      </c>
      <c r="M138" s="29" t="str">
        <f t="shared" si="5"/>
        <v/>
      </c>
    </row>
    <row r="139" spans="1:13" x14ac:dyDescent="0.35">
      <c r="A139" s="26" t="s">
        <v>246</v>
      </c>
      <c r="B139" s="26"/>
      <c r="C139" s="27"/>
      <c r="D139" s="26"/>
      <c r="E139" s="26"/>
      <c r="F139" s="28"/>
      <c r="G139" s="29" t="str">
        <f t="shared" ca="1" si="4"/>
        <v/>
      </c>
      <c r="H139" s="29" t="str">
        <f>IF(B139="","",COUNTIFS('🤸 Ingresos Pole'!$C$2:$C$1000,B139,'🤸 Ingresos Pole'!$J$2:$J$1000,"Paquete"))</f>
        <v/>
      </c>
      <c r="I139" s="29" t="str">
        <f>IF(B139="","",COUNTIF('🤸 Ingresos Pole'!$C$2:$C$1000,B139))</f>
        <v/>
      </c>
      <c r="J139" s="30" t="str">
        <f>IF(B139="","",SUMIF('🤸 Ingresos Pole'!$C$2:$C$1000,B139,'🤸 Ingresos Pole'!$N$2:$N$1000))</f>
        <v/>
      </c>
      <c r="K139" s="31" t="str">
        <f>IF(OR(B139="",I139=0),"",_xlfn.MINIFS('🤸 Ingresos Pole'!$B$2:$B$1000,'🤸 Ingresos Pole'!$C$2:$C$1000,B139))</f>
        <v/>
      </c>
      <c r="L139" s="31" t="str">
        <f>IF(OR(B139="",I139=0),"",_xlfn.MAXIFS('🤸 Ingresos Pole'!$B$2:$B$1000,'🤸 Ingresos Pole'!$C$2:$C$1000,B139))</f>
        <v/>
      </c>
      <c r="M139" s="29" t="str">
        <f t="shared" si="5"/>
        <v/>
      </c>
    </row>
    <row r="140" spans="1:13" x14ac:dyDescent="0.35">
      <c r="A140" s="26" t="s">
        <v>247</v>
      </c>
      <c r="B140" s="26"/>
      <c r="C140" s="27"/>
      <c r="D140" s="26"/>
      <c r="E140" s="26"/>
      <c r="F140" s="28"/>
      <c r="G140" s="29" t="str">
        <f t="shared" ca="1" si="4"/>
        <v/>
      </c>
      <c r="H140" s="29" t="str">
        <f>IF(B140="","",COUNTIFS('🤸 Ingresos Pole'!$C$2:$C$1000,B140,'🤸 Ingresos Pole'!$J$2:$J$1000,"Paquete"))</f>
        <v/>
      </c>
      <c r="I140" s="29" t="str">
        <f>IF(B140="","",COUNTIF('🤸 Ingresos Pole'!$C$2:$C$1000,B140))</f>
        <v/>
      </c>
      <c r="J140" s="30" t="str">
        <f>IF(B140="","",SUMIF('🤸 Ingresos Pole'!$C$2:$C$1000,B140,'🤸 Ingresos Pole'!$N$2:$N$1000))</f>
        <v/>
      </c>
      <c r="K140" s="31" t="str">
        <f>IF(OR(B140="",I140=0),"",_xlfn.MINIFS('🤸 Ingresos Pole'!$B$2:$B$1000,'🤸 Ingresos Pole'!$C$2:$C$1000,B140))</f>
        <v/>
      </c>
      <c r="L140" s="31" t="str">
        <f>IF(OR(B140="",I140=0),"",_xlfn.MAXIFS('🤸 Ingresos Pole'!$B$2:$B$1000,'🤸 Ingresos Pole'!$C$2:$C$1000,B140))</f>
        <v/>
      </c>
      <c r="M140" s="29" t="str">
        <f t="shared" si="5"/>
        <v/>
      </c>
    </row>
    <row r="141" spans="1:13" x14ac:dyDescent="0.35">
      <c r="A141" s="26" t="s">
        <v>248</v>
      </c>
      <c r="B141" s="26"/>
      <c r="C141" s="27"/>
      <c r="D141" s="26"/>
      <c r="E141" s="26"/>
      <c r="F141" s="28"/>
      <c r="G141" s="29" t="str">
        <f t="shared" ca="1" si="4"/>
        <v/>
      </c>
      <c r="H141" s="29" t="str">
        <f>IF(B141="","",COUNTIFS('🤸 Ingresos Pole'!$C$2:$C$1000,B141,'🤸 Ingresos Pole'!$J$2:$J$1000,"Paquete"))</f>
        <v/>
      </c>
      <c r="I141" s="29" t="str">
        <f>IF(B141="","",COUNTIF('🤸 Ingresos Pole'!$C$2:$C$1000,B141))</f>
        <v/>
      </c>
      <c r="J141" s="30" t="str">
        <f>IF(B141="","",SUMIF('🤸 Ingresos Pole'!$C$2:$C$1000,B141,'🤸 Ingresos Pole'!$N$2:$N$1000))</f>
        <v/>
      </c>
      <c r="K141" s="31" t="str">
        <f>IF(OR(B141="",I141=0),"",_xlfn.MINIFS('🤸 Ingresos Pole'!$B$2:$B$1000,'🤸 Ingresos Pole'!$C$2:$C$1000,B141))</f>
        <v/>
      </c>
      <c r="L141" s="31" t="str">
        <f>IF(OR(B141="",I141=0),"",_xlfn.MAXIFS('🤸 Ingresos Pole'!$B$2:$B$1000,'🤸 Ingresos Pole'!$C$2:$C$1000,B141))</f>
        <v/>
      </c>
      <c r="M141" s="29" t="str">
        <f t="shared" si="5"/>
        <v/>
      </c>
    </row>
    <row r="142" spans="1:13" x14ac:dyDescent="0.35">
      <c r="A142" s="26" t="s">
        <v>249</v>
      </c>
      <c r="B142" s="26"/>
      <c r="C142" s="27"/>
      <c r="D142" s="26"/>
      <c r="E142" s="26"/>
      <c r="F142" s="28"/>
      <c r="G142" s="29" t="str">
        <f t="shared" ca="1" si="4"/>
        <v/>
      </c>
      <c r="H142" s="29" t="str">
        <f>IF(B142="","",COUNTIFS('🤸 Ingresos Pole'!$C$2:$C$1000,B142,'🤸 Ingresos Pole'!$J$2:$J$1000,"Paquete"))</f>
        <v/>
      </c>
      <c r="I142" s="29" t="str">
        <f>IF(B142="","",COUNTIF('🤸 Ingresos Pole'!$C$2:$C$1000,B142))</f>
        <v/>
      </c>
      <c r="J142" s="30" t="str">
        <f>IF(B142="","",SUMIF('🤸 Ingresos Pole'!$C$2:$C$1000,B142,'🤸 Ingresos Pole'!$N$2:$N$1000))</f>
        <v/>
      </c>
      <c r="K142" s="31" t="str">
        <f>IF(OR(B142="",I142=0),"",_xlfn.MINIFS('🤸 Ingresos Pole'!$B$2:$B$1000,'🤸 Ingresos Pole'!$C$2:$C$1000,B142))</f>
        <v/>
      </c>
      <c r="L142" s="31" t="str">
        <f>IF(OR(B142="",I142=0),"",_xlfn.MAXIFS('🤸 Ingresos Pole'!$B$2:$B$1000,'🤸 Ingresos Pole'!$C$2:$C$1000,B142))</f>
        <v/>
      </c>
      <c r="M142" s="29" t="str">
        <f t="shared" si="5"/>
        <v/>
      </c>
    </row>
    <row r="143" spans="1:13" x14ac:dyDescent="0.35">
      <c r="A143" s="26" t="s">
        <v>250</v>
      </c>
      <c r="B143" s="26"/>
      <c r="C143" s="27"/>
      <c r="D143" s="26"/>
      <c r="E143" s="26"/>
      <c r="F143" s="28"/>
      <c r="G143" s="29" t="str">
        <f t="shared" ca="1" si="4"/>
        <v/>
      </c>
      <c r="H143" s="29" t="str">
        <f>IF(B143="","",COUNTIFS('🤸 Ingresos Pole'!$C$2:$C$1000,B143,'🤸 Ingresos Pole'!$J$2:$J$1000,"Paquete"))</f>
        <v/>
      </c>
      <c r="I143" s="29" t="str">
        <f>IF(B143="","",COUNTIF('🤸 Ingresos Pole'!$C$2:$C$1000,B143))</f>
        <v/>
      </c>
      <c r="J143" s="30" t="str">
        <f>IF(B143="","",SUMIF('🤸 Ingresos Pole'!$C$2:$C$1000,B143,'🤸 Ingresos Pole'!$N$2:$N$1000))</f>
        <v/>
      </c>
      <c r="K143" s="31" t="str">
        <f>IF(OR(B143="",I143=0),"",_xlfn.MINIFS('🤸 Ingresos Pole'!$B$2:$B$1000,'🤸 Ingresos Pole'!$C$2:$C$1000,B143))</f>
        <v/>
      </c>
      <c r="L143" s="31" t="str">
        <f>IF(OR(B143="",I143=0),"",_xlfn.MAXIFS('🤸 Ingresos Pole'!$B$2:$B$1000,'🤸 Ingresos Pole'!$C$2:$C$1000,B143))</f>
        <v/>
      </c>
      <c r="M143" s="29" t="str">
        <f t="shared" si="5"/>
        <v/>
      </c>
    </row>
    <row r="144" spans="1:13" x14ac:dyDescent="0.35">
      <c r="A144" s="26" t="s">
        <v>251</v>
      </c>
      <c r="B144" s="26"/>
      <c r="C144" s="27"/>
      <c r="D144" s="26"/>
      <c r="E144" s="26"/>
      <c r="F144" s="28"/>
      <c r="G144" s="29" t="str">
        <f t="shared" ca="1" si="4"/>
        <v/>
      </c>
      <c r="H144" s="29" t="str">
        <f>IF(B144="","",COUNTIFS('🤸 Ingresos Pole'!$C$2:$C$1000,B144,'🤸 Ingresos Pole'!$J$2:$J$1000,"Paquete"))</f>
        <v/>
      </c>
      <c r="I144" s="29" t="str">
        <f>IF(B144="","",COUNTIF('🤸 Ingresos Pole'!$C$2:$C$1000,B144))</f>
        <v/>
      </c>
      <c r="J144" s="30" t="str">
        <f>IF(B144="","",SUMIF('🤸 Ingresos Pole'!$C$2:$C$1000,B144,'🤸 Ingresos Pole'!$N$2:$N$1000))</f>
        <v/>
      </c>
      <c r="K144" s="31" t="str">
        <f>IF(OR(B144="",I144=0),"",_xlfn.MINIFS('🤸 Ingresos Pole'!$B$2:$B$1000,'🤸 Ingresos Pole'!$C$2:$C$1000,B144))</f>
        <v/>
      </c>
      <c r="L144" s="31" t="str">
        <f>IF(OR(B144="",I144=0),"",_xlfn.MAXIFS('🤸 Ingresos Pole'!$B$2:$B$1000,'🤸 Ingresos Pole'!$C$2:$C$1000,B144))</f>
        <v/>
      </c>
      <c r="M144" s="29" t="str">
        <f t="shared" si="5"/>
        <v/>
      </c>
    </row>
    <row r="145" spans="1:13" x14ac:dyDescent="0.35">
      <c r="A145" s="26" t="s">
        <v>252</v>
      </c>
      <c r="B145" s="26"/>
      <c r="C145" s="27"/>
      <c r="D145" s="26"/>
      <c r="E145" s="26"/>
      <c r="F145" s="28"/>
      <c r="G145" s="29" t="str">
        <f t="shared" ca="1" si="4"/>
        <v/>
      </c>
      <c r="H145" s="29" t="str">
        <f>IF(B145="","",COUNTIFS('🤸 Ingresos Pole'!$C$2:$C$1000,B145,'🤸 Ingresos Pole'!$J$2:$J$1000,"Paquete"))</f>
        <v/>
      </c>
      <c r="I145" s="29" t="str">
        <f>IF(B145="","",COUNTIF('🤸 Ingresos Pole'!$C$2:$C$1000,B145))</f>
        <v/>
      </c>
      <c r="J145" s="30" t="str">
        <f>IF(B145="","",SUMIF('🤸 Ingresos Pole'!$C$2:$C$1000,B145,'🤸 Ingresos Pole'!$N$2:$N$1000))</f>
        <v/>
      </c>
      <c r="K145" s="31" t="str">
        <f>IF(OR(B145="",I145=0),"",_xlfn.MINIFS('🤸 Ingresos Pole'!$B$2:$B$1000,'🤸 Ingresos Pole'!$C$2:$C$1000,B145))</f>
        <v/>
      </c>
      <c r="L145" s="31" t="str">
        <f>IF(OR(B145="",I145=0),"",_xlfn.MAXIFS('🤸 Ingresos Pole'!$B$2:$B$1000,'🤸 Ingresos Pole'!$C$2:$C$1000,B145))</f>
        <v/>
      </c>
      <c r="M145" s="29" t="str">
        <f t="shared" si="5"/>
        <v/>
      </c>
    </row>
    <row r="146" spans="1:13" x14ac:dyDescent="0.35">
      <c r="A146" s="26" t="s">
        <v>253</v>
      </c>
      <c r="B146" s="26"/>
      <c r="C146" s="27"/>
      <c r="D146" s="26"/>
      <c r="E146" s="26"/>
      <c r="F146" s="28"/>
      <c r="G146" s="29" t="str">
        <f t="shared" ca="1" si="4"/>
        <v/>
      </c>
      <c r="H146" s="29" t="str">
        <f>IF(B146="","",COUNTIFS('🤸 Ingresos Pole'!$C$2:$C$1000,B146,'🤸 Ingresos Pole'!$J$2:$J$1000,"Paquete"))</f>
        <v/>
      </c>
      <c r="I146" s="29" t="str">
        <f>IF(B146="","",COUNTIF('🤸 Ingresos Pole'!$C$2:$C$1000,B146))</f>
        <v/>
      </c>
      <c r="J146" s="30" t="str">
        <f>IF(B146="","",SUMIF('🤸 Ingresos Pole'!$C$2:$C$1000,B146,'🤸 Ingresos Pole'!$N$2:$N$1000))</f>
        <v/>
      </c>
      <c r="K146" s="31" t="str">
        <f>IF(OR(B146="",I146=0),"",_xlfn.MINIFS('🤸 Ingresos Pole'!$B$2:$B$1000,'🤸 Ingresos Pole'!$C$2:$C$1000,B146))</f>
        <v/>
      </c>
      <c r="L146" s="31" t="str">
        <f>IF(OR(B146="",I146=0),"",_xlfn.MAXIFS('🤸 Ingresos Pole'!$B$2:$B$1000,'🤸 Ingresos Pole'!$C$2:$C$1000,B146))</f>
        <v/>
      </c>
      <c r="M146" s="29" t="str">
        <f t="shared" si="5"/>
        <v/>
      </c>
    </row>
    <row r="147" spans="1:13" x14ac:dyDescent="0.35">
      <c r="A147" s="26" t="s">
        <v>254</v>
      </c>
      <c r="B147" s="26"/>
      <c r="C147" s="27"/>
      <c r="D147" s="26"/>
      <c r="E147" s="26"/>
      <c r="F147" s="28"/>
      <c r="G147" s="29" t="str">
        <f t="shared" ca="1" si="4"/>
        <v/>
      </c>
      <c r="H147" s="29" t="str">
        <f>IF(B147="","",COUNTIFS('🤸 Ingresos Pole'!$C$2:$C$1000,B147,'🤸 Ingresos Pole'!$J$2:$J$1000,"Paquete"))</f>
        <v/>
      </c>
      <c r="I147" s="29" t="str">
        <f>IF(B147="","",COUNTIF('🤸 Ingresos Pole'!$C$2:$C$1000,B147))</f>
        <v/>
      </c>
      <c r="J147" s="30" t="str">
        <f>IF(B147="","",SUMIF('🤸 Ingresos Pole'!$C$2:$C$1000,B147,'🤸 Ingresos Pole'!$N$2:$N$1000))</f>
        <v/>
      </c>
      <c r="K147" s="31" t="str">
        <f>IF(OR(B147="",I147=0),"",_xlfn.MINIFS('🤸 Ingresos Pole'!$B$2:$B$1000,'🤸 Ingresos Pole'!$C$2:$C$1000,B147))</f>
        <v/>
      </c>
      <c r="L147" s="31" t="str">
        <f>IF(OR(B147="",I147=0),"",_xlfn.MAXIFS('🤸 Ingresos Pole'!$B$2:$B$1000,'🤸 Ingresos Pole'!$C$2:$C$1000,B147))</f>
        <v/>
      </c>
      <c r="M147" s="29" t="str">
        <f t="shared" si="5"/>
        <v/>
      </c>
    </row>
    <row r="148" spans="1:13" x14ac:dyDescent="0.35">
      <c r="A148" s="26" t="s">
        <v>255</v>
      </c>
      <c r="B148" s="26"/>
      <c r="C148" s="27"/>
      <c r="D148" s="26"/>
      <c r="E148" s="26"/>
      <c r="F148" s="28"/>
      <c r="G148" s="29" t="str">
        <f t="shared" ca="1" si="4"/>
        <v/>
      </c>
      <c r="H148" s="29" t="str">
        <f>IF(B148="","",COUNTIFS('🤸 Ingresos Pole'!$C$2:$C$1000,B148,'🤸 Ingresos Pole'!$J$2:$J$1000,"Paquete"))</f>
        <v/>
      </c>
      <c r="I148" s="29" t="str">
        <f>IF(B148="","",COUNTIF('🤸 Ingresos Pole'!$C$2:$C$1000,B148))</f>
        <v/>
      </c>
      <c r="J148" s="30" t="str">
        <f>IF(B148="","",SUMIF('🤸 Ingresos Pole'!$C$2:$C$1000,B148,'🤸 Ingresos Pole'!$N$2:$N$1000))</f>
        <v/>
      </c>
      <c r="K148" s="31" t="str">
        <f>IF(OR(B148="",I148=0),"",_xlfn.MINIFS('🤸 Ingresos Pole'!$B$2:$B$1000,'🤸 Ingresos Pole'!$C$2:$C$1000,B148))</f>
        <v/>
      </c>
      <c r="L148" s="31" t="str">
        <f>IF(OR(B148="",I148=0),"",_xlfn.MAXIFS('🤸 Ingresos Pole'!$B$2:$B$1000,'🤸 Ingresos Pole'!$C$2:$C$1000,B148))</f>
        <v/>
      </c>
      <c r="M148" s="29" t="str">
        <f t="shared" si="5"/>
        <v/>
      </c>
    </row>
    <row r="149" spans="1:13" x14ac:dyDescent="0.35">
      <c r="A149" s="26" t="s">
        <v>256</v>
      </c>
      <c r="B149" s="26"/>
      <c r="C149" s="27"/>
      <c r="D149" s="26"/>
      <c r="E149" s="26"/>
      <c r="F149" s="28"/>
      <c r="G149" s="29" t="str">
        <f t="shared" ca="1" si="4"/>
        <v/>
      </c>
      <c r="H149" s="29" t="str">
        <f>IF(B149="","",COUNTIFS('🤸 Ingresos Pole'!$C$2:$C$1000,B149,'🤸 Ingresos Pole'!$J$2:$J$1000,"Paquete"))</f>
        <v/>
      </c>
      <c r="I149" s="29" t="str">
        <f>IF(B149="","",COUNTIF('🤸 Ingresos Pole'!$C$2:$C$1000,B149))</f>
        <v/>
      </c>
      <c r="J149" s="30" t="str">
        <f>IF(B149="","",SUMIF('🤸 Ingresos Pole'!$C$2:$C$1000,B149,'🤸 Ingresos Pole'!$N$2:$N$1000))</f>
        <v/>
      </c>
      <c r="K149" s="31" t="str">
        <f>IF(OR(B149="",I149=0),"",_xlfn.MINIFS('🤸 Ingresos Pole'!$B$2:$B$1000,'🤸 Ingresos Pole'!$C$2:$C$1000,B149))</f>
        <v/>
      </c>
      <c r="L149" s="31" t="str">
        <f>IF(OR(B149="",I149=0),"",_xlfn.MAXIFS('🤸 Ingresos Pole'!$B$2:$B$1000,'🤸 Ingresos Pole'!$C$2:$C$1000,B149))</f>
        <v/>
      </c>
      <c r="M149" s="29" t="str">
        <f t="shared" si="5"/>
        <v/>
      </c>
    </row>
    <row r="150" spans="1:13" x14ac:dyDescent="0.35">
      <c r="A150" s="26" t="s">
        <v>257</v>
      </c>
      <c r="B150" s="26"/>
      <c r="C150" s="27"/>
      <c r="D150" s="26"/>
      <c r="E150" s="26"/>
      <c r="F150" s="28"/>
      <c r="G150" s="29" t="str">
        <f t="shared" ca="1" si="4"/>
        <v/>
      </c>
      <c r="H150" s="29" t="str">
        <f>IF(B150="","",COUNTIFS('🤸 Ingresos Pole'!$C$2:$C$1000,B150,'🤸 Ingresos Pole'!$J$2:$J$1000,"Paquete"))</f>
        <v/>
      </c>
      <c r="I150" s="29" t="str">
        <f>IF(B150="","",COUNTIF('🤸 Ingresos Pole'!$C$2:$C$1000,B150))</f>
        <v/>
      </c>
      <c r="J150" s="30" t="str">
        <f>IF(B150="","",SUMIF('🤸 Ingresos Pole'!$C$2:$C$1000,B150,'🤸 Ingresos Pole'!$N$2:$N$1000))</f>
        <v/>
      </c>
      <c r="K150" s="31" t="str">
        <f>IF(OR(B150="",I150=0),"",_xlfn.MINIFS('🤸 Ingresos Pole'!$B$2:$B$1000,'🤸 Ingresos Pole'!$C$2:$C$1000,B150))</f>
        <v/>
      </c>
      <c r="L150" s="31" t="str">
        <f>IF(OR(B150="",I150=0),"",_xlfn.MAXIFS('🤸 Ingresos Pole'!$B$2:$B$1000,'🤸 Ingresos Pole'!$C$2:$C$1000,B150))</f>
        <v/>
      </c>
      <c r="M150" s="29" t="str">
        <f t="shared" si="5"/>
        <v/>
      </c>
    </row>
    <row r="151" spans="1:13" x14ac:dyDescent="0.35">
      <c r="A151" s="26" t="s">
        <v>258</v>
      </c>
      <c r="B151" s="26"/>
      <c r="C151" s="27"/>
      <c r="D151" s="26"/>
      <c r="E151" s="26"/>
      <c r="F151" s="28"/>
      <c r="G151" s="29" t="str">
        <f t="shared" ca="1" si="4"/>
        <v/>
      </c>
      <c r="H151" s="29" t="str">
        <f>IF(B151="","",COUNTIFS('🤸 Ingresos Pole'!$C$2:$C$1000,B151,'🤸 Ingresos Pole'!$J$2:$J$1000,"Paquete"))</f>
        <v/>
      </c>
      <c r="I151" s="29" t="str">
        <f>IF(B151="","",COUNTIF('🤸 Ingresos Pole'!$C$2:$C$1000,B151))</f>
        <v/>
      </c>
      <c r="J151" s="30" t="str">
        <f>IF(B151="","",SUMIF('🤸 Ingresos Pole'!$C$2:$C$1000,B151,'🤸 Ingresos Pole'!$N$2:$N$1000))</f>
        <v/>
      </c>
      <c r="K151" s="31" t="str">
        <f>IF(OR(B151="",I151=0),"",_xlfn.MINIFS('🤸 Ingresos Pole'!$B$2:$B$1000,'🤸 Ingresos Pole'!$C$2:$C$1000,B151))</f>
        <v/>
      </c>
      <c r="L151" s="31" t="str">
        <f>IF(OR(B151="",I151=0),"",_xlfn.MAXIFS('🤸 Ingresos Pole'!$B$2:$B$1000,'🤸 Ingresos Pole'!$C$2:$C$1000,B151))</f>
        <v/>
      </c>
      <c r="M151" s="29" t="str">
        <f t="shared" si="5"/>
        <v/>
      </c>
    </row>
    <row r="152" spans="1:13" x14ac:dyDescent="0.35">
      <c r="A152" s="26" t="s">
        <v>259</v>
      </c>
      <c r="B152" s="26"/>
      <c r="C152" s="27"/>
      <c r="D152" s="26"/>
      <c r="E152" s="26"/>
      <c r="F152" s="28"/>
      <c r="G152" s="29" t="str">
        <f t="shared" ca="1" si="4"/>
        <v/>
      </c>
      <c r="H152" s="29" t="str">
        <f>IF(B152="","",COUNTIFS('🤸 Ingresos Pole'!$C$2:$C$1000,B152,'🤸 Ingresos Pole'!$J$2:$J$1000,"Paquete"))</f>
        <v/>
      </c>
      <c r="I152" s="29" t="str">
        <f>IF(B152="","",COUNTIF('🤸 Ingresos Pole'!$C$2:$C$1000,B152))</f>
        <v/>
      </c>
      <c r="J152" s="30" t="str">
        <f>IF(B152="","",SUMIF('🤸 Ingresos Pole'!$C$2:$C$1000,B152,'🤸 Ingresos Pole'!$N$2:$N$1000))</f>
        <v/>
      </c>
      <c r="K152" s="31" t="str">
        <f>IF(OR(B152="",I152=0),"",_xlfn.MINIFS('🤸 Ingresos Pole'!$B$2:$B$1000,'🤸 Ingresos Pole'!$C$2:$C$1000,B152))</f>
        <v/>
      </c>
      <c r="L152" s="31" t="str">
        <f>IF(OR(B152="",I152=0),"",_xlfn.MAXIFS('🤸 Ingresos Pole'!$B$2:$B$1000,'🤸 Ingresos Pole'!$C$2:$C$1000,B152))</f>
        <v/>
      </c>
      <c r="M152" s="29" t="str">
        <f t="shared" si="5"/>
        <v/>
      </c>
    </row>
    <row r="153" spans="1:13" x14ac:dyDescent="0.35">
      <c r="A153" s="26" t="s">
        <v>260</v>
      </c>
      <c r="B153" s="26"/>
      <c r="C153" s="27"/>
      <c r="D153" s="26"/>
      <c r="E153" s="26"/>
      <c r="F153" s="28"/>
      <c r="G153" s="29" t="str">
        <f t="shared" ca="1" si="4"/>
        <v/>
      </c>
      <c r="H153" s="29" t="str">
        <f>IF(B153="","",COUNTIFS('🤸 Ingresos Pole'!$C$2:$C$1000,B153,'🤸 Ingresos Pole'!$J$2:$J$1000,"Paquete"))</f>
        <v/>
      </c>
      <c r="I153" s="29" t="str">
        <f>IF(B153="","",COUNTIF('🤸 Ingresos Pole'!$C$2:$C$1000,B153))</f>
        <v/>
      </c>
      <c r="J153" s="30" t="str">
        <f>IF(B153="","",SUMIF('🤸 Ingresos Pole'!$C$2:$C$1000,B153,'🤸 Ingresos Pole'!$N$2:$N$1000))</f>
        <v/>
      </c>
      <c r="K153" s="31" t="str">
        <f>IF(OR(B153="",I153=0),"",_xlfn.MINIFS('🤸 Ingresos Pole'!$B$2:$B$1000,'🤸 Ingresos Pole'!$C$2:$C$1000,B153))</f>
        <v/>
      </c>
      <c r="L153" s="31" t="str">
        <f>IF(OR(B153="",I153=0),"",_xlfn.MAXIFS('🤸 Ingresos Pole'!$B$2:$B$1000,'🤸 Ingresos Pole'!$C$2:$C$1000,B153))</f>
        <v/>
      </c>
      <c r="M153" s="29" t="str">
        <f t="shared" si="5"/>
        <v/>
      </c>
    </row>
    <row r="154" spans="1:13" x14ac:dyDescent="0.35">
      <c r="A154" s="26" t="s">
        <v>261</v>
      </c>
      <c r="B154" s="26"/>
      <c r="C154" s="27"/>
      <c r="D154" s="26"/>
      <c r="E154" s="26"/>
      <c r="F154" s="28"/>
      <c r="G154" s="29" t="str">
        <f t="shared" ca="1" si="4"/>
        <v/>
      </c>
      <c r="H154" s="29" t="str">
        <f>IF(B154="","",COUNTIFS('🤸 Ingresos Pole'!$C$2:$C$1000,B154,'🤸 Ingresos Pole'!$J$2:$J$1000,"Paquete"))</f>
        <v/>
      </c>
      <c r="I154" s="29" t="str">
        <f>IF(B154="","",COUNTIF('🤸 Ingresos Pole'!$C$2:$C$1000,B154))</f>
        <v/>
      </c>
      <c r="J154" s="30" t="str">
        <f>IF(B154="","",SUMIF('🤸 Ingresos Pole'!$C$2:$C$1000,B154,'🤸 Ingresos Pole'!$N$2:$N$1000))</f>
        <v/>
      </c>
      <c r="K154" s="31" t="str">
        <f>IF(OR(B154="",I154=0),"",_xlfn.MINIFS('🤸 Ingresos Pole'!$B$2:$B$1000,'🤸 Ingresos Pole'!$C$2:$C$1000,B154))</f>
        <v/>
      </c>
      <c r="L154" s="31" t="str">
        <f>IF(OR(B154="",I154=0),"",_xlfn.MAXIFS('🤸 Ingresos Pole'!$B$2:$B$1000,'🤸 Ingresos Pole'!$C$2:$C$1000,B154))</f>
        <v/>
      </c>
      <c r="M154" s="29" t="str">
        <f t="shared" si="5"/>
        <v/>
      </c>
    </row>
    <row r="155" spans="1:13" x14ac:dyDescent="0.35">
      <c r="A155" s="26" t="s">
        <v>262</v>
      </c>
      <c r="B155" s="26"/>
      <c r="C155" s="27"/>
      <c r="D155" s="26"/>
      <c r="E155" s="26"/>
      <c r="F155" s="28"/>
      <c r="G155" s="29" t="str">
        <f t="shared" ca="1" si="4"/>
        <v/>
      </c>
      <c r="H155" s="29" t="str">
        <f>IF(B155="","",COUNTIFS('🤸 Ingresos Pole'!$C$2:$C$1000,B155,'🤸 Ingresos Pole'!$J$2:$J$1000,"Paquete"))</f>
        <v/>
      </c>
      <c r="I155" s="29" t="str">
        <f>IF(B155="","",COUNTIF('🤸 Ingresos Pole'!$C$2:$C$1000,B155))</f>
        <v/>
      </c>
      <c r="J155" s="30" t="str">
        <f>IF(B155="","",SUMIF('🤸 Ingresos Pole'!$C$2:$C$1000,B155,'🤸 Ingresos Pole'!$N$2:$N$1000))</f>
        <v/>
      </c>
      <c r="K155" s="31" t="str">
        <f>IF(OR(B155="",I155=0),"",_xlfn.MINIFS('🤸 Ingresos Pole'!$B$2:$B$1000,'🤸 Ingresos Pole'!$C$2:$C$1000,B155))</f>
        <v/>
      </c>
      <c r="L155" s="31" t="str">
        <f>IF(OR(B155="",I155=0),"",_xlfn.MAXIFS('🤸 Ingresos Pole'!$B$2:$B$1000,'🤸 Ingresos Pole'!$C$2:$C$1000,B155))</f>
        <v/>
      </c>
      <c r="M155" s="29" t="str">
        <f t="shared" si="5"/>
        <v/>
      </c>
    </row>
    <row r="156" spans="1:13" x14ac:dyDescent="0.35">
      <c r="A156" s="26" t="s">
        <v>263</v>
      </c>
      <c r="B156" s="26"/>
      <c r="C156" s="27"/>
      <c r="D156" s="26"/>
      <c r="E156" s="26"/>
      <c r="F156" s="28"/>
      <c r="G156" s="29" t="str">
        <f t="shared" ca="1" si="4"/>
        <v/>
      </c>
      <c r="H156" s="29" t="str">
        <f>IF(B156="","",COUNTIFS('🤸 Ingresos Pole'!$C$2:$C$1000,B156,'🤸 Ingresos Pole'!$J$2:$J$1000,"Paquete"))</f>
        <v/>
      </c>
      <c r="I156" s="29" t="str">
        <f>IF(B156="","",COUNTIF('🤸 Ingresos Pole'!$C$2:$C$1000,B156))</f>
        <v/>
      </c>
      <c r="J156" s="30" t="str">
        <f>IF(B156="","",SUMIF('🤸 Ingresos Pole'!$C$2:$C$1000,B156,'🤸 Ingresos Pole'!$N$2:$N$1000))</f>
        <v/>
      </c>
      <c r="K156" s="31" t="str">
        <f>IF(OR(B156="",I156=0),"",_xlfn.MINIFS('🤸 Ingresos Pole'!$B$2:$B$1000,'🤸 Ingresos Pole'!$C$2:$C$1000,B156))</f>
        <v/>
      </c>
      <c r="L156" s="31" t="str">
        <f>IF(OR(B156="",I156=0),"",_xlfn.MAXIFS('🤸 Ingresos Pole'!$B$2:$B$1000,'🤸 Ingresos Pole'!$C$2:$C$1000,B156))</f>
        <v/>
      </c>
      <c r="M156" s="29" t="str">
        <f t="shared" si="5"/>
        <v/>
      </c>
    </row>
    <row r="157" spans="1:13" x14ac:dyDescent="0.35">
      <c r="A157" s="26" t="s">
        <v>264</v>
      </c>
      <c r="B157" s="26"/>
      <c r="C157" s="27"/>
      <c r="D157" s="26"/>
      <c r="E157" s="26"/>
      <c r="F157" s="28"/>
      <c r="G157" s="29" t="str">
        <f t="shared" ca="1" si="4"/>
        <v/>
      </c>
      <c r="H157" s="29" t="str">
        <f>IF(B157="","",COUNTIFS('🤸 Ingresos Pole'!$C$2:$C$1000,B157,'🤸 Ingresos Pole'!$J$2:$J$1000,"Paquete"))</f>
        <v/>
      </c>
      <c r="I157" s="29" t="str">
        <f>IF(B157="","",COUNTIF('🤸 Ingresos Pole'!$C$2:$C$1000,B157))</f>
        <v/>
      </c>
      <c r="J157" s="30" t="str">
        <f>IF(B157="","",SUMIF('🤸 Ingresos Pole'!$C$2:$C$1000,B157,'🤸 Ingresos Pole'!$N$2:$N$1000))</f>
        <v/>
      </c>
      <c r="K157" s="31" t="str">
        <f>IF(OR(B157="",I157=0),"",_xlfn.MINIFS('🤸 Ingresos Pole'!$B$2:$B$1000,'🤸 Ingresos Pole'!$C$2:$C$1000,B157))</f>
        <v/>
      </c>
      <c r="L157" s="31" t="str">
        <f>IF(OR(B157="",I157=0),"",_xlfn.MAXIFS('🤸 Ingresos Pole'!$B$2:$B$1000,'🤸 Ingresos Pole'!$C$2:$C$1000,B157))</f>
        <v/>
      </c>
      <c r="M157" s="29" t="str">
        <f t="shared" si="5"/>
        <v/>
      </c>
    </row>
    <row r="158" spans="1:13" x14ac:dyDescent="0.35">
      <c r="A158" s="26" t="s">
        <v>265</v>
      </c>
      <c r="B158" s="26"/>
      <c r="C158" s="27"/>
      <c r="D158" s="26"/>
      <c r="E158" s="26"/>
      <c r="F158" s="28"/>
      <c r="G158" s="29" t="str">
        <f t="shared" ca="1" si="4"/>
        <v/>
      </c>
      <c r="H158" s="29" t="str">
        <f>IF(B158="","",COUNTIFS('🤸 Ingresos Pole'!$C$2:$C$1000,B158,'🤸 Ingresos Pole'!$J$2:$J$1000,"Paquete"))</f>
        <v/>
      </c>
      <c r="I158" s="29" t="str">
        <f>IF(B158="","",COUNTIF('🤸 Ingresos Pole'!$C$2:$C$1000,B158))</f>
        <v/>
      </c>
      <c r="J158" s="30" t="str">
        <f>IF(B158="","",SUMIF('🤸 Ingresos Pole'!$C$2:$C$1000,B158,'🤸 Ingresos Pole'!$N$2:$N$1000))</f>
        <v/>
      </c>
      <c r="K158" s="31" t="str">
        <f>IF(OR(B158="",I158=0),"",_xlfn.MINIFS('🤸 Ingresos Pole'!$B$2:$B$1000,'🤸 Ingresos Pole'!$C$2:$C$1000,B158))</f>
        <v/>
      </c>
      <c r="L158" s="31" t="str">
        <f>IF(OR(B158="",I158=0),"",_xlfn.MAXIFS('🤸 Ingresos Pole'!$B$2:$B$1000,'🤸 Ingresos Pole'!$C$2:$C$1000,B158))</f>
        <v/>
      </c>
      <c r="M158" s="29" t="str">
        <f t="shared" si="5"/>
        <v/>
      </c>
    </row>
    <row r="159" spans="1:13" x14ac:dyDescent="0.35">
      <c r="A159" s="26" t="s">
        <v>266</v>
      </c>
      <c r="B159" s="26"/>
      <c r="C159" s="27"/>
      <c r="D159" s="26"/>
      <c r="E159" s="26"/>
      <c r="F159" s="28"/>
      <c r="G159" s="29" t="str">
        <f t="shared" ca="1" si="4"/>
        <v/>
      </c>
      <c r="H159" s="29" t="str">
        <f>IF(B159="","",COUNTIFS('🤸 Ingresos Pole'!$C$2:$C$1000,B159,'🤸 Ingresos Pole'!$J$2:$J$1000,"Paquete"))</f>
        <v/>
      </c>
      <c r="I159" s="29" t="str">
        <f>IF(B159="","",COUNTIF('🤸 Ingresos Pole'!$C$2:$C$1000,B159))</f>
        <v/>
      </c>
      <c r="J159" s="30" t="str">
        <f>IF(B159="","",SUMIF('🤸 Ingresos Pole'!$C$2:$C$1000,B159,'🤸 Ingresos Pole'!$N$2:$N$1000))</f>
        <v/>
      </c>
      <c r="K159" s="31" t="str">
        <f>IF(OR(B159="",I159=0),"",_xlfn.MINIFS('🤸 Ingresos Pole'!$B$2:$B$1000,'🤸 Ingresos Pole'!$C$2:$C$1000,B159))</f>
        <v/>
      </c>
      <c r="L159" s="31" t="str">
        <f>IF(OR(B159="",I159=0),"",_xlfn.MAXIFS('🤸 Ingresos Pole'!$B$2:$B$1000,'🤸 Ingresos Pole'!$C$2:$C$1000,B159))</f>
        <v/>
      </c>
      <c r="M159" s="29" t="str">
        <f t="shared" si="5"/>
        <v/>
      </c>
    </row>
    <row r="160" spans="1:13" x14ac:dyDescent="0.35">
      <c r="A160" s="26" t="s">
        <v>267</v>
      </c>
      <c r="B160" s="26"/>
      <c r="C160" s="27"/>
      <c r="D160" s="26"/>
      <c r="E160" s="26"/>
      <c r="F160" s="28"/>
      <c r="G160" s="29" t="str">
        <f t="shared" ca="1" si="4"/>
        <v/>
      </c>
      <c r="H160" s="29" t="str">
        <f>IF(B160="","",COUNTIFS('🤸 Ingresos Pole'!$C$2:$C$1000,B160,'🤸 Ingresos Pole'!$J$2:$J$1000,"Paquete"))</f>
        <v/>
      </c>
      <c r="I160" s="29" t="str">
        <f>IF(B160="","",COUNTIF('🤸 Ingresos Pole'!$C$2:$C$1000,B160))</f>
        <v/>
      </c>
      <c r="J160" s="30" t="str">
        <f>IF(B160="","",SUMIF('🤸 Ingresos Pole'!$C$2:$C$1000,B160,'🤸 Ingresos Pole'!$N$2:$N$1000))</f>
        <v/>
      </c>
      <c r="K160" s="31" t="str">
        <f>IF(OR(B160="",I160=0),"",_xlfn.MINIFS('🤸 Ingresos Pole'!$B$2:$B$1000,'🤸 Ingresos Pole'!$C$2:$C$1000,B160))</f>
        <v/>
      </c>
      <c r="L160" s="31" t="str">
        <f>IF(OR(B160="",I160=0),"",_xlfn.MAXIFS('🤸 Ingresos Pole'!$B$2:$B$1000,'🤸 Ingresos Pole'!$C$2:$C$1000,B160))</f>
        <v/>
      </c>
      <c r="M160" s="29" t="str">
        <f t="shared" si="5"/>
        <v/>
      </c>
    </row>
    <row r="161" spans="1:13" x14ac:dyDescent="0.35">
      <c r="A161" s="26" t="s">
        <v>268</v>
      </c>
      <c r="B161" s="26"/>
      <c r="C161" s="27"/>
      <c r="D161" s="26"/>
      <c r="E161" s="26"/>
      <c r="F161" s="28"/>
      <c r="G161" s="29" t="str">
        <f t="shared" ca="1" si="4"/>
        <v/>
      </c>
      <c r="H161" s="29" t="str">
        <f>IF(B161="","",COUNTIFS('🤸 Ingresos Pole'!$C$2:$C$1000,B161,'🤸 Ingresos Pole'!$J$2:$J$1000,"Paquete"))</f>
        <v/>
      </c>
      <c r="I161" s="29" t="str">
        <f>IF(B161="","",COUNTIF('🤸 Ingresos Pole'!$C$2:$C$1000,B161))</f>
        <v/>
      </c>
      <c r="J161" s="30" t="str">
        <f>IF(B161="","",SUMIF('🤸 Ingresos Pole'!$C$2:$C$1000,B161,'🤸 Ingresos Pole'!$N$2:$N$1000))</f>
        <v/>
      </c>
      <c r="K161" s="31" t="str">
        <f>IF(OR(B161="",I161=0),"",_xlfn.MINIFS('🤸 Ingresos Pole'!$B$2:$B$1000,'🤸 Ingresos Pole'!$C$2:$C$1000,B161))</f>
        <v/>
      </c>
      <c r="L161" s="31" t="str">
        <f>IF(OR(B161="",I161=0),"",_xlfn.MAXIFS('🤸 Ingresos Pole'!$B$2:$B$1000,'🤸 Ingresos Pole'!$C$2:$C$1000,B161))</f>
        <v/>
      </c>
      <c r="M161" s="29" t="str">
        <f t="shared" si="5"/>
        <v/>
      </c>
    </row>
    <row r="162" spans="1:13" x14ac:dyDescent="0.35">
      <c r="A162" s="26" t="s">
        <v>269</v>
      </c>
      <c r="B162" s="26"/>
      <c r="C162" s="27"/>
      <c r="D162" s="26"/>
      <c r="E162" s="26"/>
      <c r="F162" s="28"/>
      <c r="G162" s="29" t="str">
        <f t="shared" ca="1" si="4"/>
        <v/>
      </c>
      <c r="H162" s="29" t="str">
        <f>IF(B162="","",COUNTIFS('🤸 Ingresos Pole'!$C$2:$C$1000,B162,'🤸 Ingresos Pole'!$J$2:$J$1000,"Paquete"))</f>
        <v/>
      </c>
      <c r="I162" s="29" t="str">
        <f>IF(B162="","",COUNTIF('🤸 Ingresos Pole'!$C$2:$C$1000,B162))</f>
        <v/>
      </c>
      <c r="J162" s="30" t="str">
        <f>IF(B162="","",SUMIF('🤸 Ingresos Pole'!$C$2:$C$1000,B162,'🤸 Ingresos Pole'!$N$2:$N$1000))</f>
        <v/>
      </c>
      <c r="K162" s="31" t="str">
        <f>IF(OR(B162="",I162=0),"",_xlfn.MINIFS('🤸 Ingresos Pole'!$B$2:$B$1000,'🤸 Ingresos Pole'!$C$2:$C$1000,B162))</f>
        <v/>
      </c>
      <c r="L162" s="31" t="str">
        <f>IF(OR(B162="",I162=0),"",_xlfn.MAXIFS('🤸 Ingresos Pole'!$B$2:$B$1000,'🤸 Ingresos Pole'!$C$2:$C$1000,B162))</f>
        <v/>
      </c>
      <c r="M162" s="29" t="str">
        <f t="shared" si="5"/>
        <v/>
      </c>
    </row>
    <row r="163" spans="1:13" x14ac:dyDescent="0.35">
      <c r="A163" s="26" t="s">
        <v>270</v>
      </c>
      <c r="B163" s="26"/>
      <c r="C163" s="27"/>
      <c r="D163" s="26"/>
      <c r="E163" s="26"/>
      <c r="F163" s="28"/>
      <c r="G163" s="29" t="str">
        <f t="shared" ca="1" si="4"/>
        <v/>
      </c>
      <c r="H163" s="29" t="str">
        <f>IF(B163="","",COUNTIFS('🤸 Ingresos Pole'!$C$2:$C$1000,B163,'🤸 Ingresos Pole'!$J$2:$J$1000,"Paquete"))</f>
        <v/>
      </c>
      <c r="I163" s="29" t="str">
        <f>IF(B163="","",COUNTIF('🤸 Ingresos Pole'!$C$2:$C$1000,B163))</f>
        <v/>
      </c>
      <c r="J163" s="30" t="str">
        <f>IF(B163="","",SUMIF('🤸 Ingresos Pole'!$C$2:$C$1000,B163,'🤸 Ingresos Pole'!$N$2:$N$1000))</f>
        <v/>
      </c>
      <c r="K163" s="31" t="str">
        <f>IF(OR(B163="",I163=0),"",_xlfn.MINIFS('🤸 Ingresos Pole'!$B$2:$B$1000,'🤸 Ingresos Pole'!$C$2:$C$1000,B163))</f>
        <v/>
      </c>
      <c r="L163" s="31" t="str">
        <f>IF(OR(B163="",I163=0),"",_xlfn.MAXIFS('🤸 Ingresos Pole'!$B$2:$B$1000,'🤸 Ingresos Pole'!$C$2:$C$1000,B163))</f>
        <v/>
      </c>
      <c r="M163" s="29" t="str">
        <f t="shared" si="5"/>
        <v/>
      </c>
    </row>
    <row r="164" spans="1:13" x14ac:dyDescent="0.35">
      <c r="A164" s="26" t="s">
        <v>271</v>
      </c>
      <c r="B164" s="26"/>
      <c r="C164" s="27"/>
      <c r="D164" s="26"/>
      <c r="E164" s="26"/>
      <c r="F164" s="28"/>
      <c r="G164" s="29" t="str">
        <f t="shared" ca="1" si="4"/>
        <v/>
      </c>
      <c r="H164" s="29" t="str">
        <f>IF(B164="","",COUNTIFS('🤸 Ingresos Pole'!$C$2:$C$1000,B164,'🤸 Ingresos Pole'!$J$2:$J$1000,"Paquete"))</f>
        <v/>
      </c>
      <c r="I164" s="29" t="str">
        <f>IF(B164="","",COUNTIF('🤸 Ingresos Pole'!$C$2:$C$1000,B164))</f>
        <v/>
      </c>
      <c r="J164" s="30" t="str">
        <f>IF(B164="","",SUMIF('🤸 Ingresos Pole'!$C$2:$C$1000,B164,'🤸 Ingresos Pole'!$N$2:$N$1000))</f>
        <v/>
      </c>
      <c r="K164" s="31" t="str">
        <f>IF(OR(B164="",I164=0),"",_xlfn.MINIFS('🤸 Ingresos Pole'!$B$2:$B$1000,'🤸 Ingresos Pole'!$C$2:$C$1000,B164))</f>
        <v/>
      </c>
      <c r="L164" s="31" t="str">
        <f>IF(OR(B164="",I164=0),"",_xlfn.MAXIFS('🤸 Ingresos Pole'!$B$2:$B$1000,'🤸 Ingresos Pole'!$C$2:$C$1000,B164))</f>
        <v/>
      </c>
      <c r="M164" s="29" t="str">
        <f t="shared" si="5"/>
        <v/>
      </c>
    </row>
    <row r="165" spans="1:13" x14ac:dyDescent="0.35">
      <c r="A165" s="26" t="s">
        <v>272</v>
      </c>
      <c r="B165" s="26"/>
      <c r="C165" s="27"/>
      <c r="D165" s="26"/>
      <c r="E165" s="26"/>
      <c r="F165" s="28"/>
      <c r="G165" s="29" t="str">
        <f t="shared" ca="1" si="4"/>
        <v/>
      </c>
      <c r="H165" s="29" t="str">
        <f>IF(B165="","",COUNTIFS('🤸 Ingresos Pole'!$C$2:$C$1000,B165,'🤸 Ingresos Pole'!$J$2:$J$1000,"Paquete"))</f>
        <v/>
      </c>
      <c r="I165" s="29" t="str">
        <f>IF(B165="","",COUNTIF('🤸 Ingresos Pole'!$C$2:$C$1000,B165))</f>
        <v/>
      </c>
      <c r="J165" s="30" t="str">
        <f>IF(B165="","",SUMIF('🤸 Ingresos Pole'!$C$2:$C$1000,B165,'🤸 Ingresos Pole'!$N$2:$N$1000))</f>
        <v/>
      </c>
      <c r="K165" s="31" t="str">
        <f>IF(OR(B165="",I165=0),"",_xlfn.MINIFS('🤸 Ingresos Pole'!$B$2:$B$1000,'🤸 Ingresos Pole'!$C$2:$C$1000,B165))</f>
        <v/>
      </c>
      <c r="L165" s="31" t="str">
        <f>IF(OR(B165="",I165=0),"",_xlfn.MAXIFS('🤸 Ingresos Pole'!$B$2:$B$1000,'🤸 Ingresos Pole'!$C$2:$C$1000,B165))</f>
        <v/>
      </c>
      <c r="M165" s="29" t="str">
        <f t="shared" si="5"/>
        <v/>
      </c>
    </row>
    <row r="166" spans="1:13" x14ac:dyDescent="0.35">
      <c r="A166" s="26" t="s">
        <v>273</v>
      </c>
      <c r="B166" s="26"/>
      <c r="C166" s="27"/>
      <c r="D166" s="26"/>
      <c r="E166" s="26"/>
      <c r="F166" s="28"/>
      <c r="G166" s="29" t="str">
        <f t="shared" ca="1" si="4"/>
        <v/>
      </c>
      <c r="H166" s="29" t="str">
        <f>IF(B166="","",COUNTIFS('🤸 Ingresos Pole'!$C$2:$C$1000,B166,'🤸 Ingresos Pole'!$J$2:$J$1000,"Paquete"))</f>
        <v/>
      </c>
      <c r="I166" s="29" t="str">
        <f>IF(B166="","",COUNTIF('🤸 Ingresos Pole'!$C$2:$C$1000,B166))</f>
        <v/>
      </c>
      <c r="J166" s="30" t="str">
        <f>IF(B166="","",SUMIF('🤸 Ingresos Pole'!$C$2:$C$1000,B166,'🤸 Ingresos Pole'!$N$2:$N$1000))</f>
        <v/>
      </c>
      <c r="K166" s="31" t="str">
        <f>IF(OR(B166="",I166=0),"",_xlfn.MINIFS('🤸 Ingresos Pole'!$B$2:$B$1000,'🤸 Ingresos Pole'!$C$2:$C$1000,B166))</f>
        <v/>
      </c>
      <c r="L166" s="31" t="str">
        <f>IF(OR(B166="",I166=0),"",_xlfn.MAXIFS('🤸 Ingresos Pole'!$B$2:$B$1000,'🤸 Ingresos Pole'!$C$2:$C$1000,B166))</f>
        <v/>
      </c>
      <c r="M166" s="29" t="str">
        <f t="shared" si="5"/>
        <v/>
      </c>
    </row>
    <row r="167" spans="1:13" x14ac:dyDescent="0.35">
      <c r="A167" s="26" t="s">
        <v>274</v>
      </c>
      <c r="B167" s="26"/>
      <c r="C167" s="27"/>
      <c r="D167" s="26"/>
      <c r="E167" s="26"/>
      <c r="F167" s="28"/>
      <c r="G167" s="29" t="str">
        <f t="shared" ca="1" si="4"/>
        <v/>
      </c>
      <c r="H167" s="29" t="str">
        <f>IF(B167="","",COUNTIFS('🤸 Ingresos Pole'!$C$2:$C$1000,B167,'🤸 Ingresos Pole'!$J$2:$J$1000,"Paquete"))</f>
        <v/>
      </c>
      <c r="I167" s="29" t="str">
        <f>IF(B167="","",COUNTIF('🤸 Ingresos Pole'!$C$2:$C$1000,B167))</f>
        <v/>
      </c>
      <c r="J167" s="30" t="str">
        <f>IF(B167="","",SUMIF('🤸 Ingresos Pole'!$C$2:$C$1000,B167,'🤸 Ingresos Pole'!$N$2:$N$1000))</f>
        <v/>
      </c>
      <c r="K167" s="31" t="str">
        <f>IF(OR(B167="",I167=0),"",_xlfn.MINIFS('🤸 Ingresos Pole'!$B$2:$B$1000,'🤸 Ingresos Pole'!$C$2:$C$1000,B167))</f>
        <v/>
      </c>
      <c r="L167" s="31" t="str">
        <f>IF(OR(B167="",I167=0),"",_xlfn.MAXIFS('🤸 Ingresos Pole'!$B$2:$B$1000,'🤸 Ingresos Pole'!$C$2:$C$1000,B167))</f>
        <v/>
      </c>
      <c r="M167" s="29" t="str">
        <f t="shared" si="5"/>
        <v/>
      </c>
    </row>
    <row r="168" spans="1:13" x14ac:dyDescent="0.35">
      <c r="A168" s="26" t="s">
        <v>275</v>
      </c>
      <c r="B168" s="26"/>
      <c r="C168" s="27"/>
      <c r="D168" s="26"/>
      <c r="E168" s="26"/>
      <c r="F168" s="28"/>
      <c r="G168" s="29" t="str">
        <f t="shared" ca="1" si="4"/>
        <v/>
      </c>
      <c r="H168" s="29" t="str">
        <f>IF(B168="","",COUNTIFS('🤸 Ingresos Pole'!$C$2:$C$1000,B168,'🤸 Ingresos Pole'!$J$2:$J$1000,"Paquete"))</f>
        <v/>
      </c>
      <c r="I168" s="29" t="str">
        <f>IF(B168="","",COUNTIF('🤸 Ingresos Pole'!$C$2:$C$1000,B168))</f>
        <v/>
      </c>
      <c r="J168" s="30" t="str">
        <f>IF(B168="","",SUMIF('🤸 Ingresos Pole'!$C$2:$C$1000,B168,'🤸 Ingresos Pole'!$N$2:$N$1000))</f>
        <v/>
      </c>
      <c r="K168" s="31" t="str">
        <f>IF(OR(B168="",I168=0),"",_xlfn.MINIFS('🤸 Ingresos Pole'!$B$2:$B$1000,'🤸 Ingresos Pole'!$C$2:$C$1000,B168))</f>
        <v/>
      </c>
      <c r="L168" s="31" t="str">
        <f>IF(OR(B168="",I168=0),"",_xlfn.MAXIFS('🤸 Ingresos Pole'!$B$2:$B$1000,'🤸 Ingresos Pole'!$C$2:$C$1000,B168))</f>
        <v/>
      </c>
      <c r="M168" s="29" t="str">
        <f t="shared" si="5"/>
        <v/>
      </c>
    </row>
    <row r="169" spans="1:13" x14ac:dyDescent="0.35">
      <c r="A169" s="26" t="s">
        <v>276</v>
      </c>
      <c r="B169" s="26"/>
      <c r="C169" s="27"/>
      <c r="D169" s="26"/>
      <c r="E169" s="26"/>
      <c r="F169" s="28"/>
      <c r="G169" s="29" t="str">
        <f t="shared" ca="1" si="4"/>
        <v/>
      </c>
      <c r="H169" s="29" t="str">
        <f>IF(B169="","",COUNTIFS('🤸 Ingresos Pole'!$C$2:$C$1000,B169,'🤸 Ingresos Pole'!$J$2:$J$1000,"Paquete"))</f>
        <v/>
      </c>
      <c r="I169" s="29" t="str">
        <f>IF(B169="","",COUNTIF('🤸 Ingresos Pole'!$C$2:$C$1000,B169))</f>
        <v/>
      </c>
      <c r="J169" s="30" t="str">
        <f>IF(B169="","",SUMIF('🤸 Ingresos Pole'!$C$2:$C$1000,B169,'🤸 Ingresos Pole'!$N$2:$N$1000))</f>
        <v/>
      </c>
      <c r="K169" s="31" t="str">
        <f>IF(OR(B169="",I169=0),"",_xlfn.MINIFS('🤸 Ingresos Pole'!$B$2:$B$1000,'🤸 Ingresos Pole'!$C$2:$C$1000,B169))</f>
        <v/>
      </c>
      <c r="L169" s="31" t="str">
        <f>IF(OR(B169="",I169=0),"",_xlfn.MAXIFS('🤸 Ingresos Pole'!$B$2:$B$1000,'🤸 Ingresos Pole'!$C$2:$C$1000,B169))</f>
        <v/>
      </c>
      <c r="M169" s="29" t="str">
        <f t="shared" si="5"/>
        <v/>
      </c>
    </row>
    <row r="170" spans="1:13" x14ac:dyDescent="0.35">
      <c r="A170" s="26" t="s">
        <v>277</v>
      </c>
      <c r="B170" s="26"/>
      <c r="C170" s="27"/>
      <c r="D170" s="26"/>
      <c r="E170" s="26"/>
      <c r="F170" s="28"/>
      <c r="G170" s="29" t="str">
        <f t="shared" ca="1" si="4"/>
        <v/>
      </c>
      <c r="H170" s="29" t="str">
        <f>IF(B170="","",COUNTIFS('🤸 Ingresos Pole'!$C$2:$C$1000,B170,'🤸 Ingresos Pole'!$J$2:$J$1000,"Paquete"))</f>
        <v/>
      </c>
      <c r="I170" s="29" t="str">
        <f>IF(B170="","",COUNTIF('🤸 Ingresos Pole'!$C$2:$C$1000,B170))</f>
        <v/>
      </c>
      <c r="J170" s="30" t="str">
        <f>IF(B170="","",SUMIF('🤸 Ingresos Pole'!$C$2:$C$1000,B170,'🤸 Ingresos Pole'!$N$2:$N$1000))</f>
        <v/>
      </c>
      <c r="K170" s="31" t="str">
        <f>IF(OR(B170="",I170=0),"",_xlfn.MINIFS('🤸 Ingresos Pole'!$B$2:$B$1000,'🤸 Ingresos Pole'!$C$2:$C$1000,B170))</f>
        <v/>
      </c>
      <c r="L170" s="31" t="str">
        <f>IF(OR(B170="",I170=0),"",_xlfn.MAXIFS('🤸 Ingresos Pole'!$B$2:$B$1000,'🤸 Ingresos Pole'!$C$2:$C$1000,B170))</f>
        <v/>
      </c>
      <c r="M170" s="29" t="str">
        <f t="shared" si="5"/>
        <v/>
      </c>
    </row>
    <row r="171" spans="1:13" x14ac:dyDescent="0.35">
      <c r="A171" s="26" t="s">
        <v>278</v>
      </c>
      <c r="B171" s="26"/>
      <c r="C171" s="27"/>
      <c r="D171" s="26"/>
      <c r="E171" s="26"/>
      <c r="F171" s="28"/>
      <c r="G171" s="29" t="str">
        <f t="shared" ca="1" si="4"/>
        <v/>
      </c>
      <c r="H171" s="29" t="str">
        <f>IF(B171="","",COUNTIFS('🤸 Ingresos Pole'!$C$2:$C$1000,B171,'🤸 Ingresos Pole'!$J$2:$J$1000,"Paquete"))</f>
        <v/>
      </c>
      <c r="I171" s="29" t="str">
        <f>IF(B171="","",COUNTIF('🤸 Ingresos Pole'!$C$2:$C$1000,B171))</f>
        <v/>
      </c>
      <c r="J171" s="30" t="str">
        <f>IF(B171="","",SUMIF('🤸 Ingresos Pole'!$C$2:$C$1000,B171,'🤸 Ingresos Pole'!$N$2:$N$1000))</f>
        <v/>
      </c>
      <c r="K171" s="31" t="str">
        <f>IF(OR(B171="",I171=0),"",_xlfn.MINIFS('🤸 Ingresos Pole'!$B$2:$B$1000,'🤸 Ingresos Pole'!$C$2:$C$1000,B171))</f>
        <v/>
      </c>
      <c r="L171" s="31" t="str">
        <f>IF(OR(B171="",I171=0),"",_xlfn.MAXIFS('🤸 Ingresos Pole'!$B$2:$B$1000,'🤸 Ingresos Pole'!$C$2:$C$1000,B171))</f>
        <v/>
      </c>
      <c r="M171" s="29" t="str">
        <f t="shared" si="5"/>
        <v/>
      </c>
    </row>
    <row r="172" spans="1:13" x14ac:dyDescent="0.35">
      <c r="A172" s="26" t="s">
        <v>279</v>
      </c>
      <c r="B172" s="26"/>
      <c r="C172" s="27"/>
      <c r="D172" s="26"/>
      <c r="E172" s="26"/>
      <c r="F172" s="28"/>
      <c r="G172" s="29" t="str">
        <f t="shared" ca="1" si="4"/>
        <v/>
      </c>
      <c r="H172" s="29" t="str">
        <f>IF(B172="","",COUNTIFS('🤸 Ingresos Pole'!$C$2:$C$1000,B172,'🤸 Ingresos Pole'!$J$2:$J$1000,"Paquete"))</f>
        <v/>
      </c>
      <c r="I172" s="29" t="str">
        <f>IF(B172="","",COUNTIF('🤸 Ingresos Pole'!$C$2:$C$1000,B172))</f>
        <v/>
      </c>
      <c r="J172" s="30" t="str">
        <f>IF(B172="","",SUMIF('🤸 Ingresos Pole'!$C$2:$C$1000,B172,'🤸 Ingresos Pole'!$N$2:$N$1000))</f>
        <v/>
      </c>
      <c r="K172" s="31" t="str">
        <f>IF(OR(B172="",I172=0),"",_xlfn.MINIFS('🤸 Ingresos Pole'!$B$2:$B$1000,'🤸 Ingresos Pole'!$C$2:$C$1000,B172))</f>
        <v/>
      </c>
      <c r="L172" s="31" t="str">
        <f>IF(OR(B172="",I172=0),"",_xlfn.MAXIFS('🤸 Ingresos Pole'!$B$2:$B$1000,'🤸 Ingresos Pole'!$C$2:$C$1000,B172))</f>
        <v/>
      </c>
      <c r="M172" s="29" t="str">
        <f t="shared" si="5"/>
        <v/>
      </c>
    </row>
    <row r="173" spans="1:13" x14ac:dyDescent="0.35">
      <c r="A173" s="26" t="s">
        <v>280</v>
      </c>
      <c r="B173" s="26"/>
      <c r="C173" s="27"/>
      <c r="D173" s="26"/>
      <c r="E173" s="26"/>
      <c r="F173" s="28"/>
      <c r="G173" s="29" t="str">
        <f t="shared" ca="1" si="4"/>
        <v/>
      </c>
      <c r="H173" s="29" t="str">
        <f>IF(B173="","",COUNTIFS('🤸 Ingresos Pole'!$C$2:$C$1000,B173,'🤸 Ingresos Pole'!$J$2:$J$1000,"Paquete"))</f>
        <v/>
      </c>
      <c r="I173" s="29" t="str">
        <f>IF(B173="","",COUNTIF('🤸 Ingresos Pole'!$C$2:$C$1000,B173))</f>
        <v/>
      </c>
      <c r="J173" s="30" t="str">
        <f>IF(B173="","",SUMIF('🤸 Ingresos Pole'!$C$2:$C$1000,B173,'🤸 Ingresos Pole'!$N$2:$N$1000))</f>
        <v/>
      </c>
      <c r="K173" s="31" t="str">
        <f>IF(OR(B173="",I173=0),"",_xlfn.MINIFS('🤸 Ingresos Pole'!$B$2:$B$1000,'🤸 Ingresos Pole'!$C$2:$C$1000,B173))</f>
        <v/>
      </c>
      <c r="L173" s="31" t="str">
        <f>IF(OR(B173="",I173=0),"",_xlfn.MAXIFS('🤸 Ingresos Pole'!$B$2:$B$1000,'🤸 Ingresos Pole'!$C$2:$C$1000,B173))</f>
        <v/>
      </c>
      <c r="M173" s="29" t="str">
        <f t="shared" si="5"/>
        <v/>
      </c>
    </row>
    <row r="174" spans="1:13" x14ac:dyDescent="0.35">
      <c r="A174" s="26" t="s">
        <v>281</v>
      </c>
      <c r="B174" s="26"/>
      <c r="C174" s="27"/>
      <c r="D174" s="26"/>
      <c r="E174" s="26"/>
      <c r="F174" s="28"/>
      <c r="G174" s="29" t="str">
        <f t="shared" ca="1" si="4"/>
        <v/>
      </c>
      <c r="H174" s="29" t="str">
        <f>IF(B174="","",COUNTIFS('🤸 Ingresos Pole'!$C$2:$C$1000,B174,'🤸 Ingresos Pole'!$J$2:$J$1000,"Paquete"))</f>
        <v/>
      </c>
      <c r="I174" s="29" t="str">
        <f>IF(B174="","",COUNTIF('🤸 Ingresos Pole'!$C$2:$C$1000,B174))</f>
        <v/>
      </c>
      <c r="J174" s="30" t="str">
        <f>IF(B174="","",SUMIF('🤸 Ingresos Pole'!$C$2:$C$1000,B174,'🤸 Ingresos Pole'!$N$2:$N$1000))</f>
        <v/>
      </c>
      <c r="K174" s="31" t="str">
        <f>IF(OR(B174="",I174=0),"",_xlfn.MINIFS('🤸 Ingresos Pole'!$B$2:$B$1000,'🤸 Ingresos Pole'!$C$2:$C$1000,B174))</f>
        <v/>
      </c>
      <c r="L174" s="31" t="str">
        <f>IF(OR(B174="",I174=0),"",_xlfn.MAXIFS('🤸 Ingresos Pole'!$B$2:$B$1000,'🤸 Ingresos Pole'!$C$2:$C$1000,B174))</f>
        <v/>
      </c>
      <c r="M174" s="29" t="str">
        <f t="shared" si="5"/>
        <v/>
      </c>
    </row>
    <row r="175" spans="1:13" x14ac:dyDescent="0.35">
      <c r="A175" s="26" t="s">
        <v>282</v>
      </c>
      <c r="B175" s="26"/>
      <c r="C175" s="27"/>
      <c r="D175" s="26"/>
      <c r="E175" s="26"/>
      <c r="F175" s="28"/>
      <c r="G175" s="29" t="str">
        <f t="shared" ca="1" si="4"/>
        <v/>
      </c>
      <c r="H175" s="29" t="str">
        <f>IF(B175="","",COUNTIFS('🤸 Ingresos Pole'!$C$2:$C$1000,B175,'🤸 Ingresos Pole'!$J$2:$J$1000,"Paquete"))</f>
        <v/>
      </c>
      <c r="I175" s="29" t="str">
        <f>IF(B175="","",COUNTIF('🤸 Ingresos Pole'!$C$2:$C$1000,B175))</f>
        <v/>
      </c>
      <c r="J175" s="30" t="str">
        <f>IF(B175="","",SUMIF('🤸 Ingresos Pole'!$C$2:$C$1000,B175,'🤸 Ingresos Pole'!$N$2:$N$1000))</f>
        <v/>
      </c>
      <c r="K175" s="31" t="str">
        <f>IF(OR(B175="",I175=0),"",_xlfn.MINIFS('🤸 Ingresos Pole'!$B$2:$B$1000,'🤸 Ingresos Pole'!$C$2:$C$1000,B175))</f>
        <v/>
      </c>
      <c r="L175" s="31" t="str">
        <f>IF(OR(B175="",I175=0),"",_xlfn.MAXIFS('🤸 Ingresos Pole'!$B$2:$B$1000,'🤸 Ingresos Pole'!$C$2:$C$1000,B175))</f>
        <v/>
      </c>
      <c r="M175" s="29" t="str">
        <f t="shared" si="5"/>
        <v/>
      </c>
    </row>
    <row r="176" spans="1:13" x14ac:dyDescent="0.35">
      <c r="A176" s="26" t="s">
        <v>283</v>
      </c>
      <c r="B176" s="26"/>
      <c r="C176" s="27"/>
      <c r="D176" s="26"/>
      <c r="E176" s="26"/>
      <c r="F176" s="28"/>
      <c r="G176" s="29" t="str">
        <f t="shared" ca="1" si="4"/>
        <v/>
      </c>
      <c r="H176" s="29" t="str">
        <f>IF(B176="","",COUNTIFS('🤸 Ingresos Pole'!$C$2:$C$1000,B176,'🤸 Ingresos Pole'!$J$2:$J$1000,"Paquete"))</f>
        <v/>
      </c>
      <c r="I176" s="29" t="str">
        <f>IF(B176="","",COUNTIF('🤸 Ingresos Pole'!$C$2:$C$1000,B176))</f>
        <v/>
      </c>
      <c r="J176" s="30" t="str">
        <f>IF(B176="","",SUMIF('🤸 Ingresos Pole'!$C$2:$C$1000,B176,'🤸 Ingresos Pole'!$N$2:$N$1000))</f>
        <v/>
      </c>
      <c r="K176" s="31" t="str">
        <f>IF(OR(B176="",I176=0),"",_xlfn.MINIFS('🤸 Ingresos Pole'!$B$2:$B$1000,'🤸 Ingresos Pole'!$C$2:$C$1000,B176))</f>
        <v/>
      </c>
      <c r="L176" s="31" t="str">
        <f>IF(OR(B176="",I176=0),"",_xlfn.MAXIFS('🤸 Ingresos Pole'!$B$2:$B$1000,'🤸 Ingresos Pole'!$C$2:$C$1000,B176))</f>
        <v/>
      </c>
      <c r="M176" s="29" t="str">
        <f t="shared" si="5"/>
        <v/>
      </c>
    </row>
    <row r="177" spans="1:13" x14ac:dyDescent="0.35">
      <c r="A177" s="26" t="s">
        <v>284</v>
      </c>
      <c r="B177" s="26"/>
      <c r="C177" s="27"/>
      <c r="D177" s="26"/>
      <c r="E177" s="26"/>
      <c r="F177" s="28"/>
      <c r="G177" s="29" t="str">
        <f t="shared" ca="1" si="4"/>
        <v/>
      </c>
      <c r="H177" s="29" t="str">
        <f>IF(B177="","",COUNTIFS('🤸 Ingresos Pole'!$C$2:$C$1000,B177,'🤸 Ingresos Pole'!$J$2:$J$1000,"Paquete"))</f>
        <v/>
      </c>
      <c r="I177" s="29" t="str">
        <f>IF(B177="","",COUNTIF('🤸 Ingresos Pole'!$C$2:$C$1000,B177))</f>
        <v/>
      </c>
      <c r="J177" s="30" t="str">
        <f>IF(B177="","",SUMIF('🤸 Ingresos Pole'!$C$2:$C$1000,B177,'🤸 Ingresos Pole'!$N$2:$N$1000))</f>
        <v/>
      </c>
      <c r="K177" s="31" t="str">
        <f>IF(OR(B177="",I177=0),"",_xlfn.MINIFS('🤸 Ingresos Pole'!$B$2:$B$1000,'🤸 Ingresos Pole'!$C$2:$C$1000,B177))</f>
        <v/>
      </c>
      <c r="L177" s="31" t="str">
        <f>IF(OR(B177="",I177=0),"",_xlfn.MAXIFS('🤸 Ingresos Pole'!$B$2:$B$1000,'🤸 Ingresos Pole'!$C$2:$C$1000,B177))</f>
        <v/>
      </c>
      <c r="M177" s="29" t="str">
        <f t="shared" si="5"/>
        <v/>
      </c>
    </row>
    <row r="178" spans="1:13" x14ac:dyDescent="0.35">
      <c r="A178" s="26" t="s">
        <v>285</v>
      </c>
      <c r="B178" s="26"/>
      <c r="C178" s="27"/>
      <c r="D178" s="26"/>
      <c r="E178" s="26"/>
      <c r="F178" s="28"/>
      <c r="G178" s="29" t="str">
        <f t="shared" ca="1" si="4"/>
        <v/>
      </c>
      <c r="H178" s="29" t="str">
        <f>IF(B178="","",COUNTIFS('🤸 Ingresos Pole'!$C$2:$C$1000,B178,'🤸 Ingresos Pole'!$J$2:$J$1000,"Paquete"))</f>
        <v/>
      </c>
      <c r="I178" s="29" t="str">
        <f>IF(B178="","",COUNTIF('🤸 Ingresos Pole'!$C$2:$C$1000,B178))</f>
        <v/>
      </c>
      <c r="J178" s="30" t="str">
        <f>IF(B178="","",SUMIF('🤸 Ingresos Pole'!$C$2:$C$1000,B178,'🤸 Ingresos Pole'!$N$2:$N$1000))</f>
        <v/>
      </c>
      <c r="K178" s="31" t="str">
        <f>IF(OR(B178="",I178=0),"",_xlfn.MINIFS('🤸 Ingresos Pole'!$B$2:$B$1000,'🤸 Ingresos Pole'!$C$2:$C$1000,B178))</f>
        <v/>
      </c>
      <c r="L178" s="31" t="str">
        <f>IF(OR(B178="",I178=0),"",_xlfn.MAXIFS('🤸 Ingresos Pole'!$B$2:$B$1000,'🤸 Ingresos Pole'!$C$2:$C$1000,B178))</f>
        <v/>
      </c>
      <c r="M178" s="29" t="str">
        <f t="shared" si="5"/>
        <v/>
      </c>
    </row>
    <row r="179" spans="1:13" x14ac:dyDescent="0.35">
      <c r="A179" s="26" t="s">
        <v>286</v>
      </c>
      <c r="B179" s="26"/>
      <c r="C179" s="27"/>
      <c r="D179" s="26"/>
      <c r="E179" s="26"/>
      <c r="F179" s="28"/>
      <c r="G179" s="29" t="str">
        <f t="shared" ca="1" si="4"/>
        <v/>
      </c>
      <c r="H179" s="29" t="str">
        <f>IF(B179="","",COUNTIFS('🤸 Ingresos Pole'!$C$2:$C$1000,B179,'🤸 Ingresos Pole'!$J$2:$J$1000,"Paquete"))</f>
        <v/>
      </c>
      <c r="I179" s="29" t="str">
        <f>IF(B179="","",COUNTIF('🤸 Ingresos Pole'!$C$2:$C$1000,B179))</f>
        <v/>
      </c>
      <c r="J179" s="30" t="str">
        <f>IF(B179="","",SUMIF('🤸 Ingresos Pole'!$C$2:$C$1000,B179,'🤸 Ingresos Pole'!$N$2:$N$1000))</f>
        <v/>
      </c>
      <c r="K179" s="31" t="str">
        <f>IF(OR(B179="",I179=0),"",_xlfn.MINIFS('🤸 Ingresos Pole'!$B$2:$B$1000,'🤸 Ingresos Pole'!$C$2:$C$1000,B179))</f>
        <v/>
      </c>
      <c r="L179" s="31" t="str">
        <f>IF(OR(B179="",I179=0),"",_xlfn.MAXIFS('🤸 Ingresos Pole'!$B$2:$B$1000,'🤸 Ingresos Pole'!$C$2:$C$1000,B179))</f>
        <v/>
      </c>
      <c r="M179" s="29" t="str">
        <f t="shared" si="5"/>
        <v/>
      </c>
    </row>
    <row r="180" spans="1:13" x14ac:dyDescent="0.35">
      <c r="A180" s="26" t="s">
        <v>287</v>
      </c>
      <c r="B180" s="26"/>
      <c r="C180" s="27"/>
      <c r="D180" s="26"/>
      <c r="E180" s="26"/>
      <c r="F180" s="28"/>
      <c r="G180" s="29" t="str">
        <f t="shared" ca="1" si="4"/>
        <v/>
      </c>
      <c r="H180" s="29" t="str">
        <f>IF(B180="","",COUNTIFS('🤸 Ingresos Pole'!$C$2:$C$1000,B180,'🤸 Ingresos Pole'!$J$2:$J$1000,"Paquete"))</f>
        <v/>
      </c>
      <c r="I180" s="29" t="str">
        <f>IF(B180="","",COUNTIF('🤸 Ingresos Pole'!$C$2:$C$1000,B180))</f>
        <v/>
      </c>
      <c r="J180" s="30" t="str">
        <f>IF(B180="","",SUMIF('🤸 Ingresos Pole'!$C$2:$C$1000,B180,'🤸 Ingresos Pole'!$N$2:$N$1000))</f>
        <v/>
      </c>
      <c r="K180" s="31" t="str">
        <f>IF(OR(B180="",I180=0),"",_xlfn.MINIFS('🤸 Ingresos Pole'!$B$2:$B$1000,'🤸 Ingresos Pole'!$C$2:$C$1000,B180))</f>
        <v/>
      </c>
      <c r="L180" s="31" t="str">
        <f>IF(OR(B180="",I180=0),"",_xlfn.MAXIFS('🤸 Ingresos Pole'!$B$2:$B$1000,'🤸 Ingresos Pole'!$C$2:$C$1000,B180))</f>
        <v/>
      </c>
      <c r="M180" s="29" t="str">
        <f t="shared" si="5"/>
        <v/>
      </c>
    </row>
    <row r="181" spans="1:13" x14ac:dyDescent="0.35">
      <c r="A181" s="26" t="s">
        <v>288</v>
      </c>
      <c r="B181" s="26"/>
      <c r="C181" s="27"/>
      <c r="D181" s="26"/>
      <c r="E181" s="26"/>
      <c r="F181" s="28"/>
      <c r="G181" s="29" t="str">
        <f t="shared" ca="1" si="4"/>
        <v/>
      </c>
      <c r="H181" s="29" t="str">
        <f>IF(B181="","",COUNTIFS('🤸 Ingresos Pole'!$C$2:$C$1000,B181,'🤸 Ingresos Pole'!$J$2:$J$1000,"Paquete"))</f>
        <v/>
      </c>
      <c r="I181" s="29" t="str">
        <f>IF(B181="","",COUNTIF('🤸 Ingresos Pole'!$C$2:$C$1000,B181))</f>
        <v/>
      </c>
      <c r="J181" s="30" t="str">
        <f>IF(B181="","",SUMIF('🤸 Ingresos Pole'!$C$2:$C$1000,B181,'🤸 Ingresos Pole'!$N$2:$N$1000))</f>
        <v/>
      </c>
      <c r="K181" s="31" t="str">
        <f>IF(OR(B181="",I181=0),"",_xlfn.MINIFS('🤸 Ingresos Pole'!$B$2:$B$1000,'🤸 Ingresos Pole'!$C$2:$C$1000,B181))</f>
        <v/>
      </c>
      <c r="L181" s="31" t="str">
        <f>IF(OR(B181="",I181=0),"",_xlfn.MAXIFS('🤸 Ingresos Pole'!$B$2:$B$1000,'🤸 Ingresos Pole'!$C$2:$C$1000,B181))</f>
        <v/>
      </c>
      <c r="M181" s="29" t="str">
        <f t="shared" si="5"/>
        <v/>
      </c>
    </row>
    <row r="182" spans="1:13" x14ac:dyDescent="0.35">
      <c r="A182" s="26" t="s">
        <v>289</v>
      </c>
      <c r="B182" s="26"/>
      <c r="C182" s="27"/>
      <c r="D182" s="26"/>
      <c r="E182" s="26"/>
      <c r="F182" s="28"/>
      <c r="G182" s="29" t="str">
        <f t="shared" ca="1" si="4"/>
        <v/>
      </c>
      <c r="H182" s="29" t="str">
        <f>IF(B182="","",COUNTIFS('🤸 Ingresos Pole'!$C$2:$C$1000,B182,'🤸 Ingresos Pole'!$J$2:$J$1000,"Paquete"))</f>
        <v/>
      </c>
      <c r="I182" s="29" t="str">
        <f>IF(B182="","",COUNTIF('🤸 Ingresos Pole'!$C$2:$C$1000,B182))</f>
        <v/>
      </c>
      <c r="J182" s="30" t="str">
        <f>IF(B182="","",SUMIF('🤸 Ingresos Pole'!$C$2:$C$1000,B182,'🤸 Ingresos Pole'!$N$2:$N$1000))</f>
        <v/>
      </c>
      <c r="K182" s="31" t="str">
        <f>IF(OR(B182="",I182=0),"",_xlfn.MINIFS('🤸 Ingresos Pole'!$B$2:$B$1000,'🤸 Ingresos Pole'!$C$2:$C$1000,B182))</f>
        <v/>
      </c>
      <c r="L182" s="31" t="str">
        <f>IF(OR(B182="",I182=0),"",_xlfn.MAXIFS('🤸 Ingresos Pole'!$B$2:$B$1000,'🤸 Ingresos Pole'!$C$2:$C$1000,B182))</f>
        <v/>
      </c>
      <c r="M182" s="29" t="str">
        <f t="shared" si="5"/>
        <v/>
      </c>
    </row>
    <row r="183" spans="1:13" x14ac:dyDescent="0.35">
      <c r="A183" s="26" t="s">
        <v>290</v>
      </c>
      <c r="B183" s="26"/>
      <c r="C183" s="27"/>
      <c r="D183" s="26"/>
      <c r="E183" s="26"/>
      <c r="F183" s="28"/>
      <c r="G183" s="29" t="str">
        <f t="shared" ca="1" si="4"/>
        <v/>
      </c>
      <c r="H183" s="29" t="str">
        <f>IF(B183="","",COUNTIFS('🤸 Ingresos Pole'!$C$2:$C$1000,B183,'🤸 Ingresos Pole'!$J$2:$J$1000,"Paquete"))</f>
        <v/>
      </c>
      <c r="I183" s="29" t="str">
        <f>IF(B183="","",COUNTIF('🤸 Ingresos Pole'!$C$2:$C$1000,B183))</f>
        <v/>
      </c>
      <c r="J183" s="30" t="str">
        <f>IF(B183="","",SUMIF('🤸 Ingresos Pole'!$C$2:$C$1000,B183,'🤸 Ingresos Pole'!$N$2:$N$1000))</f>
        <v/>
      </c>
      <c r="K183" s="31" t="str">
        <f>IF(OR(B183="",I183=0),"",_xlfn.MINIFS('🤸 Ingresos Pole'!$B$2:$B$1000,'🤸 Ingresos Pole'!$C$2:$C$1000,B183))</f>
        <v/>
      </c>
      <c r="L183" s="31" t="str">
        <f>IF(OR(B183="",I183=0),"",_xlfn.MAXIFS('🤸 Ingresos Pole'!$B$2:$B$1000,'🤸 Ingresos Pole'!$C$2:$C$1000,B183))</f>
        <v/>
      </c>
      <c r="M183" s="29" t="str">
        <f t="shared" si="5"/>
        <v/>
      </c>
    </row>
    <row r="184" spans="1:13" x14ac:dyDescent="0.35">
      <c r="A184" s="26" t="s">
        <v>291</v>
      </c>
      <c r="B184" s="26"/>
      <c r="C184" s="27"/>
      <c r="D184" s="26"/>
      <c r="E184" s="26"/>
      <c r="F184" s="28"/>
      <c r="G184" s="29" t="str">
        <f t="shared" ca="1" si="4"/>
        <v/>
      </c>
      <c r="H184" s="29" t="str">
        <f>IF(B184="","",COUNTIFS('🤸 Ingresos Pole'!$C$2:$C$1000,B184,'🤸 Ingresos Pole'!$J$2:$J$1000,"Paquete"))</f>
        <v/>
      </c>
      <c r="I184" s="29" t="str">
        <f>IF(B184="","",COUNTIF('🤸 Ingresos Pole'!$C$2:$C$1000,B184))</f>
        <v/>
      </c>
      <c r="J184" s="30" t="str">
        <f>IF(B184="","",SUMIF('🤸 Ingresos Pole'!$C$2:$C$1000,B184,'🤸 Ingresos Pole'!$N$2:$N$1000))</f>
        <v/>
      </c>
      <c r="K184" s="31" t="str">
        <f>IF(OR(B184="",I184=0),"",_xlfn.MINIFS('🤸 Ingresos Pole'!$B$2:$B$1000,'🤸 Ingresos Pole'!$C$2:$C$1000,B184))</f>
        <v/>
      </c>
      <c r="L184" s="31" t="str">
        <f>IF(OR(B184="",I184=0),"",_xlfn.MAXIFS('🤸 Ingresos Pole'!$B$2:$B$1000,'🤸 Ingresos Pole'!$C$2:$C$1000,B184))</f>
        <v/>
      </c>
      <c r="M184" s="29" t="str">
        <f t="shared" si="5"/>
        <v/>
      </c>
    </row>
    <row r="185" spans="1:13" x14ac:dyDescent="0.35">
      <c r="A185" s="26" t="s">
        <v>292</v>
      </c>
      <c r="B185" s="26"/>
      <c r="C185" s="27"/>
      <c r="D185" s="26"/>
      <c r="E185" s="26"/>
      <c r="F185" s="28"/>
      <c r="G185" s="29" t="str">
        <f t="shared" ca="1" si="4"/>
        <v/>
      </c>
      <c r="H185" s="29" t="str">
        <f>IF(B185="","",COUNTIFS('🤸 Ingresos Pole'!$C$2:$C$1000,B185,'🤸 Ingresos Pole'!$J$2:$J$1000,"Paquete"))</f>
        <v/>
      </c>
      <c r="I185" s="29" t="str">
        <f>IF(B185="","",COUNTIF('🤸 Ingresos Pole'!$C$2:$C$1000,B185))</f>
        <v/>
      </c>
      <c r="J185" s="30" t="str">
        <f>IF(B185="","",SUMIF('🤸 Ingresos Pole'!$C$2:$C$1000,B185,'🤸 Ingresos Pole'!$N$2:$N$1000))</f>
        <v/>
      </c>
      <c r="K185" s="31" t="str">
        <f>IF(OR(B185="",I185=0),"",_xlfn.MINIFS('🤸 Ingresos Pole'!$B$2:$B$1000,'🤸 Ingresos Pole'!$C$2:$C$1000,B185))</f>
        <v/>
      </c>
      <c r="L185" s="31" t="str">
        <f>IF(OR(B185="",I185=0),"",_xlfn.MAXIFS('🤸 Ingresos Pole'!$B$2:$B$1000,'🤸 Ingresos Pole'!$C$2:$C$1000,B185))</f>
        <v/>
      </c>
      <c r="M185" s="29" t="str">
        <f t="shared" si="5"/>
        <v/>
      </c>
    </row>
    <row r="186" spans="1:13" x14ac:dyDescent="0.35">
      <c r="A186" s="26" t="s">
        <v>293</v>
      </c>
      <c r="B186" s="26"/>
      <c r="C186" s="27"/>
      <c r="D186" s="26"/>
      <c r="E186" s="26"/>
      <c r="F186" s="28"/>
      <c r="G186" s="29" t="str">
        <f t="shared" ca="1" si="4"/>
        <v/>
      </c>
      <c r="H186" s="29" t="str">
        <f>IF(B186="","",COUNTIFS('🤸 Ingresos Pole'!$C$2:$C$1000,B186,'🤸 Ingresos Pole'!$J$2:$J$1000,"Paquete"))</f>
        <v/>
      </c>
      <c r="I186" s="29" t="str">
        <f>IF(B186="","",COUNTIF('🤸 Ingresos Pole'!$C$2:$C$1000,B186))</f>
        <v/>
      </c>
      <c r="J186" s="30" t="str">
        <f>IF(B186="","",SUMIF('🤸 Ingresos Pole'!$C$2:$C$1000,B186,'🤸 Ingresos Pole'!$N$2:$N$1000))</f>
        <v/>
      </c>
      <c r="K186" s="31" t="str">
        <f>IF(OR(B186="",I186=0),"",_xlfn.MINIFS('🤸 Ingresos Pole'!$B$2:$B$1000,'🤸 Ingresos Pole'!$C$2:$C$1000,B186))</f>
        <v/>
      </c>
      <c r="L186" s="31" t="str">
        <f>IF(OR(B186="",I186=0),"",_xlfn.MAXIFS('🤸 Ingresos Pole'!$B$2:$B$1000,'🤸 Ingresos Pole'!$C$2:$C$1000,B186))</f>
        <v/>
      </c>
      <c r="M186" s="29" t="str">
        <f t="shared" si="5"/>
        <v/>
      </c>
    </row>
    <row r="187" spans="1:13" x14ac:dyDescent="0.35">
      <c r="A187" s="26" t="s">
        <v>294</v>
      </c>
      <c r="B187" s="26"/>
      <c r="C187" s="27"/>
      <c r="D187" s="26"/>
      <c r="E187" s="26"/>
      <c r="F187" s="28"/>
      <c r="G187" s="29" t="str">
        <f t="shared" ca="1" si="4"/>
        <v/>
      </c>
      <c r="H187" s="29" t="str">
        <f>IF(B187="","",COUNTIFS('🤸 Ingresos Pole'!$C$2:$C$1000,B187,'🤸 Ingresos Pole'!$J$2:$J$1000,"Paquete"))</f>
        <v/>
      </c>
      <c r="I187" s="29" t="str">
        <f>IF(B187="","",COUNTIF('🤸 Ingresos Pole'!$C$2:$C$1000,B187))</f>
        <v/>
      </c>
      <c r="J187" s="30" t="str">
        <f>IF(B187="","",SUMIF('🤸 Ingresos Pole'!$C$2:$C$1000,B187,'🤸 Ingresos Pole'!$N$2:$N$1000))</f>
        <v/>
      </c>
      <c r="K187" s="31" t="str">
        <f>IF(OR(B187="",I187=0),"",_xlfn.MINIFS('🤸 Ingresos Pole'!$B$2:$B$1000,'🤸 Ingresos Pole'!$C$2:$C$1000,B187))</f>
        <v/>
      </c>
      <c r="L187" s="31" t="str">
        <f>IF(OR(B187="",I187=0),"",_xlfn.MAXIFS('🤸 Ingresos Pole'!$B$2:$B$1000,'🤸 Ingresos Pole'!$C$2:$C$1000,B187))</f>
        <v/>
      </c>
      <c r="M187" s="29" t="str">
        <f t="shared" si="5"/>
        <v/>
      </c>
    </row>
    <row r="188" spans="1:13" x14ac:dyDescent="0.35">
      <c r="A188" s="26" t="s">
        <v>295</v>
      </c>
      <c r="B188" s="26"/>
      <c r="C188" s="27"/>
      <c r="D188" s="26"/>
      <c r="E188" s="26"/>
      <c r="F188" s="28"/>
      <c r="G188" s="29" t="str">
        <f t="shared" ca="1" si="4"/>
        <v/>
      </c>
      <c r="H188" s="29" t="str">
        <f>IF(B188="","",COUNTIFS('🤸 Ingresos Pole'!$C$2:$C$1000,B188,'🤸 Ingresos Pole'!$J$2:$J$1000,"Paquete"))</f>
        <v/>
      </c>
      <c r="I188" s="29" t="str">
        <f>IF(B188="","",COUNTIF('🤸 Ingresos Pole'!$C$2:$C$1000,B188))</f>
        <v/>
      </c>
      <c r="J188" s="30" t="str">
        <f>IF(B188="","",SUMIF('🤸 Ingresos Pole'!$C$2:$C$1000,B188,'🤸 Ingresos Pole'!$N$2:$N$1000))</f>
        <v/>
      </c>
      <c r="K188" s="31" t="str">
        <f>IF(OR(B188="",I188=0),"",_xlfn.MINIFS('🤸 Ingresos Pole'!$B$2:$B$1000,'🤸 Ingresos Pole'!$C$2:$C$1000,B188))</f>
        <v/>
      </c>
      <c r="L188" s="31" t="str">
        <f>IF(OR(B188="",I188=0),"",_xlfn.MAXIFS('🤸 Ingresos Pole'!$B$2:$B$1000,'🤸 Ingresos Pole'!$C$2:$C$1000,B188))</f>
        <v/>
      </c>
      <c r="M188" s="29" t="str">
        <f t="shared" si="5"/>
        <v/>
      </c>
    </row>
    <row r="189" spans="1:13" x14ac:dyDescent="0.35">
      <c r="A189" s="26" t="s">
        <v>296</v>
      </c>
      <c r="B189" s="26"/>
      <c r="C189" s="27"/>
      <c r="D189" s="26"/>
      <c r="E189" s="26"/>
      <c r="F189" s="28"/>
      <c r="G189" s="29" t="str">
        <f t="shared" ca="1" si="4"/>
        <v/>
      </c>
      <c r="H189" s="29" t="str">
        <f>IF(B189="","",COUNTIFS('🤸 Ingresos Pole'!$C$2:$C$1000,B189,'🤸 Ingresos Pole'!$J$2:$J$1000,"Paquete"))</f>
        <v/>
      </c>
      <c r="I189" s="29" t="str">
        <f>IF(B189="","",COUNTIF('🤸 Ingresos Pole'!$C$2:$C$1000,B189))</f>
        <v/>
      </c>
      <c r="J189" s="30" t="str">
        <f>IF(B189="","",SUMIF('🤸 Ingresos Pole'!$C$2:$C$1000,B189,'🤸 Ingresos Pole'!$N$2:$N$1000))</f>
        <v/>
      </c>
      <c r="K189" s="31" t="str">
        <f>IF(OR(B189="",I189=0),"",_xlfn.MINIFS('🤸 Ingresos Pole'!$B$2:$B$1000,'🤸 Ingresos Pole'!$C$2:$C$1000,B189))</f>
        <v/>
      </c>
      <c r="L189" s="31" t="str">
        <f>IF(OR(B189="",I189=0),"",_xlfn.MAXIFS('🤸 Ingresos Pole'!$B$2:$B$1000,'🤸 Ingresos Pole'!$C$2:$C$1000,B189))</f>
        <v/>
      </c>
      <c r="M189" s="29" t="str">
        <f t="shared" si="5"/>
        <v/>
      </c>
    </row>
    <row r="190" spans="1:13" x14ac:dyDescent="0.35">
      <c r="A190" s="26" t="s">
        <v>297</v>
      </c>
      <c r="B190" s="26"/>
      <c r="C190" s="27"/>
      <c r="D190" s="26"/>
      <c r="E190" s="26"/>
      <c r="F190" s="28"/>
      <c r="G190" s="29" t="str">
        <f t="shared" ca="1" si="4"/>
        <v/>
      </c>
      <c r="H190" s="29" t="str">
        <f>IF(B190="","",COUNTIFS('🤸 Ingresos Pole'!$C$2:$C$1000,B190,'🤸 Ingresos Pole'!$J$2:$J$1000,"Paquete"))</f>
        <v/>
      </c>
      <c r="I190" s="29" t="str">
        <f>IF(B190="","",COUNTIF('🤸 Ingresos Pole'!$C$2:$C$1000,B190))</f>
        <v/>
      </c>
      <c r="J190" s="30" t="str">
        <f>IF(B190="","",SUMIF('🤸 Ingresos Pole'!$C$2:$C$1000,B190,'🤸 Ingresos Pole'!$N$2:$N$1000))</f>
        <v/>
      </c>
      <c r="K190" s="31" t="str">
        <f>IF(OR(B190="",I190=0),"",_xlfn.MINIFS('🤸 Ingresos Pole'!$B$2:$B$1000,'🤸 Ingresos Pole'!$C$2:$C$1000,B190))</f>
        <v/>
      </c>
      <c r="L190" s="31" t="str">
        <f>IF(OR(B190="",I190=0),"",_xlfn.MAXIFS('🤸 Ingresos Pole'!$B$2:$B$1000,'🤸 Ingresos Pole'!$C$2:$C$1000,B190))</f>
        <v/>
      </c>
      <c r="M190" s="29" t="str">
        <f t="shared" si="5"/>
        <v/>
      </c>
    </row>
    <row r="191" spans="1:13" x14ac:dyDescent="0.35">
      <c r="A191" s="26" t="s">
        <v>298</v>
      </c>
      <c r="B191" s="26"/>
      <c r="C191" s="27"/>
      <c r="D191" s="26"/>
      <c r="E191" s="26"/>
      <c r="F191" s="28"/>
      <c r="G191" s="29" t="str">
        <f t="shared" ca="1" si="4"/>
        <v/>
      </c>
      <c r="H191" s="29" t="str">
        <f>IF(B191="","",COUNTIFS('🤸 Ingresos Pole'!$C$2:$C$1000,B191,'🤸 Ingresos Pole'!$J$2:$J$1000,"Paquete"))</f>
        <v/>
      </c>
      <c r="I191" s="29" t="str">
        <f>IF(B191="","",COUNTIF('🤸 Ingresos Pole'!$C$2:$C$1000,B191))</f>
        <v/>
      </c>
      <c r="J191" s="30" t="str">
        <f>IF(B191="","",SUMIF('🤸 Ingresos Pole'!$C$2:$C$1000,B191,'🤸 Ingresos Pole'!$N$2:$N$1000))</f>
        <v/>
      </c>
      <c r="K191" s="31" t="str">
        <f>IF(OR(B191="",I191=0),"",_xlfn.MINIFS('🤸 Ingresos Pole'!$B$2:$B$1000,'🤸 Ingresos Pole'!$C$2:$C$1000,B191))</f>
        <v/>
      </c>
      <c r="L191" s="31" t="str">
        <f>IF(OR(B191="",I191=0),"",_xlfn.MAXIFS('🤸 Ingresos Pole'!$B$2:$B$1000,'🤸 Ingresos Pole'!$C$2:$C$1000,B191))</f>
        <v/>
      </c>
      <c r="M191" s="29" t="str">
        <f t="shared" si="5"/>
        <v/>
      </c>
    </row>
    <row r="192" spans="1:13" x14ac:dyDescent="0.35">
      <c r="A192" s="26" t="s">
        <v>299</v>
      </c>
      <c r="B192" s="26"/>
      <c r="C192" s="27"/>
      <c r="D192" s="26"/>
      <c r="E192" s="26"/>
      <c r="F192" s="28"/>
      <c r="G192" s="29" t="str">
        <f t="shared" ca="1" si="4"/>
        <v/>
      </c>
      <c r="H192" s="29" t="str">
        <f>IF(B192="","",COUNTIFS('🤸 Ingresos Pole'!$C$2:$C$1000,B192,'🤸 Ingresos Pole'!$J$2:$J$1000,"Paquete"))</f>
        <v/>
      </c>
      <c r="I192" s="29" t="str">
        <f>IF(B192="","",COUNTIF('🤸 Ingresos Pole'!$C$2:$C$1000,B192))</f>
        <v/>
      </c>
      <c r="J192" s="30" t="str">
        <f>IF(B192="","",SUMIF('🤸 Ingresos Pole'!$C$2:$C$1000,B192,'🤸 Ingresos Pole'!$N$2:$N$1000))</f>
        <v/>
      </c>
      <c r="K192" s="31" t="str">
        <f>IF(OR(B192="",I192=0),"",_xlfn.MINIFS('🤸 Ingresos Pole'!$B$2:$B$1000,'🤸 Ingresos Pole'!$C$2:$C$1000,B192))</f>
        <v/>
      </c>
      <c r="L192" s="31" t="str">
        <f>IF(OR(B192="",I192=0),"",_xlfn.MAXIFS('🤸 Ingresos Pole'!$B$2:$B$1000,'🤸 Ingresos Pole'!$C$2:$C$1000,B192))</f>
        <v/>
      </c>
      <c r="M192" s="29" t="str">
        <f t="shared" si="5"/>
        <v/>
      </c>
    </row>
    <row r="193" spans="1:13" x14ac:dyDescent="0.35">
      <c r="A193" s="26" t="s">
        <v>300</v>
      </c>
      <c r="B193" s="26"/>
      <c r="C193" s="27"/>
      <c r="D193" s="26"/>
      <c r="E193" s="26"/>
      <c r="F193" s="28"/>
      <c r="G193" s="29" t="str">
        <f t="shared" ca="1" si="4"/>
        <v/>
      </c>
      <c r="H193" s="29" t="str">
        <f>IF(B193="","",COUNTIFS('🤸 Ingresos Pole'!$C$2:$C$1000,B193,'🤸 Ingresos Pole'!$J$2:$J$1000,"Paquete"))</f>
        <v/>
      </c>
      <c r="I193" s="29" t="str">
        <f>IF(B193="","",COUNTIF('🤸 Ingresos Pole'!$C$2:$C$1000,B193))</f>
        <v/>
      </c>
      <c r="J193" s="30" t="str">
        <f>IF(B193="","",SUMIF('🤸 Ingresos Pole'!$C$2:$C$1000,B193,'🤸 Ingresos Pole'!$N$2:$N$1000))</f>
        <v/>
      </c>
      <c r="K193" s="31" t="str">
        <f>IF(OR(B193="",I193=0),"",_xlfn.MINIFS('🤸 Ingresos Pole'!$B$2:$B$1000,'🤸 Ingresos Pole'!$C$2:$C$1000,B193))</f>
        <v/>
      </c>
      <c r="L193" s="31" t="str">
        <f>IF(OR(B193="",I193=0),"",_xlfn.MAXIFS('🤸 Ingresos Pole'!$B$2:$B$1000,'🤸 Ingresos Pole'!$C$2:$C$1000,B193))</f>
        <v/>
      </c>
      <c r="M193" s="29" t="str">
        <f t="shared" si="5"/>
        <v/>
      </c>
    </row>
    <row r="194" spans="1:13" x14ac:dyDescent="0.35">
      <c r="A194" s="26" t="s">
        <v>301</v>
      </c>
      <c r="B194" s="26"/>
      <c r="C194" s="27"/>
      <c r="D194" s="26"/>
      <c r="E194" s="26"/>
      <c r="F194" s="28"/>
      <c r="G194" s="29" t="str">
        <f t="shared" ref="G194:G257" ca="1" si="6">IF(F194="","",DATEDIF(F194,TODAY(),"Y"))</f>
        <v/>
      </c>
      <c r="H194" s="29" t="str">
        <f>IF(B194="","",COUNTIFS('🤸 Ingresos Pole'!$C$2:$C$1000,B194,'🤸 Ingresos Pole'!$J$2:$J$1000,"Paquete"))</f>
        <v/>
      </c>
      <c r="I194" s="29" t="str">
        <f>IF(B194="","",COUNTIF('🤸 Ingresos Pole'!$C$2:$C$1000,B194))</f>
        <v/>
      </c>
      <c r="J194" s="30" t="str">
        <f>IF(B194="","",SUMIF('🤸 Ingresos Pole'!$C$2:$C$1000,B194,'🤸 Ingresos Pole'!$N$2:$N$1000))</f>
        <v/>
      </c>
      <c r="K194" s="31" t="str">
        <f>IF(OR(B194="",I194=0),"",_xlfn.MINIFS('🤸 Ingresos Pole'!$B$2:$B$1000,'🤸 Ingresos Pole'!$C$2:$C$1000,B194))</f>
        <v/>
      </c>
      <c r="L194" s="31" t="str">
        <f>IF(OR(B194="",I194=0),"",_xlfn.MAXIFS('🤸 Ingresos Pole'!$B$2:$B$1000,'🤸 Ingresos Pole'!$C$2:$C$1000,B194))</f>
        <v/>
      </c>
      <c r="M194" s="29" t="str">
        <f t="shared" ref="M194:M257" si="7">IF(OR(B194="",I194=0),"",IF(H194=0,"Sin paquete",IF(H194=1,"Nueva","Recurrente")))</f>
        <v/>
      </c>
    </row>
    <row r="195" spans="1:13" x14ac:dyDescent="0.35">
      <c r="A195" s="26" t="s">
        <v>302</v>
      </c>
      <c r="B195" s="26"/>
      <c r="C195" s="27"/>
      <c r="D195" s="26"/>
      <c r="E195" s="26"/>
      <c r="F195" s="28"/>
      <c r="G195" s="29" t="str">
        <f t="shared" ca="1" si="6"/>
        <v/>
      </c>
      <c r="H195" s="29" t="str">
        <f>IF(B195="","",COUNTIFS('🤸 Ingresos Pole'!$C$2:$C$1000,B195,'🤸 Ingresos Pole'!$J$2:$J$1000,"Paquete"))</f>
        <v/>
      </c>
      <c r="I195" s="29" t="str">
        <f>IF(B195="","",COUNTIF('🤸 Ingresos Pole'!$C$2:$C$1000,B195))</f>
        <v/>
      </c>
      <c r="J195" s="30" t="str">
        <f>IF(B195="","",SUMIF('🤸 Ingresos Pole'!$C$2:$C$1000,B195,'🤸 Ingresos Pole'!$N$2:$N$1000))</f>
        <v/>
      </c>
      <c r="K195" s="31" t="str">
        <f>IF(OR(B195="",I195=0),"",_xlfn.MINIFS('🤸 Ingresos Pole'!$B$2:$B$1000,'🤸 Ingresos Pole'!$C$2:$C$1000,B195))</f>
        <v/>
      </c>
      <c r="L195" s="31" t="str">
        <f>IF(OR(B195="",I195=0),"",_xlfn.MAXIFS('🤸 Ingresos Pole'!$B$2:$B$1000,'🤸 Ingresos Pole'!$C$2:$C$1000,B195))</f>
        <v/>
      </c>
      <c r="M195" s="29" t="str">
        <f t="shared" si="7"/>
        <v/>
      </c>
    </row>
    <row r="196" spans="1:13" x14ac:dyDescent="0.35">
      <c r="A196" s="26" t="s">
        <v>303</v>
      </c>
      <c r="B196" s="26"/>
      <c r="C196" s="27"/>
      <c r="D196" s="26"/>
      <c r="E196" s="26"/>
      <c r="F196" s="28"/>
      <c r="G196" s="29" t="str">
        <f t="shared" ca="1" si="6"/>
        <v/>
      </c>
      <c r="H196" s="29" t="str">
        <f>IF(B196="","",COUNTIFS('🤸 Ingresos Pole'!$C$2:$C$1000,B196,'🤸 Ingresos Pole'!$J$2:$J$1000,"Paquete"))</f>
        <v/>
      </c>
      <c r="I196" s="29" t="str">
        <f>IF(B196="","",COUNTIF('🤸 Ingresos Pole'!$C$2:$C$1000,B196))</f>
        <v/>
      </c>
      <c r="J196" s="30" t="str">
        <f>IF(B196="","",SUMIF('🤸 Ingresos Pole'!$C$2:$C$1000,B196,'🤸 Ingresos Pole'!$N$2:$N$1000))</f>
        <v/>
      </c>
      <c r="K196" s="31" t="str">
        <f>IF(OR(B196="",I196=0),"",_xlfn.MINIFS('🤸 Ingresos Pole'!$B$2:$B$1000,'🤸 Ingresos Pole'!$C$2:$C$1000,B196))</f>
        <v/>
      </c>
      <c r="L196" s="31" t="str">
        <f>IF(OR(B196="",I196=0),"",_xlfn.MAXIFS('🤸 Ingresos Pole'!$B$2:$B$1000,'🤸 Ingresos Pole'!$C$2:$C$1000,B196))</f>
        <v/>
      </c>
      <c r="M196" s="29" t="str">
        <f t="shared" si="7"/>
        <v/>
      </c>
    </row>
    <row r="197" spans="1:13" x14ac:dyDescent="0.35">
      <c r="A197" s="26" t="s">
        <v>304</v>
      </c>
      <c r="B197" s="26"/>
      <c r="C197" s="27"/>
      <c r="D197" s="26"/>
      <c r="E197" s="26"/>
      <c r="F197" s="28"/>
      <c r="G197" s="29" t="str">
        <f t="shared" ca="1" si="6"/>
        <v/>
      </c>
      <c r="H197" s="29" t="str">
        <f>IF(B197="","",COUNTIFS('🤸 Ingresos Pole'!$C$2:$C$1000,B197,'🤸 Ingresos Pole'!$J$2:$J$1000,"Paquete"))</f>
        <v/>
      </c>
      <c r="I197" s="29" t="str">
        <f>IF(B197="","",COUNTIF('🤸 Ingresos Pole'!$C$2:$C$1000,B197))</f>
        <v/>
      </c>
      <c r="J197" s="30" t="str">
        <f>IF(B197="","",SUMIF('🤸 Ingresos Pole'!$C$2:$C$1000,B197,'🤸 Ingresos Pole'!$N$2:$N$1000))</f>
        <v/>
      </c>
      <c r="K197" s="31" t="str">
        <f>IF(OR(B197="",I197=0),"",_xlfn.MINIFS('🤸 Ingresos Pole'!$B$2:$B$1000,'🤸 Ingresos Pole'!$C$2:$C$1000,B197))</f>
        <v/>
      </c>
      <c r="L197" s="31" t="str">
        <f>IF(OR(B197="",I197=0),"",_xlfn.MAXIFS('🤸 Ingresos Pole'!$B$2:$B$1000,'🤸 Ingresos Pole'!$C$2:$C$1000,B197))</f>
        <v/>
      </c>
      <c r="M197" s="29" t="str">
        <f t="shared" si="7"/>
        <v/>
      </c>
    </row>
    <row r="198" spans="1:13" x14ac:dyDescent="0.35">
      <c r="A198" s="26" t="s">
        <v>305</v>
      </c>
      <c r="B198" s="26"/>
      <c r="C198" s="27"/>
      <c r="D198" s="26"/>
      <c r="E198" s="26"/>
      <c r="F198" s="28"/>
      <c r="G198" s="29" t="str">
        <f t="shared" ca="1" si="6"/>
        <v/>
      </c>
      <c r="H198" s="29" t="str">
        <f>IF(B198="","",COUNTIFS('🤸 Ingresos Pole'!$C$2:$C$1000,B198,'🤸 Ingresos Pole'!$J$2:$J$1000,"Paquete"))</f>
        <v/>
      </c>
      <c r="I198" s="29" t="str">
        <f>IF(B198="","",COUNTIF('🤸 Ingresos Pole'!$C$2:$C$1000,B198))</f>
        <v/>
      </c>
      <c r="J198" s="30" t="str">
        <f>IF(B198="","",SUMIF('🤸 Ingresos Pole'!$C$2:$C$1000,B198,'🤸 Ingresos Pole'!$N$2:$N$1000))</f>
        <v/>
      </c>
      <c r="K198" s="31" t="str">
        <f>IF(OR(B198="",I198=0),"",_xlfn.MINIFS('🤸 Ingresos Pole'!$B$2:$B$1000,'🤸 Ingresos Pole'!$C$2:$C$1000,B198))</f>
        <v/>
      </c>
      <c r="L198" s="31" t="str">
        <f>IF(OR(B198="",I198=0),"",_xlfn.MAXIFS('🤸 Ingresos Pole'!$B$2:$B$1000,'🤸 Ingresos Pole'!$C$2:$C$1000,B198))</f>
        <v/>
      </c>
      <c r="M198" s="29" t="str">
        <f t="shared" si="7"/>
        <v/>
      </c>
    </row>
    <row r="199" spans="1:13" x14ac:dyDescent="0.35">
      <c r="A199" s="26" t="s">
        <v>306</v>
      </c>
      <c r="B199" s="26"/>
      <c r="C199" s="27"/>
      <c r="D199" s="26"/>
      <c r="E199" s="26"/>
      <c r="F199" s="28"/>
      <c r="G199" s="29" t="str">
        <f t="shared" ca="1" si="6"/>
        <v/>
      </c>
      <c r="H199" s="29" t="str">
        <f>IF(B199="","",COUNTIFS('🤸 Ingresos Pole'!$C$2:$C$1000,B199,'🤸 Ingresos Pole'!$J$2:$J$1000,"Paquete"))</f>
        <v/>
      </c>
      <c r="I199" s="29" t="str">
        <f>IF(B199="","",COUNTIF('🤸 Ingresos Pole'!$C$2:$C$1000,B199))</f>
        <v/>
      </c>
      <c r="J199" s="30" t="str">
        <f>IF(B199="","",SUMIF('🤸 Ingresos Pole'!$C$2:$C$1000,B199,'🤸 Ingresos Pole'!$N$2:$N$1000))</f>
        <v/>
      </c>
      <c r="K199" s="31" t="str">
        <f>IF(OR(B199="",I199=0),"",_xlfn.MINIFS('🤸 Ingresos Pole'!$B$2:$B$1000,'🤸 Ingresos Pole'!$C$2:$C$1000,B199))</f>
        <v/>
      </c>
      <c r="L199" s="31" t="str">
        <f>IF(OR(B199="",I199=0),"",_xlfn.MAXIFS('🤸 Ingresos Pole'!$B$2:$B$1000,'🤸 Ingresos Pole'!$C$2:$C$1000,B199))</f>
        <v/>
      </c>
      <c r="M199" s="29" t="str">
        <f t="shared" si="7"/>
        <v/>
      </c>
    </row>
    <row r="200" spans="1:13" x14ac:dyDescent="0.35">
      <c r="A200" s="26" t="s">
        <v>307</v>
      </c>
      <c r="B200" s="26"/>
      <c r="C200" s="27"/>
      <c r="D200" s="26"/>
      <c r="E200" s="26"/>
      <c r="F200" s="28"/>
      <c r="G200" s="29" t="str">
        <f t="shared" ca="1" si="6"/>
        <v/>
      </c>
      <c r="H200" s="29" t="str">
        <f>IF(B200="","",COUNTIFS('🤸 Ingresos Pole'!$C$2:$C$1000,B200,'🤸 Ingresos Pole'!$J$2:$J$1000,"Paquete"))</f>
        <v/>
      </c>
      <c r="I200" s="29" t="str">
        <f>IF(B200="","",COUNTIF('🤸 Ingresos Pole'!$C$2:$C$1000,B200))</f>
        <v/>
      </c>
      <c r="J200" s="30" t="str">
        <f>IF(B200="","",SUMIF('🤸 Ingresos Pole'!$C$2:$C$1000,B200,'🤸 Ingresos Pole'!$N$2:$N$1000))</f>
        <v/>
      </c>
      <c r="K200" s="31" t="str">
        <f>IF(OR(B200="",I200=0),"",_xlfn.MINIFS('🤸 Ingresos Pole'!$B$2:$B$1000,'🤸 Ingresos Pole'!$C$2:$C$1000,B200))</f>
        <v/>
      </c>
      <c r="L200" s="31" t="str">
        <f>IF(OR(B200="",I200=0),"",_xlfn.MAXIFS('🤸 Ingresos Pole'!$B$2:$B$1000,'🤸 Ingresos Pole'!$C$2:$C$1000,B200))</f>
        <v/>
      </c>
      <c r="M200" s="29" t="str">
        <f t="shared" si="7"/>
        <v/>
      </c>
    </row>
    <row r="201" spans="1:13" x14ac:dyDescent="0.35">
      <c r="A201" s="26" t="s">
        <v>308</v>
      </c>
      <c r="B201" s="26"/>
      <c r="C201" s="27"/>
      <c r="D201" s="26"/>
      <c r="E201" s="26"/>
      <c r="F201" s="28"/>
      <c r="G201" s="29" t="str">
        <f t="shared" ca="1" si="6"/>
        <v/>
      </c>
      <c r="H201" s="29" t="str">
        <f>IF(B201="","",COUNTIFS('🤸 Ingresos Pole'!$C$2:$C$1000,B201,'🤸 Ingresos Pole'!$J$2:$J$1000,"Paquete"))</f>
        <v/>
      </c>
      <c r="I201" s="29" t="str">
        <f>IF(B201="","",COUNTIF('🤸 Ingresos Pole'!$C$2:$C$1000,B201))</f>
        <v/>
      </c>
      <c r="J201" s="30" t="str">
        <f>IF(B201="","",SUMIF('🤸 Ingresos Pole'!$C$2:$C$1000,B201,'🤸 Ingresos Pole'!$N$2:$N$1000))</f>
        <v/>
      </c>
      <c r="K201" s="31" t="str">
        <f>IF(OR(B201="",I201=0),"",_xlfn.MINIFS('🤸 Ingresos Pole'!$B$2:$B$1000,'🤸 Ingresos Pole'!$C$2:$C$1000,B201))</f>
        <v/>
      </c>
      <c r="L201" s="31" t="str">
        <f>IF(OR(B201="",I201=0),"",_xlfn.MAXIFS('🤸 Ingresos Pole'!$B$2:$B$1000,'🤸 Ingresos Pole'!$C$2:$C$1000,B201))</f>
        <v/>
      </c>
      <c r="M201" s="29" t="str">
        <f t="shared" si="7"/>
        <v/>
      </c>
    </row>
    <row r="202" spans="1:13" x14ac:dyDescent="0.35">
      <c r="A202" s="26" t="s">
        <v>309</v>
      </c>
      <c r="B202" s="26"/>
      <c r="C202" s="27"/>
      <c r="D202" s="26"/>
      <c r="E202" s="26"/>
      <c r="F202" s="28"/>
      <c r="G202" s="29" t="str">
        <f t="shared" ca="1" si="6"/>
        <v/>
      </c>
      <c r="H202" s="29" t="str">
        <f>IF(B202="","",COUNTIFS('🤸 Ingresos Pole'!$C$2:$C$1000,B202,'🤸 Ingresos Pole'!$J$2:$J$1000,"Paquete"))</f>
        <v/>
      </c>
      <c r="I202" s="29" t="str">
        <f>IF(B202="","",COUNTIF('🤸 Ingresos Pole'!$C$2:$C$1000,B202))</f>
        <v/>
      </c>
      <c r="J202" s="30" t="str">
        <f>IF(B202="","",SUMIF('🤸 Ingresos Pole'!$C$2:$C$1000,B202,'🤸 Ingresos Pole'!$N$2:$N$1000))</f>
        <v/>
      </c>
      <c r="K202" s="31" t="str">
        <f>IF(OR(B202="",I202=0),"",_xlfn.MINIFS('🤸 Ingresos Pole'!$B$2:$B$1000,'🤸 Ingresos Pole'!$C$2:$C$1000,B202))</f>
        <v/>
      </c>
      <c r="L202" s="31" t="str">
        <f>IF(OR(B202="",I202=0),"",_xlfn.MAXIFS('🤸 Ingresos Pole'!$B$2:$B$1000,'🤸 Ingresos Pole'!$C$2:$C$1000,B202))</f>
        <v/>
      </c>
      <c r="M202" s="29" t="str">
        <f t="shared" si="7"/>
        <v/>
      </c>
    </row>
    <row r="203" spans="1:13" x14ac:dyDescent="0.35">
      <c r="A203" s="26" t="s">
        <v>310</v>
      </c>
      <c r="B203" s="26"/>
      <c r="C203" s="27"/>
      <c r="D203" s="26"/>
      <c r="E203" s="26"/>
      <c r="F203" s="28"/>
      <c r="G203" s="29" t="str">
        <f t="shared" ca="1" si="6"/>
        <v/>
      </c>
      <c r="H203" s="29" t="str">
        <f>IF(B203="","",COUNTIFS('🤸 Ingresos Pole'!$C$2:$C$1000,B203,'🤸 Ingresos Pole'!$J$2:$J$1000,"Paquete"))</f>
        <v/>
      </c>
      <c r="I203" s="29" t="str">
        <f>IF(B203="","",COUNTIF('🤸 Ingresos Pole'!$C$2:$C$1000,B203))</f>
        <v/>
      </c>
      <c r="J203" s="30" t="str">
        <f>IF(B203="","",SUMIF('🤸 Ingresos Pole'!$C$2:$C$1000,B203,'🤸 Ingresos Pole'!$N$2:$N$1000))</f>
        <v/>
      </c>
      <c r="K203" s="31" t="str">
        <f>IF(OR(B203="",I203=0),"",_xlfn.MINIFS('🤸 Ingresos Pole'!$B$2:$B$1000,'🤸 Ingresos Pole'!$C$2:$C$1000,B203))</f>
        <v/>
      </c>
      <c r="L203" s="31" t="str">
        <f>IF(OR(B203="",I203=0),"",_xlfn.MAXIFS('🤸 Ingresos Pole'!$B$2:$B$1000,'🤸 Ingresos Pole'!$C$2:$C$1000,B203))</f>
        <v/>
      </c>
      <c r="M203" s="29" t="str">
        <f t="shared" si="7"/>
        <v/>
      </c>
    </row>
    <row r="204" spans="1:13" x14ac:dyDescent="0.35">
      <c r="A204" s="26" t="s">
        <v>311</v>
      </c>
      <c r="B204" s="26"/>
      <c r="C204" s="27"/>
      <c r="D204" s="26"/>
      <c r="E204" s="26"/>
      <c r="F204" s="28"/>
      <c r="G204" s="29" t="str">
        <f t="shared" ca="1" si="6"/>
        <v/>
      </c>
      <c r="H204" s="29" t="str">
        <f>IF(B204="","",COUNTIFS('🤸 Ingresos Pole'!$C$2:$C$1000,B204,'🤸 Ingresos Pole'!$J$2:$J$1000,"Paquete"))</f>
        <v/>
      </c>
      <c r="I204" s="29" t="str">
        <f>IF(B204="","",COUNTIF('🤸 Ingresos Pole'!$C$2:$C$1000,B204))</f>
        <v/>
      </c>
      <c r="J204" s="30" t="str">
        <f>IF(B204="","",SUMIF('🤸 Ingresos Pole'!$C$2:$C$1000,B204,'🤸 Ingresos Pole'!$N$2:$N$1000))</f>
        <v/>
      </c>
      <c r="K204" s="31" t="str">
        <f>IF(OR(B204="",I204=0),"",_xlfn.MINIFS('🤸 Ingresos Pole'!$B$2:$B$1000,'🤸 Ingresos Pole'!$C$2:$C$1000,B204))</f>
        <v/>
      </c>
      <c r="L204" s="31" t="str">
        <f>IF(OR(B204="",I204=0),"",_xlfn.MAXIFS('🤸 Ingresos Pole'!$B$2:$B$1000,'🤸 Ingresos Pole'!$C$2:$C$1000,B204))</f>
        <v/>
      </c>
      <c r="M204" s="29" t="str">
        <f t="shared" si="7"/>
        <v/>
      </c>
    </row>
    <row r="205" spans="1:13" x14ac:dyDescent="0.35">
      <c r="A205" s="26" t="s">
        <v>312</v>
      </c>
      <c r="B205" s="26"/>
      <c r="C205" s="27"/>
      <c r="D205" s="26"/>
      <c r="E205" s="26"/>
      <c r="F205" s="28"/>
      <c r="G205" s="29" t="str">
        <f t="shared" ca="1" si="6"/>
        <v/>
      </c>
      <c r="H205" s="29" t="str">
        <f>IF(B205="","",COUNTIFS('🤸 Ingresos Pole'!$C$2:$C$1000,B205,'🤸 Ingresos Pole'!$J$2:$J$1000,"Paquete"))</f>
        <v/>
      </c>
      <c r="I205" s="29" t="str">
        <f>IF(B205="","",COUNTIF('🤸 Ingresos Pole'!$C$2:$C$1000,B205))</f>
        <v/>
      </c>
      <c r="J205" s="30" t="str">
        <f>IF(B205="","",SUMIF('🤸 Ingresos Pole'!$C$2:$C$1000,B205,'🤸 Ingresos Pole'!$N$2:$N$1000))</f>
        <v/>
      </c>
      <c r="K205" s="31" t="str">
        <f>IF(OR(B205="",I205=0),"",_xlfn.MINIFS('🤸 Ingresos Pole'!$B$2:$B$1000,'🤸 Ingresos Pole'!$C$2:$C$1000,B205))</f>
        <v/>
      </c>
      <c r="L205" s="31" t="str">
        <f>IF(OR(B205="",I205=0),"",_xlfn.MAXIFS('🤸 Ingresos Pole'!$B$2:$B$1000,'🤸 Ingresos Pole'!$C$2:$C$1000,B205))</f>
        <v/>
      </c>
      <c r="M205" s="29" t="str">
        <f t="shared" si="7"/>
        <v/>
      </c>
    </row>
    <row r="206" spans="1:13" x14ac:dyDescent="0.35">
      <c r="A206" s="26" t="s">
        <v>313</v>
      </c>
      <c r="B206" s="26"/>
      <c r="C206" s="27"/>
      <c r="D206" s="26"/>
      <c r="E206" s="26"/>
      <c r="F206" s="28"/>
      <c r="G206" s="29" t="str">
        <f t="shared" ca="1" si="6"/>
        <v/>
      </c>
      <c r="H206" s="29" t="str">
        <f>IF(B206="","",COUNTIFS('🤸 Ingresos Pole'!$C$2:$C$1000,B206,'🤸 Ingresos Pole'!$J$2:$J$1000,"Paquete"))</f>
        <v/>
      </c>
      <c r="I206" s="29" t="str">
        <f>IF(B206="","",COUNTIF('🤸 Ingresos Pole'!$C$2:$C$1000,B206))</f>
        <v/>
      </c>
      <c r="J206" s="30" t="str">
        <f>IF(B206="","",SUMIF('🤸 Ingresos Pole'!$C$2:$C$1000,B206,'🤸 Ingresos Pole'!$N$2:$N$1000))</f>
        <v/>
      </c>
      <c r="K206" s="31" t="str">
        <f>IF(OR(B206="",I206=0),"",_xlfn.MINIFS('🤸 Ingresos Pole'!$B$2:$B$1000,'🤸 Ingresos Pole'!$C$2:$C$1000,B206))</f>
        <v/>
      </c>
      <c r="L206" s="31" t="str">
        <f>IF(OR(B206="",I206=0),"",_xlfn.MAXIFS('🤸 Ingresos Pole'!$B$2:$B$1000,'🤸 Ingresos Pole'!$C$2:$C$1000,B206))</f>
        <v/>
      </c>
      <c r="M206" s="29" t="str">
        <f t="shared" si="7"/>
        <v/>
      </c>
    </row>
    <row r="207" spans="1:13" x14ac:dyDescent="0.35">
      <c r="A207" s="26" t="s">
        <v>314</v>
      </c>
      <c r="B207" s="26"/>
      <c r="C207" s="27"/>
      <c r="D207" s="26"/>
      <c r="E207" s="26"/>
      <c r="F207" s="28"/>
      <c r="G207" s="29" t="str">
        <f t="shared" ca="1" si="6"/>
        <v/>
      </c>
      <c r="H207" s="29" t="str">
        <f>IF(B207="","",COUNTIFS('🤸 Ingresos Pole'!$C$2:$C$1000,B207,'🤸 Ingresos Pole'!$J$2:$J$1000,"Paquete"))</f>
        <v/>
      </c>
      <c r="I207" s="29" t="str">
        <f>IF(B207="","",COUNTIF('🤸 Ingresos Pole'!$C$2:$C$1000,B207))</f>
        <v/>
      </c>
      <c r="J207" s="30" t="str">
        <f>IF(B207="","",SUMIF('🤸 Ingresos Pole'!$C$2:$C$1000,B207,'🤸 Ingresos Pole'!$N$2:$N$1000))</f>
        <v/>
      </c>
      <c r="K207" s="31" t="str">
        <f>IF(OR(B207="",I207=0),"",_xlfn.MINIFS('🤸 Ingresos Pole'!$B$2:$B$1000,'🤸 Ingresos Pole'!$C$2:$C$1000,B207))</f>
        <v/>
      </c>
      <c r="L207" s="31" t="str">
        <f>IF(OR(B207="",I207=0),"",_xlfn.MAXIFS('🤸 Ingresos Pole'!$B$2:$B$1000,'🤸 Ingresos Pole'!$C$2:$C$1000,B207))</f>
        <v/>
      </c>
      <c r="M207" s="29" t="str">
        <f t="shared" si="7"/>
        <v/>
      </c>
    </row>
    <row r="208" spans="1:13" x14ac:dyDescent="0.35">
      <c r="A208" s="26" t="s">
        <v>315</v>
      </c>
      <c r="B208" s="26"/>
      <c r="C208" s="27"/>
      <c r="D208" s="26"/>
      <c r="E208" s="26"/>
      <c r="F208" s="28"/>
      <c r="G208" s="29" t="str">
        <f t="shared" ca="1" si="6"/>
        <v/>
      </c>
      <c r="H208" s="29" t="str">
        <f>IF(B208="","",COUNTIFS('🤸 Ingresos Pole'!$C$2:$C$1000,B208,'🤸 Ingresos Pole'!$J$2:$J$1000,"Paquete"))</f>
        <v/>
      </c>
      <c r="I208" s="29" t="str">
        <f>IF(B208="","",COUNTIF('🤸 Ingresos Pole'!$C$2:$C$1000,B208))</f>
        <v/>
      </c>
      <c r="J208" s="30" t="str">
        <f>IF(B208="","",SUMIF('🤸 Ingresos Pole'!$C$2:$C$1000,B208,'🤸 Ingresos Pole'!$N$2:$N$1000))</f>
        <v/>
      </c>
      <c r="K208" s="31" t="str">
        <f>IF(OR(B208="",I208=0),"",_xlfn.MINIFS('🤸 Ingresos Pole'!$B$2:$B$1000,'🤸 Ingresos Pole'!$C$2:$C$1000,B208))</f>
        <v/>
      </c>
      <c r="L208" s="31" t="str">
        <f>IF(OR(B208="",I208=0),"",_xlfn.MAXIFS('🤸 Ingresos Pole'!$B$2:$B$1000,'🤸 Ingresos Pole'!$C$2:$C$1000,B208))</f>
        <v/>
      </c>
      <c r="M208" s="29" t="str">
        <f t="shared" si="7"/>
        <v/>
      </c>
    </row>
    <row r="209" spans="1:13" x14ac:dyDescent="0.35">
      <c r="A209" s="26" t="s">
        <v>316</v>
      </c>
      <c r="B209" s="26"/>
      <c r="C209" s="27"/>
      <c r="D209" s="26"/>
      <c r="E209" s="26"/>
      <c r="F209" s="28"/>
      <c r="G209" s="29" t="str">
        <f t="shared" ca="1" si="6"/>
        <v/>
      </c>
      <c r="H209" s="29" t="str">
        <f>IF(B209="","",COUNTIFS('🤸 Ingresos Pole'!$C$2:$C$1000,B209,'🤸 Ingresos Pole'!$J$2:$J$1000,"Paquete"))</f>
        <v/>
      </c>
      <c r="I209" s="29" t="str">
        <f>IF(B209="","",COUNTIF('🤸 Ingresos Pole'!$C$2:$C$1000,B209))</f>
        <v/>
      </c>
      <c r="J209" s="30" t="str">
        <f>IF(B209="","",SUMIF('🤸 Ingresos Pole'!$C$2:$C$1000,B209,'🤸 Ingresos Pole'!$N$2:$N$1000))</f>
        <v/>
      </c>
      <c r="K209" s="31" t="str">
        <f>IF(OR(B209="",I209=0),"",_xlfn.MINIFS('🤸 Ingresos Pole'!$B$2:$B$1000,'🤸 Ingresos Pole'!$C$2:$C$1000,B209))</f>
        <v/>
      </c>
      <c r="L209" s="31" t="str">
        <f>IF(OR(B209="",I209=0),"",_xlfn.MAXIFS('🤸 Ingresos Pole'!$B$2:$B$1000,'🤸 Ingresos Pole'!$C$2:$C$1000,B209))</f>
        <v/>
      </c>
      <c r="M209" s="29" t="str">
        <f t="shared" si="7"/>
        <v/>
      </c>
    </row>
    <row r="210" spans="1:13" x14ac:dyDescent="0.35">
      <c r="A210" s="26" t="s">
        <v>317</v>
      </c>
      <c r="B210" s="26"/>
      <c r="C210" s="27"/>
      <c r="D210" s="26"/>
      <c r="E210" s="26"/>
      <c r="F210" s="28"/>
      <c r="G210" s="29" t="str">
        <f t="shared" ca="1" si="6"/>
        <v/>
      </c>
      <c r="H210" s="29" t="str">
        <f>IF(B210="","",COUNTIFS('🤸 Ingresos Pole'!$C$2:$C$1000,B210,'🤸 Ingresos Pole'!$J$2:$J$1000,"Paquete"))</f>
        <v/>
      </c>
      <c r="I210" s="29" t="str">
        <f>IF(B210="","",COUNTIF('🤸 Ingresos Pole'!$C$2:$C$1000,B210))</f>
        <v/>
      </c>
      <c r="J210" s="30" t="str">
        <f>IF(B210="","",SUMIF('🤸 Ingresos Pole'!$C$2:$C$1000,B210,'🤸 Ingresos Pole'!$N$2:$N$1000))</f>
        <v/>
      </c>
      <c r="K210" s="31" t="str">
        <f>IF(OR(B210="",I210=0),"",_xlfn.MINIFS('🤸 Ingresos Pole'!$B$2:$B$1000,'🤸 Ingresos Pole'!$C$2:$C$1000,B210))</f>
        <v/>
      </c>
      <c r="L210" s="31" t="str">
        <f>IF(OR(B210="",I210=0),"",_xlfn.MAXIFS('🤸 Ingresos Pole'!$B$2:$B$1000,'🤸 Ingresos Pole'!$C$2:$C$1000,B210))</f>
        <v/>
      </c>
      <c r="M210" s="29" t="str">
        <f t="shared" si="7"/>
        <v/>
      </c>
    </row>
    <row r="211" spans="1:13" x14ac:dyDescent="0.35">
      <c r="A211" s="26" t="s">
        <v>318</v>
      </c>
      <c r="B211" s="26"/>
      <c r="C211" s="27"/>
      <c r="D211" s="26"/>
      <c r="E211" s="26"/>
      <c r="F211" s="28"/>
      <c r="G211" s="29" t="str">
        <f t="shared" ca="1" si="6"/>
        <v/>
      </c>
      <c r="H211" s="29" t="str">
        <f>IF(B211="","",COUNTIFS('🤸 Ingresos Pole'!$C$2:$C$1000,B211,'🤸 Ingresos Pole'!$J$2:$J$1000,"Paquete"))</f>
        <v/>
      </c>
      <c r="I211" s="29" t="str">
        <f>IF(B211="","",COUNTIF('🤸 Ingresos Pole'!$C$2:$C$1000,B211))</f>
        <v/>
      </c>
      <c r="J211" s="30" t="str">
        <f>IF(B211="","",SUMIF('🤸 Ingresos Pole'!$C$2:$C$1000,B211,'🤸 Ingresos Pole'!$N$2:$N$1000))</f>
        <v/>
      </c>
      <c r="K211" s="31" t="str">
        <f>IF(OR(B211="",I211=0),"",_xlfn.MINIFS('🤸 Ingresos Pole'!$B$2:$B$1000,'🤸 Ingresos Pole'!$C$2:$C$1000,B211))</f>
        <v/>
      </c>
      <c r="L211" s="31" t="str">
        <f>IF(OR(B211="",I211=0),"",_xlfn.MAXIFS('🤸 Ingresos Pole'!$B$2:$B$1000,'🤸 Ingresos Pole'!$C$2:$C$1000,B211))</f>
        <v/>
      </c>
      <c r="M211" s="29" t="str">
        <f t="shared" si="7"/>
        <v/>
      </c>
    </row>
    <row r="212" spans="1:13" x14ac:dyDescent="0.35">
      <c r="A212" s="26" t="s">
        <v>319</v>
      </c>
      <c r="B212" s="26"/>
      <c r="C212" s="27"/>
      <c r="D212" s="26"/>
      <c r="E212" s="26"/>
      <c r="F212" s="28"/>
      <c r="G212" s="29" t="str">
        <f t="shared" ca="1" si="6"/>
        <v/>
      </c>
      <c r="H212" s="29" t="str">
        <f>IF(B212="","",COUNTIFS('🤸 Ingresos Pole'!$C$2:$C$1000,B212,'🤸 Ingresos Pole'!$J$2:$J$1000,"Paquete"))</f>
        <v/>
      </c>
      <c r="I212" s="29" t="str">
        <f>IF(B212="","",COUNTIF('🤸 Ingresos Pole'!$C$2:$C$1000,B212))</f>
        <v/>
      </c>
      <c r="J212" s="30" t="str">
        <f>IF(B212="","",SUMIF('🤸 Ingresos Pole'!$C$2:$C$1000,B212,'🤸 Ingresos Pole'!$N$2:$N$1000))</f>
        <v/>
      </c>
      <c r="K212" s="31" t="str">
        <f>IF(OR(B212="",I212=0),"",_xlfn.MINIFS('🤸 Ingresos Pole'!$B$2:$B$1000,'🤸 Ingresos Pole'!$C$2:$C$1000,B212))</f>
        <v/>
      </c>
      <c r="L212" s="31" t="str">
        <f>IF(OR(B212="",I212=0),"",_xlfn.MAXIFS('🤸 Ingresos Pole'!$B$2:$B$1000,'🤸 Ingresos Pole'!$C$2:$C$1000,B212))</f>
        <v/>
      </c>
      <c r="M212" s="29" t="str">
        <f t="shared" si="7"/>
        <v/>
      </c>
    </row>
    <row r="213" spans="1:13" x14ac:dyDescent="0.35">
      <c r="A213" s="26" t="s">
        <v>320</v>
      </c>
      <c r="B213" s="26"/>
      <c r="C213" s="27"/>
      <c r="D213" s="26"/>
      <c r="E213" s="26"/>
      <c r="F213" s="28"/>
      <c r="G213" s="29" t="str">
        <f t="shared" ca="1" si="6"/>
        <v/>
      </c>
      <c r="H213" s="29" t="str">
        <f>IF(B213="","",COUNTIFS('🤸 Ingresos Pole'!$C$2:$C$1000,B213,'🤸 Ingresos Pole'!$J$2:$J$1000,"Paquete"))</f>
        <v/>
      </c>
      <c r="I213" s="29" t="str">
        <f>IF(B213="","",COUNTIF('🤸 Ingresos Pole'!$C$2:$C$1000,B213))</f>
        <v/>
      </c>
      <c r="J213" s="30" t="str">
        <f>IF(B213="","",SUMIF('🤸 Ingresos Pole'!$C$2:$C$1000,B213,'🤸 Ingresos Pole'!$N$2:$N$1000))</f>
        <v/>
      </c>
      <c r="K213" s="31" t="str">
        <f>IF(OR(B213="",I213=0),"",_xlfn.MINIFS('🤸 Ingresos Pole'!$B$2:$B$1000,'🤸 Ingresos Pole'!$C$2:$C$1000,B213))</f>
        <v/>
      </c>
      <c r="L213" s="31" t="str">
        <f>IF(OR(B213="",I213=0),"",_xlfn.MAXIFS('🤸 Ingresos Pole'!$B$2:$B$1000,'🤸 Ingresos Pole'!$C$2:$C$1000,B213))</f>
        <v/>
      </c>
      <c r="M213" s="29" t="str">
        <f t="shared" si="7"/>
        <v/>
      </c>
    </row>
    <row r="214" spans="1:13" x14ac:dyDescent="0.35">
      <c r="A214" s="26" t="s">
        <v>321</v>
      </c>
      <c r="B214" s="26"/>
      <c r="C214" s="27"/>
      <c r="D214" s="26"/>
      <c r="E214" s="26"/>
      <c r="F214" s="28"/>
      <c r="G214" s="29" t="str">
        <f t="shared" ca="1" si="6"/>
        <v/>
      </c>
      <c r="H214" s="29" t="str">
        <f>IF(B214="","",COUNTIFS('🤸 Ingresos Pole'!$C$2:$C$1000,B214,'🤸 Ingresos Pole'!$J$2:$J$1000,"Paquete"))</f>
        <v/>
      </c>
      <c r="I214" s="29" t="str">
        <f>IF(B214="","",COUNTIF('🤸 Ingresos Pole'!$C$2:$C$1000,B214))</f>
        <v/>
      </c>
      <c r="J214" s="30" t="str">
        <f>IF(B214="","",SUMIF('🤸 Ingresos Pole'!$C$2:$C$1000,B214,'🤸 Ingresos Pole'!$N$2:$N$1000))</f>
        <v/>
      </c>
      <c r="K214" s="31" t="str">
        <f>IF(OR(B214="",I214=0),"",_xlfn.MINIFS('🤸 Ingresos Pole'!$B$2:$B$1000,'🤸 Ingresos Pole'!$C$2:$C$1000,B214))</f>
        <v/>
      </c>
      <c r="L214" s="31" t="str">
        <f>IF(OR(B214="",I214=0),"",_xlfn.MAXIFS('🤸 Ingresos Pole'!$B$2:$B$1000,'🤸 Ingresos Pole'!$C$2:$C$1000,B214))</f>
        <v/>
      </c>
      <c r="M214" s="29" t="str">
        <f t="shared" si="7"/>
        <v/>
      </c>
    </row>
    <row r="215" spans="1:13" x14ac:dyDescent="0.35">
      <c r="A215" s="26" t="s">
        <v>322</v>
      </c>
      <c r="B215" s="26"/>
      <c r="C215" s="27"/>
      <c r="D215" s="26"/>
      <c r="E215" s="26"/>
      <c r="F215" s="28"/>
      <c r="G215" s="29" t="str">
        <f t="shared" ca="1" si="6"/>
        <v/>
      </c>
      <c r="H215" s="29" t="str">
        <f>IF(B215="","",COUNTIFS('🤸 Ingresos Pole'!$C$2:$C$1000,B215,'🤸 Ingresos Pole'!$J$2:$J$1000,"Paquete"))</f>
        <v/>
      </c>
      <c r="I215" s="29" t="str">
        <f>IF(B215="","",COUNTIF('🤸 Ingresos Pole'!$C$2:$C$1000,B215))</f>
        <v/>
      </c>
      <c r="J215" s="30" t="str">
        <f>IF(B215="","",SUMIF('🤸 Ingresos Pole'!$C$2:$C$1000,B215,'🤸 Ingresos Pole'!$N$2:$N$1000))</f>
        <v/>
      </c>
      <c r="K215" s="31" t="str">
        <f>IF(OR(B215="",I215=0),"",_xlfn.MINIFS('🤸 Ingresos Pole'!$B$2:$B$1000,'🤸 Ingresos Pole'!$C$2:$C$1000,B215))</f>
        <v/>
      </c>
      <c r="L215" s="31" t="str">
        <f>IF(OR(B215="",I215=0),"",_xlfn.MAXIFS('🤸 Ingresos Pole'!$B$2:$B$1000,'🤸 Ingresos Pole'!$C$2:$C$1000,B215))</f>
        <v/>
      </c>
      <c r="M215" s="29" t="str">
        <f t="shared" si="7"/>
        <v/>
      </c>
    </row>
    <row r="216" spans="1:13" x14ac:dyDescent="0.35">
      <c r="A216" s="26" t="s">
        <v>323</v>
      </c>
      <c r="B216" s="26"/>
      <c r="C216" s="27"/>
      <c r="D216" s="26"/>
      <c r="E216" s="26"/>
      <c r="F216" s="28"/>
      <c r="G216" s="29" t="str">
        <f t="shared" ca="1" si="6"/>
        <v/>
      </c>
      <c r="H216" s="29" t="str">
        <f>IF(B216="","",COUNTIFS('🤸 Ingresos Pole'!$C$2:$C$1000,B216,'🤸 Ingresos Pole'!$J$2:$J$1000,"Paquete"))</f>
        <v/>
      </c>
      <c r="I216" s="29" t="str">
        <f>IF(B216="","",COUNTIF('🤸 Ingresos Pole'!$C$2:$C$1000,B216))</f>
        <v/>
      </c>
      <c r="J216" s="30" t="str">
        <f>IF(B216="","",SUMIF('🤸 Ingresos Pole'!$C$2:$C$1000,B216,'🤸 Ingresos Pole'!$N$2:$N$1000))</f>
        <v/>
      </c>
      <c r="K216" s="31" t="str">
        <f>IF(OR(B216="",I216=0),"",_xlfn.MINIFS('🤸 Ingresos Pole'!$B$2:$B$1000,'🤸 Ingresos Pole'!$C$2:$C$1000,B216))</f>
        <v/>
      </c>
      <c r="L216" s="31" t="str">
        <f>IF(OR(B216="",I216=0),"",_xlfn.MAXIFS('🤸 Ingresos Pole'!$B$2:$B$1000,'🤸 Ingresos Pole'!$C$2:$C$1000,B216))</f>
        <v/>
      </c>
      <c r="M216" s="29" t="str">
        <f t="shared" si="7"/>
        <v/>
      </c>
    </row>
    <row r="217" spans="1:13" x14ac:dyDescent="0.35">
      <c r="A217" s="26" t="s">
        <v>324</v>
      </c>
      <c r="B217" s="26"/>
      <c r="C217" s="27"/>
      <c r="D217" s="26"/>
      <c r="E217" s="26"/>
      <c r="F217" s="28"/>
      <c r="G217" s="29" t="str">
        <f t="shared" ca="1" si="6"/>
        <v/>
      </c>
      <c r="H217" s="29" t="str">
        <f>IF(B217="","",COUNTIFS('🤸 Ingresos Pole'!$C$2:$C$1000,B217,'🤸 Ingresos Pole'!$J$2:$J$1000,"Paquete"))</f>
        <v/>
      </c>
      <c r="I217" s="29" t="str">
        <f>IF(B217="","",COUNTIF('🤸 Ingresos Pole'!$C$2:$C$1000,B217))</f>
        <v/>
      </c>
      <c r="J217" s="30" t="str">
        <f>IF(B217="","",SUMIF('🤸 Ingresos Pole'!$C$2:$C$1000,B217,'🤸 Ingresos Pole'!$N$2:$N$1000))</f>
        <v/>
      </c>
      <c r="K217" s="31" t="str">
        <f>IF(OR(B217="",I217=0),"",_xlfn.MINIFS('🤸 Ingresos Pole'!$B$2:$B$1000,'🤸 Ingresos Pole'!$C$2:$C$1000,B217))</f>
        <v/>
      </c>
      <c r="L217" s="31" t="str">
        <f>IF(OR(B217="",I217=0),"",_xlfn.MAXIFS('🤸 Ingresos Pole'!$B$2:$B$1000,'🤸 Ingresos Pole'!$C$2:$C$1000,B217))</f>
        <v/>
      </c>
      <c r="M217" s="29" t="str">
        <f t="shared" si="7"/>
        <v/>
      </c>
    </row>
    <row r="218" spans="1:13" x14ac:dyDescent="0.35">
      <c r="A218" s="26" t="s">
        <v>325</v>
      </c>
      <c r="B218" s="26"/>
      <c r="C218" s="27"/>
      <c r="D218" s="26"/>
      <c r="E218" s="26"/>
      <c r="F218" s="28"/>
      <c r="G218" s="29" t="str">
        <f t="shared" ca="1" si="6"/>
        <v/>
      </c>
      <c r="H218" s="29" t="str">
        <f>IF(B218="","",COUNTIFS('🤸 Ingresos Pole'!$C$2:$C$1000,B218,'🤸 Ingresos Pole'!$J$2:$J$1000,"Paquete"))</f>
        <v/>
      </c>
      <c r="I218" s="29" t="str">
        <f>IF(B218="","",COUNTIF('🤸 Ingresos Pole'!$C$2:$C$1000,B218))</f>
        <v/>
      </c>
      <c r="J218" s="30" t="str">
        <f>IF(B218="","",SUMIF('🤸 Ingresos Pole'!$C$2:$C$1000,B218,'🤸 Ingresos Pole'!$N$2:$N$1000))</f>
        <v/>
      </c>
      <c r="K218" s="31" t="str">
        <f>IF(OR(B218="",I218=0),"",_xlfn.MINIFS('🤸 Ingresos Pole'!$B$2:$B$1000,'🤸 Ingresos Pole'!$C$2:$C$1000,B218))</f>
        <v/>
      </c>
      <c r="L218" s="31" t="str">
        <f>IF(OR(B218="",I218=0),"",_xlfn.MAXIFS('🤸 Ingresos Pole'!$B$2:$B$1000,'🤸 Ingresos Pole'!$C$2:$C$1000,B218))</f>
        <v/>
      </c>
      <c r="M218" s="29" t="str">
        <f t="shared" si="7"/>
        <v/>
      </c>
    </row>
    <row r="219" spans="1:13" x14ac:dyDescent="0.35">
      <c r="A219" s="26" t="s">
        <v>326</v>
      </c>
      <c r="B219" s="26"/>
      <c r="C219" s="27"/>
      <c r="D219" s="26"/>
      <c r="E219" s="26"/>
      <c r="F219" s="28"/>
      <c r="G219" s="29" t="str">
        <f t="shared" ca="1" si="6"/>
        <v/>
      </c>
      <c r="H219" s="29" t="str">
        <f>IF(B219="","",COUNTIFS('🤸 Ingresos Pole'!$C$2:$C$1000,B219,'🤸 Ingresos Pole'!$J$2:$J$1000,"Paquete"))</f>
        <v/>
      </c>
      <c r="I219" s="29" t="str">
        <f>IF(B219="","",COUNTIF('🤸 Ingresos Pole'!$C$2:$C$1000,B219))</f>
        <v/>
      </c>
      <c r="J219" s="30" t="str">
        <f>IF(B219="","",SUMIF('🤸 Ingresos Pole'!$C$2:$C$1000,B219,'🤸 Ingresos Pole'!$N$2:$N$1000))</f>
        <v/>
      </c>
      <c r="K219" s="31" t="str">
        <f>IF(OR(B219="",I219=0),"",_xlfn.MINIFS('🤸 Ingresos Pole'!$B$2:$B$1000,'🤸 Ingresos Pole'!$C$2:$C$1000,B219))</f>
        <v/>
      </c>
      <c r="L219" s="31" t="str">
        <f>IF(OR(B219="",I219=0),"",_xlfn.MAXIFS('🤸 Ingresos Pole'!$B$2:$B$1000,'🤸 Ingresos Pole'!$C$2:$C$1000,B219))</f>
        <v/>
      </c>
      <c r="M219" s="29" t="str">
        <f t="shared" si="7"/>
        <v/>
      </c>
    </row>
    <row r="220" spans="1:13" x14ac:dyDescent="0.35">
      <c r="A220" s="26" t="s">
        <v>327</v>
      </c>
      <c r="B220" s="26"/>
      <c r="C220" s="27"/>
      <c r="D220" s="26"/>
      <c r="E220" s="26"/>
      <c r="F220" s="28"/>
      <c r="G220" s="29" t="str">
        <f t="shared" ca="1" si="6"/>
        <v/>
      </c>
      <c r="H220" s="29" t="str">
        <f>IF(B220="","",COUNTIFS('🤸 Ingresos Pole'!$C$2:$C$1000,B220,'🤸 Ingresos Pole'!$J$2:$J$1000,"Paquete"))</f>
        <v/>
      </c>
      <c r="I220" s="29" t="str">
        <f>IF(B220="","",COUNTIF('🤸 Ingresos Pole'!$C$2:$C$1000,B220))</f>
        <v/>
      </c>
      <c r="J220" s="30" t="str">
        <f>IF(B220="","",SUMIF('🤸 Ingresos Pole'!$C$2:$C$1000,B220,'🤸 Ingresos Pole'!$N$2:$N$1000))</f>
        <v/>
      </c>
      <c r="K220" s="31" t="str">
        <f>IF(OR(B220="",I220=0),"",_xlfn.MINIFS('🤸 Ingresos Pole'!$B$2:$B$1000,'🤸 Ingresos Pole'!$C$2:$C$1000,B220))</f>
        <v/>
      </c>
      <c r="L220" s="31" t="str">
        <f>IF(OR(B220="",I220=0),"",_xlfn.MAXIFS('🤸 Ingresos Pole'!$B$2:$B$1000,'🤸 Ingresos Pole'!$C$2:$C$1000,B220))</f>
        <v/>
      </c>
      <c r="M220" s="29" t="str">
        <f t="shared" si="7"/>
        <v/>
      </c>
    </row>
    <row r="221" spans="1:13" x14ac:dyDescent="0.35">
      <c r="A221" s="26" t="s">
        <v>328</v>
      </c>
      <c r="B221" s="26"/>
      <c r="C221" s="27"/>
      <c r="D221" s="26"/>
      <c r="E221" s="26"/>
      <c r="F221" s="28"/>
      <c r="G221" s="29" t="str">
        <f t="shared" ca="1" si="6"/>
        <v/>
      </c>
      <c r="H221" s="29" t="str">
        <f>IF(B221="","",COUNTIFS('🤸 Ingresos Pole'!$C$2:$C$1000,B221,'🤸 Ingresos Pole'!$J$2:$J$1000,"Paquete"))</f>
        <v/>
      </c>
      <c r="I221" s="29" t="str">
        <f>IF(B221="","",COUNTIF('🤸 Ingresos Pole'!$C$2:$C$1000,B221))</f>
        <v/>
      </c>
      <c r="J221" s="30" t="str">
        <f>IF(B221="","",SUMIF('🤸 Ingresos Pole'!$C$2:$C$1000,B221,'🤸 Ingresos Pole'!$N$2:$N$1000))</f>
        <v/>
      </c>
      <c r="K221" s="31" t="str">
        <f>IF(OR(B221="",I221=0),"",_xlfn.MINIFS('🤸 Ingresos Pole'!$B$2:$B$1000,'🤸 Ingresos Pole'!$C$2:$C$1000,B221))</f>
        <v/>
      </c>
      <c r="L221" s="31" t="str">
        <f>IF(OR(B221="",I221=0),"",_xlfn.MAXIFS('🤸 Ingresos Pole'!$B$2:$B$1000,'🤸 Ingresos Pole'!$C$2:$C$1000,B221))</f>
        <v/>
      </c>
      <c r="M221" s="29" t="str">
        <f t="shared" si="7"/>
        <v/>
      </c>
    </row>
    <row r="222" spans="1:13" x14ac:dyDescent="0.35">
      <c r="A222" s="26" t="s">
        <v>329</v>
      </c>
      <c r="B222" s="26"/>
      <c r="C222" s="27"/>
      <c r="D222" s="26"/>
      <c r="E222" s="26"/>
      <c r="F222" s="28"/>
      <c r="G222" s="29" t="str">
        <f t="shared" ca="1" si="6"/>
        <v/>
      </c>
      <c r="H222" s="29" t="str">
        <f>IF(B222="","",COUNTIFS('🤸 Ingresos Pole'!$C$2:$C$1000,B222,'🤸 Ingresos Pole'!$J$2:$J$1000,"Paquete"))</f>
        <v/>
      </c>
      <c r="I222" s="29" t="str">
        <f>IF(B222="","",COUNTIF('🤸 Ingresos Pole'!$C$2:$C$1000,B222))</f>
        <v/>
      </c>
      <c r="J222" s="30" t="str">
        <f>IF(B222="","",SUMIF('🤸 Ingresos Pole'!$C$2:$C$1000,B222,'🤸 Ingresos Pole'!$N$2:$N$1000))</f>
        <v/>
      </c>
      <c r="K222" s="31" t="str">
        <f>IF(OR(B222="",I222=0),"",_xlfn.MINIFS('🤸 Ingresos Pole'!$B$2:$B$1000,'🤸 Ingresos Pole'!$C$2:$C$1000,B222))</f>
        <v/>
      </c>
      <c r="L222" s="31" t="str">
        <f>IF(OR(B222="",I222=0),"",_xlfn.MAXIFS('🤸 Ingresos Pole'!$B$2:$B$1000,'🤸 Ingresos Pole'!$C$2:$C$1000,B222))</f>
        <v/>
      </c>
      <c r="M222" s="29" t="str">
        <f t="shared" si="7"/>
        <v/>
      </c>
    </row>
    <row r="223" spans="1:13" x14ac:dyDescent="0.35">
      <c r="A223" s="26" t="s">
        <v>330</v>
      </c>
      <c r="B223" s="26"/>
      <c r="C223" s="27"/>
      <c r="D223" s="26"/>
      <c r="E223" s="26"/>
      <c r="F223" s="28"/>
      <c r="G223" s="29" t="str">
        <f t="shared" ca="1" si="6"/>
        <v/>
      </c>
      <c r="H223" s="29" t="str">
        <f>IF(B223="","",COUNTIFS('🤸 Ingresos Pole'!$C$2:$C$1000,B223,'🤸 Ingresos Pole'!$J$2:$J$1000,"Paquete"))</f>
        <v/>
      </c>
      <c r="I223" s="29" t="str">
        <f>IF(B223="","",COUNTIF('🤸 Ingresos Pole'!$C$2:$C$1000,B223))</f>
        <v/>
      </c>
      <c r="J223" s="30" t="str">
        <f>IF(B223="","",SUMIF('🤸 Ingresos Pole'!$C$2:$C$1000,B223,'🤸 Ingresos Pole'!$N$2:$N$1000))</f>
        <v/>
      </c>
      <c r="K223" s="31" t="str">
        <f>IF(OR(B223="",I223=0),"",_xlfn.MINIFS('🤸 Ingresos Pole'!$B$2:$B$1000,'🤸 Ingresos Pole'!$C$2:$C$1000,B223))</f>
        <v/>
      </c>
      <c r="L223" s="31" t="str">
        <f>IF(OR(B223="",I223=0),"",_xlfn.MAXIFS('🤸 Ingresos Pole'!$B$2:$B$1000,'🤸 Ingresos Pole'!$C$2:$C$1000,B223))</f>
        <v/>
      </c>
      <c r="M223" s="29" t="str">
        <f t="shared" si="7"/>
        <v/>
      </c>
    </row>
    <row r="224" spans="1:13" x14ac:dyDescent="0.35">
      <c r="A224" s="26" t="s">
        <v>331</v>
      </c>
      <c r="B224" s="26"/>
      <c r="C224" s="27"/>
      <c r="D224" s="26"/>
      <c r="E224" s="26"/>
      <c r="F224" s="28"/>
      <c r="G224" s="29" t="str">
        <f t="shared" ca="1" si="6"/>
        <v/>
      </c>
      <c r="H224" s="29" t="str">
        <f>IF(B224="","",COUNTIFS('🤸 Ingresos Pole'!$C$2:$C$1000,B224,'🤸 Ingresos Pole'!$J$2:$J$1000,"Paquete"))</f>
        <v/>
      </c>
      <c r="I224" s="29" t="str">
        <f>IF(B224="","",COUNTIF('🤸 Ingresos Pole'!$C$2:$C$1000,B224))</f>
        <v/>
      </c>
      <c r="J224" s="30" t="str">
        <f>IF(B224="","",SUMIF('🤸 Ingresos Pole'!$C$2:$C$1000,B224,'🤸 Ingresos Pole'!$N$2:$N$1000))</f>
        <v/>
      </c>
      <c r="K224" s="31" t="str">
        <f>IF(OR(B224="",I224=0),"",_xlfn.MINIFS('🤸 Ingresos Pole'!$B$2:$B$1000,'🤸 Ingresos Pole'!$C$2:$C$1000,B224))</f>
        <v/>
      </c>
      <c r="L224" s="31" t="str">
        <f>IF(OR(B224="",I224=0),"",_xlfn.MAXIFS('🤸 Ingresos Pole'!$B$2:$B$1000,'🤸 Ingresos Pole'!$C$2:$C$1000,B224))</f>
        <v/>
      </c>
      <c r="M224" s="29" t="str">
        <f t="shared" si="7"/>
        <v/>
      </c>
    </row>
    <row r="225" spans="1:13" x14ac:dyDescent="0.35">
      <c r="A225" s="26" t="s">
        <v>332</v>
      </c>
      <c r="B225" s="26"/>
      <c r="C225" s="27"/>
      <c r="D225" s="26"/>
      <c r="E225" s="26"/>
      <c r="F225" s="28"/>
      <c r="G225" s="29" t="str">
        <f t="shared" ca="1" si="6"/>
        <v/>
      </c>
      <c r="H225" s="29" t="str">
        <f>IF(B225="","",COUNTIFS('🤸 Ingresos Pole'!$C$2:$C$1000,B225,'🤸 Ingresos Pole'!$J$2:$J$1000,"Paquete"))</f>
        <v/>
      </c>
      <c r="I225" s="29" t="str">
        <f>IF(B225="","",COUNTIF('🤸 Ingresos Pole'!$C$2:$C$1000,B225))</f>
        <v/>
      </c>
      <c r="J225" s="30" t="str">
        <f>IF(B225="","",SUMIF('🤸 Ingresos Pole'!$C$2:$C$1000,B225,'🤸 Ingresos Pole'!$N$2:$N$1000))</f>
        <v/>
      </c>
      <c r="K225" s="31" t="str">
        <f>IF(OR(B225="",I225=0),"",_xlfn.MINIFS('🤸 Ingresos Pole'!$B$2:$B$1000,'🤸 Ingresos Pole'!$C$2:$C$1000,B225))</f>
        <v/>
      </c>
      <c r="L225" s="31" t="str">
        <f>IF(OR(B225="",I225=0),"",_xlfn.MAXIFS('🤸 Ingresos Pole'!$B$2:$B$1000,'🤸 Ingresos Pole'!$C$2:$C$1000,B225))</f>
        <v/>
      </c>
      <c r="M225" s="29" t="str">
        <f t="shared" si="7"/>
        <v/>
      </c>
    </row>
    <row r="226" spans="1:13" x14ac:dyDescent="0.35">
      <c r="A226" s="26" t="s">
        <v>333</v>
      </c>
      <c r="B226" s="26"/>
      <c r="C226" s="27"/>
      <c r="D226" s="26"/>
      <c r="E226" s="26"/>
      <c r="F226" s="28"/>
      <c r="G226" s="29" t="str">
        <f t="shared" ca="1" si="6"/>
        <v/>
      </c>
      <c r="H226" s="29" t="str">
        <f>IF(B226="","",COUNTIFS('🤸 Ingresos Pole'!$C$2:$C$1000,B226,'🤸 Ingresos Pole'!$J$2:$J$1000,"Paquete"))</f>
        <v/>
      </c>
      <c r="I226" s="29" t="str">
        <f>IF(B226="","",COUNTIF('🤸 Ingresos Pole'!$C$2:$C$1000,B226))</f>
        <v/>
      </c>
      <c r="J226" s="30" t="str">
        <f>IF(B226="","",SUMIF('🤸 Ingresos Pole'!$C$2:$C$1000,B226,'🤸 Ingresos Pole'!$N$2:$N$1000))</f>
        <v/>
      </c>
      <c r="K226" s="31" t="str">
        <f>IF(OR(B226="",I226=0),"",_xlfn.MINIFS('🤸 Ingresos Pole'!$B$2:$B$1000,'🤸 Ingresos Pole'!$C$2:$C$1000,B226))</f>
        <v/>
      </c>
      <c r="L226" s="31" t="str">
        <f>IF(OR(B226="",I226=0),"",_xlfn.MAXIFS('🤸 Ingresos Pole'!$B$2:$B$1000,'🤸 Ingresos Pole'!$C$2:$C$1000,B226))</f>
        <v/>
      </c>
      <c r="M226" s="29" t="str">
        <f t="shared" si="7"/>
        <v/>
      </c>
    </row>
    <row r="227" spans="1:13" x14ac:dyDescent="0.35">
      <c r="A227" s="26" t="s">
        <v>334</v>
      </c>
      <c r="B227" s="26"/>
      <c r="C227" s="27"/>
      <c r="D227" s="26"/>
      <c r="E227" s="26"/>
      <c r="F227" s="28"/>
      <c r="G227" s="29" t="str">
        <f t="shared" ca="1" si="6"/>
        <v/>
      </c>
      <c r="H227" s="29" t="str">
        <f>IF(B227="","",COUNTIFS('🤸 Ingresos Pole'!$C$2:$C$1000,B227,'🤸 Ingresos Pole'!$J$2:$J$1000,"Paquete"))</f>
        <v/>
      </c>
      <c r="I227" s="29" t="str">
        <f>IF(B227="","",COUNTIF('🤸 Ingresos Pole'!$C$2:$C$1000,B227))</f>
        <v/>
      </c>
      <c r="J227" s="30" t="str">
        <f>IF(B227="","",SUMIF('🤸 Ingresos Pole'!$C$2:$C$1000,B227,'🤸 Ingresos Pole'!$N$2:$N$1000))</f>
        <v/>
      </c>
      <c r="K227" s="31" t="str">
        <f>IF(OR(B227="",I227=0),"",_xlfn.MINIFS('🤸 Ingresos Pole'!$B$2:$B$1000,'🤸 Ingresos Pole'!$C$2:$C$1000,B227))</f>
        <v/>
      </c>
      <c r="L227" s="31" t="str">
        <f>IF(OR(B227="",I227=0),"",_xlfn.MAXIFS('🤸 Ingresos Pole'!$B$2:$B$1000,'🤸 Ingresos Pole'!$C$2:$C$1000,B227))</f>
        <v/>
      </c>
      <c r="M227" s="29" t="str">
        <f t="shared" si="7"/>
        <v/>
      </c>
    </row>
    <row r="228" spans="1:13" x14ac:dyDescent="0.35">
      <c r="A228" s="26" t="s">
        <v>335</v>
      </c>
      <c r="B228" s="26"/>
      <c r="C228" s="27"/>
      <c r="D228" s="26"/>
      <c r="E228" s="26"/>
      <c r="F228" s="28"/>
      <c r="G228" s="29" t="str">
        <f t="shared" ca="1" si="6"/>
        <v/>
      </c>
      <c r="H228" s="29" t="str">
        <f>IF(B228="","",COUNTIFS('🤸 Ingresos Pole'!$C$2:$C$1000,B228,'🤸 Ingresos Pole'!$J$2:$J$1000,"Paquete"))</f>
        <v/>
      </c>
      <c r="I228" s="29" t="str">
        <f>IF(B228="","",COUNTIF('🤸 Ingresos Pole'!$C$2:$C$1000,B228))</f>
        <v/>
      </c>
      <c r="J228" s="30" t="str">
        <f>IF(B228="","",SUMIF('🤸 Ingresos Pole'!$C$2:$C$1000,B228,'🤸 Ingresos Pole'!$N$2:$N$1000))</f>
        <v/>
      </c>
      <c r="K228" s="31" t="str">
        <f>IF(OR(B228="",I228=0),"",_xlfn.MINIFS('🤸 Ingresos Pole'!$B$2:$B$1000,'🤸 Ingresos Pole'!$C$2:$C$1000,B228))</f>
        <v/>
      </c>
      <c r="L228" s="31" t="str">
        <f>IF(OR(B228="",I228=0),"",_xlfn.MAXIFS('🤸 Ingresos Pole'!$B$2:$B$1000,'🤸 Ingresos Pole'!$C$2:$C$1000,B228))</f>
        <v/>
      </c>
      <c r="M228" s="29" t="str">
        <f t="shared" si="7"/>
        <v/>
      </c>
    </row>
    <row r="229" spans="1:13" x14ac:dyDescent="0.35">
      <c r="A229" s="26" t="s">
        <v>336</v>
      </c>
      <c r="B229" s="26"/>
      <c r="C229" s="27"/>
      <c r="D229" s="26"/>
      <c r="E229" s="26"/>
      <c r="F229" s="28"/>
      <c r="G229" s="29" t="str">
        <f t="shared" ca="1" si="6"/>
        <v/>
      </c>
      <c r="H229" s="29" t="str">
        <f>IF(B229="","",COUNTIFS('🤸 Ingresos Pole'!$C$2:$C$1000,B229,'🤸 Ingresos Pole'!$J$2:$J$1000,"Paquete"))</f>
        <v/>
      </c>
      <c r="I229" s="29" t="str">
        <f>IF(B229="","",COUNTIF('🤸 Ingresos Pole'!$C$2:$C$1000,B229))</f>
        <v/>
      </c>
      <c r="J229" s="30" t="str">
        <f>IF(B229="","",SUMIF('🤸 Ingresos Pole'!$C$2:$C$1000,B229,'🤸 Ingresos Pole'!$N$2:$N$1000))</f>
        <v/>
      </c>
      <c r="K229" s="31" t="str">
        <f>IF(OR(B229="",I229=0),"",_xlfn.MINIFS('🤸 Ingresos Pole'!$B$2:$B$1000,'🤸 Ingresos Pole'!$C$2:$C$1000,B229))</f>
        <v/>
      </c>
      <c r="L229" s="31" t="str">
        <f>IF(OR(B229="",I229=0),"",_xlfn.MAXIFS('🤸 Ingresos Pole'!$B$2:$B$1000,'🤸 Ingresos Pole'!$C$2:$C$1000,B229))</f>
        <v/>
      </c>
      <c r="M229" s="29" t="str">
        <f t="shared" si="7"/>
        <v/>
      </c>
    </row>
    <row r="230" spans="1:13" x14ac:dyDescent="0.35">
      <c r="A230" s="26" t="s">
        <v>337</v>
      </c>
      <c r="B230" s="26"/>
      <c r="C230" s="27"/>
      <c r="D230" s="26"/>
      <c r="E230" s="26"/>
      <c r="F230" s="28"/>
      <c r="G230" s="29" t="str">
        <f t="shared" ca="1" si="6"/>
        <v/>
      </c>
      <c r="H230" s="29" t="str">
        <f>IF(B230="","",COUNTIFS('🤸 Ingresos Pole'!$C$2:$C$1000,B230,'🤸 Ingresos Pole'!$J$2:$J$1000,"Paquete"))</f>
        <v/>
      </c>
      <c r="I230" s="29" t="str">
        <f>IF(B230="","",COUNTIF('🤸 Ingresos Pole'!$C$2:$C$1000,B230))</f>
        <v/>
      </c>
      <c r="J230" s="30" t="str">
        <f>IF(B230="","",SUMIF('🤸 Ingresos Pole'!$C$2:$C$1000,B230,'🤸 Ingresos Pole'!$N$2:$N$1000))</f>
        <v/>
      </c>
      <c r="K230" s="31" t="str">
        <f>IF(OR(B230="",I230=0),"",_xlfn.MINIFS('🤸 Ingresos Pole'!$B$2:$B$1000,'🤸 Ingresos Pole'!$C$2:$C$1000,B230))</f>
        <v/>
      </c>
      <c r="L230" s="31" t="str">
        <f>IF(OR(B230="",I230=0),"",_xlfn.MAXIFS('🤸 Ingresos Pole'!$B$2:$B$1000,'🤸 Ingresos Pole'!$C$2:$C$1000,B230))</f>
        <v/>
      </c>
      <c r="M230" s="29" t="str">
        <f t="shared" si="7"/>
        <v/>
      </c>
    </row>
    <row r="231" spans="1:13" x14ac:dyDescent="0.35">
      <c r="A231" s="26" t="s">
        <v>338</v>
      </c>
      <c r="B231" s="26"/>
      <c r="C231" s="27"/>
      <c r="D231" s="26"/>
      <c r="E231" s="26"/>
      <c r="F231" s="28"/>
      <c r="G231" s="29" t="str">
        <f t="shared" ca="1" si="6"/>
        <v/>
      </c>
      <c r="H231" s="29" t="str">
        <f>IF(B231="","",COUNTIFS('🤸 Ingresos Pole'!$C$2:$C$1000,B231,'🤸 Ingresos Pole'!$J$2:$J$1000,"Paquete"))</f>
        <v/>
      </c>
      <c r="I231" s="29" t="str">
        <f>IF(B231="","",COUNTIF('🤸 Ingresos Pole'!$C$2:$C$1000,B231))</f>
        <v/>
      </c>
      <c r="J231" s="30" t="str">
        <f>IF(B231="","",SUMIF('🤸 Ingresos Pole'!$C$2:$C$1000,B231,'🤸 Ingresos Pole'!$N$2:$N$1000))</f>
        <v/>
      </c>
      <c r="K231" s="31" t="str">
        <f>IF(OR(B231="",I231=0),"",_xlfn.MINIFS('🤸 Ingresos Pole'!$B$2:$B$1000,'🤸 Ingresos Pole'!$C$2:$C$1000,B231))</f>
        <v/>
      </c>
      <c r="L231" s="31" t="str">
        <f>IF(OR(B231="",I231=0),"",_xlfn.MAXIFS('🤸 Ingresos Pole'!$B$2:$B$1000,'🤸 Ingresos Pole'!$C$2:$C$1000,B231))</f>
        <v/>
      </c>
      <c r="M231" s="29" t="str">
        <f t="shared" si="7"/>
        <v/>
      </c>
    </row>
    <row r="232" spans="1:13" x14ac:dyDescent="0.35">
      <c r="A232" s="26" t="s">
        <v>339</v>
      </c>
      <c r="B232" s="26"/>
      <c r="C232" s="27"/>
      <c r="D232" s="26"/>
      <c r="E232" s="26"/>
      <c r="F232" s="28"/>
      <c r="G232" s="29" t="str">
        <f t="shared" ca="1" si="6"/>
        <v/>
      </c>
      <c r="H232" s="29" t="str">
        <f>IF(B232="","",COUNTIFS('🤸 Ingresos Pole'!$C$2:$C$1000,B232,'🤸 Ingresos Pole'!$J$2:$J$1000,"Paquete"))</f>
        <v/>
      </c>
      <c r="I232" s="29" t="str">
        <f>IF(B232="","",COUNTIF('🤸 Ingresos Pole'!$C$2:$C$1000,B232))</f>
        <v/>
      </c>
      <c r="J232" s="30" t="str">
        <f>IF(B232="","",SUMIF('🤸 Ingresos Pole'!$C$2:$C$1000,B232,'🤸 Ingresos Pole'!$N$2:$N$1000))</f>
        <v/>
      </c>
      <c r="K232" s="31" t="str">
        <f>IF(OR(B232="",I232=0),"",_xlfn.MINIFS('🤸 Ingresos Pole'!$B$2:$B$1000,'🤸 Ingresos Pole'!$C$2:$C$1000,B232))</f>
        <v/>
      </c>
      <c r="L232" s="31" t="str">
        <f>IF(OR(B232="",I232=0),"",_xlfn.MAXIFS('🤸 Ingresos Pole'!$B$2:$B$1000,'🤸 Ingresos Pole'!$C$2:$C$1000,B232))</f>
        <v/>
      </c>
      <c r="M232" s="29" t="str">
        <f t="shared" si="7"/>
        <v/>
      </c>
    </row>
    <row r="233" spans="1:13" x14ac:dyDescent="0.35">
      <c r="A233" s="26" t="s">
        <v>340</v>
      </c>
      <c r="B233" s="26"/>
      <c r="C233" s="27"/>
      <c r="D233" s="26"/>
      <c r="E233" s="26"/>
      <c r="F233" s="28"/>
      <c r="G233" s="29" t="str">
        <f t="shared" ca="1" si="6"/>
        <v/>
      </c>
      <c r="H233" s="29" t="str">
        <f>IF(B233="","",COUNTIFS('🤸 Ingresos Pole'!$C$2:$C$1000,B233,'🤸 Ingresos Pole'!$J$2:$J$1000,"Paquete"))</f>
        <v/>
      </c>
      <c r="I233" s="29" t="str">
        <f>IF(B233="","",COUNTIF('🤸 Ingresos Pole'!$C$2:$C$1000,B233))</f>
        <v/>
      </c>
      <c r="J233" s="30" t="str">
        <f>IF(B233="","",SUMIF('🤸 Ingresos Pole'!$C$2:$C$1000,B233,'🤸 Ingresos Pole'!$N$2:$N$1000))</f>
        <v/>
      </c>
      <c r="K233" s="31" t="str">
        <f>IF(OR(B233="",I233=0),"",_xlfn.MINIFS('🤸 Ingresos Pole'!$B$2:$B$1000,'🤸 Ingresos Pole'!$C$2:$C$1000,B233))</f>
        <v/>
      </c>
      <c r="L233" s="31" t="str">
        <f>IF(OR(B233="",I233=0),"",_xlfn.MAXIFS('🤸 Ingresos Pole'!$B$2:$B$1000,'🤸 Ingresos Pole'!$C$2:$C$1000,B233))</f>
        <v/>
      </c>
      <c r="M233" s="29" t="str">
        <f t="shared" si="7"/>
        <v/>
      </c>
    </row>
    <row r="234" spans="1:13" x14ac:dyDescent="0.35">
      <c r="A234" s="26" t="s">
        <v>341</v>
      </c>
      <c r="B234" s="26"/>
      <c r="C234" s="27"/>
      <c r="D234" s="26"/>
      <c r="E234" s="26"/>
      <c r="F234" s="28"/>
      <c r="G234" s="29" t="str">
        <f t="shared" ca="1" si="6"/>
        <v/>
      </c>
      <c r="H234" s="29" t="str">
        <f>IF(B234="","",COUNTIFS('🤸 Ingresos Pole'!$C$2:$C$1000,B234,'🤸 Ingresos Pole'!$J$2:$J$1000,"Paquete"))</f>
        <v/>
      </c>
      <c r="I234" s="29" t="str">
        <f>IF(B234="","",COUNTIF('🤸 Ingresos Pole'!$C$2:$C$1000,B234))</f>
        <v/>
      </c>
      <c r="J234" s="30" t="str">
        <f>IF(B234="","",SUMIF('🤸 Ingresos Pole'!$C$2:$C$1000,B234,'🤸 Ingresos Pole'!$N$2:$N$1000))</f>
        <v/>
      </c>
      <c r="K234" s="31" t="str">
        <f>IF(OR(B234="",I234=0),"",_xlfn.MINIFS('🤸 Ingresos Pole'!$B$2:$B$1000,'🤸 Ingresos Pole'!$C$2:$C$1000,B234))</f>
        <v/>
      </c>
      <c r="L234" s="31" t="str">
        <f>IF(OR(B234="",I234=0),"",_xlfn.MAXIFS('🤸 Ingresos Pole'!$B$2:$B$1000,'🤸 Ingresos Pole'!$C$2:$C$1000,B234))</f>
        <v/>
      </c>
      <c r="M234" s="29" t="str">
        <f t="shared" si="7"/>
        <v/>
      </c>
    </row>
    <row r="235" spans="1:13" x14ac:dyDescent="0.35">
      <c r="A235" s="26" t="s">
        <v>342</v>
      </c>
      <c r="B235" s="26"/>
      <c r="C235" s="27"/>
      <c r="D235" s="26"/>
      <c r="E235" s="26"/>
      <c r="F235" s="28"/>
      <c r="G235" s="29" t="str">
        <f t="shared" ca="1" si="6"/>
        <v/>
      </c>
      <c r="H235" s="29" t="str">
        <f>IF(B235="","",COUNTIFS('🤸 Ingresos Pole'!$C$2:$C$1000,B235,'🤸 Ingresos Pole'!$J$2:$J$1000,"Paquete"))</f>
        <v/>
      </c>
      <c r="I235" s="29" t="str">
        <f>IF(B235="","",COUNTIF('🤸 Ingresos Pole'!$C$2:$C$1000,B235))</f>
        <v/>
      </c>
      <c r="J235" s="30" t="str">
        <f>IF(B235="","",SUMIF('🤸 Ingresos Pole'!$C$2:$C$1000,B235,'🤸 Ingresos Pole'!$N$2:$N$1000))</f>
        <v/>
      </c>
      <c r="K235" s="31" t="str">
        <f>IF(OR(B235="",I235=0),"",_xlfn.MINIFS('🤸 Ingresos Pole'!$B$2:$B$1000,'🤸 Ingresos Pole'!$C$2:$C$1000,B235))</f>
        <v/>
      </c>
      <c r="L235" s="31" t="str">
        <f>IF(OR(B235="",I235=0),"",_xlfn.MAXIFS('🤸 Ingresos Pole'!$B$2:$B$1000,'🤸 Ingresos Pole'!$C$2:$C$1000,B235))</f>
        <v/>
      </c>
      <c r="M235" s="29" t="str">
        <f t="shared" si="7"/>
        <v/>
      </c>
    </row>
    <row r="236" spans="1:13" x14ac:dyDescent="0.35">
      <c r="A236" s="26" t="s">
        <v>343</v>
      </c>
      <c r="B236" s="26"/>
      <c r="C236" s="27"/>
      <c r="D236" s="26"/>
      <c r="E236" s="26"/>
      <c r="F236" s="28"/>
      <c r="G236" s="29" t="str">
        <f t="shared" ca="1" si="6"/>
        <v/>
      </c>
      <c r="H236" s="29" t="str">
        <f>IF(B236="","",COUNTIFS('🤸 Ingresos Pole'!$C$2:$C$1000,B236,'🤸 Ingresos Pole'!$J$2:$J$1000,"Paquete"))</f>
        <v/>
      </c>
      <c r="I236" s="29" t="str">
        <f>IF(B236="","",COUNTIF('🤸 Ingresos Pole'!$C$2:$C$1000,B236))</f>
        <v/>
      </c>
      <c r="J236" s="30" t="str">
        <f>IF(B236="","",SUMIF('🤸 Ingresos Pole'!$C$2:$C$1000,B236,'🤸 Ingresos Pole'!$N$2:$N$1000))</f>
        <v/>
      </c>
      <c r="K236" s="31" t="str">
        <f>IF(OR(B236="",I236=0),"",_xlfn.MINIFS('🤸 Ingresos Pole'!$B$2:$B$1000,'🤸 Ingresos Pole'!$C$2:$C$1000,B236))</f>
        <v/>
      </c>
      <c r="L236" s="31" t="str">
        <f>IF(OR(B236="",I236=0),"",_xlfn.MAXIFS('🤸 Ingresos Pole'!$B$2:$B$1000,'🤸 Ingresos Pole'!$C$2:$C$1000,B236))</f>
        <v/>
      </c>
      <c r="M236" s="29" t="str">
        <f t="shared" si="7"/>
        <v/>
      </c>
    </row>
    <row r="237" spans="1:13" x14ac:dyDescent="0.35">
      <c r="A237" s="26" t="s">
        <v>344</v>
      </c>
      <c r="B237" s="26"/>
      <c r="C237" s="27"/>
      <c r="D237" s="26"/>
      <c r="E237" s="26"/>
      <c r="F237" s="28"/>
      <c r="G237" s="29" t="str">
        <f t="shared" ca="1" si="6"/>
        <v/>
      </c>
      <c r="H237" s="29" t="str">
        <f>IF(B237="","",COUNTIFS('🤸 Ingresos Pole'!$C$2:$C$1000,B237,'🤸 Ingresos Pole'!$J$2:$J$1000,"Paquete"))</f>
        <v/>
      </c>
      <c r="I237" s="29" t="str">
        <f>IF(B237="","",COUNTIF('🤸 Ingresos Pole'!$C$2:$C$1000,B237))</f>
        <v/>
      </c>
      <c r="J237" s="30" t="str">
        <f>IF(B237="","",SUMIF('🤸 Ingresos Pole'!$C$2:$C$1000,B237,'🤸 Ingresos Pole'!$N$2:$N$1000))</f>
        <v/>
      </c>
      <c r="K237" s="31" t="str">
        <f>IF(OR(B237="",I237=0),"",_xlfn.MINIFS('🤸 Ingresos Pole'!$B$2:$B$1000,'🤸 Ingresos Pole'!$C$2:$C$1000,B237))</f>
        <v/>
      </c>
      <c r="L237" s="31" t="str">
        <f>IF(OR(B237="",I237=0),"",_xlfn.MAXIFS('🤸 Ingresos Pole'!$B$2:$B$1000,'🤸 Ingresos Pole'!$C$2:$C$1000,B237))</f>
        <v/>
      </c>
      <c r="M237" s="29" t="str">
        <f t="shared" si="7"/>
        <v/>
      </c>
    </row>
    <row r="238" spans="1:13" x14ac:dyDescent="0.35">
      <c r="A238" s="26" t="s">
        <v>345</v>
      </c>
      <c r="B238" s="26"/>
      <c r="C238" s="27"/>
      <c r="D238" s="26"/>
      <c r="E238" s="26"/>
      <c r="F238" s="28"/>
      <c r="G238" s="29" t="str">
        <f t="shared" ca="1" si="6"/>
        <v/>
      </c>
      <c r="H238" s="29" t="str">
        <f>IF(B238="","",COUNTIFS('🤸 Ingresos Pole'!$C$2:$C$1000,B238,'🤸 Ingresos Pole'!$J$2:$J$1000,"Paquete"))</f>
        <v/>
      </c>
      <c r="I238" s="29" t="str">
        <f>IF(B238="","",COUNTIF('🤸 Ingresos Pole'!$C$2:$C$1000,B238))</f>
        <v/>
      </c>
      <c r="J238" s="30" t="str">
        <f>IF(B238="","",SUMIF('🤸 Ingresos Pole'!$C$2:$C$1000,B238,'🤸 Ingresos Pole'!$N$2:$N$1000))</f>
        <v/>
      </c>
      <c r="K238" s="31" t="str">
        <f>IF(OR(B238="",I238=0),"",_xlfn.MINIFS('🤸 Ingresos Pole'!$B$2:$B$1000,'🤸 Ingresos Pole'!$C$2:$C$1000,B238))</f>
        <v/>
      </c>
      <c r="L238" s="31" t="str">
        <f>IF(OR(B238="",I238=0),"",_xlfn.MAXIFS('🤸 Ingresos Pole'!$B$2:$B$1000,'🤸 Ingresos Pole'!$C$2:$C$1000,B238))</f>
        <v/>
      </c>
      <c r="M238" s="29" t="str">
        <f t="shared" si="7"/>
        <v/>
      </c>
    </row>
    <row r="239" spans="1:13" x14ac:dyDescent="0.35">
      <c r="A239" s="26" t="s">
        <v>346</v>
      </c>
      <c r="B239" s="26"/>
      <c r="C239" s="27"/>
      <c r="D239" s="26"/>
      <c r="E239" s="26"/>
      <c r="F239" s="28"/>
      <c r="G239" s="29" t="str">
        <f t="shared" ca="1" si="6"/>
        <v/>
      </c>
      <c r="H239" s="29" t="str">
        <f>IF(B239="","",COUNTIFS('🤸 Ingresos Pole'!$C$2:$C$1000,B239,'🤸 Ingresos Pole'!$J$2:$J$1000,"Paquete"))</f>
        <v/>
      </c>
      <c r="I239" s="29" t="str">
        <f>IF(B239="","",COUNTIF('🤸 Ingresos Pole'!$C$2:$C$1000,B239))</f>
        <v/>
      </c>
      <c r="J239" s="30" t="str">
        <f>IF(B239="","",SUMIF('🤸 Ingresos Pole'!$C$2:$C$1000,B239,'🤸 Ingresos Pole'!$N$2:$N$1000))</f>
        <v/>
      </c>
      <c r="K239" s="31" t="str">
        <f>IF(OR(B239="",I239=0),"",_xlfn.MINIFS('🤸 Ingresos Pole'!$B$2:$B$1000,'🤸 Ingresos Pole'!$C$2:$C$1000,B239))</f>
        <v/>
      </c>
      <c r="L239" s="31" t="str">
        <f>IF(OR(B239="",I239=0),"",_xlfn.MAXIFS('🤸 Ingresos Pole'!$B$2:$B$1000,'🤸 Ingresos Pole'!$C$2:$C$1000,B239))</f>
        <v/>
      </c>
      <c r="M239" s="29" t="str">
        <f t="shared" si="7"/>
        <v/>
      </c>
    </row>
    <row r="240" spans="1:13" x14ac:dyDescent="0.35">
      <c r="A240" s="26" t="s">
        <v>347</v>
      </c>
      <c r="B240" s="26"/>
      <c r="C240" s="27"/>
      <c r="D240" s="26"/>
      <c r="E240" s="26"/>
      <c r="F240" s="28"/>
      <c r="G240" s="29" t="str">
        <f t="shared" ca="1" si="6"/>
        <v/>
      </c>
      <c r="H240" s="29" t="str">
        <f>IF(B240="","",COUNTIFS('🤸 Ingresos Pole'!$C$2:$C$1000,B240,'🤸 Ingresos Pole'!$J$2:$J$1000,"Paquete"))</f>
        <v/>
      </c>
      <c r="I240" s="29" t="str">
        <f>IF(B240="","",COUNTIF('🤸 Ingresos Pole'!$C$2:$C$1000,B240))</f>
        <v/>
      </c>
      <c r="J240" s="30" t="str">
        <f>IF(B240="","",SUMIF('🤸 Ingresos Pole'!$C$2:$C$1000,B240,'🤸 Ingresos Pole'!$N$2:$N$1000))</f>
        <v/>
      </c>
      <c r="K240" s="31" t="str">
        <f>IF(OR(B240="",I240=0),"",_xlfn.MINIFS('🤸 Ingresos Pole'!$B$2:$B$1000,'🤸 Ingresos Pole'!$C$2:$C$1000,B240))</f>
        <v/>
      </c>
      <c r="L240" s="31" t="str">
        <f>IF(OR(B240="",I240=0),"",_xlfn.MAXIFS('🤸 Ingresos Pole'!$B$2:$B$1000,'🤸 Ingresos Pole'!$C$2:$C$1000,B240))</f>
        <v/>
      </c>
      <c r="M240" s="29" t="str">
        <f t="shared" si="7"/>
        <v/>
      </c>
    </row>
    <row r="241" spans="1:13" x14ac:dyDescent="0.35">
      <c r="A241" s="26" t="s">
        <v>348</v>
      </c>
      <c r="B241" s="26"/>
      <c r="C241" s="27"/>
      <c r="D241" s="26"/>
      <c r="E241" s="26"/>
      <c r="F241" s="28"/>
      <c r="G241" s="29" t="str">
        <f t="shared" ca="1" si="6"/>
        <v/>
      </c>
      <c r="H241" s="29" t="str">
        <f>IF(B241="","",COUNTIFS('🤸 Ingresos Pole'!$C$2:$C$1000,B241,'🤸 Ingresos Pole'!$J$2:$J$1000,"Paquete"))</f>
        <v/>
      </c>
      <c r="I241" s="29" t="str">
        <f>IF(B241="","",COUNTIF('🤸 Ingresos Pole'!$C$2:$C$1000,B241))</f>
        <v/>
      </c>
      <c r="J241" s="30" t="str">
        <f>IF(B241="","",SUMIF('🤸 Ingresos Pole'!$C$2:$C$1000,B241,'🤸 Ingresos Pole'!$N$2:$N$1000))</f>
        <v/>
      </c>
      <c r="K241" s="31" t="str">
        <f>IF(OR(B241="",I241=0),"",_xlfn.MINIFS('🤸 Ingresos Pole'!$B$2:$B$1000,'🤸 Ingresos Pole'!$C$2:$C$1000,B241))</f>
        <v/>
      </c>
      <c r="L241" s="31" t="str">
        <f>IF(OR(B241="",I241=0),"",_xlfn.MAXIFS('🤸 Ingresos Pole'!$B$2:$B$1000,'🤸 Ingresos Pole'!$C$2:$C$1000,B241))</f>
        <v/>
      </c>
      <c r="M241" s="29" t="str">
        <f t="shared" si="7"/>
        <v/>
      </c>
    </row>
    <row r="242" spans="1:13" x14ac:dyDescent="0.35">
      <c r="A242" s="26" t="s">
        <v>349</v>
      </c>
      <c r="B242" s="26"/>
      <c r="C242" s="27"/>
      <c r="D242" s="26"/>
      <c r="E242" s="26"/>
      <c r="F242" s="28"/>
      <c r="G242" s="29" t="str">
        <f t="shared" ca="1" si="6"/>
        <v/>
      </c>
      <c r="H242" s="29" t="str">
        <f>IF(B242="","",COUNTIFS('🤸 Ingresos Pole'!$C$2:$C$1000,B242,'🤸 Ingresos Pole'!$J$2:$J$1000,"Paquete"))</f>
        <v/>
      </c>
      <c r="I242" s="29" t="str">
        <f>IF(B242="","",COUNTIF('🤸 Ingresos Pole'!$C$2:$C$1000,B242))</f>
        <v/>
      </c>
      <c r="J242" s="30" t="str">
        <f>IF(B242="","",SUMIF('🤸 Ingresos Pole'!$C$2:$C$1000,B242,'🤸 Ingresos Pole'!$N$2:$N$1000))</f>
        <v/>
      </c>
      <c r="K242" s="31" t="str">
        <f>IF(OR(B242="",I242=0),"",_xlfn.MINIFS('🤸 Ingresos Pole'!$B$2:$B$1000,'🤸 Ingresos Pole'!$C$2:$C$1000,B242))</f>
        <v/>
      </c>
      <c r="L242" s="31" t="str">
        <f>IF(OR(B242="",I242=0),"",_xlfn.MAXIFS('🤸 Ingresos Pole'!$B$2:$B$1000,'🤸 Ingresos Pole'!$C$2:$C$1000,B242))</f>
        <v/>
      </c>
      <c r="M242" s="29" t="str">
        <f t="shared" si="7"/>
        <v/>
      </c>
    </row>
    <row r="243" spans="1:13" x14ac:dyDescent="0.35">
      <c r="A243" s="26" t="s">
        <v>350</v>
      </c>
      <c r="B243" s="26"/>
      <c r="C243" s="27"/>
      <c r="D243" s="26"/>
      <c r="E243" s="26"/>
      <c r="F243" s="28"/>
      <c r="G243" s="29" t="str">
        <f t="shared" ca="1" si="6"/>
        <v/>
      </c>
      <c r="H243" s="29" t="str">
        <f>IF(B243="","",COUNTIFS('🤸 Ingresos Pole'!$C$2:$C$1000,B243,'🤸 Ingresos Pole'!$J$2:$J$1000,"Paquete"))</f>
        <v/>
      </c>
      <c r="I243" s="29" t="str">
        <f>IF(B243="","",COUNTIF('🤸 Ingresos Pole'!$C$2:$C$1000,B243))</f>
        <v/>
      </c>
      <c r="J243" s="30" t="str">
        <f>IF(B243="","",SUMIF('🤸 Ingresos Pole'!$C$2:$C$1000,B243,'🤸 Ingresos Pole'!$N$2:$N$1000))</f>
        <v/>
      </c>
      <c r="K243" s="31" t="str">
        <f>IF(OR(B243="",I243=0),"",_xlfn.MINIFS('🤸 Ingresos Pole'!$B$2:$B$1000,'🤸 Ingresos Pole'!$C$2:$C$1000,B243))</f>
        <v/>
      </c>
      <c r="L243" s="31" t="str">
        <f>IF(OR(B243="",I243=0),"",_xlfn.MAXIFS('🤸 Ingresos Pole'!$B$2:$B$1000,'🤸 Ingresos Pole'!$C$2:$C$1000,B243))</f>
        <v/>
      </c>
      <c r="M243" s="29" t="str">
        <f t="shared" si="7"/>
        <v/>
      </c>
    </row>
    <row r="244" spans="1:13" x14ac:dyDescent="0.35">
      <c r="A244" s="26" t="s">
        <v>351</v>
      </c>
      <c r="B244" s="26"/>
      <c r="C244" s="27"/>
      <c r="D244" s="26"/>
      <c r="E244" s="26"/>
      <c r="F244" s="28"/>
      <c r="G244" s="29" t="str">
        <f t="shared" ca="1" si="6"/>
        <v/>
      </c>
      <c r="H244" s="29" t="str">
        <f>IF(B244="","",COUNTIFS('🤸 Ingresos Pole'!$C$2:$C$1000,B244,'🤸 Ingresos Pole'!$J$2:$J$1000,"Paquete"))</f>
        <v/>
      </c>
      <c r="I244" s="29" t="str">
        <f>IF(B244="","",COUNTIF('🤸 Ingresos Pole'!$C$2:$C$1000,B244))</f>
        <v/>
      </c>
      <c r="J244" s="30" t="str">
        <f>IF(B244="","",SUMIF('🤸 Ingresos Pole'!$C$2:$C$1000,B244,'🤸 Ingresos Pole'!$N$2:$N$1000))</f>
        <v/>
      </c>
      <c r="K244" s="31" t="str">
        <f>IF(OR(B244="",I244=0),"",_xlfn.MINIFS('🤸 Ingresos Pole'!$B$2:$B$1000,'🤸 Ingresos Pole'!$C$2:$C$1000,B244))</f>
        <v/>
      </c>
      <c r="L244" s="31" t="str">
        <f>IF(OR(B244="",I244=0),"",_xlfn.MAXIFS('🤸 Ingresos Pole'!$B$2:$B$1000,'🤸 Ingresos Pole'!$C$2:$C$1000,B244))</f>
        <v/>
      </c>
      <c r="M244" s="29" t="str">
        <f t="shared" si="7"/>
        <v/>
      </c>
    </row>
    <row r="245" spans="1:13" x14ac:dyDescent="0.35">
      <c r="A245" s="26" t="s">
        <v>352</v>
      </c>
      <c r="B245" s="26"/>
      <c r="C245" s="27"/>
      <c r="D245" s="26"/>
      <c r="E245" s="26"/>
      <c r="F245" s="28"/>
      <c r="G245" s="29" t="str">
        <f t="shared" ca="1" si="6"/>
        <v/>
      </c>
      <c r="H245" s="29" t="str">
        <f>IF(B245="","",COUNTIFS('🤸 Ingresos Pole'!$C$2:$C$1000,B245,'🤸 Ingresos Pole'!$J$2:$J$1000,"Paquete"))</f>
        <v/>
      </c>
      <c r="I245" s="29" t="str">
        <f>IF(B245="","",COUNTIF('🤸 Ingresos Pole'!$C$2:$C$1000,B245))</f>
        <v/>
      </c>
      <c r="J245" s="30" t="str">
        <f>IF(B245="","",SUMIF('🤸 Ingresos Pole'!$C$2:$C$1000,B245,'🤸 Ingresos Pole'!$N$2:$N$1000))</f>
        <v/>
      </c>
      <c r="K245" s="31" t="str">
        <f>IF(OR(B245="",I245=0),"",_xlfn.MINIFS('🤸 Ingresos Pole'!$B$2:$B$1000,'🤸 Ingresos Pole'!$C$2:$C$1000,B245))</f>
        <v/>
      </c>
      <c r="L245" s="31" t="str">
        <f>IF(OR(B245="",I245=0),"",_xlfn.MAXIFS('🤸 Ingresos Pole'!$B$2:$B$1000,'🤸 Ingresos Pole'!$C$2:$C$1000,B245))</f>
        <v/>
      </c>
      <c r="M245" s="29" t="str">
        <f t="shared" si="7"/>
        <v/>
      </c>
    </row>
    <row r="246" spans="1:13" x14ac:dyDescent="0.35">
      <c r="A246" s="26" t="s">
        <v>353</v>
      </c>
      <c r="B246" s="26"/>
      <c r="C246" s="27"/>
      <c r="D246" s="26"/>
      <c r="E246" s="26"/>
      <c r="F246" s="28"/>
      <c r="G246" s="29" t="str">
        <f t="shared" ca="1" si="6"/>
        <v/>
      </c>
      <c r="H246" s="29" t="str">
        <f>IF(B246="","",COUNTIFS('🤸 Ingresos Pole'!$C$2:$C$1000,B246,'🤸 Ingresos Pole'!$J$2:$J$1000,"Paquete"))</f>
        <v/>
      </c>
      <c r="I246" s="29" t="str">
        <f>IF(B246="","",COUNTIF('🤸 Ingresos Pole'!$C$2:$C$1000,B246))</f>
        <v/>
      </c>
      <c r="J246" s="30" t="str">
        <f>IF(B246="","",SUMIF('🤸 Ingresos Pole'!$C$2:$C$1000,B246,'🤸 Ingresos Pole'!$N$2:$N$1000))</f>
        <v/>
      </c>
      <c r="K246" s="31" t="str">
        <f>IF(OR(B246="",I246=0),"",_xlfn.MINIFS('🤸 Ingresos Pole'!$B$2:$B$1000,'🤸 Ingresos Pole'!$C$2:$C$1000,B246))</f>
        <v/>
      </c>
      <c r="L246" s="31" t="str">
        <f>IF(OR(B246="",I246=0),"",_xlfn.MAXIFS('🤸 Ingresos Pole'!$B$2:$B$1000,'🤸 Ingresos Pole'!$C$2:$C$1000,B246))</f>
        <v/>
      </c>
      <c r="M246" s="29" t="str">
        <f t="shared" si="7"/>
        <v/>
      </c>
    </row>
    <row r="247" spans="1:13" x14ac:dyDescent="0.35">
      <c r="A247" s="26" t="s">
        <v>354</v>
      </c>
      <c r="B247" s="26"/>
      <c r="C247" s="27"/>
      <c r="D247" s="26"/>
      <c r="E247" s="26"/>
      <c r="F247" s="28"/>
      <c r="G247" s="29" t="str">
        <f t="shared" ca="1" si="6"/>
        <v/>
      </c>
      <c r="H247" s="29" t="str">
        <f>IF(B247="","",COUNTIFS('🤸 Ingresos Pole'!$C$2:$C$1000,B247,'🤸 Ingresos Pole'!$J$2:$J$1000,"Paquete"))</f>
        <v/>
      </c>
      <c r="I247" s="29" t="str">
        <f>IF(B247="","",COUNTIF('🤸 Ingresos Pole'!$C$2:$C$1000,B247))</f>
        <v/>
      </c>
      <c r="J247" s="30" t="str">
        <f>IF(B247="","",SUMIF('🤸 Ingresos Pole'!$C$2:$C$1000,B247,'🤸 Ingresos Pole'!$N$2:$N$1000))</f>
        <v/>
      </c>
      <c r="K247" s="31" t="str">
        <f>IF(OR(B247="",I247=0),"",_xlfn.MINIFS('🤸 Ingresos Pole'!$B$2:$B$1000,'🤸 Ingresos Pole'!$C$2:$C$1000,B247))</f>
        <v/>
      </c>
      <c r="L247" s="31" t="str">
        <f>IF(OR(B247="",I247=0),"",_xlfn.MAXIFS('🤸 Ingresos Pole'!$B$2:$B$1000,'🤸 Ingresos Pole'!$C$2:$C$1000,B247))</f>
        <v/>
      </c>
      <c r="M247" s="29" t="str">
        <f t="shared" si="7"/>
        <v/>
      </c>
    </row>
    <row r="248" spans="1:13" x14ac:dyDescent="0.35">
      <c r="A248" s="26" t="s">
        <v>355</v>
      </c>
      <c r="B248" s="26"/>
      <c r="C248" s="27"/>
      <c r="D248" s="26"/>
      <c r="E248" s="26"/>
      <c r="F248" s="28"/>
      <c r="G248" s="29" t="str">
        <f t="shared" ca="1" si="6"/>
        <v/>
      </c>
      <c r="H248" s="29" t="str">
        <f>IF(B248="","",COUNTIFS('🤸 Ingresos Pole'!$C$2:$C$1000,B248,'🤸 Ingresos Pole'!$J$2:$J$1000,"Paquete"))</f>
        <v/>
      </c>
      <c r="I248" s="29" t="str">
        <f>IF(B248="","",COUNTIF('🤸 Ingresos Pole'!$C$2:$C$1000,B248))</f>
        <v/>
      </c>
      <c r="J248" s="30" t="str">
        <f>IF(B248="","",SUMIF('🤸 Ingresos Pole'!$C$2:$C$1000,B248,'🤸 Ingresos Pole'!$N$2:$N$1000))</f>
        <v/>
      </c>
      <c r="K248" s="31" t="str">
        <f>IF(OR(B248="",I248=0),"",_xlfn.MINIFS('🤸 Ingresos Pole'!$B$2:$B$1000,'🤸 Ingresos Pole'!$C$2:$C$1000,B248))</f>
        <v/>
      </c>
      <c r="L248" s="31" t="str">
        <f>IF(OR(B248="",I248=0),"",_xlfn.MAXIFS('🤸 Ingresos Pole'!$B$2:$B$1000,'🤸 Ingresos Pole'!$C$2:$C$1000,B248))</f>
        <v/>
      </c>
      <c r="M248" s="29" t="str">
        <f t="shared" si="7"/>
        <v/>
      </c>
    </row>
    <row r="249" spans="1:13" x14ac:dyDescent="0.35">
      <c r="A249" s="26" t="s">
        <v>356</v>
      </c>
      <c r="B249" s="26"/>
      <c r="C249" s="27"/>
      <c r="D249" s="26"/>
      <c r="E249" s="26"/>
      <c r="F249" s="28"/>
      <c r="G249" s="29" t="str">
        <f t="shared" ca="1" si="6"/>
        <v/>
      </c>
      <c r="H249" s="29" t="str">
        <f>IF(B249="","",COUNTIFS('🤸 Ingresos Pole'!$C$2:$C$1000,B249,'🤸 Ingresos Pole'!$J$2:$J$1000,"Paquete"))</f>
        <v/>
      </c>
      <c r="I249" s="29" t="str">
        <f>IF(B249="","",COUNTIF('🤸 Ingresos Pole'!$C$2:$C$1000,B249))</f>
        <v/>
      </c>
      <c r="J249" s="30" t="str">
        <f>IF(B249="","",SUMIF('🤸 Ingresos Pole'!$C$2:$C$1000,B249,'🤸 Ingresos Pole'!$N$2:$N$1000))</f>
        <v/>
      </c>
      <c r="K249" s="31" t="str">
        <f>IF(OR(B249="",I249=0),"",_xlfn.MINIFS('🤸 Ingresos Pole'!$B$2:$B$1000,'🤸 Ingresos Pole'!$C$2:$C$1000,B249))</f>
        <v/>
      </c>
      <c r="L249" s="31" t="str">
        <f>IF(OR(B249="",I249=0),"",_xlfn.MAXIFS('🤸 Ingresos Pole'!$B$2:$B$1000,'🤸 Ingresos Pole'!$C$2:$C$1000,B249))</f>
        <v/>
      </c>
      <c r="M249" s="29" t="str">
        <f t="shared" si="7"/>
        <v/>
      </c>
    </row>
    <row r="250" spans="1:13" x14ac:dyDescent="0.35">
      <c r="A250" s="26" t="s">
        <v>357</v>
      </c>
      <c r="B250" s="26"/>
      <c r="C250" s="27"/>
      <c r="D250" s="26"/>
      <c r="E250" s="26"/>
      <c r="F250" s="28"/>
      <c r="G250" s="29" t="str">
        <f t="shared" ca="1" si="6"/>
        <v/>
      </c>
      <c r="H250" s="29" t="str">
        <f>IF(B250="","",COUNTIFS('🤸 Ingresos Pole'!$C$2:$C$1000,B250,'🤸 Ingresos Pole'!$J$2:$J$1000,"Paquete"))</f>
        <v/>
      </c>
      <c r="I250" s="29" t="str">
        <f>IF(B250="","",COUNTIF('🤸 Ingresos Pole'!$C$2:$C$1000,B250))</f>
        <v/>
      </c>
      <c r="J250" s="30" t="str">
        <f>IF(B250="","",SUMIF('🤸 Ingresos Pole'!$C$2:$C$1000,B250,'🤸 Ingresos Pole'!$N$2:$N$1000))</f>
        <v/>
      </c>
      <c r="K250" s="31" t="str">
        <f>IF(OR(B250="",I250=0),"",_xlfn.MINIFS('🤸 Ingresos Pole'!$B$2:$B$1000,'🤸 Ingresos Pole'!$C$2:$C$1000,B250))</f>
        <v/>
      </c>
      <c r="L250" s="31" t="str">
        <f>IF(OR(B250="",I250=0),"",_xlfn.MAXIFS('🤸 Ingresos Pole'!$B$2:$B$1000,'🤸 Ingresos Pole'!$C$2:$C$1000,B250))</f>
        <v/>
      </c>
      <c r="M250" s="29" t="str">
        <f t="shared" si="7"/>
        <v/>
      </c>
    </row>
    <row r="251" spans="1:13" x14ac:dyDescent="0.35">
      <c r="A251" s="26" t="s">
        <v>358</v>
      </c>
      <c r="B251" s="26"/>
      <c r="C251" s="27"/>
      <c r="D251" s="26"/>
      <c r="E251" s="26"/>
      <c r="F251" s="28"/>
      <c r="G251" s="29" t="str">
        <f t="shared" ca="1" si="6"/>
        <v/>
      </c>
      <c r="H251" s="29" t="str">
        <f>IF(B251="","",COUNTIFS('🤸 Ingresos Pole'!$C$2:$C$1000,B251,'🤸 Ingresos Pole'!$J$2:$J$1000,"Paquete"))</f>
        <v/>
      </c>
      <c r="I251" s="29" t="str">
        <f>IF(B251="","",COUNTIF('🤸 Ingresos Pole'!$C$2:$C$1000,B251))</f>
        <v/>
      </c>
      <c r="J251" s="30" t="str">
        <f>IF(B251="","",SUMIF('🤸 Ingresos Pole'!$C$2:$C$1000,B251,'🤸 Ingresos Pole'!$N$2:$N$1000))</f>
        <v/>
      </c>
      <c r="K251" s="31" t="str">
        <f>IF(OR(B251="",I251=0),"",_xlfn.MINIFS('🤸 Ingresos Pole'!$B$2:$B$1000,'🤸 Ingresos Pole'!$C$2:$C$1000,B251))</f>
        <v/>
      </c>
      <c r="L251" s="31" t="str">
        <f>IF(OR(B251="",I251=0),"",_xlfn.MAXIFS('🤸 Ingresos Pole'!$B$2:$B$1000,'🤸 Ingresos Pole'!$C$2:$C$1000,B251))</f>
        <v/>
      </c>
      <c r="M251" s="29" t="str">
        <f t="shared" si="7"/>
        <v/>
      </c>
    </row>
    <row r="252" spans="1:13" x14ac:dyDescent="0.35">
      <c r="A252" s="26" t="s">
        <v>359</v>
      </c>
      <c r="B252" s="26"/>
      <c r="C252" s="27"/>
      <c r="D252" s="26"/>
      <c r="E252" s="26"/>
      <c r="F252" s="28"/>
      <c r="G252" s="29" t="str">
        <f t="shared" ca="1" si="6"/>
        <v/>
      </c>
      <c r="H252" s="29" t="str">
        <f>IF(B252="","",COUNTIFS('🤸 Ingresos Pole'!$C$2:$C$1000,B252,'🤸 Ingresos Pole'!$J$2:$J$1000,"Paquete"))</f>
        <v/>
      </c>
      <c r="I252" s="29" t="str">
        <f>IF(B252="","",COUNTIF('🤸 Ingresos Pole'!$C$2:$C$1000,B252))</f>
        <v/>
      </c>
      <c r="J252" s="30" t="str">
        <f>IF(B252="","",SUMIF('🤸 Ingresos Pole'!$C$2:$C$1000,B252,'🤸 Ingresos Pole'!$N$2:$N$1000))</f>
        <v/>
      </c>
      <c r="K252" s="31" t="str">
        <f>IF(OR(B252="",I252=0),"",_xlfn.MINIFS('🤸 Ingresos Pole'!$B$2:$B$1000,'🤸 Ingresos Pole'!$C$2:$C$1000,B252))</f>
        <v/>
      </c>
      <c r="L252" s="31" t="str">
        <f>IF(OR(B252="",I252=0),"",_xlfn.MAXIFS('🤸 Ingresos Pole'!$B$2:$B$1000,'🤸 Ingresos Pole'!$C$2:$C$1000,B252))</f>
        <v/>
      </c>
      <c r="M252" s="29" t="str">
        <f t="shared" si="7"/>
        <v/>
      </c>
    </row>
    <row r="253" spans="1:13" x14ac:dyDescent="0.35">
      <c r="A253" s="26" t="s">
        <v>360</v>
      </c>
      <c r="B253" s="26"/>
      <c r="C253" s="27"/>
      <c r="D253" s="26"/>
      <c r="E253" s="26"/>
      <c r="F253" s="28"/>
      <c r="G253" s="29" t="str">
        <f t="shared" ca="1" si="6"/>
        <v/>
      </c>
      <c r="H253" s="29" t="str">
        <f>IF(B253="","",COUNTIFS('🤸 Ingresos Pole'!$C$2:$C$1000,B253,'🤸 Ingresos Pole'!$J$2:$J$1000,"Paquete"))</f>
        <v/>
      </c>
      <c r="I253" s="29" t="str">
        <f>IF(B253="","",COUNTIF('🤸 Ingresos Pole'!$C$2:$C$1000,B253))</f>
        <v/>
      </c>
      <c r="J253" s="30" t="str">
        <f>IF(B253="","",SUMIF('🤸 Ingresos Pole'!$C$2:$C$1000,B253,'🤸 Ingresos Pole'!$N$2:$N$1000))</f>
        <v/>
      </c>
      <c r="K253" s="31" t="str">
        <f>IF(OR(B253="",I253=0),"",_xlfn.MINIFS('🤸 Ingresos Pole'!$B$2:$B$1000,'🤸 Ingresos Pole'!$C$2:$C$1000,B253))</f>
        <v/>
      </c>
      <c r="L253" s="31" t="str">
        <f>IF(OR(B253="",I253=0),"",_xlfn.MAXIFS('🤸 Ingresos Pole'!$B$2:$B$1000,'🤸 Ingresos Pole'!$C$2:$C$1000,B253))</f>
        <v/>
      </c>
      <c r="M253" s="29" t="str">
        <f t="shared" si="7"/>
        <v/>
      </c>
    </row>
    <row r="254" spans="1:13" x14ac:dyDescent="0.35">
      <c r="A254" s="26" t="s">
        <v>361</v>
      </c>
      <c r="B254" s="26"/>
      <c r="C254" s="27"/>
      <c r="D254" s="26"/>
      <c r="E254" s="26"/>
      <c r="F254" s="28"/>
      <c r="G254" s="29" t="str">
        <f t="shared" ca="1" si="6"/>
        <v/>
      </c>
      <c r="H254" s="29" t="str">
        <f>IF(B254="","",COUNTIFS('🤸 Ingresos Pole'!$C$2:$C$1000,B254,'🤸 Ingresos Pole'!$J$2:$J$1000,"Paquete"))</f>
        <v/>
      </c>
      <c r="I254" s="29" t="str">
        <f>IF(B254="","",COUNTIF('🤸 Ingresos Pole'!$C$2:$C$1000,B254))</f>
        <v/>
      </c>
      <c r="J254" s="30" t="str">
        <f>IF(B254="","",SUMIF('🤸 Ingresos Pole'!$C$2:$C$1000,B254,'🤸 Ingresos Pole'!$N$2:$N$1000))</f>
        <v/>
      </c>
      <c r="K254" s="31" t="str">
        <f>IF(OR(B254="",I254=0),"",_xlfn.MINIFS('🤸 Ingresos Pole'!$B$2:$B$1000,'🤸 Ingresos Pole'!$C$2:$C$1000,B254))</f>
        <v/>
      </c>
      <c r="L254" s="31" t="str">
        <f>IF(OR(B254="",I254=0),"",_xlfn.MAXIFS('🤸 Ingresos Pole'!$B$2:$B$1000,'🤸 Ingresos Pole'!$C$2:$C$1000,B254))</f>
        <v/>
      </c>
      <c r="M254" s="29" t="str">
        <f t="shared" si="7"/>
        <v/>
      </c>
    </row>
    <row r="255" spans="1:13" x14ac:dyDescent="0.35">
      <c r="A255" s="26" t="s">
        <v>362</v>
      </c>
      <c r="B255" s="26"/>
      <c r="C255" s="27"/>
      <c r="D255" s="26"/>
      <c r="E255" s="26"/>
      <c r="F255" s="28"/>
      <c r="G255" s="29" t="str">
        <f t="shared" ca="1" si="6"/>
        <v/>
      </c>
      <c r="H255" s="29" t="str">
        <f>IF(B255="","",COUNTIFS('🤸 Ingresos Pole'!$C$2:$C$1000,B255,'🤸 Ingresos Pole'!$J$2:$J$1000,"Paquete"))</f>
        <v/>
      </c>
      <c r="I255" s="29" t="str">
        <f>IF(B255="","",COUNTIF('🤸 Ingresos Pole'!$C$2:$C$1000,B255))</f>
        <v/>
      </c>
      <c r="J255" s="30" t="str">
        <f>IF(B255="","",SUMIF('🤸 Ingresos Pole'!$C$2:$C$1000,B255,'🤸 Ingresos Pole'!$N$2:$N$1000))</f>
        <v/>
      </c>
      <c r="K255" s="31" t="str">
        <f>IF(OR(B255="",I255=0),"",_xlfn.MINIFS('🤸 Ingresos Pole'!$B$2:$B$1000,'🤸 Ingresos Pole'!$C$2:$C$1000,B255))</f>
        <v/>
      </c>
      <c r="L255" s="31" t="str">
        <f>IF(OR(B255="",I255=0),"",_xlfn.MAXIFS('🤸 Ingresos Pole'!$B$2:$B$1000,'🤸 Ingresos Pole'!$C$2:$C$1000,B255))</f>
        <v/>
      </c>
      <c r="M255" s="29" t="str">
        <f t="shared" si="7"/>
        <v/>
      </c>
    </row>
    <row r="256" spans="1:13" x14ac:dyDescent="0.35">
      <c r="A256" s="26" t="s">
        <v>363</v>
      </c>
      <c r="B256" s="26"/>
      <c r="C256" s="27"/>
      <c r="D256" s="26"/>
      <c r="E256" s="26"/>
      <c r="F256" s="28"/>
      <c r="G256" s="29" t="str">
        <f t="shared" ca="1" si="6"/>
        <v/>
      </c>
      <c r="H256" s="29" t="str">
        <f>IF(B256="","",COUNTIFS('🤸 Ingresos Pole'!$C$2:$C$1000,B256,'🤸 Ingresos Pole'!$J$2:$J$1000,"Paquete"))</f>
        <v/>
      </c>
      <c r="I256" s="29" t="str">
        <f>IF(B256="","",COUNTIF('🤸 Ingresos Pole'!$C$2:$C$1000,B256))</f>
        <v/>
      </c>
      <c r="J256" s="30" t="str">
        <f>IF(B256="","",SUMIF('🤸 Ingresos Pole'!$C$2:$C$1000,B256,'🤸 Ingresos Pole'!$N$2:$N$1000))</f>
        <v/>
      </c>
      <c r="K256" s="31" t="str">
        <f>IF(OR(B256="",I256=0),"",_xlfn.MINIFS('🤸 Ingresos Pole'!$B$2:$B$1000,'🤸 Ingresos Pole'!$C$2:$C$1000,B256))</f>
        <v/>
      </c>
      <c r="L256" s="31" t="str">
        <f>IF(OR(B256="",I256=0),"",_xlfn.MAXIFS('🤸 Ingresos Pole'!$B$2:$B$1000,'🤸 Ingresos Pole'!$C$2:$C$1000,B256))</f>
        <v/>
      </c>
      <c r="M256" s="29" t="str">
        <f t="shared" si="7"/>
        <v/>
      </c>
    </row>
    <row r="257" spans="1:13" x14ac:dyDescent="0.35">
      <c r="A257" s="26" t="s">
        <v>364</v>
      </c>
      <c r="B257" s="26"/>
      <c r="C257" s="27"/>
      <c r="D257" s="26"/>
      <c r="E257" s="26"/>
      <c r="F257" s="28"/>
      <c r="G257" s="29" t="str">
        <f t="shared" ca="1" si="6"/>
        <v/>
      </c>
      <c r="H257" s="29" t="str">
        <f>IF(B257="","",COUNTIFS('🤸 Ingresos Pole'!$C$2:$C$1000,B257,'🤸 Ingresos Pole'!$J$2:$J$1000,"Paquete"))</f>
        <v/>
      </c>
      <c r="I257" s="29" t="str">
        <f>IF(B257="","",COUNTIF('🤸 Ingresos Pole'!$C$2:$C$1000,B257))</f>
        <v/>
      </c>
      <c r="J257" s="30" t="str">
        <f>IF(B257="","",SUMIF('🤸 Ingresos Pole'!$C$2:$C$1000,B257,'🤸 Ingresos Pole'!$N$2:$N$1000))</f>
        <v/>
      </c>
      <c r="K257" s="31" t="str">
        <f>IF(OR(B257="",I257=0),"",_xlfn.MINIFS('🤸 Ingresos Pole'!$B$2:$B$1000,'🤸 Ingresos Pole'!$C$2:$C$1000,B257))</f>
        <v/>
      </c>
      <c r="L257" s="31" t="str">
        <f>IF(OR(B257="",I257=0),"",_xlfn.MAXIFS('🤸 Ingresos Pole'!$B$2:$B$1000,'🤸 Ingresos Pole'!$C$2:$C$1000,B257))</f>
        <v/>
      </c>
      <c r="M257" s="29" t="str">
        <f t="shared" si="7"/>
        <v/>
      </c>
    </row>
    <row r="258" spans="1:13" x14ac:dyDescent="0.35">
      <c r="A258" s="26" t="s">
        <v>365</v>
      </c>
      <c r="B258" s="26"/>
      <c r="C258" s="27"/>
      <c r="D258" s="26"/>
      <c r="E258" s="26"/>
      <c r="F258" s="28"/>
      <c r="G258" s="29" t="str">
        <f t="shared" ref="G258:G321" ca="1" si="8">IF(F258="","",DATEDIF(F258,TODAY(),"Y"))</f>
        <v/>
      </c>
      <c r="H258" s="29" t="str">
        <f>IF(B258="","",COUNTIFS('🤸 Ingresos Pole'!$C$2:$C$1000,B258,'🤸 Ingresos Pole'!$J$2:$J$1000,"Paquete"))</f>
        <v/>
      </c>
      <c r="I258" s="29" t="str">
        <f>IF(B258="","",COUNTIF('🤸 Ingresos Pole'!$C$2:$C$1000,B258))</f>
        <v/>
      </c>
      <c r="J258" s="30" t="str">
        <f>IF(B258="","",SUMIF('🤸 Ingresos Pole'!$C$2:$C$1000,B258,'🤸 Ingresos Pole'!$N$2:$N$1000))</f>
        <v/>
      </c>
      <c r="K258" s="31" t="str">
        <f>IF(OR(B258="",I258=0),"",_xlfn.MINIFS('🤸 Ingresos Pole'!$B$2:$B$1000,'🤸 Ingresos Pole'!$C$2:$C$1000,B258))</f>
        <v/>
      </c>
      <c r="L258" s="31" t="str">
        <f>IF(OR(B258="",I258=0),"",_xlfn.MAXIFS('🤸 Ingresos Pole'!$B$2:$B$1000,'🤸 Ingresos Pole'!$C$2:$C$1000,B258))</f>
        <v/>
      </c>
      <c r="M258" s="29" t="str">
        <f t="shared" ref="M258:M300" si="9">IF(OR(B258="",I258=0),"",IF(H258=0,"Sin paquete",IF(H258=1,"Nueva","Recurrente")))</f>
        <v/>
      </c>
    </row>
    <row r="259" spans="1:13" x14ac:dyDescent="0.35">
      <c r="A259" s="26" t="s">
        <v>366</v>
      </c>
      <c r="B259" s="26"/>
      <c r="C259" s="27"/>
      <c r="D259" s="26"/>
      <c r="E259" s="26"/>
      <c r="F259" s="28"/>
      <c r="G259" s="29" t="str">
        <f t="shared" ca="1" si="8"/>
        <v/>
      </c>
      <c r="H259" s="29" t="str">
        <f>IF(B259="","",COUNTIFS('🤸 Ingresos Pole'!$C$2:$C$1000,B259,'🤸 Ingresos Pole'!$J$2:$J$1000,"Paquete"))</f>
        <v/>
      </c>
      <c r="I259" s="29" t="str">
        <f>IF(B259="","",COUNTIF('🤸 Ingresos Pole'!$C$2:$C$1000,B259))</f>
        <v/>
      </c>
      <c r="J259" s="30" t="str">
        <f>IF(B259="","",SUMIF('🤸 Ingresos Pole'!$C$2:$C$1000,B259,'🤸 Ingresos Pole'!$N$2:$N$1000))</f>
        <v/>
      </c>
      <c r="K259" s="31" t="str">
        <f>IF(OR(B259="",I259=0),"",_xlfn.MINIFS('🤸 Ingresos Pole'!$B$2:$B$1000,'🤸 Ingresos Pole'!$C$2:$C$1000,B259))</f>
        <v/>
      </c>
      <c r="L259" s="31" t="str">
        <f>IF(OR(B259="",I259=0),"",_xlfn.MAXIFS('🤸 Ingresos Pole'!$B$2:$B$1000,'🤸 Ingresos Pole'!$C$2:$C$1000,B259))</f>
        <v/>
      </c>
      <c r="M259" s="29" t="str">
        <f t="shared" si="9"/>
        <v/>
      </c>
    </row>
    <row r="260" spans="1:13" x14ac:dyDescent="0.35">
      <c r="A260" s="26" t="s">
        <v>367</v>
      </c>
      <c r="B260" s="26"/>
      <c r="C260" s="27"/>
      <c r="D260" s="26"/>
      <c r="E260" s="26"/>
      <c r="F260" s="28"/>
      <c r="G260" s="29" t="str">
        <f t="shared" ca="1" si="8"/>
        <v/>
      </c>
      <c r="H260" s="29" t="str">
        <f>IF(B260="","",COUNTIFS('🤸 Ingresos Pole'!$C$2:$C$1000,B260,'🤸 Ingresos Pole'!$J$2:$J$1000,"Paquete"))</f>
        <v/>
      </c>
      <c r="I260" s="29" t="str">
        <f>IF(B260="","",COUNTIF('🤸 Ingresos Pole'!$C$2:$C$1000,B260))</f>
        <v/>
      </c>
      <c r="J260" s="30" t="str">
        <f>IF(B260="","",SUMIF('🤸 Ingresos Pole'!$C$2:$C$1000,B260,'🤸 Ingresos Pole'!$N$2:$N$1000))</f>
        <v/>
      </c>
      <c r="K260" s="31" t="str">
        <f>IF(OR(B260="",I260=0),"",_xlfn.MINIFS('🤸 Ingresos Pole'!$B$2:$B$1000,'🤸 Ingresos Pole'!$C$2:$C$1000,B260))</f>
        <v/>
      </c>
      <c r="L260" s="31" t="str">
        <f>IF(OR(B260="",I260=0),"",_xlfn.MAXIFS('🤸 Ingresos Pole'!$B$2:$B$1000,'🤸 Ingresos Pole'!$C$2:$C$1000,B260))</f>
        <v/>
      </c>
      <c r="M260" s="29" t="str">
        <f t="shared" si="9"/>
        <v/>
      </c>
    </row>
    <row r="261" spans="1:13" x14ac:dyDescent="0.35">
      <c r="A261" s="26" t="s">
        <v>368</v>
      </c>
      <c r="B261" s="26"/>
      <c r="C261" s="27"/>
      <c r="D261" s="26"/>
      <c r="E261" s="26"/>
      <c r="F261" s="28"/>
      <c r="G261" s="29" t="str">
        <f t="shared" ca="1" si="8"/>
        <v/>
      </c>
      <c r="H261" s="29" t="str">
        <f>IF(B261="","",COUNTIFS('🤸 Ingresos Pole'!$C$2:$C$1000,B261,'🤸 Ingresos Pole'!$J$2:$J$1000,"Paquete"))</f>
        <v/>
      </c>
      <c r="I261" s="29" t="str">
        <f>IF(B261="","",COUNTIF('🤸 Ingresos Pole'!$C$2:$C$1000,B261))</f>
        <v/>
      </c>
      <c r="J261" s="30" t="str">
        <f>IF(B261="","",SUMIF('🤸 Ingresos Pole'!$C$2:$C$1000,B261,'🤸 Ingresos Pole'!$N$2:$N$1000))</f>
        <v/>
      </c>
      <c r="K261" s="31" t="str">
        <f>IF(OR(B261="",I261=0),"",_xlfn.MINIFS('🤸 Ingresos Pole'!$B$2:$B$1000,'🤸 Ingresos Pole'!$C$2:$C$1000,B261))</f>
        <v/>
      </c>
      <c r="L261" s="31" t="str">
        <f>IF(OR(B261="",I261=0),"",_xlfn.MAXIFS('🤸 Ingresos Pole'!$B$2:$B$1000,'🤸 Ingresos Pole'!$C$2:$C$1000,B261))</f>
        <v/>
      </c>
      <c r="M261" s="29" t="str">
        <f t="shared" si="9"/>
        <v/>
      </c>
    </row>
    <row r="262" spans="1:13" x14ac:dyDescent="0.35">
      <c r="A262" s="26" t="s">
        <v>369</v>
      </c>
      <c r="B262" s="26"/>
      <c r="C262" s="27"/>
      <c r="D262" s="26"/>
      <c r="E262" s="26"/>
      <c r="F262" s="28"/>
      <c r="G262" s="29" t="str">
        <f t="shared" ca="1" si="8"/>
        <v/>
      </c>
      <c r="H262" s="29" t="str">
        <f>IF(B262="","",COUNTIFS('🤸 Ingresos Pole'!$C$2:$C$1000,B262,'🤸 Ingresos Pole'!$J$2:$J$1000,"Paquete"))</f>
        <v/>
      </c>
      <c r="I262" s="29" t="str">
        <f>IF(B262="","",COUNTIF('🤸 Ingresos Pole'!$C$2:$C$1000,B262))</f>
        <v/>
      </c>
      <c r="J262" s="30" t="str">
        <f>IF(B262="","",SUMIF('🤸 Ingresos Pole'!$C$2:$C$1000,B262,'🤸 Ingresos Pole'!$N$2:$N$1000))</f>
        <v/>
      </c>
      <c r="K262" s="31" t="str">
        <f>IF(OR(B262="",I262=0),"",_xlfn.MINIFS('🤸 Ingresos Pole'!$B$2:$B$1000,'🤸 Ingresos Pole'!$C$2:$C$1000,B262))</f>
        <v/>
      </c>
      <c r="L262" s="31" t="str">
        <f>IF(OR(B262="",I262=0),"",_xlfn.MAXIFS('🤸 Ingresos Pole'!$B$2:$B$1000,'🤸 Ingresos Pole'!$C$2:$C$1000,B262))</f>
        <v/>
      </c>
      <c r="M262" s="29" t="str">
        <f t="shared" si="9"/>
        <v/>
      </c>
    </row>
    <row r="263" spans="1:13" x14ac:dyDescent="0.35">
      <c r="A263" s="26" t="s">
        <v>370</v>
      </c>
      <c r="B263" s="26"/>
      <c r="C263" s="27"/>
      <c r="D263" s="26"/>
      <c r="E263" s="26"/>
      <c r="F263" s="28"/>
      <c r="G263" s="29" t="str">
        <f t="shared" ca="1" si="8"/>
        <v/>
      </c>
      <c r="H263" s="29" t="str">
        <f>IF(B263="","",COUNTIFS('🤸 Ingresos Pole'!$C$2:$C$1000,B263,'🤸 Ingresos Pole'!$J$2:$J$1000,"Paquete"))</f>
        <v/>
      </c>
      <c r="I263" s="29" t="str">
        <f>IF(B263="","",COUNTIF('🤸 Ingresos Pole'!$C$2:$C$1000,B263))</f>
        <v/>
      </c>
      <c r="J263" s="30" t="str">
        <f>IF(B263="","",SUMIF('🤸 Ingresos Pole'!$C$2:$C$1000,B263,'🤸 Ingresos Pole'!$N$2:$N$1000))</f>
        <v/>
      </c>
      <c r="K263" s="31" t="str">
        <f>IF(OR(B263="",I263=0),"",_xlfn.MINIFS('🤸 Ingresos Pole'!$B$2:$B$1000,'🤸 Ingresos Pole'!$C$2:$C$1000,B263))</f>
        <v/>
      </c>
      <c r="L263" s="31" t="str">
        <f>IF(OR(B263="",I263=0),"",_xlfn.MAXIFS('🤸 Ingresos Pole'!$B$2:$B$1000,'🤸 Ingresos Pole'!$C$2:$C$1000,B263))</f>
        <v/>
      </c>
      <c r="M263" s="29" t="str">
        <f t="shared" si="9"/>
        <v/>
      </c>
    </row>
    <row r="264" spans="1:13" x14ac:dyDescent="0.35">
      <c r="A264" s="26" t="s">
        <v>371</v>
      </c>
      <c r="B264" s="26"/>
      <c r="C264" s="27"/>
      <c r="D264" s="26"/>
      <c r="E264" s="26"/>
      <c r="F264" s="28"/>
      <c r="G264" s="29" t="str">
        <f t="shared" ca="1" si="8"/>
        <v/>
      </c>
      <c r="H264" s="29" t="str">
        <f>IF(B264="","",COUNTIFS('🤸 Ingresos Pole'!$C$2:$C$1000,B264,'🤸 Ingresos Pole'!$J$2:$J$1000,"Paquete"))</f>
        <v/>
      </c>
      <c r="I264" s="29" t="str">
        <f>IF(B264="","",COUNTIF('🤸 Ingresos Pole'!$C$2:$C$1000,B264))</f>
        <v/>
      </c>
      <c r="J264" s="30" t="str">
        <f>IF(B264="","",SUMIF('🤸 Ingresos Pole'!$C$2:$C$1000,B264,'🤸 Ingresos Pole'!$N$2:$N$1000))</f>
        <v/>
      </c>
      <c r="K264" s="31" t="str">
        <f>IF(OR(B264="",I264=0),"",_xlfn.MINIFS('🤸 Ingresos Pole'!$B$2:$B$1000,'🤸 Ingresos Pole'!$C$2:$C$1000,B264))</f>
        <v/>
      </c>
      <c r="L264" s="31" t="str">
        <f>IF(OR(B264="",I264=0),"",_xlfn.MAXIFS('🤸 Ingresos Pole'!$B$2:$B$1000,'🤸 Ingresos Pole'!$C$2:$C$1000,B264))</f>
        <v/>
      </c>
      <c r="M264" s="29" t="str">
        <f t="shared" si="9"/>
        <v/>
      </c>
    </row>
    <row r="265" spans="1:13" x14ac:dyDescent="0.35">
      <c r="A265" s="26" t="s">
        <v>372</v>
      </c>
      <c r="B265" s="26"/>
      <c r="C265" s="27"/>
      <c r="D265" s="26"/>
      <c r="E265" s="26"/>
      <c r="F265" s="28"/>
      <c r="G265" s="29" t="str">
        <f t="shared" ca="1" si="8"/>
        <v/>
      </c>
      <c r="H265" s="29" t="str">
        <f>IF(B265="","",COUNTIFS('🤸 Ingresos Pole'!$C$2:$C$1000,B265,'🤸 Ingresos Pole'!$J$2:$J$1000,"Paquete"))</f>
        <v/>
      </c>
      <c r="I265" s="29" t="str">
        <f>IF(B265="","",COUNTIF('🤸 Ingresos Pole'!$C$2:$C$1000,B265))</f>
        <v/>
      </c>
      <c r="J265" s="30" t="str">
        <f>IF(B265="","",SUMIF('🤸 Ingresos Pole'!$C$2:$C$1000,B265,'🤸 Ingresos Pole'!$N$2:$N$1000))</f>
        <v/>
      </c>
      <c r="K265" s="31" t="str">
        <f>IF(OR(B265="",I265=0),"",_xlfn.MINIFS('🤸 Ingresos Pole'!$B$2:$B$1000,'🤸 Ingresos Pole'!$C$2:$C$1000,B265))</f>
        <v/>
      </c>
      <c r="L265" s="31" t="str">
        <f>IF(OR(B265="",I265=0),"",_xlfn.MAXIFS('🤸 Ingresos Pole'!$B$2:$B$1000,'🤸 Ingresos Pole'!$C$2:$C$1000,B265))</f>
        <v/>
      </c>
      <c r="M265" s="29" t="str">
        <f t="shared" si="9"/>
        <v/>
      </c>
    </row>
    <row r="266" spans="1:13" x14ac:dyDescent="0.35">
      <c r="A266" s="26" t="s">
        <v>373</v>
      </c>
      <c r="B266" s="26"/>
      <c r="C266" s="27"/>
      <c r="D266" s="26"/>
      <c r="E266" s="26"/>
      <c r="F266" s="28"/>
      <c r="G266" s="29" t="str">
        <f t="shared" ca="1" si="8"/>
        <v/>
      </c>
      <c r="H266" s="29" t="str">
        <f>IF(B266="","",COUNTIFS('🤸 Ingresos Pole'!$C$2:$C$1000,B266,'🤸 Ingresos Pole'!$J$2:$J$1000,"Paquete"))</f>
        <v/>
      </c>
      <c r="I266" s="29" t="str">
        <f>IF(B266="","",COUNTIF('🤸 Ingresos Pole'!$C$2:$C$1000,B266))</f>
        <v/>
      </c>
      <c r="J266" s="30" t="str">
        <f>IF(B266="","",SUMIF('🤸 Ingresos Pole'!$C$2:$C$1000,B266,'🤸 Ingresos Pole'!$N$2:$N$1000))</f>
        <v/>
      </c>
      <c r="K266" s="31" t="str">
        <f>IF(OR(B266="",I266=0),"",_xlfn.MINIFS('🤸 Ingresos Pole'!$B$2:$B$1000,'🤸 Ingresos Pole'!$C$2:$C$1000,B266))</f>
        <v/>
      </c>
      <c r="L266" s="31" t="str">
        <f>IF(OR(B266="",I266=0),"",_xlfn.MAXIFS('🤸 Ingresos Pole'!$B$2:$B$1000,'🤸 Ingresos Pole'!$C$2:$C$1000,B266))</f>
        <v/>
      </c>
      <c r="M266" s="29" t="str">
        <f t="shared" si="9"/>
        <v/>
      </c>
    </row>
    <row r="267" spans="1:13" x14ac:dyDescent="0.35">
      <c r="A267" s="26" t="s">
        <v>374</v>
      </c>
      <c r="B267" s="26"/>
      <c r="C267" s="27"/>
      <c r="D267" s="26"/>
      <c r="E267" s="26"/>
      <c r="F267" s="28"/>
      <c r="G267" s="29" t="str">
        <f t="shared" ca="1" si="8"/>
        <v/>
      </c>
      <c r="H267" s="29" t="str">
        <f>IF(B267="","",COUNTIFS('🤸 Ingresos Pole'!$C$2:$C$1000,B267,'🤸 Ingresos Pole'!$J$2:$J$1000,"Paquete"))</f>
        <v/>
      </c>
      <c r="I267" s="29" t="str">
        <f>IF(B267="","",COUNTIF('🤸 Ingresos Pole'!$C$2:$C$1000,B267))</f>
        <v/>
      </c>
      <c r="J267" s="30" t="str">
        <f>IF(B267="","",SUMIF('🤸 Ingresos Pole'!$C$2:$C$1000,B267,'🤸 Ingresos Pole'!$N$2:$N$1000))</f>
        <v/>
      </c>
      <c r="K267" s="31" t="str">
        <f>IF(OR(B267="",I267=0),"",_xlfn.MINIFS('🤸 Ingresos Pole'!$B$2:$B$1000,'🤸 Ingresos Pole'!$C$2:$C$1000,B267))</f>
        <v/>
      </c>
      <c r="L267" s="31" t="str">
        <f>IF(OR(B267="",I267=0),"",_xlfn.MAXIFS('🤸 Ingresos Pole'!$B$2:$B$1000,'🤸 Ingresos Pole'!$C$2:$C$1000,B267))</f>
        <v/>
      </c>
      <c r="M267" s="29" t="str">
        <f t="shared" si="9"/>
        <v/>
      </c>
    </row>
    <row r="268" spans="1:13" x14ac:dyDescent="0.35">
      <c r="A268" s="26" t="s">
        <v>375</v>
      </c>
      <c r="B268" s="26"/>
      <c r="C268" s="27"/>
      <c r="D268" s="26"/>
      <c r="E268" s="26"/>
      <c r="F268" s="28"/>
      <c r="G268" s="29" t="str">
        <f t="shared" ca="1" si="8"/>
        <v/>
      </c>
      <c r="H268" s="29" t="str">
        <f>IF(B268="","",COUNTIFS('🤸 Ingresos Pole'!$C$2:$C$1000,B268,'🤸 Ingresos Pole'!$J$2:$J$1000,"Paquete"))</f>
        <v/>
      </c>
      <c r="I268" s="29" t="str">
        <f>IF(B268="","",COUNTIF('🤸 Ingresos Pole'!$C$2:$C$1000,B268))</f>
        <v/>
      </c>
      <c r="J268" s="30" t="str">
        <f>IF(B268="","",SUMIF('🤸 Ingresos Pole'!$C$2:$C$1000,B268,'🤸 Ingresos Pole'!$N$2:$N$1000))</f>
        <v/>
      </c>
      <c r="K268" s="31" t="str">
        <f>IF(OR(B268="",I268=0),"",_xlfn.MINIFS('🤸 Ingresos Pole'!$B$2:$B$1000,'🤸 Ingresos Pole'!$C$2:$C$1000,B268))</f>
        <v/>
      </c>
      <c r="L268" s="31" t="str">
        <f>IF(OR(B268="",I268=0),"",_xlfn.MAXIFS('🤸 Ingresos Pole'!$B$2:$B$1000,'🤸 Ingresos Pole'!$C$2:$C$1000,B268))</f>
        <v/>
      </c>
      <c r="M268" s="29" t="str">
        <f t="shared" si="9"/>
        <v/>
      </c>
    </row>
    <row r="269" spans="1:13" x14ac:dyDescent="0.35">
      <c r="A269" s="26" t="s">
        <v>376</v>
      </c>
      <c r="B269" s="26"/>
      <c r="C269" s="27"/>
      <c r="D269" s="26"/>
      <c r="E269" s="26"/>
      <c r="F269" s="28"/>
      <c r="G269" s="29" t="str">
        <f t="shared" ca="1" si="8"/>
        <v/>
      </c>
      <c r="H269" s="29" t="str">
        <f>IF(B269="","",COUNTIFS('🤸 Ingresos Pole'!$C$2:$C$1000,B269,'🤸 Ingresos Pole'!$J$2:$J$1000,"Paquete"))</f>
        <v/>
      </c>
      <c r="I269" s="29" t="str">
        <f>IF(B269="","",COUNTIF('🤸 Ingresos Pole'!$C$2:$C$1000,B269))</f>
        <v/>
      </c>
      <c r="J269" s="30" t="str">
        <f>IF(B269="","",SUMIF('🤸 Ingresos Pole'!$C$2:$C$1000,B269,'🤸 Ingresos Pole'!$N$2:$N$1000))</f>
        <v/>
      </c>
      <c r="K269" s="31" t="str">
        <f>IF(OR(B269="",I269=0),"",_xlfn.MINIFS('🤸 Ingresos Pole'!$B$2:$B$1000,'🤸 Ingresos Pole'!$C$2:$C$1000,B269))</f>
        <v/>
      </c>
      <c r="L269" s="31" t="str">
        <f>IF(OR(B269="",I269=0),"",_xlfn.MAXIFS('🤸 Ingresos Pole'!$B$2:$B$1000,'🤸 Ingresos Pole'!$C$2:$C$1000,B269))</f>
        <v/>
      </c>
      <c r="M269" s="29" t="str">
        <f t="shared" si="9"/>
        <v/>
      </c>
    </row>
    <row r="270" spans="1:13" x14ac:dyDescent="0.35">
      <c r="A270" s="26" t="s">
        <v>377</v>
      </c>
      <c r="B270" s="26"/>
      <c r="C270" s="27"/>
      <c r="D270" s="26"/>
      <c r="E270" s="26"/>
      <c r="F270" s="28"/>
      <c r="G270" s="29" t="str">
        <f t="shared" ca="1" si="8"/>
        <v/>
      </c>
      <c r="H270" s="29" t="str">
        <f>IF(B270="","",COUNTIFS('🤸 Ingresos Pole'!$C$2:$C$1000,B270,'🤸 Ingresos Pole'!$J$2:$J$1000,"Paquete"))</f>
        <v/>
      </c>
      <c r="I270" s="29" t="str">
        <f>IF(B270="","",COUNTIF('🤸 Ingresos Pole'!$C$2:$C$1000,B270))</f>
        <v/>
      </c>
      <c r="J270" s="30" t="str">
        <f>IF(B270="","",SUMIF('🤸 Ingresos Pole'!$C$2:$C$1000,B270,'🤸 Ingresos Pole'!$N$2:$N$1000))</f>
        <v/>
      </c>
      <c r="K270" s="31" t="str">
        <f>IF(OR(B270="",I270=0),"",_xlfn.MINIFS('🤸 Ingresos Pole'!$B$2:$B$1000,'🤸 Ingresos Pole'!$C$2:$C$1000,B270))</f>
        <v/>
      </c>
      <c r="L270" s="31" t="str">
        <f>IF(OR(B270="",I270=0),"",_xlfn.MAXIFS('🤸 Ingresos Pole'!$B$2:$B$1000,'🤸 Ingresos Pole'!$C$2:$C$1000,B270))</f>
        <v/>
      </c>
      <c r="M270" s="29" t="str">
        <f t="shared" si="9"/>
        <v/>
      </c>
    </row>
    <row r="271" spans="1:13" x14ac:dyDescent="0.35">
      <c r="A271" s="26" t="s">
        <v>378</v>
      </c>
      <c r="B271" s="26"/>
      <c r="C271" s="27"/>
      <c r="D271" s="26"/>
      <c r="E271" s="26"/>
      <c r="F271" s="28"/>
      <c r="G271" s="29" t="str">
        <f t="shared" ca="1" si="8"/>
        <v/>
      </c>
      <c r="H271" s="29" t="str">
        <f>IF(B271="","",COUNTIFS('🤸 Ingresos Pole'!$C$2:$C$1000,B271,'🤸 Ingresos Pole'!$J$2:$J$1000,"Paquete"))</f>
        <v/>
      </c>
      <c r="I271" s="29" t="str">
        <f>IF(B271="","",COUNTIF('🤸 Ingresos Pole'!$C$2:$C$1000,B271))</f>
        <v/>
      </c>
      <c r="J271" s="30" t="str">
        <f>IF(B271="","",SUMIF('🤸 Ingresos Pole'!$C$2:$C$1000,B271,'🤸 Ingresos Pole'!$N$2:$N$1000))</f>
        <v/>
      </c>
      <c r="K271" s="31" t="str">
        <f>IF(OR(B271="",I271=0),"",_xlfn.MINIFS('🤸 Ingresos Pole'!$B$2:$B$1000,'🤸 Ingresos Pole'!$C$2:$C$1000,B271))</f>
        <v/>
      </c>
      <c r="L271" s="31" t="str">
        <f>IF(OR(B271="",I271=0),"",_xlfn.MAXIFS('🤸 Ingresos Pole'!$B$2:$B$1000,'🤸 Ingresos Pole'!$C$2:$C$1000,B271))</f>
        <v/>
      </c>
      <c r="M271" s="29" t="str">
        <f t="shared" si="9"/>
        <v/>
      </c>
    </row>
    <row r="272" spans="1:13" x14ac:dyDescent="0.35">
      <c r="A272" s="26" t="s">
        <v>379</v>
      </c>
      <c r="B272" s="26"/>
      <c r="C272" s="27"/>
      <c r="D272" s="26"/>
      <c r="E272" s="26"/>
      <c r="F272" s="28"/>
      <c r="G272" s="29" t="str">
        <f t="shared" ca="1" si="8"/>
        <v/>
      </c>
      <c r="H272" s="29" t="str">
        <f>IF(B272="","",COUNTIFS('🤸 Ingresos Pole'!$C$2:$C$1000,B272,'🤸 Ingresos Pole'!$J$2:$J$1000,"Paquete"))</f>
        <v/>
      </c>
      <c r="I272" s="29" t="str">
        <f>IF(B272="","",COUNTIF('🤸 Ingresos Pole'!$C$2:$C$1000,B272))</f>
        <v/>
      </c>
      <c r="J272" s="30" t="str">
        <f>IF(B272="","",SUMIF('🤸 Ingresos Pole'!$C$2:$C$1000,B272,'🤸 Ingresos Pole'!$N$2:$N$1000))</f>
        <v/>
      </c>
      <c r="K272" s="31" t="str">
        <f>IF(OR(B272="",I272=0),"",_xlfn.MINIFS('🤸 Ingresos Pole'!$B$2:$B$1000,'🤸 Ingresos Pole'!$C$2:$C$1000,B272))</f>
        <v/>
      </c>
      <c r="L272" s="31" t="str">
        <f>IF(OR(B272="",I272=0),"",_xlfn.MAXIFS('🤸 Ingresos Pole'!$B$2:$B$1000,'🤸 Ingresos Pole'!$C$2:$C$1000,B272))</f>
        <v/>
      </c>
      <c r="M272" s="29" t="str">
        <f t="shared" si="9"/>
        <v/>
      </c>
    </row>
    <row r="273" spans="1:13" x14ac:dyDescent="0.35">
      <c r="A273" s="26" t="s">
        <v>380</v>
      </c>
      <c r="B273" s="26"/>
      <c r="C273" s="27"/>
      <c r="D273" s="26"/>
      <c r="E273" s="26"/>
      <c r="F273" s="28"/>
      <c r="G273" s="29" t="str">
        <f t="shared" ca="1" si="8"/>
        <v/>
      </c>
      <c r="H273" s="29" t="str">
        <f>IF(B273="","",COUNTIFS('🤸 Ingresos Pole'!$C$2:$C$1000,B273,'🤸 Ingresos Pole'!$J$2:$J$1000,"Paquete"))</f>
        <v/>
      </c>
      <c r="I273" s="29" t="str">
        <f>IF(B273="","",COUNTIF('🤸 Ingresos Pole'!$C$2:$C$1000,B273))</f>
        <v/>
      </c>
      <c r="J273" s="30" t="str">
        <f>IF(B273="","",SUMIF('🤸 Ingresos Pole'!$C$2:$C$1000,B273,'🤸 Ingresos Pole'!$N$2:$N$1000))</f>
        <v/>
      </c>
      <c r="K273" s="31" t="str">
        <f>IF(OR(B273="",I273=0),"",_xlfn.MINIFS('🤸 Ingresos Pole'!$B$2:$B$1000,'🤸 Ingresos Pole'!$C$2:$C$1000,B273))</f>
        <v/>
      </c>
      <c r="L273" s="31" t="str">
        <f>IF(OR(B273="",I273=0),"",_xlfn.MAXIFS('🤸 Ingresos Pole'!$B$2:$B$1000,'🤸 Ingresos Pole'!$C$2:$C$1000,B273))</f>
        <v/>
      </c>
      <c r="M273" s="29" t="str">
        <f t="shared" si="9"/>
        <v/>
      </c>
    </row>
    <row r="274" spans="1:13" x14ac:dyDescent="0.35">
      <c r="A274" s="26" t="s">
        <v>381</v>
      </c>
      <c r="B274" s="26"/>
      <c r="C274" s="27"/>
      <c r="D274" s="26"/>
      <c r="E274" s="26"/>
      <c r="F274" s="28"/>
      <c r="G274" s="29" t="str">
        <f t="shared" ca="1" si="8"/>
        <v/>
      </c>
      <c r="H274" s="29" t="str">
        <f>IF(B274="","",COUNTIFS('🤸 Ingresos Pole'!$C$2:$C$1000,B274,'🤸 Ingresos Pole'!$J$2:$J$1000,"Paquete"))</f>
        <v/>
      </c>
      <c r="I274" s="29" t="str">
        <f>IF(B274="","",COUNTIF('🤸 Ingresos Pole'!$C$2:$C$1000,B274))</f>
        <v/>
      </c>
      <c r="J274" s="30" t="str">
        <f>IF(B274="","",SUMIF('🤸 Ingresos Pole'!$C$2:$C$1000,B274,'🤸 Ingresos Pole'!$N$2:$N$1000))</f>
        <v/>
      </c>
      <c r="K274" s="31" t="str">
        <f>IF(OR(B274="",I274=0),"",_xlfn.MINIFS('🤸 Ingresos Pole'!$B$2:$B$1000,'🤸 Ingresos Pole'!$C$2:$C$1000,B274))</f>
        <v/>
      </c>
      <c r="L274" s="31" t="str">
        <f>IF(OR(B274="",I274=0),"",_xlfn.MAXIFS('🤸 Ingresos Pole'!$B$2:$B$1000,'🤸 Ingresos Pole'!$C$2:$C$1000,B274))</f>
        <v/>
      </c>
      <c r="M274" s="29" t="str">
        <f t="shared" si="9"/>
        <v/>
      </c>
    </row>
    <row r="275" spans="1:13" x14ac:dyDescent="0.35">
      <c r="A275" s="26" t="s">
        <v>382</v>
      </c>
      <c r="B275" s="26"/>
      <c r="C275" s="27"/>
      <c r="D275" s="26"/>
      <c r="E275" s="26"/>
      <c r="F275" s="28"/>
      <c r="G275" s="29" t="str">
        <f t="shared" ca="1" si="8"/>
        <v/>
      </c>
      <c r="H275" s="29" t="str">
        <f>IF(B275="","",COUNTIFS('🤸 Ingresos Pole'!$C$2:$C$1000,B275,'🤸 Ingresos Pole'!$J$2:$J$1000,"Paquete"))</f>
        <v/>
      </c>
      <c r="I275" s="29" t="str">
        <f>IF(B275="","",COUNTIF('🤸 Ingresos Pole'!$C$2:$C$1000,B275))</f>
        <v/>
      </c>
      <c r="J275" s="30" t="str">
        <f>IF(B275="","",SUMIF('🤸 Ingresos Pole'!$C$2:$C$1000,B275,'🤸 Ingresos Pole'!$N$2:$N$1000))</f>
        <v/>
      </c>
      <c r="K275" s="31" t="str">
        <f>IF(OR(B275="",I275=0),"",_xlfn.MINIFS('🤸 Ingresos Pole'!$B$2:$B$1000,'🤸 Ingresos Pole'!$C$2:$C$1000,B275))</f>
        <v/>
      </c>
      <c r="L275" s="31" t="str">
        <f>IF(OR(B275="",I275=0),"",_xlfn.MAXIFS('🤸 Ingresos Pole'!$B$2:$B$1000,'🤸 Ingresos Pole'!$C$2:$C$1000,B275))</f>
        <v/>
      </c>
      <c r="M275" s="29" t="str">
        <f t="shared" si="9"/>
        <v/>
      </c>
    </row>
    <row r="276" spans="1:13" x14ac:dyDescent="0.35">
      <c r="A276" s="26" t="s">
        <v>383</v>
      </c>
      <c r="B276" s="26"/>
      <c r="C276" s="27"/>
      <c r="D276" s="26"/>
      <c r="E276" s="26"/>
      <c r="F276" s="28"/>
      <c r="G276" s="29" t="str">
        <f t="shared" ca="1" si="8"/>
        <v/>
      </c>
      <c r="H276" s="29" t="str">
        <f>IF(B276="","",COUNTIFS('🤸 Ingresos Pole'!$C$2:$C$1000,B276,'🤸 Ingresos Pole'!$J$2:$J$1000,"Paquete"))</f>
        <v/>
      </c>
      <c r="I276" s="29" t="str">
        <f>IF(B276="","",COUNTIF('🤸 Ingresos Pole'!$C$2:$C$1000,B276))</f>
        <v/>
      </c>
      <c r="J276" s="30" t="str">
        <f>IF(B276="","",SUMIF('🤸 Ingresos Pole'!$C$2:$C$1000,B276,'🤸 Ingresos Pole'!$N$2:$N$1000))</f>
        <v/>
      </c>
      <c r="K276" s="31" t="str">
        <f>IF(OR(B276="",I276=0),"",_xlfn.MINIFS('🤸 Ingresos Pole'!$B$2:$B$1000,'🤸 Ingresos Pole'!$C$2:$C$1000,B276))</f>
        <v/>
      </c>
      <c r="L276" s="31" t="str">
        <f>IF(OR(B276="",I276=0),"",_xlfn.MAXIFS('🤸 Ingresos Pole'!$B$2:$B$1000,'🤸 Ingresos Pole'!$C$2:$C$1000,B276))</f>
        <v/>
      </c>
      <c r="M276" s="29" t="str">
        <f t="shared" si="9"/>
        <v/>
      </c>
    </row>
    <row r="277" spans="1:13" x14ac:dyDescent="0.35">
      <c r="A277" s="26" t="s">
        <v>384</v>
      </c>
      <c r="B277" s="26"/>
      <c r="C277" s="27"/>
      <c r="D277" s="26"/>
      <c r="E277" s="26"/>
      <c r="F277" s="28"/>
      <c r="G277" s="29" t="str">
        <f t="shared" ca="1" si="8"/>
        <v/>
      </c>
      <c r="H277" s="29" t="str">
        <f>IF(B277="","",COUNTIFS('🤸 Ingresos Pole'!$C$2:$C$1000,B277,'🤸 Ingresos Pole'!$J$2:$J$1000,"Paquete"))</f>
        <v/>
      </c>
      <c r="I277" s="29" t="str">
        <f>IF(B277="","",COUNTIF('🤸 Ingresos Pole'!$C$2:$C$1000,B277))</f>
        <v/>
      </c>
      <c r="J277" s="30" t="str">
        <f>IF(B277="","",SUMIF('🤸 Ingresos Pole'!$C$2:$C$1000,B277,'🤸 Ingresos Pole'!$N$2:$N$1000))</f>
        <v/>
      </c>
      <c r="K277" s="31" t="str">
        <f>IF(OR(B277="",I277=0),"",_xlfn.MINIFS('🤸 Ingresos Pole'!$B$2:$B$1000,'🤸 Ingresos Pole'!$C$2:$C$1000,B277))</f>
        <v/>
      </c>
      <c r="L277" s="31" t="str">
        <f>IF(OR(B277="",I277=0),"",_xlfn.MAXIFS('🤸 Ingresos Pole'!$B$2:$B$1000,'🤸 Ingresos Pole'!$C$2:$C$1000,B277))</f>
        <v/>
      </c>
      <c r="M277" s="29" t="str">
        <f t="shared" si="9"/>
        <v/>
      </c>
    </row>
    <row r="278" spans="1:13" x14ac:dyDescent="0.35">
      <c r="A278" s="26" t="s">
        <v>385</v>
      </c>
      <c r="B278" s="26"/>
      <c r="C278" s="27"/>
      <c r="D278" s="26"/>
      <c r="E278" s="26"/>
      <c r="F278" s="28"/>
      <c r="G278" s="29" t="str">
        <f t="shared" ca="1" si="8"/>
        <v/>
      </c>
      <c r="H278" s="29" t="str">
        <f>IF(B278="","",COUNTIFS('🤸 Ingresos Pole'!$C$2:$C$1000,B278,'🤸 Ingresos Pole'!$J$2:$J$1000,"Paquete"))</f>
        <v/>
      </c>
      <c r="I278" s="29" t="str">
        <f>IF(B278="","",COUNTIF('🤸 Ingresos Pole'!$C$2:$C$1000,B278))</f>
        <v/>
      </c>
      <c r="J278" s="30" t="str">
        <f>IF(B278="","",SUMIF('🤸 Ingresos Pole'!$C$2:$C$1000,B278,'🤸 Ingresos Pole'!$N$2:$N$1000))</f>
        <v/>
      </c>
      <c r="K278" s="31" t="str">
        <f>IF(OR(B278="",I278=0),"",_xlfn.MINIFS('🤸 Ingresos Pole'!$B$2:$B$1000,'🤸 Ingresos Pole'!$C$2:$C$1000,B278))</f>
        <v/>
      </c>
      <c r="L278" s="31" t="str">
        <f>IF(OR(B278="",I278=0),"",_xlfn.MAXIFS('🤸 Ingresos Pole'!$B$2:$B$1000,'🤸 Ingresos Pole'!$C$2:$C$1000,B278))</f>
        <v/>
      </c>
      <c r="M278" s="29" t="str">
        <f t="shared" si="9"/>
        <v/>
      </c>
    </row>
    <row r="279" spans="1:13" x14ac:dyDescent="0.35">
      <c r="A279" s="26" t="s">
        <v>386</v>
      </c>
      <c r="B279" s="26"/>
      <c r="C279" s="27"/>
      <c r="D279" s="26"/>
      <c r="E279" s="26"/>
      <c r="F279" s="28"/>
      <c r="G279" s="29" t="str">
        <f t="shared" ca="1" si="8"/>
        <v/>
      </c>
      <c r="H279" s="29" t="str">
        <f>IF(B279="","",COUNTIFS('🤸 Ingresos Pole'!$C$2:$C$1000,B279,'🤸 Ingresos Pole'!$J$2:$J$1000,"Paquete"))</f>
        <v/>
      </c>
      <c r="I279" s="29" t="str">
        <f>IF(B279="","",COUNTIF('🤸 Ingresos Pole'!$C$2:$C$1000,B279))</f>
        <v/>
      </c>
      <c r="J279" s="30" t="str">
        <f>IF(B279="","",SUMIF('🤸 Ingresos Pole'!$C$2:$C$1000,B279,'🤸 Ingresos Pole'!$N$2:$N$1000))</f>
        <v/>
      </c>
      <c r="K279" s="31" t="str">
        <f>IF(OR(B279="",I279=0),"",_xlfn.MINIFS('🤸 Ingresos Pole'!$B$2:$B$1000,'🤸 Ingresos Pole'!$C$2:$C$1000,B279))</f>
        <v/>
      </c>
      <c r="L279" s="31" t="str">
        <f>IF(OR(B279="",I279=0),"",_xlfn.MAXIFS('🤸 Ingresos Pole'!$B$2:$B$1000,'🤸 Ingresos Pole'!$C$2:$C$1000,B279))</f>
        <v/>
      </c>
      <c r="M279" s="29" t="str">
        <f t="shared" si="9"/>
        <v/>
      </c>
    </row>
    <row r="280" spans="1:13" x14ac:dyDescent="0.35">
      <c r="A280" s="26" t="s">
        <v>387</v>
      </c>
      <c r="B280" s="26"/>
      <c r="C280" s="27"/>
      <c r="D280" s="26"/>
      <c r="E280" s="26"/>
      <c r="F280" s="28"/>
      <c r="G280" s="29" t="str">
        <f t="shared" ca="1" si="8"/>
        <v/>
      </c>
      <c r="H280" s="29" t="str">
        <f>IF(B280="","",COUNTIFS('🤸 Ingresos Pole'!$C$2:$C$1000,B280,'🤸 Ingresos Pole'!$J$2:$J$1000,"Paquete"))</f>
        <v/>
      </c>
      <c r="I280" s="29" t="str">
        <f>IF(B280="","",COUNTIF('🤸 Ingresos Pole'!$C$2:$C$1000,B280))</f>
        <v/>
      </c>
      <c r="J280" s="30" t="str">
        <f>IF(B280="","",SUMIF('🤸 Ingresos Pole'!$C$2:$C$1000,B280,'🤸 Ingresos Pole'!$N$2:$N$1000))</f>
        <v/>
      </c>
      <c r="K280" s="31" t="str">
        <f>IF(OR(B280="",I280=0),"",_xlfn.MINIFS('🤸 Ingresos Pole'!$B$2:$B$1000,'🤸 Ingresos Pole'!$C$2:$C$1000,B280))</f>
        <v/>
      </c>
      <c r="L280" s="31" t="str">
        <f>IF(OR(B280="",I280=0),"",_xlfn.MAXIFS('🤸 Ingresos Pole'!$B$2:$B$1000,'🤸 Ingresos Pole'!$C$2:$C$1000,B280))</f>
        <v/>
      </c>
      <c r="M280" s="29" t="str">
        <f t="shared" si="9"/>
        <v/>
      </c>
    </row>
    <row r="281" spans="1:13" x14ac:dyDescent="0.35">
      <c r="A281" s="26" t="s">
        <v>388</v>
      </c>
      <c r="B281" s="26"/>
      <c r="C281" s="27"/>
      <c r="D281" s="26"/>
      <c r="E281" s="26"/>
      <c r="F281" s="28"/>
      <c r="G281" s="29" t="str">
        <f t="shared" ca="1" si="8"/>
        <v/>
      </c>
      <c r="H281" s="29" t="str">
        <f>IF(B281="","",COUNTIFS('🤸 Ingresos Pole'!$C$2:$C$1000,B281,'🤸 Ingresos Pole'!$J$2:$J$1000,"Paquete"))</f>
        <v/>
      </c>
      <c r="I281" s="29" t="str">
        <f>IF(B281="","",COUNTIF('🤸 Ingresos Pole'!$C$2:$C$1000,B281))</f>
        <v/>
      </c>
      <c r="J281" s="30" t="str">
        <f>IF(B281="","",SUMIF('🤸 Ingresos Pole'!$C$2:$C$1000,B281,'🤸 Ingresos Pole'!$N$2:$N$1000))</f>
        <v/>
      </c>
      <c r="K281" s="31" t="str">
        <f>IF(OR(B281="",I281=0),"",_xlfn.MINIFS('🤸 Ingresos Pole'!$B$2:$B$1000,'🤸 Ingresos Pole'!$C$2:$C$1000,B281))</f>
        <v/>
      </c>
      <c r="L281" s="31" t="str">
        <f>IF(OR(B281="",I281=0),"",_xlfn.MAXIFS('🤸 Ingresos Pole'!$B$2:$B$1000,'🤸 Ingresos Pole'!$C$2:$C$1000,B281))</f>
        <v/>
      </c>
      <c r="M281" s="29" t="str">
        <f t="shared" si="9"/>
        <v/>
      </c>
    </row>
    <row r="282" spans="1:13" x14ac:dyDescent="0.35">
      <c r="A282" s="26" t="s">
        <v>389</v>
      </c>
      <c r="B282" s="26"/>
      <c r="C282" s="27"/>
      <c r="D282" s="26"/>
      <c r="E282" s="26"/>
      <c r="F282" s="28"/>
      <c r="G282" s="29" t="str">
        <f t="shared" ca="1" si="8"/>
        <v/>
      </c>
      <c r="H282" s="29" t="str">
        <f>IF(B282="","",COUNTIFS('🤸 Ingresos Pole'!$C$2:$C$1000,B282,'🤸 Ingresos Pole'!$J$2:$J$1000,"Paquete"))</f>
        <v/>
      </c>
      <c r="I282" s="29" t="str">
        <f>IF(B282="","",COUNTIF('🤸 Ingresos Pole'!$C$2:$C$1000,B282))</f>
        <v/>
      </c>
      <c r="J282" s="30" t="str">
        <f>IF(B282="","",SUMIF('🤸 Ingresos Pole'!$C$2:$C$1000,B282,'🤸 Ingresos Pole'!$N$2:$N$1000))</f>
        <v/>
      </c>
      <c r="K282" s="31" t="str">
        <f>IF(OR(B282="",I282=0),"",_xlfn.MINIFS('🤸 Ingresos Pole'!$B$2:$B$1000,'🤸 Ingresos Pole'!$C$2:$C$1000,B282))</f>
        <v/>
      </c>
      <c r="L282" s="31" t="str">
        <f>IF(OR(B282="",I282=0),"",_xlfn.MAXIFS('🤸 Ingresos Pole'!$B$2:$B$1000,'🤸 Ingresos Pole'!$C$2:$C$1000,B282))</f>
        <v/>
      </c>
      <c r="M282" s="29" t="str">
        <f t="shared" si="9"/>
        <v/>
      </c>
    </row>
    <row r="283" spans="1:13" x14ac:dyDescent="0.35">
      <c r="A283" s="26" t="s">
        <v>390</v>
      </c>
      <c r="B283" s="26"/>
      <c r="C283" s="27"/>
      <c r="D283" s="26"/>
      <c r="E283" s="26"/>
      <c r="F283" s="28"/>
      <c r="G283" s="29" t="str">
        <f t="shared" ca="1" si="8"/>
        <v/>
      </c>
      <c r="H283" s="29" t="str">
        <f>IF(B283="","",COUNTIFS('🤸 Ingresos Pole'!$C$2:$C$1000,B283,'🤸 Ingresos Pole'!$J$2:$J$1000,"Paquete"))</f>
        <v/>
      </c>
      <c r="I283" s="29" t="str">
        <f>IF(B283="","",COUNTIF('🤸 Ingresos Pole'!$C$2:$C$1000,B283))</f>
        <v/>
      </c>
      <c r="J283" s="30" t="str">
        <f>IF(B283="","",SUMIF('🤸 Ingresos Pole'!$C$2:$C$1000,B283,'🤸 Ingresos Pole'!$N$2:$N$1000))</f>
        <v/>
      </c>
      <c r="K283" s="31" t="str">
        <f>IF(OR(B283="",I283=0),"",_xlfn.MINIFS('🤸 Ingresos Pole'!$B$2:$B$1000,'🤸 Ingresos Pole'!$C$2:$C$1000,B283))</f>
        <v/>
      </c>
      <c r="L283" s="31" t="str">
        <f>IF(OR(B283="",I283=0),"",_xlfn.MAXIFS('🤸 Ingresos Pole'!$B$2:$B$1000,'🤸 Ingresos Pole'!$C$2:$C$1000,B283))</f>
        <v/>
      </c>
      <c r="M283" s="29" t="str">
        <f t="shared" si="9"/>
        <v/>
      </c>
    </row>
    <row r="284" spans="1:13" x14ac:dyDescent="0.35">
      <c r="A284" s="26" t="s">
        <v>391</v>
      </c>
      <c r="B284" s="26"/>
      <c r="C284" s="27"/>
      <c r="D284" s="26"/>
      <c r="E284" s="26"/>
      <c r="F284" s="28"/>
      <c r="G284" s="29" t="str">
        <f t="shared" ca="1" si="8"/>
        <v/>
      </c>
      <c r="H284" s="29" t="str">
        <f>IF(B284="","",COUNTIFS('🤸 Ingresos Pole'!$C$2:$C$1000,B284,'🤸 Ingresos Pole'!$J$2:$J$1000,"Paquete"))</f>
        <v/>
      </c>
      <c r="I284" s="29" t="str">
        <f>IF(B284="","",COUNTIF('🤸 Ingresos Pole'!$C$2:$C$1000,B284))</f>
        <v/>
      </c>
      <c r="J284" s="30" t="str">
        <f>IF(B284="","",SUMIF('🤸 Ingresos Pole'!$C$2:$C$1000,B284,'🤸 Ingresos Pole'!$N$2:$N$1000))</f>
        <v/>
      </c>
      <c r="K284" s="31" t="str">
        <f>IF(OR(B284="",I284=0),"",_xlfn.MINIFS('🤸 Ingresos Pole'!$B$2:$B$1000,'🤸 Ingresos Pole'!$C$2:$C$1000,B284))</f>
        <v/>
      </c>
      <c r="L284" s="31" t="str">
        <f>IF(OR(B284="",I284=0),"",_xlfn.MAXIFS('🤸 Ingresos Pole'!$B$2:$B$1000,'🤸 Ingresos Pole'!$C$2:$C$1000,B284))</f>
        <v/>
      </c>
      <c r="M284" s="29" t="str">
        <f t="shared" si="9"/>
        <v/>
      </c>
    </row>
    <row r="285" spans="1:13" x14ac:dyDescent="0.35">
      <c r="A285" s="26" t="s">
        <v>392</v>
      </c>
      <c r="B285" s="26"/>
      <c r="C285" s="27"/>
      <c r="D285" s="26"/>
      <c r="E285" s="26"/>
      <c r="F285" s="28"/>
      <c r="G285" s="29" t="str">
        <f t="shared" ca="1" si="8"/>
        <v/>
      </c>
      <c r="H285" s="29" t="str">
        <f>IF(B285="","",COUNTIFS('🤸 Ingresos Pole'!$C$2:$C$1000,B285,'🤸 Ingresos Pole'!$J$2:$J$1000,"Paquete"))</f>
        <v/>
      </c>
      <c r="I285" s="29" t="str">
        <f>IF(B285="","",COUNTIF('🤸 Ingresos Pole'!$C$2:$C$1000,B285))</f>
        <v/>
      </c>
      <c r="J285" s="30" t="str">
        <f>IF(B285="","",SUMIF('🤸 Ingresos Pole'!$C$2:$C$1000,B285,'🤸 Ingresos Pole'!$N$2:$N$1000))</f>
        <v/>
      </c>
      <c r="K285" s="31" t="str">
        <f>IF(OR(B285="",I285=0),"",_xlfn.MINIFS('🤸 Ingresos Pole'!$B$2:$B$1000,'🤸 Ingresos Pole'!$C$2:$C$1000,B285))</f>
        <v/>
      </c>
      <c r="L285" s="31" t="str">
        <f>IF(OR(B285="",I285=0),"",_xlfn.MAXIFS('🤸 Ingresos Pole'!$B$2:$B$1000,'🤸 Ingresos Pole'!$C$2:$C$1000,B285))</f>
        <v/>
      </c>
      <c r="M285" s="29" t="str">
        <f t="shared" si="9"/>
        <v/>
      </c>
    </row>
    <row r="286" spans="1:13" x14ac:dyDescent="0.35">
      <c r="A286" s="26" t="s">
        <v>393</v>
      </c>
      <c r="B286" s="26"/>
      <c r="C286" s="27"/>
      <c r="D286" s="26"/>
      <c r="E286" s="26"/>
      <c r="F286" s="28"/>
      <c r="G286" s="29" t="str">
        <f t="shared" ca="1" si="8"/>
        <v/>
      </c>
      <c r="H286" s="29" t="str">
        <f>IF(B286="","",COUNTIFS('🤸 Ingresos Pole'!$C$2:$C$1000,B286,'🤸 Ingresos Pole'!$J$2:$J$1000,"Paquete"))</f>
        <v/>
      </c>
      <c r="I286" s="29" t="str">
        <f>IF(B286="","",COUNTIF('🤸 Ingresos Pole'!$C$2:$C$1000,B286))</f>
        <v/>
      </c>
      <c r="J286" s="30" t="str">
        <f>IF(B286="","",SUMIF('🤸 Ingresos Pole'!$C$2:$C$1000,B286,'🤸 Ingresos Pole'!$N$2:$N$1000))</f>
        <v/>
      </c>
      <c r="K286" s="31" t="str">
        <f>IF(OR(B286="",I286=0),"",_xlfn.MINIFS('🤸 Ingresos Pole'!$B$2:$B$1000,'🤸 Ingresos Pole'!$C$2:$C$1000,B286))</f>
        <v/>
      </c>
      <c r="L286" s="31" t="str">
        <f>IF(OR(B286="",I286=0),"",_xlfn.MAXIFS('🤸 Ingresos Pole'!$B$2:$B$1000,'🤸 Ingresos Pole'!$C$2:$C$1000,B286))</f>
        <v/>
      </c>
      <c r="M286" s="29" t="str">
        <f t="shared" si="9"/>
        <v/>
      </c>
    </row>
    <row r="287" spans="1:13" x14ac:dyDescent="0.35">
      <c r="A287" s="26" t="s">
        <v>394</v>
      </c>
      <c r="B287" s="26"/>
      <c r="C287" s="27"/>
      <c r="D287" s="26"/>
      <c r="E287" s="26"/>
      <c r="F287" s="28"/>
      <c r="G287" s="29" t="str">
        <f t="shared" ca="1" si="8"/>
        <v/>
      </c>
      <c r="H287" s="29" t="str">
        <f>IF(B287="","",COUNTIFS('🤸 Ingresos Pole'!$C$2:$C$1000,B287,'🤸 Ingresos Pole'!$J$2:$J$1000,"Paquete"))</f>
        <v/>
      </c>
      <c r="I287" s="29" t="str">
        <f>IF(B287="","",COUNTIF('🤸 Ingresos Pole'!$C$2:$C$1000,B287))</f>
        <v/>
      </c>
      <c r="J287" s="30" t="str">
        <f>IF(B287="","",SUMIF('🤸 Ingresos Pole'!$C$2:$C$1000,B287,'🤸 Ingresos Pole'!$N$2:$N$1000))</f>
        <v/>
      </c>
      <c r="K287" s="31" t="str">
        <f>IF(OR(B287="",I287=0),"",_xlfn.MINIFS('🤸 Ingresos Pole'!$B$2:$B$1000,'🤸 Ingresos Pole'!$C$2:$C$1000,B287))</f>
        <v/>
      </c>
      <c r="L287" s="31" t="str">
        <f>IF(OR(B287="",I287=0),"",_xlfn.MAXIFS('🤸 Ingresos Pole'!$B$2:$B$1000,'🤸 Ingresos Pole'!$C$2:$C$1000,B287))</f>
        <v/>
      </c>
      <c r="M287" s="29" t="str">
        <f t="shared" si="9"/>
        <v/>
      </c>
    </row>
    <row r="288" spans="1:13" x14ac:dyDescent="0.35">
      <c r="A288" s="26" t="s">
        <v>395</v>
      </c>
      <c r="B288" s="26"/>
      <c r="C288" s="27"/>
      <c r="D288" s="26"/>
      <c r="E288" s="26"/>
      <c r="F288" s="28"/>
      <c r="G288" s="29" t="str">
        <f t="shared" ca="1" si="8"/>
        <v/>
      </c>
      <c r="H288" s="29" t="str">
        <f>IF(B288="","",COUNTIFS('🤸 Ingresos Pole'!$C$2:$C$1000,B288,'🤸 Ingresos Pole'!$J$2:$J$1000,"Paquete"))</f>
        <v/>
      </c>
      <c r="I288" s="29" t="str">
        <f>IF(B288="","",COUNTIF('🤸 Ingresos Pole'!$C$2:$C$1000,B288))</f>
        <v/>
      </c>
      <c r="J288" s="30" t="str">
        <f>IF(B288="","",SUMIF('🤸 Ingresos Pole'!$C$2:$C$1000,B288,'🤸 Ingresos Pole'!$N$2:$N$1000))</f>
        <v/>
      </c>
      <c r="K288" s="31" t="str">
        <f>IF(OR(B288="",I288=0),"",_xlfn.MINIFS('🤸 Ingresos Pole'!$B$2:$B$1000,'🤸 Ingresos Pole'!$C$2:$C$1000,B288))</f>
        <v/>
      </c>
      <c r="L288" s="31" t="str">
        <f>IF(OR(B288="",I288=0),"",_xlfn.MAXIFS('🤸 Ingresos Pole'!$B$2:$B$1000,'🤸 Ingresos Pole'!$C$2:$C$1000,B288))</f>
        <v/>
      </c>
      <c r="M288" s="29" t="str">
        <f t="shared" si="9"/>
        <v/>
      </c>
    </row>
    <row r="289" spans="1:13" x14ac:dyDescent="0.35">
      <c r="A289" s="26" t="s">
        <v>396</v>
      </c>
      <c r="B289" s="26"/>
      <c r="C289" s="27"/>
      <c r="D289" s="26"/>
      <c r="E289" s="26"/>
      <c r="F289" s="28"/>
      <c r="G289" s="29" t="str">
        <f t="shared" ca="1" si="8"/>
        <v/>
      </c>
      <c r="H289" s="29" t="str">
        <f>IF(B289="","",COUNTIFS('🤸 Ingresos Pole'!$C$2:$C$1000,B289,'🤸 Ingresos Pole'!$J$2:$J$1000,"Paquete"))</f>
        <v/>
      </c>
      <c r="I289" s="29" t="str">
        <f>IF(B289="","",COUNTIF('🤸 Ingresos Pole'!$C$2:$C$1000,B289))</f>
        <v/>
      </c>
      <c r="J289" s="30" t="str">
        <f>IF(B289="","",SUMIF('🤸 Ingresos Pole'!$C$2:$C$1000,B289,'🤸 Ingresos Pole'!$N$2:$N$1000))</f>
        <v/>
      </c>
      <c r="K289" s="31" t="str">
        <f>IF(OR(B289="",I289=0),"",_xlfn.MINIFS('🤸 Ingresos Pole'!$B$2:$B$1000,'🤸 Ingresos Pole'!$C$2:$C$1000,B289))</f>
        <v/>
      </c>
      <c r="L289" s="31" t="str">
        <f>IF(OR(B289="",I289=0),"",_xlfn.MAXIFS('🤸 Ingresos Pole'!$B$2:$B$1000,'🤸 Ingresos Pole'!$C$2:$C$1000,B289))</f>
        <v/>
      </c>
      <c r="M289" s="29" t="str">
        <f t="shared" si="9"/>
        <v/>
      </c>
    </row>
    <row r="290" spans="1:13" x14ac:dyDescent="0.35">
      <c r="A290" s="26" t="s">
        <v>397</v>
      </c>
      <c r="B290" s="26"/>
      <c r="C290" s="27"/>
      <c r="D290" s="26"/>
      <c r="E290" s="26"/>
      <c r="F290" s="28"/>
      <c r="G290" s="29" t="str">
        <f t="shared" ca="1" si="8"/>
        <v/>
      </c>
      <c r="H290" s="29" t="str">
        <f>IF(B290="","",COUNTIFS('🤸 Ingresos Pole'!$C$2:$C$1000,B290,'🤸 Ingresos Pole'!$J$2:$J$1000,"Paquete"))</f>
        <v/>
      </c>
      <c r="I290" s="29" t="str">
        <f>IF(B290="","",COUNTIF('🤸 Ingresos Pole'!$C$2:$C$1000,B290))</f>
        <v/>
      </c>
      <c r="J290" s="30" t="str">
        <f>IF(B290="","",SUMIF('🤸 Ingresos Pole'!$C$2:$C$1000,B290,'🤸 Ingresos Pole'!$N$2:$N$1000))</f>
        <v/>
      </c>
      <c r="K290" s="31" t="str">
        <f>IF(OR(B290="",I290=0),"",_xlfn.MINIFS('🤸 Ingresos Pole'!$B$2:$B$1000,'🤸 Ingresos Pole'!$C$2:$C$1000,B290))</f>
        <v/>
      </c>
      <c r="L290" s="31" t="str">
        <f>IF(OR(B290="",I290=0),"",_xlfn.MAXIFS('🤸 Ingresos Pole'!$B$2:$B$1000,'🤸 Ingresos Pole'!$C$2:$C$1000,B290))</f>
        <v/>
      </c>
      <c r="M290" s="29" t="str">
        <f t="shared" si="9"/>
        <v/>
      </c>
    </row>
    <row r="291" spans="1:13" x14ac:dyDescent="0.35">
      <c r="A291" s="26" t="s">
        <v>398</v>
      </c>
      <c r="B291" s="26"/>
      <c r="C291" s="27"/>
      <c r="D291" s="26"/>
      <c r="E291" s="26"/>
      <c r="F291" s="28"/>
      <c r="G291" s="29" t="str">
        <f t="shared" ca="1" si="8"/>
        <v/>
      </c>
      <c r="H291" s="29" t="str">
        <f>IF(B291="","",COUNTIFS('🤸 Ingresos Pole'!$C$2:$C$1000,B291,'🤸 Ingresos Pole'!$J$2:$J$1000,"Paquete"))</f>
        <v/>
      </c>
      <c r="I291" s="29" t="str">
        <f>IF(B291="","",COUNTIF('🤸 Ingresos Pole'!$C$2:$C$1000,B291))</f>
        <v/>
      </c>
      <c r="J291" s="30" t="str">
        <f>IF(B291="","",SUMIF('🤸 Ingresos Pole'!$C$2:$C$1000,B291,'🤸 Ingresos Pole'!$N$2:$N$1000))</f>
        <v/>
      </c>
      <c r="K291" s="31" t="str">
        <f>IF(OR(B291="",I291=0),"",_xlfn.MINIFS('🤸 Ingresos Pole'!$B$2:$B$1000,'🤸 Ingresos Pole'!$C$2:$C$1000,B291))</f>
        <v/>
      </c>
      <c r="L291" s="31" t="str">
        <f>IF(OR(B291="",I291=0),"",_xlfn.MAXIFS('🤸 Ingresos Pole'!$B$2:$B$1000,'🤸 Ingresos Pole'!$C$2:$C$1000,B291))</f>
        <v/>
      </c>
      <c r="M291" s="29" t="str">
        <f t="shared" si="9"/>
        <v/>
      </c>
    </row>
    <row r="292" spans="1:13" x14ac:dyDescent="0.35">
      <c r="A292" s="26" t="s">
        <v>399</v>
      </c>
      <c r="B292" s="26"/>
      <c r="C292" s="27"/>
      <c r="D292" s="26"/>
      <c r="E292" s="26"/>
      <c r="F292" s="28"/>
      <c r="G292" s="29" t="str">
        <f t="shared" ca="1" si="8"/>
        <v/>
      </c>
      <c r="H292" s="29" t="str">
        <f>IF(B292="","",COUNTIFS('🤸 Ingresos Pole'!$C$2:$C$1000,B292,'🤸 Ingresos Pole'!$J$2:$J$1000,"Paquete"))</f>
        <v/>
      </c>
      <c r="I292" s="29" t="str">
        <f>IF(B292="","",COUNTIF('🤸 Ingresos Pole'!$C$2:$C$1000,B292))</f>
        <v/>
      </c>
      <c r="J292" s="30" t="str">
        <f>IF(B292="","",SUMIF('🤸 Ingresos Pole'!$C$2:$C$1000,B292,'🤸 Ingresos Pole'!$N$2:$N$1000))</f>
        <v/>
      </c>
      <c r="K292" s="31" t="str">
        <f>IF(OR(B292="",I292=0),"",_xlfn.MINIFS('🤸 Ingresos Pole'!$B$2:$B$1000,'🤸 Ingresos Pole'!$C$2:$C$1000,B292))</f>
        <v/>
      </c>
      <c r="L292" s="31" t="str">
        <f>IF(OR(B292="",I292=0),"",_xlfn.MAXIFS('🤸 Ingresos Pole'!$B$2:$B$1000,'🤸 Ingresos Pole'!$C$2:$C$1000,B292))</f>
        <v/>
      </c>
      <c r="M292" s="29" t="str">
        <f t="shared" si="9"/>
        <v/>
      </c>
    </row>
    <row r="293" spans="1:13" x14ac:dyDescent="0.35">
      <c r="A293" s="26" t="s">
        <v>400</v>
      </c>
      <c r="B293" s="26"/>
      <c r="C293" s="27"/>
      <c r="D293" s="26"/>
      <c r="E293" s="26"/>
      <c r="F293" s="28"/>
      <c r="G293" s="29" t="str">
        <f t="shared" ca="1" si="8"/>
        <v/>
      </c>
      <c r="H293" s="29" t="str">
        <f>IF(B293="","",COUNTIFS('🤸 Ingresos Pole'!$C$2:$C$1000,B293,'🤸 Ingresos Pole'!$J$2:$J$1000,"Paquete"))</f>
        <v/>
      </c>
      <c r="I293" s="29" t="str">
        <f>IF(B293="","",COUNTIF('🤸 Ingresos Pole'!$C$2:$C$1000,B293))</f>
        <v/>
      </c>
      <c r="J293" s="30" t="str">
        <f>IF(B293="","",SUMIF('🤸 Ingresos Pole'!$C$2:$C$1000,B293,'🤸 Ingresos Pole'!$N$2:$N$1000))</f>
        <v/>
      </c>
      <c r="K293" s="31" t="str">
        <f>IF(OR(B293="",I293=0),"",_xlfn.MINIFS('🤸 Ingresos Pole'!$B$2:$B$1000,'🤸 Ingresos Pole'!$C$2:$C$1000,B293))</f>
        <v/>
      </c>
      <c r="L293" s="31" t="str">
        <f>IF(OR(B293="",I293=0),"",_xlfn.MAXIFS('🤸 Ingresos Pole'!$B$2:$B$1000,'🤸 Ingresos Pole'!$C$2:$C$1000,B293))</f>
        <v/>
      </c>
      <c r="M293" s="29" t="str">
        <f t="shared" si="9"/>
        <v/>
      </c>
    </row>
    <row r="294" spans="1:13" x14ac:dyDescent="0.35">
      <c r="A294" s="26" t="s">
        <v>401</v>
      </c>
      <c r="B294" s="26"/>
      <c r="C294" s="27"/>
      <c r="D294" s="26"/>
      <c r="E294" s="26"/>
      <c r="F294" s="28"/>
      <c r="G294" s="29" t="str">
        <f t="shared" ca="1" si="8"/>
        <v/>
      </c>
      <c r="H294" s="29" t="str">
        <f>IF(B294="","",COUNTIFS('🤸 Ingresos Pole'!$C$2:$C$1000,B294,'🤸 Ingresos Pole'!$J$2:$J$1000,"Paquete"))</f>
        <v/>
      </c>
      <c r="I294" s="29" t="str">
        <f>IF(B294="","",COUNTIF('🤸 Ingresos Pole'!$C$2:$C$1000,B294))</f>
        <v/>
      </c>
      <c r="J294" s="30" t="str">
        <f>IF(B294="","",SUMIF('🤸 Ingresos Pole'!$C$2:$C$1000,B294,'🤸 Ingresos Pole'!$N$2:$N$1000))</f>
        <v/>
      </c>
      <c r="K294" s="31" t="str">
        <f>IF(OR(B294="",I294=0),"",_xlfn.MINIFS('🤸 Ingresos Pole'!$B$2:$B$1000,'🤸 Ingresos Pole'!$C$2:$C$1000,B294))</f>
        <v/>
      </c>
      <c r="L294" s="31" t="str">
        <f>IF(OR(B294="",I294=0),"",_xlfn.MAXIFS('🤸 Ingresos Pole'!$B$2:$B$1000,'🤸 Ingresos Pole'!$C$2:$C$1000,B294))</f>
        <v/>
      </c>
      <c r="M294" s="29" t="str">
        <f t="shared" si="9"/>
        <v/>
      </c>
    </row>
    <row r="295" spans="1:13" x14ac:dyDescent="0.35">
      <c r="A295" s="26" t="s">
        <v>402</v>
      </c>
      <c r="B295" s="26"/>
      <c r="C295" s="27"/>
      <c r="D295" s="26"/>
      <c r="E295" s="26"/>
      <c r="F295" s="28"/>
      <c r="G295" s="29" t="str">
        <f t="shared" ca="1" si="8"/>
        <v/>
      </c>
      <c r="H295" s="29" t="str">
        <f>IF(B295="","",COUNTIFS('🤸 Ingresos Pole'!$C$2:$C$1000,B295,'🤸 Ingresos Pole'!$J$2:$J$1000,"Paquete"))</f>
        <v/>
      </c>
      <c r="I295" s="29" t="str">
        <f>IF(B295="","",COUNTIF('🤸 Ingresos Pole'!$C$2:$C$1000,B295))</f>
        <v/>
      </c>
      <c r="J295" s="30" t="str">
        <f>IF(B295="","",SUMIF('🤸 Ingresos Pole'!$C$2:$C$1000,B295,'🤸 Ingresos Pole'!$N$2:$N$1000))</f>
        <v/>
      </c>
      <c r="K295" s="31" t="str">
        <f>IF(OR(B295="",I295=0),"",_xlfn.MINIFS('🤸 Ingresos Pole'!$B$2:$B$1000,'🤸 Ingresos Pole'!$C$2:$C$1000,B295))</f>
        <v/>
      </c>
      <c r="L295" s="31" t="str">
        <f>IF(OR(B295="",I295=0),"",_xlfn.MAXIFS('🤸 Ingresos Pole'!$B$2:$B$1000,'🤸 Ingresos Pole'!$C$2:$C$1000,B295))</f>
        <v/>
      </c>
      <c r="M295" s="29" t="str">
        <f t="shared" si="9"/>
        <v/>
      </c>
    </row>
    <row r="296" spans="1:13" x14ac:dyDescent="0.35">
      <c r="A296" s="26" t="s">
        <v>403</v>
      </c>
      <c r="B296" s="26"/>
      <c r="C296" s="27"/>
      <c r="D296" s="26"/>
      <c r="E296" s="26"/>
      <c r="F296" s="28"/>
      <c r="G296" s="29" t="str">
        <f t="shared" ca="1" si="8"/>
        <v/>
      </c>
      <c r="H296" s="29" t="str">
        <f>IF(B296="","",COUNTIFS('🤸 Ingresos Pole'!$C$2:$C$1000,B296,'🤸 Ingresos Pole'!$J$2:$J$1000,"Paquete"))</f>
        <v/>
      </c>
      <c r="I296" s="29" t="str">
        <f>IF(B296="","",COUNTIF('🤸 Ingresos Pole'!$C$2:$C$1000,B296))</f>
        <v/>
      </c>
      <c r="J296" s="30" t="str">
        <f>IF(B296="","",SUMIF('🤸 Ingresos Pole'!$C$2:$C$1000,B296,'🤸 Ingresos Pole'!$N$2:$N$1000))</f>
        <v/>
      </c>
      <c r="K296" s="31" t="str">
        <f>IF(OR(B296="",I296=0),"",_xlfn.MINIFS('🤸 Ingresos Pole'!$B$2:$B$1000,'🤸 Ingresos Pole'!$C$2:$C$1000,B296))</f>
        <v/>
      </c>
      <c r="L296" s="31" t="str">
        <f>IF(OR(B296="",I296=0),"",_xlfn.MAXIFS('🤸 Ingresos Pole'!$B$2:$B$1000,'🤸 Ingresos Pole'!$C$2:$C$1000,B296))</f>
        <v/>
      </c>
      <c r="M296" s="29" t="str">
        <f t="shared" si="9"/>
        <v/>
      </c>
    </row>
    <row r="297" spans="1:13" x14ac:dyDescent="0.35">
      <c r="A297" s="26" t="s">
        <v>404</v>
      </c>
      <c r="B297" s="26"/>
      <c r="C297" s="27"/>
      <c r="D297" s="26"/>
      <c r="E297" s="26"/>
      <c r="F297" s="28"/>
      <c r="G297" s="29" t="str">
        <f t="shared" ca="1" si="8"/>
        <v/>
      </c>
      <c r="H297" s="29" t="str">
        <f>IF(B297="","",COUNTIFS('🤸 Ingresos Pole'!$C$2:$C$1000,B297,'🤸 Ingresos Pole'!$J$2:$J$1000,"Paquete"))</f>
        <v/>
      </c>
      <c r="I297" s="29" t="str">
        <f>IF(B297="","",COUNTIF('🤸 Ingresos Pole'!$C$2:$C$1000,B297))</f>
        <v/>
      </c>
      <c r="J297" s="30" t="str">
        <f>IF(B297="","",SUMIF('🤸 Ingresos Pole'!$C$2:$C$1000,B297,'🤸 Ingresos Pole'!$N$2:$N$1000))</f>
        <v/>
      </c>
      <c r="K297" s="31" t="str">
        <f>IF(OR(B297="",I297=0),"",_xlfn.MINIFS('🤸 Ingresos Pole'!$B$2:$B$1000,'🤸 Ingresos Pole'!$C$2:$C$1000,B297))</f>
        <v/>
      </c>
      <c r="L297" s="31" t="str">
        <f>IF(OR(B297="",I297=0),"",_xlfn.MAXIFS('🤸 Ingresos Pole'!$B$2:$B$1000,'🤸 Ingresos Pole'!$C$2:$C$1000,B297))</f>
        <v/>
      </c>
      <c r="M297" s="29" t="str">
        <f t="shared" si="9"/>
        <v/>
      </c>
    </row>
    <row r="298" spans="1:13" x14ac:dyDescent="0.35">
      <c r="A298" s="26" t="s">
        <v>405</v>
      </c>
      <c r="B298" s="26"/>
      <c r="C298" s="27"/>
      <c r="D298" s="26"/>
      <c r="E298" s="26"/>
      <c r="F298" s="28"/>
      <c r="G298" s="29" t="str">
        <f t="shared" ca="1" si="8"/>
        <v/>
      </c>
      <c r="H298" s="29" t="str">
        <f>IF(B298="","",COUNTIFS('🤸 Ingresos Pole'!$C$2:$C$1000,B298,'🤸 Ingresos Pole'!$J$2:$J$1000,"Paquete"))</f>
        <v/>
      </c>
      <c r="I298" s="29" t="str">
        <f>IF(B298="","",COUNTIF('🤸 Ingresos Pole'!$C$2:$C$1000,B298))</f>
        <v/>
      </c>
      <c r="J298" s="30" t="str">
        <f>IF(B298="","",SUMIF('🤸 Ingresos Pole'!$C$2:$C$1000,B298,'🤸 Ingresos Pole'!$N$2:$N$1000))</f>
        <v/>
      </c>
      <c r="K298" s="31" t="str">
        <f>IF(OR(B298="",I298=0),"",_xlfn.MINIFS('🤸 Ingresos Pole'!$B$2:$B$1000,'🤸 Ingresos Pole'!$C$2:$C$1000,B298))</f>
        <v/>
      </c>
      <c r="L298" s="31" t="str">
        <f>IF(OR(B298="",I298=0),"",_xlfn.MAXIFS('🤸 Ingresos Pole'!$B$2:$B$1000,'🤸 Ingresos Pole'!$C$2:$C$1000,B298))</f>
        <v/>
      </c>
      <c r="M298" s="29" t="str">
        <f t="shared" si="9"/>
        <v/>
      </c>
    </row>
    <row r="299" spans="1:13" x14ac:dyDescent="0.35">
      <c r="A299" s="26" t="s">
        <v>406</v>
      </c>
      <c r="B299" s="26"/>
      <c r="C299" s="27"/>
      <c r="D299" s="26"/>
      <c r="E299" s="26"/>
      <c r="F299" s="28"/>
      <c r="G299" s="29" t="str">
        <f t="shared" ca="1" si="8"/>
        <v/>
      </c>
      <c r="H299" s="29" t="str">
        <f>IF(B299="","",COUNTIFS('🤸 Ingresos Pole'!$C$2:$C$1000,B299,'🤸 Ingresos Pole'!$J$2:$J$1000,"Paquete"))</f>
        <v/>
      </c>
      <c r="I299" s="29" t="str">
        <f>IF(B299="","",COUNTIF('🤸 Ingresos Pole'!$C$2:$C$1000,B299))</f>
        <v/>
      </c>
      <c r="J299" s="30" t="str">
        <f>IF(B299="","",SUMIF('🤸 Ingresos Pole'!$C$2:$C$1000,B299,'🤸 Ingresos Pole'!$N$2:$N$1000))</f>
        <v/>
      </c>
      <c r="K299" s="31" t="str">
        <f>IF(OR(B299="",I299=0),"",_xlfn.MINIFS('🤸 Ingresos Pole'!$B$2:$B$1000,'🤸 Ingresos Pole'!$C$2:$C$1000,B299))</f>
        <v/>
      </c>
      <c r="L299" s="31" t="str">
        <f>IF(OR(B299="",I299=0),"",_xlfn.MAXIFS('🤸 Ingresos Pole'!$B$2:$B$1000,'🤸 Ingresos Pole'!$C$2:$C$1000,B299))</f>
        <v/>
      </c>
      <c r="M299" s="29" t="str">
        <f t="shared" si="9"/>
        <v/>
      </c>
    </row>
    <row r="300" spans="1:13" x14ac:dyDescent="0.35">
      <c r="A300" s="26" t="s">
        <v>407</v>
      </c>
      <c r="B300" s="26"/>
      <c r="C300" s="27"/>
      <c r="D300" s="26"/>
      <c r="E300" s="26"/>
      <c r="F300" s="28"/>
      <c r="G300" s="29" t="str">
        <f t="shared" ca="1" si="8"/>
        <v/>
      </c>
      <c r="H300" s="29" t="str">
        <f>IF(B300="","",COUNTIFS('🤸 Ingresos Pole'!$C$2:$C$1000,B300,'🤸 Ingresos Pole'!$J$2:$J$1000,"Paquete"))</f>
        <v/>
      </c>
      <c r="I300" s="29" t="str">
        <f>IF(B300="","",COUNTIF('🤸 Ingresos Pole'!$C$2:$C$1000,B300))</f>
        <v/>
      </c>
      <c r="J300" s="30" t="str">
        <f>IF(B300="","",SUMIF('🤸 Ingresos Pole'!$C$2:$C$1000,B300,'🤸 Ingresos Pole'!$N$2:$N$1000))</f>
        <v/>
      </c>
      <c r="K300" s="31" t="str">
        <f>IF(OR(B300="",I300=0),"",_xlfn.MINIFS('🤸 Ingresos Pole'!$B$2:$B$1000,'🤸 Ingresos Pole'!$C$2:$C$1000,B300))</f>
        <v/>
      </c>
      <c r="L300" s="31" t="str">
        <f>IF(OR(B300="",I300=0),"",_xlfn.MAXIFS('🤸 Ingresos Pole'!$B$2:$B$1000,'🤸 Ingresos Pole'!$C$2:$C$1000,B300))</f>
        <v/>
      </c>
      <c r="M300" s="29" t="str">
        <f t="shared" si="9"/>
        <v/>
      </c>
    </row>
  </sheetData>
  <autoFilter ref="A1:M300" xr:uid="{00000000-0009-0000-0000-000002000000}"/>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00"/>
  <sheetViews>
    <sheetView zoomScaleNormal="100" workbookViewId="0">
      <pane xSplit="3" ySplit="1" topLeftCell="D8" activePane="bottomRight" state="frozen"/>
      <selection pane="topRight" activeCell="D1" sqref="D1"/>
      <selection pane="bottomLeft" activeCell="A2" sqref="A2"/>
      <selection pane="bottomRight" activeCell="F22" sqref="F22"/>
    </sheetView>
  </sheetViews>
  <sheetFormatPr baseColWidth="10" defaultColWidth="8.6328125" defaultRowHeight="14.5" x14ac:dyDescent="0.35"/>
  <cols>
    <col min="1" max="1" width="10" customWidth="1"/>
    <col min="2" max="2" width="12" customWidth="1"/>
    <col min="3" max="3" width="30" customWidth="1"/>
    <col min="4" max="4" width="13" customWidth="1"/>
    <col min="5" max="5" width="28" customWidth="1"/>
    <col min="6" max="6" width="24" customWidth="1"/>
    <col min="7" max="7" width="14" customWidth="1"/>
    <col min="8" max="8" width="7" customWidth="1"/>
    <col min="9" max="9" width="40" customWidth="1"/>
    <col min="10" max="10" width="13" customWidth="1"/>
    <col min="11" max="11" width="14" customWidth="1"/>
    <col min="12" max="12" width="9" customWidth="1"/>
    <col min="13" max="13" width="14" customWidth="1"/>
    <col min="14" max="14" width="13" customWidth="1"/>
    <col min="15" max="15" width="11" customWidth="1"/>
    <col min="16" max="16" width="22" customWidth="1"/>
    <col min="17" max="19" width="13" customWidth="1"/>
    <col min="20" max="20" width="26" customWidth="1"/>
  </cols>
  <sheetData>
    <row r="1" spans="1:20" ht="31.5" customHeight="1" x14ac:dyDescent="0.35">
      <c r="A1" s="32" t="s">
        <v>408</v>
      </c>
      <c r="B1" s="32" t="s">
        <v>409</v>
      </c>
      <c r="C1" s="32" t="s">
        <v>410</v>
      </c>
      <c r="D1" s="33" t="s">
        <v>63</v>
      </c>
      <c r="E1" s="33" t="s">
        <v>64</v>
      </c>
      <c r="F1" s="33" t="s">
        <v>65</v>
      </c>
      <c r="G1" s="33" t="s">
        <v>66</v>
      </c>
      <c r="H1" s="33" t="s">
        <v>67</v>
      </c>
      <c r="I1" s="32" t="s">
        <v>411</v>
      </c>
      <c r="J1" s="33" t="s">
        <v>412</v>
      </c>
      <c r="K1" s="32" t="s">
        <v>413</v>
      </c>
      <c r="L1" s="32" t="s">
        <v>414</v>
      </c>
      <c r="M1" s="32" t="s">
        <v>415</v>
      </c>
      <c r="N1" s="33" t="s">
        <v>24</v>
      </c>
      <c r="O1" s="32" t="s">
        <v>416</v>
      </c>
      <c r="P1" s="32" t="s">
        <v>417</v>
      </c>
      <c r="Q1" s="32" t="s">
        <v>418</v>
      </c>
      <c r="R1" s="33" t="s">
        <v>419</v>
      </c>
      <c r="S1" s="33" t="s">
        <v>420</v>
      </c>
      <c r="T1" s="32" t="s">
        <v>421</v>
      </c>
    </row>
    <row r="2" spans="1:20" x14ac:dyDescent="0.35">
      <c r="A2" s="26" t="s">
        <v>422</v>
      </c>
      <c r="B2" s="28">
        <v>46264</v>
      </c>
      <c r="C2" s="26" t="s">
        <v>75</v>
      </c>
      <c r="D2" s="34">
        <f>IF($C2="","",IFERROR(IF(INDEX('🎓 Alumnas'!$C$2:$C$1000,MATCH($C2,'🎓 Alumnas'!$B$2:$B$1000,0))="","",INDEX('🎓 Alumnas'!$C$2:$C$1000,MATCH($C2,'🎓 Alumnas'!$B$2:$B$1000,0))),""))</f>
        <v>3229015452</v>
      </c>
      <c r="E2" s="29" t="str">
        <f>IF($C2="","",IFERROR(IF(INDEX('🎓 Alumnas'!$D$2:$D$1000,MATCH($C2,'🎓 Alumnas'!$B$2:$B$1000,0))="","",INDEX('🎓 Alumnas'!$D$2:$D$1000,MATCH($C2,'🎓 Alumnas'!$B$2:$B$1000,0))),""))</f>
        <v>anacaloga88@gmail.com</v>
      </c>
      <c r="F2" s="29" t="str">
        <f>IF($C2="","",IFERROR(IF(INDEX('🎓 Alumnas'!$E$2:$E$1000,MATCH($C2,'🎓 Alumnas'!$B$2:$B$1000,0))="","",INDEX('🎓 Alumnas'!$E$2:$E$1000,MATCH($C2,'🎓 Alumnas'!$B$2:$B$1000,0))),""))</f>
        <v>carrera 79a#16f</v>
      </c>
      <c r="G2" s="31">
        <f>IF($C2="","",IFERROR(IF(INDEX('🎓 Alumnas'!$F$2:$F$1000,MATCH($C2,'🎓 Alumnas'!$B$2:$B$1000,0))="","",INDEX('🎓 Alumnas'!$F$2:$F$1000,MATCH($C2,'🎓 Alumnas'!$B$2:$B$1000,0))),""))</f>
        <v>32232</v>
      </c>
      <c r="H2" s="29">
        <f t="shared" ref="H2:H65" ca="1" si="0">IF(G2="","",DATEDIF(G2,TODAY(),"Y"))</f>
        <v>38</v>
      </c>
      <c r="I2" s="26" t="s">
        <v>423</v>
      </c>
      <c r="J2" s="29" t="str">
        <f t="shared" ref="J2:J65" si="1">IF(I2="","",IF(LEFT(I2,6)="1 Pole","Alquiler",IF(LEFT(I2,7)="1 Clase","Clase suelta","Paquete")))</f>
        <v>Paquete</v>
      </c>
      <c r="K2" s="26"/>
      <c r="L2" s="26">
        <v>1</v>
      </c>
      <c r="M2" s="35">
        <v>200000</v>
      </c>
      <c r="N2" s="30">
        <f t="shared" ref="N2:N65" si="2">IF(M2="","",L2*M2)</f>
        <v>200000</v>
      </c>
      <c r="O2" s="36">
        <v>1</v>
      </c>
      <c r="P2" s="26" t="s">
        <v>32</v>
      </c>
      <c r="Q2" s="26" t="s">
        <v>424</v>
      </c>
      <c r="R2" s="29" t="str">
        <f>IF(C2="","",IF(COUNTIF($C$2:C2,C2)=1,"Nueva","Recurrente"))</f>
        <v>Nueva</v>
      </c>
      <c r="S2" s="29">
        <f>IF(OR(C2="",J2&lt;&gt;"Paquete"),"",COUNTIFS($C$2:C2,C2,$J$2:J2,"Paquete"))</f>
        <v>1</v>
      </c>
      <c r="T2" s="26"/>
    </row>
    <row r="3" spans="1:20" x14ac:dyDescent="0.35">
      <c r="A3" s="26" t="s">
        <v>425</v>
      </c>
      <c r="B3" s="28">
        <v>46265</v>
      </c>
      <c r="C3" s="26" t="s">
        <v>79</v>
      </c>
      <c r="D3" s="34">
        <f>IF($C3="","",IFERROR(IF(INDEX('🎓 Alumnas'!$C$2:$C$1000,MATCH($C3,'🎓 Alumnas'!$B$2:$B$1000,0))="","",INDEX('🎓 Alumnas'!$C$2:$C$1000,MATCH($C3,'🎓 Alumnas'!$B$2:$B$1000,0))),""))</f>
        <v>3142183412</v>
      </c>
      <c r="E3" s="29" t="str">
        <f>IF($C3="","",IFERROR(IF(INDEX('🎓 Alumnas'!$D$2:$D$1000,MATCH($C3,'🎓 Alumnas'!$B$2:$B$1000,0))="","",INDEX('🎓 Alumnas'!$D$2:$D$1000,MATCH($C3,'🎓 Alumnas'!$B$2:$B$1000,0))),""))</f>
        <v>fraariaspi@hotmail.com</v>
      </c>
      <c r="F3" s="29" t="str">
        <f>IF($C3="","",IFERROR(IF(INDEX('🎓 Alumnas'!$E$2:$E$1000,MATCH($C3,'🎓 Alumnas'!$B$2:$B$1000,0))="","",INDEX('🎓 Alumnas'!$E$2:$E$1000,MATCH($C3,'🎓 Alumnas'!$B$2:$B$1000,0))),""))</f>
        <v>Cra 73# 7f-07</v>
      </c>
      <c r="G3" s="31">
        <f>IF($C3="","",IFERROR(IF(INDEX('🎓 Alumnas'!$F$2:$F$1000,MATCH($C3,'🎓 Alumnas'!$B$2:$B$1000,0))="","",INDEX('🎓 Alumnas'!$F$2:$F$1000,MATCH($C3,'🎓 Alumnas'!$B$2:$B$1000,0))),""))</f>
        <v>27887</v>
      </c>
      <c r="H3" s="29">
        <f t="shared" ca="1" si="0"/>
        <v>50</v>
      </c>
      <c r="I3" s="26" t="s">
        <v>426</v>
      </c>
      <c r="J3" s="29" t="str">
        <f t="shared" si="1"/>
        <v>Paquete</v>
      </c>
      <c r="K3" s="26"/>
      <c r="L3" s="26">
        <v>1</v>
      </c>
      <c r="M3" s="35">
        <v>350000</v>
      </c>
      <c r="N3" s="30">
        <f t="shared" si="2"/>
        <v>350000</v>
      </c>
      <c r="O3" s="36">
        <v>1</v>
      </c>
      <c r="P3" s="26" t="s">
        <v>30</v>
      </c>
      <c r="Q3" s="26" t="s">
        <v>427</v>
      </c>
      <c r="R3" s="29" t="str">
        <f>IF(C3="","",IF(COUNTIF($C$2:C3,C3)=1,"Nueva","Recurrente"))</f>
        <v>Nueva</v>
      </c>
      <c r="S3" s="29">
        <f>IF(OR(C3="",J3&lt;&gt;"Paquete"),"",COUNTIFS($C$2:C3,C3,$J$2:J3,"Paquete"))</f>
        <v>1</v>
      </c>
      <c r="T3" s="26"/>
    </row>
    <row r="4" spans="1:20" x14ac:dyDescent="0.35">
      <c r="A4" s="26" t="s">
        <v>428</v>
      </c>
      <c r="B4" s="28">
        <v>46264</v>
      </c>
      <c r="C4" s="26" t="s">
        <v>83</v>
      </c>
      <c r="D4" s="34">
        <f>IF($C4="","",IFERROR(IF(INDEX('🎓 Alumnas'!$C$2:$C$1000,MATCH($C4,'🎓 Alumnas'!$B$2:$B$1000,0))="","",INDEX('🎓 Alumnas'!$C$2:$C$1000,MATCH($C4,'🎓 Alumnas'!$B$2:$B$1000,0))),""))</f>
        <v>3196364084</v>
      </c>
      <c r="E4" s="29" t="str">
        <f>IF($C4="","",IFERROR(IF(INDEX('🎓 Alumnas'!$D$2:$D$1000,MATCH($C4,'🎓 Alumnas'!$B$2:$B$1000,0))="","",INDEX('🎓 Alumnas'!$D$2:$D$1000,MATCH($C4,'🎓 Alumnas'!$B$2:$B$1000,0))),""))</f>
        <v>diana0.bermudez@gmail.com</v>
      </c>
      <c r="F4" s="29" t="str">
        <f>IF($C4="","",IFERROR(IF(INDEX('🎓 Alumnas'!$E$2:$E$1000,MATCH($C4,'🎓 Alumnas'!$B$2:$B$1000,0))="","",INDEX('🎓 Alumnas'!$E$2:$E$1000,MATCH($C4,'🎓 Alumnas'!$B$2:$B$1000,0))),""))</f>
        <v>Cra 72k # 39a 96 sur</v>
      </c>
      <c r="G4" s="31">
        <f>IF($C4="","",IFERROR(IF(INDEX('🎓 Alumnas'!$F$2:$F$1000,MATCH($C4,'🎓 Alumnas'!$B$2:$B$1000,0))="","",INDEX('🎓 Alumnas'!$F$2:$F$1000,MATCH($C4,'🎓 Alumnas'!$B$2:$B$1000,0))),""))</f>
        <v>33374</v>
      </c>
      <c r="H4" s="29">
        <f t="shared" ca="1" si="0"/>
        <v>35</v>
      </c>
      <c r="I4" s="26" t="s">
        <v>429</v>
      </c>
      <c r="J4" s="29" t="str">
        <f t="shared" si="1"/>
        <v>Paquete</v>
      </c>
      <c r="K4" s="26" t="s">
        <v>430</v>
      </c>
      <c r="L4" s="26">
        <v>1</v>
      </c>
      <c r="M4" s="35">
        <v>480000</v>
      </c>
      <c r="N4" s="30">
        <f t="shared" si="2"/>
        <v>480000</v>
      </c>
      <c r="O4" s="36">
        <v>1</v>
      </c>
      <c r="P4" s="26" t="s">
        <v>32</v>
      </c>
      <c r="Q4" s="26" t="s">
        <v>424</v>
      </c>
      <c r="R4" s="29" t="str">
        <f>IF(C4="","",IF(COUNTIF($C$2:C4,C4)=1,"Nueva","Recurrente"))</f>
        <v>Nueva</v>
      </c>
      <c r="S4" s="29">
        <f>IF(OR(C4="",J4&lt;&gt;"Paquete"),"",COUNTIFS($C$2:C4,C4,$J$2:J4,"Paquete"))</f>
        <v>1</v>
      </c>
      <c r="T4" s="26"/>
    </row>
    <row r="5" spans="1:20" x14ac:dyDescent="0.35">
      <c r="A5" s="26" t="s">
        <v>431</v>
      </c>
      <c r="B5" s="28">
        <v>46264</v>
      </c>
      <c r="C5" s="26" t="s">
        <v>87</v>
      </c>
      <c r="D5" s="34">
        <f>IF($C5="","",IFERROR(IF(INDEX('🎓 Alumnas'!$C$2:$C$1000,MATCH($C5,'🎓 Alumnas'!$B$2:$B$1000,0))="","",INDEX('🎓 Alumnas'!$C$2:$C$1000,MATCH($C5,'🎓 Alumnas'!$B$2:$B$1000,0))),""))</f>
        <v>3104775381</v>
      </c>
      <c r="E5" s="29" t="str">
        <f>IF($C5="","",IFERROR(IF(INDEX('🎓 Alumnas'!$D$2:$D$1000,MATCH($C5,'🎓 Alumnas'!$B$2:$B$1000,0))="","",INDEX('🎓 Alumnas'!$D$2:$D$1000,MATCH($C5,'🎓 Alumnas'!$B$2:$B$1000,0))),""))</f>
        <v>Jessicatorresolarte@gmail.com</v>
      </c>
      <c r="F5" s="29" t="str">
        <f>IF($C5="","",IFERROR(IF(INDEX('🎓 Alumnas'!$E$2:$E$1000,MATCH($C5,'🎓 Alumnas'!$B$2:$B$1000,0))="","",INDEX('🎓 Alumnas'!$E$2:$E$1000,MATCH($C5,'🎓 Alumnas'!$B$2:$B$1000,0))),""))</f>
        <v>Calle 6b 80b 85</v>
      </c>
      <c r="G5" s="31">
        <f>IF($C5="","",IFERROR(IF(INDEX('🎓 Alumnas'!$F$2:$F$1000,MATCH($C5,'🎓 Alumnas'!$B$2:$B$1000,0))="","",INDEX('🎓 Alumnas'!$F$2:$F$1000,MATCH($C5,'🎓 Alumnas'!$B$2:$B$1000,0))),""))</f>
        <v>31592</v>
      </c>
      <c r="H5" s="29">
        <f t="shared" ca="1" si="0"/>
        <v>40</v>
      </c>
      <c r="I5" s="26" t="s">
        <v>429</v>
      </c>
      <c r="J5" s="29" t="str">
        <f t="shared" si="1"/>
        <v>Paquete</v>
      </c>
      <c r="K5" s="26" t="s">
        <v>430</v>
      </c>
      <c r="L5" s="26">
        <v>1</v>
      </c>
      <c r="M5" s="35">
        <v>0</v>
      </c>
      <c r="N5" s="30">
        <f t="shared" si="2"/>
        <v>0</v>
      </c>
      <c r="O5" s="36">
        <v>0</v>
      </c>
      <c r="P5" s="26"/>
      <c r="Q5" s="26"/>
      <c r="R5" s="29" t="str">
        <f>IF(C5="","",IF(COUNTIF($C$2:C5,C5)=1,"Nueva","Recurrente"))</f>
        <v>Nueva</v>
      </c>
      <c r="S5" s="29">
        <f>IF(OR(C5="",J5&lt;&gt;"Paquete"),"",COUNTIFS($C$2:C5,C5,$J$2:J5,"Paquete"))</f>
        <v>1</v>
      </c>
      <c r="T5" s="26"/>
    </row>
    <row r="6" spans="1:20" x14ac:dyDescent="0.35">
      <c r="A6" s="26" t="s">
        <v>432</v>
      </c>
      <c r="B6" s="28">
        <v>46265</v>
      </c>
      <c r="C6" s="26" t="s">
        <v>91</v>
      </c>
      <c r="D6" s="34" t="str">
        <f>IF($C6="","",IFERROR(IF(INDEX('🎓 Alumnas'!$C$2:$C$1000,MATCH($C6,'🎓 Alumnas'!$B$2:$B$1000,0))="","",INDEX('🎓 Alumnas'!$C$2:$C$1000,MATCH($C6,'🎓 Alumnas'!$B$2:$B$1000,0))),""))</f>
        <v/>
      </c>
      <c r="E6" s="29" t="str">
        <f>IF($C6="","",IFERROR(IF(INDEX('🎓 Alumnas'!$D$2:$D$1000,MATCH($C6,'🎓 Alumnas'!$B$2:$B$1000,0))="","",INDEX('🎓 Alumnas'!$D$2:$D$1000,MATCH($C6,'🎓 Alumnas'!$B$2:$B$1000,0))),""))</f>
        <v/>
      </c>
      <c r="F6" s="29" t="str">
        <f>IF($C6="","",IFERROR(IF(INDEX('🎓 Alumnas'!$E$2:$E$1000,MATCH($C6,'🎓 Alumnas'!$B$2:$B$1000,0))="","",INDEX('🎓 Alumnas'!$E$2:$E$1000,MATCH($C6,'🎓 Alumnas'!$B$2:$B$1000,0))),""))</f>
        <v/>
      </c>
      <c r="G6" s="31" t="str">
        <f>IF($C6="","",IFERROR(IF(INDEX('🎓 Alumnas'!$F$2:$F$1000,MATCH($C6,'🎓 Alumnas'!$B$2:$B$1000,0))="","",INDEX('🎓 Alumnas'!$F$2:$F$1000,MATCH($C6,'🎓 Alumnas'!$B$2:$B$1000,0))),""))</f>
        <v/>
      </c>
      <c r="H6" s="29" t="str">
        <f t="shared" ca="1" si="0"/>
        <v/>
      </c>
      <c r="I6" s="26" t="s">
        <v>429</v>
      </c>
      <c r="J6" s="29" t="str">
        <f t="shared" si="1"/>
        <v>Paquete</v>
      </c>
      <c r="K6" s="26" t="s">
        <v>430</v>
      </c>
      <c r="L6" s="26">
        <v>1</v>
      </c>
      <c r="M6" s="35">
        <v>480000</v>
      </c>
      <c r="N6" s="30">
        <f t="shared" si="2"/>
        <v>480000</v>
      </c>
      <c r="O6" s="36">
        <v>1</v>
      </c>
      <c r="P6" s="26" t="s">
        <v>32</v>
      </c>
      <c r="Q6" s="26"/>
      <c r="R6" s="29" t="str">
        <f>IF(C6="","",IF(COUNTIF($C$2:C6,C6)=1,"Nueva","Recurrente"))</f>
        <v>Nueva</v>
      </c>
      <c r="S6" s="29">
        <f>IF(OR(C6="",J6&lt;&gt;"Paquete"),"",COUNTIFS($C$2:C6,C6,$J$2:J6,"Paquete"))</f>
        <v>1</v>
      </c>
      <c r="T6" s="26"/>
    </row>
    <row r="7" spans="1:20" x14ac:dyDescent="0.35">
      <c r="A7" s="26" t="s">
        <v>433</v>
      </c>
      <c r="B7" s="28">
        <v>46267</v>
      </c>
      <c r="C7" s="26" t="s">
        <v>93</v>
      </c>
      <c r="D7" s="34">
        <f>IF($C7="","",IFERROR(IF(INDEX('🎓 Alumnas'!$C$2:$C$1000,MATCH($C7,'🎓 Alumnas'!$B$2:$B$1000,0))="","",INDEX('🎓 Alumnas'!$C$2:$C$1000,MATCH($C7,'🎓 Alumnas'!$B$2:$B$1000,0))),""))</f>
        <v>3185937737</v>
      </c>
      <c r="E7" s="29" t="str">
        <f>IF($C7="","",IFERROR(IF(INDEX('🎓 Alumnas'!$D$2:$D$1000,MATCH($C7,'🎓 Alumnas'!$B$2:$B$1000,0))="","",INDEX('🎓 Alumnas'!$D$2:$D$1000,MATCH($C7,'🎓 Alumnas'!$B$2:$B$1000,0))),""))</f>
        <v/>
      </c>
      <c r="F7" s="29" t="str">
        <f>IF($C7="","",IFERROR(IF(INDEX('🎓 Alumnas'!$E$2:$E$1000,MATCH($C7,'🎓 Alumnas'!$B$2:$B$1000,0))="","",INDEX('🎓 Alumnas'!$E$2:$E$1000,MATCH($C7,'🎓 Alumnas'!$B$2:$B$1000,0))),""))</f>
        <v/>
      </c>
      <c r="G7" s="31" t="str">
        <f>IF($C7="","",IFERROR(IF(INDEX('🎓 Alumnas'!$F$2:$F$1000,MATCH($C7,'🎓 Alumnas'!$B$2:$B$1000,0))="","",INDEX('🎓 Alumnas'!$F$2:$F$1000,MATCH($C7,'🎓 Alumnas'!$B$2:$B$1000,0))),""))</f>
        <v/>
      </c>
      <c r="H7" s="29" t="str">
        <f t="shared" ca="1" si="0"/>
        <v/>
      </c>
      <c r="I7" s="26" t="s">
        <v>434</v>
      </c>
      <c r="J7" s="29" t="str">
        <f t="shared" si="1"/>
        <v>Alquiler</v>
      </c>
      <c r="K7" s="26"/>
      <c r="L7" s="26">
        <v>1</v>
      </c>
      <c r="M7" s="35">
        <v>22000</v>
      </c>
      <c r="N7" s="30">
        <f t="shared" si="2"/>
        <v>22000</v>
      </c>
      <c r="O7" s="36">
        <v>1</v>
      </c>
      <c r="P7" s="26" t="s">
        <v>26</v>
      </c>
      <c r="Q7" s="26"/>
      <c r="R7" s="29" t="str">
        <f>IF(C7="","",IF(COUNTIF($C$2:C7,C7)=1,"Nueva","Recurrente"))</f>
        <v>Nueva</v>
      </c>
      <c r="S7" s="29" t="str">
        <f>IF(OR(C7="",J7&lt;&gt;"Paquete"),"",COUNTIFS($C$2:C7,C7,$J$2:J7,"Paquete"))</f>
        <v/>
      </c>
      <c r="T7" s="26"/>
    </row>
    <row r="8" spans="1:20" x14ac:dyDescent="0.35">
      <c r="A8" s="26" t="s">
        <v>435</v>
      </c>
      <c r="B8" s="28">
        <v>46267</v>
      </c>
      <c r="C8" s="26" t="s">
        <v>95</v>
      </c>
      <c r="D8" s="34" t="str">
        <f>IF($C8="","",IFERROR(IF(INDEX('🎓 Alumnas'!$C$2:$C$1000,MATCH($C8,'🎓 Alumnas'!$B$2:$B$1000,0))="","",INDEX('🎓 Alumnas'!$C$2:$C$1000,MATCH($C8,'🎓 Alumnas'!$B$2:$B$1000,0))),""))</f>
        <v/>
      </c>
      <c r="E8" s="29" t="str">
        <f>IF($C8="","",IFERROR(IF(INDEX('🎓 Alumnas'!$D$2:$D$1000,MATCH($C8,'🎓 Alumnas'!$B$2:$B$1000,0))="","",INDEX('🎓 Alumnas'!$D$2:$D$1000,MATCH($C8,'🎓 Alumnas'!$B$2:$B$1000,0))),""))</f>
        <v/>
      </c>
      <c r="F8" s="29" t="str">
        <f>IF($C8="","",IFERROR(IF(INDEX('🎓 Alumnas'!$E$2:$E$1000,MATCH($C8,'🎓 Alumnas'!$B$2:$B$1000,0))="","",INDEX('🎓 Alumnas'!$E$2:$E$1000,MATCH($C8,'🎓 Alumnas'!$B$2:$B$1000,0))),""))</f>
        <v/>
      </c>
      <c r="G8" s="31" t="str">
        <f>IF($C8="","",IFERROR(IF(INDEX('🎓 Alumnas'!$F$2:$F$1000,MATCH($C8,'🎓 Alumnas'!$B$2:$B$1000,0))="","",INDEX('🎓 Alumnas'!$F$2:$F$1000,MATCH($C8,'🎓 Alumnas'!$B$2:$B$1000,0))),""))</f>
        <v/>
      </c>
      <c r="H8" s="29" t="str">
        <f t="shared" ca="1" si="0"/>
        <v/>
      </c>
      <c r="I8" s="26" t="s">
        <v>429</v>
      </c>
      <c r="J8" s="29" t="str">
        <f t="shared" si="1"/>
        <v>Paquete</v>
      </c>
      <c r="K8" s="26" t="s">
        <v>430</v>
      </c>
      <c r="L8" s="26">
        <v>1</v>
      </c>
      <c r="M8" s="35">
        <v>240000</v>
      </c>
      <c r="N8" s="30">
        <f t="shared" si="2"/>
        <v>240000</v>
      </c>
      <c r="O8" s="36">
        <v>0.5</v>
      </c>
      <c r="P8" s="26" t="s">
        <v>32</v>
      </c>
      <c r="Q8" s="26"/>
      <c r="R8" s="29" t="str">
        <f>IF(C8="","",IF(COUNTIF($C$2:C8,C8)=1,"Nueva","Recurrente"))</f>
        <v>Nueva</v>
      </c>
      <c r="S8" s="29">
        <f>IF(OR(C8="",J8&lt;&gt;"Paquete"),"",COUNTIFS($C$2:C8,C8,$J$2:J8,"Paquete"))</f>
        <v>1</v>
      </c>
      <c r="T8" s="26"/>
    </row>
    <row r="9" spans="1:20" x14ac:dyDescent="0.35">
      <c r="A9" s="26" t="s">
        <v>436</v>
      </c>
      <c r="B9" s="28">
        <v>46267</v>
      </c>
      <c r="C9" s="26" t="s">
        <v>97</v>
      </c>
      <c r="D9" s="34">
        <f>IF($C9="","",IFERROR(IF(INDEX('🎓 Alumnas'!$C$2:$C$1000,MATCH($C9,'🎓 Alumnas'!$B$2:$B$1000,0))="","",INDEX('🎓 Alumnas'!$C$2:$C$1000,MATCH($C9,'🎓 Alumnas'!$B$2:$B$1000,0))),""))</f>
        <v>3115269836</v>
      </c>
      <c r="E9" s="29" t="str">
        <f>IF($C9="","",IFERROR(IF(INDEX('🎓 Alumnas'!$D$2:$D$1000,MATCH($C9,'🎓 Alumnas'!$B$2:$B$1000,0))="","",INDEX('🎓 Alumnas'!$D$2:$D$1000,MATCH($C9,'🎓 Alumnas'!$B$2:$B$1000,0))),""))</f>
        <v/>
      </c>
      <c r="F9" s="29" t="str">
        <f>IF($C9="","",IFERROR(IF(INDEX('🎓 Alumnas'!$E$2:$E$1000,MATCH($C9,'🎓 Alumnas'!$B$2:$B$1000,0))="","",INDEX('🎓 Alumnas'!$E$2:$E$1000,MATCH($C9,'🎓 Alumnas'!$B$2:$B$1000,0))),""))</f>
        <v/>
      </c>
      <c r="G9" s="31" t="str">
        <f>IF($C9="","",IFERROR(IF(INDEX('🎓 Alumnas'!$F$2:$F$1000,MATCH($C9,'🎓 Alumnas'!$B$2:$B$1000,0))="","",INDEX('🎓 Alumnas'!$F$2:$F$1000,MATCH($C9,'🎓 Alumnas'!$B$2:$B$1000,0))),""))</f>
        <v/>
      </c>
      <c r="H9" s="29" t="str">
        <f t="shared" ca="1" si="0"/>
        <v/>
      </c>
      <c r="I9" s="26" t="s">
        <v>429</v>
      </c>
      <c r="J9" s="29" t="str">
        <f t="shared" si="1"/>
        <v>Paquete</v>
      </c>
      <c r="K9" s="26" t="s">
        <v>430</v>
      </c>
      <c r="L9" s="26">
        <v>1</v>
      </c>
      <c r="M9" s="35">
        <v>240000</v>
      </c>
      <c r="N9" s="30">
        <f t="shared" si="2"/>
        <v>240000</v>
      </c>
      <c r="O9" s="36">
        <v>0.5</v>
      </c>
      <c r="P9" s="26" t="s">
        <v>26</v>
      </c>
      <c r="Q9" s="26"/>
      <c r="R9" s="29" t="str">
        <f>IF(C9="","",IF(COUNTIF($C$2:C9,C9)=1,"Nueva","Recurrente"))</f>
        <v>Nueva</v>
      </c>
      <c r="S9" s="29">
        <f>IF(OR(C9="",J9&lt;&gt;"Paquete"),"",COUNTIFS($C$2:C9,C9,$J$2:J9,"Paquete"))</f>
        <v>1</v>
      </c>
      <c r="T9" s="26"/>
    </row>
    <row r="10" spans="1:20" x14ac:dyDescent="0.35">
      <c r="A10" s="26" t="s">
        <v>437</v>
      </c>
      <c r="B10" s="28">
        <v>46267</v>
      </c>
      <c r="C10" s="26" t="s">
        <v>99</v>
      </c>
      <c r="D10" s="34" t="str">
        <f>IF($C10="","",IFERROR(IF(INDEX('🎓 Alumnas'!$C$2:$C$1000,MATCH($C10,'🎓 Alumnas'!$B$2:$B$1000,0))="","",INDEX('🎓 Alumnas'!$C$2:$C$1000,MATCH($C10,'🎓 Alumnas'!$B$2:$B$1000,0))),""))</f>
        <v/>
      </c>
      <c r="E10" s="29" t="str">
        <f>IF($C10="","",IFERROR(IF(INDEX('🎓 Alumnas'!$D$2:$D$1000,MATCH($C10,'🎓 Alumnas'!$B$2:$B$1000,0))="","",INDEX('🎓 Alumnas'!$D$2:$D$1000,MATCH($C10,'🎓 Alumnas'!$B$2:$B$1000,0))),""))</f>
        <v/>
      </c>
      <c r="F10" s="29" t="str">
        <f>IF($C10="","",IFERROR(IF(INDEX('🎓 Alumnas'!$E$2:$E$1000,MATCH($C10,'🎓 Alumnas'!$B$2:$B$1000,0))="","",INDEX('🎓 Alumnas'!$E$2:$E$1000,MATCH($C10,'🎓 Alumnas'!$B$2:$B$1000,0))),""))</f>
        <v/>
      </c>
      <c r="G10" s="31" t="str">
        <f>IF($C10="","",IFERROR(IF(INDEX('🎓 Alumnas'!$F$2:$F$1000,MATCH($C10,'🎓 Alumnas'!$B$2:$B$1000,0))="","",INDEX('🎓 Alumnas'!$F$2:$F$1000,MATCH($C10,'🎓 Alumnas'!$B$2:$B$1000,0))),""))</f>
        <v/>
      </c>
      <c r="H10" s="29" t="str">
        <f t="shared" ca="1" si="0"/>
        <v/>
      </c>
      <c r="I10" s="26" t="s">
        <v>429</v>
      </c>
      <c r="J10" s="29" t="str">
        <f t="shared" si="1"/>
        <v>Paquete</v>
      </c>
      <c r="K10" s="26" t="s">
        <v>430</v>
      </c>
      <c r="L10" s="26">
        <v>1</v>
      </c>
      <c r="M10" s="35">
        <v>240000</v>
      </c>
      <c r="N10" s="30">
        <f t="shared" si="2"/>
        <v>240000</v>
      </c>
      <c r="O10" s="36">
        <v>0.5</v>
      </c>
      <c r="P10" s="26" t="s">
        <v>32</v>
      </c>
      <c r="Q10" s="26"/>
      <c r="R10" s="29" t="str">
        <f>IF(C10="","",IF(COUNTIF($C$2:C10,C10)=1,"Nueva","Recurrente"))</f>
        <v>Nueva</v>
      </c>
      <c r="S10" s="29">
        <f>IF(OR(C10="",J10&lt;&gt;"Paquete"),"",COUNTIFS($C$2:C10,C10,$J$2:J10,"Paquete"))</f>
        <v>1</v>
      </c>
      <c r="T10" s="26"/>
    </row>
    <row r="11" spans="1:20" x14ac:dyDescent="0.35">
      <c r="A11" s="26" t="s">
        <v>438</v>
      </c>
      <c r="B11" s="28">
        <v>46272</v>
      </c>
      <c r="C11" s="26" t="s">
        <v>101</v>
      </c>
      <c r="D11" s="34" t="str">
        <f>IF($C11="","",IFERROR(IF(INDEX('🎓 Alumnas'!$C$2:$C$1000,MATCH($C11,'🎓 Alumnas'!$B$2:$B$1000,0))="","",INDEX('🎓 Alumnas'!$C$2:$C$1000,MATCH($C11,'🎓 Alumnas'!$B$2:$B$1000,0))),""))</f>
        <v/>
      </c>
      <c r="E11" s="29" t="str">
        <f>IF($C11="","",IFERROR(IF(INDEX('🎓 Alumnas'!$D$2:$D$1000,MATCH($C11,'🎓 Alumnas'!$B$2:$B$1000,0))="","",INDEX('🎓 Alumnas'!$D$2:$D$1000,MATCH($C11,'🎓 Alumnas'!$B$2:$B$1000,0))),""))</f>
        <v/>
      </c>
      <c r="F11" s="29" t="str">
        <f>IF($C11="","",IFERROR(IF(INDEX('🎓 Alumnas'!$E$2:$E$1000,MATCH($C11,'🎓 Alumnas'!$B$2:$B$1000,0))="","",INDEX('🎓 Alumnas'!$E$2:$E$1000,MATCH($C11,'🎓 Alumnas'!$B$2:$B$1000,0))),""))</f>
        <v/>
      </c>
      <c r="G11" s="31" t="str">
        <f>IF($C11="","",IFERROR(IF(INDEX('🎓 Alumnas'!$F$2:$F$1000,MATCH($C11,'🎓 Alumnas'!$B$2:$B$1000,0))="","",INDEX('🎓 Alumnas'!$F$2:$F$1000,MATCH($C11,'🎓 Alumnas'!$B$2:$B$1000,0))),""))</f>
        <v/>
      </c>
      <c r="H11" s="29" t="str">
        <f t="shared" ca="1" si="0"/>
        <v/>
      </c>
      <c r="I11" s="26" t="s">
        <v>429</v>
      </c>
      <c r="J11" s="29" t="str">
        <f t="shared" si="1"/>
        <v>Paquete</v>
      </c>
      <c r="K11" s="26" t="s">
        <v>430</v>
      </c>
      <c r="L11" s="26">
        <v>1</v>
      </c>
      <c r="M11" s="35">
        <v>240000</v>
      </c>
      <c r="N11" s="30">
        <f t="shared" si="2"/>
        <v>240000</v>
      </c>
      <c r="O11" s="36">
        <v>0.5</v>
      </c>
      <c r="P11" s="26" t="s">
        <v>32</v>
      </c>
      <c r="Q11" s="26"/>
      <c r="R11" s="29" t="str">
        <f>IF(C11="","",IF(COUNTIF($C$2:C11,C11)=1,"Nueva","Recurrente"))</f>
        <v>Nueva</v>
      </c>
      <c r="S11" s="29">
        <f>IF(OR(C11="",J11&lt;&gt;"Paquete"),"",COUNTIFS($C$2:C11,C11,$J$2:J11,"Paquete"))</f>
        <v>1</v>
      </c>
      <c r="T11" s="26"/>
    </row>
    <row r="12" spans="1:20" x14ac:dyDescent="0.35">
      <c r="A12" s="26" t="s">
        <v>439</v>
      </c>
      <c r="B12" s="28">
        <v>46272</v>
      </c>
      <c r="C12" s="26" t="s">
        <v>103</v>
      </c>
      <c r="D12" s="34" t="str">
        <f>IF($C12="","",IFERROR(IF(INDEX('🎓 Alumnas'!$C$2:$C$1000,MATCH($C12,'🎓 Alumnas'!$B$2:$B$1000,0))="","",INDEX('🎓 Alumnas'!$C$2:$C$1000,MATCH($C12,'🎓 Alumnas'!$B$2:$B$1000,0))),""))</f>
        <v/>
      </c>
      <c r="E12" s="29" t="str">
        <f>IF($C12="","",IFERROR(IF(INDEX('🎓 Alumnas'!$D$2:$D$1000,MATCH($C12,'🎓 Alumnas'!$B$2:$B$1000,0))="","",INDEX('🎓 Alumnas'!$D$2:$D$1000,MATCH($C12,'🎓 Alumnas'!$B$2:$B$1000,0))),""))</f>
        <v/>
      </c>
      <c r="F12" s="29" t="str">
        <f>IF($C12="","",IFERROR(IF(INDEX('🎓 Alumnas'!$E$2:$E$1000,MATCH($C12,'🎓 Alumnas'!$B$2:$B$1000,0))="","",INDEX('🎓 Alumnas'!$E$2:$E$1000,MATCH($C12,'🎓 Alumnas'!$B$2:$B$1000,0))),""))</f>
        <v/>
      </c>
      <c r="G12" s="31" t="str">
        <f>IF($C12="","",IFERROR(IF(INDEX('🎓 Alumnas'!$F$2:$F$1000,MATCH($C12,'🎓 Alumnas'!$B$2:$B$1000,0))="","",INDEX('🎓 Alumnas'!$F$2:$F$1000,MATCH($C12,'🎓 Alumnas'!$B$2:$B$1000,0))),""))</f>
        <v/>
      </c>
      <c r="H12" s="29" t="str">
        <f t="shared" ca="1" si="0"/>
        <v/>
      </c>
      <c r="I12" s="26" t="s">
        <v>429</v>
      </c>
      <c r="J12" s="29" t="str">
        <f t="shared" si="1"/>
        <v>Paquete</v>
      </c>
      <c r="K12" s="26" t="s">
        <v>430</v>
      </c>
      <c r="L12" s="26">
        <v>1</v>
      </c>
      <c r="M12" s="35">
        <v>240000</v>
      </c>
      <c r="N12" s="30">
        <f t="shared" si="2"/>
        <v>240000</v>
      </c>
      <c r="O12" s="36">
        <v>0.5</v>
      </c>
      <c r="P12" s="26" t="s">
        <v>32</v>
      </c>
      <c r="Q12" s="26"/>
      <c r="R12" s="29" t="str">
        <f>IF(C12="","",IF(COUNTIF($C$2:C12,C12)=1,"Nueva","Recurrente"))</f>
        <v>Nueva</v>
      </c>
      <c r="S12" s="29">
        <f>IF(OR(C12="",J12&lt;&gt;"Paquete"),"",COUNTIFS($C$2:C12,C12,$J$2:J12,"Paquete"))</f>
        <v>1</v>
      </c>
      <c r="T12" s="26"/>
    </row>
    <row r="13" spans="1:20" x14ac:dyDescent="0.35">
      <c r="A13" s="26" t="s">
        <v>440</v>
      </c>
      <c r="B13" s="28">
        <v>46274</v>
      </c>
      <c r="C13" s="26" t="s">
        <v>105</v>
      </c>
      <c r="D13" s="34" t="str">
        <f>IF($C13="","",IFERROR(IF(INDEX('🎓 Alumnas'!$C$2:$C$1000,MATCH($C13,'🎓 Alumnas'!$B$2:$B$1000,0))="","",INDEX('🎓 Alumnas'!$C$2:$C$1000,MATCH($C13,'🎓 Alumnas'!$B$2:$B$1000,0))),""))</f>
        <v/>
      </c>
      <c r="E13" s="29" t="str">
        <f>IF($C13="","",IFERROR(IF(INDEX('🎓 Alumnas'!$D$2:$D$1000,MATCH($C13,'🎓 Alumnas'!$B$2:$B$1000,0))="","",INDEX('🎓 Alumnas'!$D$2:$D$1000,MATCH($C13,'🎓 Alumnas'!$B$2:$B$1000,0))),""))</f>
        <v/>
      </c>
      <c r="F13" s="29" t="str">
        <f>IF($C13="","",IFERROR(IF(INDEX('🎓 Alumnas'!$E$2:$E$1000,MATCH($C13,'🎓 Alumnas'!$B$2:$B$1000,0))="","",INDEX('🎓 Alumnas'!$E$2:$E$1000,MATCH($C13,'🎓 Alumnas'!$B$2:$B$1000,0))),""))</f>
        <v/>
      </c>
      <c r="G13" s="31" t="str">
        <f>IF($C13="","",IFERROR(IF(INDEX('🎓 Alumnas'!$F$2:$F$1000,MATCH($C13,'🎓 Alumnas'!$B$2:$B$1000,0))="","",INDEX('🎓 Alumnas'!$F$2:$F$1000,MATCH($C13,'🎓 Alumnas'!$B$2:$B$1000,0))),""))</f>
        <v/>
      </c>
      <c r="H13" s="29" t="str">
        <f t="shared" ca="1" si="0"/>
        <v/>
      </c>
      <c r="I13" s="26" t="s">
        <v>434</v>
      </c>
      <c r="J13" s="29" t="str">
        <f t="shared" si="1"/>
        <v>Alquiler</v>
      </c>
      <c r="K13" s="26"/>
      <c r="L13" s="26">
        <v>1</v>
      </c>
      <c r="M13" s="35">
        <v>22000</v>
      </c>
      <c r="N13" s="30">
        <f t="shared" si="2"/>
        <v>22000</v>
      </c>
      <c r="O13" s="36">
        <v>1</v>
      </c>
      <c r="P13" s="26" t="s">
        <v>32</v>
      </c>
      <c r="Q13" s="26"/>
      <c r="R13" s="29" t="str">
        <f>IF(C13="","",IF(COUNTIF($C$2:C13,C13)=1,"Nueva","Recurrente"))</f>
        <v>Nueva</v>
      </c>
      <c r="S13" s="29" t="str">
        <f>IF(OR(C13="",J13&lt;&gt;"Paquete"),"",COUNTIFS($C$2:C13,C13,$J$2:J13,"Paquete"))</f>
        <v/>
      </c>
      <c r="T13" s="26"/>
    </row>
    <row r="14" spans="1:20" x14ac:dyDescent="0.35">
      <c r="A14" s="26" t="s">
        <v>441</v>
      </c>
      <c r="B14" s="28">
        <v>46274</v>
      </c>
      <c r="C14" s="26" t="s">
        <v>107</v>
      </c>
      <c r="D14" s="34" t="str">
        <f>IF($C14="","",IFERROR(IF(INDEX('🎓 Alumnas'!$C$2:$C$1000,MATCH($C14,'🎓 Alumnas'!$B$2:$B$1000,0))="","",INDEX('🎓 Alumnas'!$C$2:$C$1000,MATCH($C14,'🎓 Alumnas'!$B$2:$B$1000,0))),""))</f>
        <v/>
      </c>
      <c r="E14" s="29" t="str">
        <f>IF($C14="","",IFERROR(IF(INDEX('🎓 Alumnas'!$D$2:$D$1000,MATCH($C14,'🎓 Alumnas'!$B$2:$B$1000,0))="","",INDEX('🎓 Alumnas'!$D$2:$D$1000,MATCH($C14,'🎓 Alumnas'!$B$2:$B$1000,0))),""))</f>
        <v/>
      </c>
      <c r="F14" s="29" t="str">
        <f>IF($C14="","",IFERROR(IF(INDEX('🎓 Alumnas'!$E$2:$E$1000,MATCH($C14,'🎓 Alumnas'!$B$2:$B$1000,0))="","",INDEX('🎓 Alumnas'!$E$2:$E$1000,MATCH($C14,'🎓 Alumnas'!$B$2:$B$1000,0))),""))</f>
        <v/>
      </c>
      <c r="G14" s="31" t="str">
        <f>IF($C14="","",IFERROR(IF(INDEX('🎓 Alumnas'!$F$2:$F$1000,MATCH($C14,'🎓 Alumnas'!$B$2:$B$1000,0))="","",INDEX('🎓 Alumnas'!$F$2:$F$1000,MATCH($C14,'🎓 Alumnas'!$B$2:$B$1000,0))),""))</f>
        <v/>
      </c>
      <c r="H14" s="29" t="str">
        <f t="shared" ca="1" si="0"/>
        <v/>
      </c>
      <c r="I14" s="26" t="s">
        <v>434</v>
      </c>
      <c r="J14" s="29" t="str">
        <f t="shared" si="1"/>
        <v>Alquiler</v>
      </c>
      <c r="K14" s="26"/>
      <c r="L14" s="26">
        <v>1</v>
      </c>
      <c r="M14" s="35">
        <v>22000</v>
      </c>
      <c r="N14" s="30">
        <f t="shared" si="2"/>
        <v>22000</v>
      </c>
      <c r="O14" s="36">
        <v>1</v>
      </c>
      <c r="P14" s="26" t="s">
        <v>32</v>
      </c>
      <c r="Q14" s="26"/>
      <c r="R14" s="29" t="str">
        <f>IF(C14="","",IF(COUNTIF($C$2:C14,C14)=1,"Nueva","Recurrente"))</f>
        <v>Nueva</v>
      </c>
      <c r="S14" s="29" t="str">
        <f>IF(OR(C14="",J14&lt;&gt;"Paquete"),"",COUNTIFS($C$2:C14,C14,$J$2:J14,"Paquete"))</f>
        <v/>
      </c>
      <c r="T14" s="26"/>
    </row>
    <row r="15" spans="1:20" x14ac:dyDescent="0.35">
      <c r="A15" s="26" t="s">
        <v>442</v>
      </c>
      <c r="B15" s="28">
        <v>46276</v>
      </c>
      <c r="C15" s="26" t="s">
        <v>109</v>
      </c>
      <c r="D15" s="34" t="str">
        <f>IF($C15="","",IFERROR(IF(INDEX('🎓 Alumnas'!$C$2:$C$1000,MATCH($C15,'🎓 Alumnas'!$B$2:$B$1000,0))="","",INDEX('🎓 Alumnas'!$C$2:$C$1000,MATCH($C15,'🎓 Alumnas'!$B$2:$B$1000,0))),""))</f>
        <v/>
      </c>
      <c r="E15" s="29" t="str">
        <f>IF($C15="","",IFERROR(IF(INDEX('🎓 Alumnas'!$D$2:$D$1000,MATCH($C15,'🎓 Alumnas'!$B$2:$B$1000,0))="","",INDEX('🎓 Alumnas'!$D$2:$D$1000,MATCH($C15,'🎓 Alumnas'!$B$2:$B$1000,0))),""))</f>
        <v/>
      </c>
      <c r="F15" s="29" t="str">
        <f>IF($C15="","",IFERROR(IF(INDEX('🎓 Alumnas'!$E$2:$E$1000,MATCH($C15,'🎓 Alumnas'!$B$2:$B$1000,0))="","",INDEX('🎓 Alumnas'!$E$2:$E$1000,MATCH($C15,'🎓 Alumnas'!$B$2:$B$1000,0))),""))</f>
        <v/>
      </c>
      <c r="G15" s="31" t="str">
        <f>IF($C15="","",IFERROR(IF(INDEX('🎓 Alumnas'!$F$2:$F$1000,MATCH($C15,'🎓 Alumnas'!$B$2:$B$1000,0))="","",INDEX('🎓 Alumnas'!$F$2:$F$1000,MATCH($C15,'🎓 Alumnas'!$B$2:$B$1000,0))),""))</f>
        <v/>
      </c>
      <c r="H15" s="29" t="str">
        <f t="shared" ca="1" si="0"/>
        <v/>
      </c>
      <c r="I15" s="26" t="s">
        <v>426</v>
      </c>
      <c r="J15" s="29" t="str">
        <f t="shared" si="1"/>
        <v>Paquete</v>
      </c>
      <c r="K15" s="26"/>
      <c r="L15" s="26">
        <v>1</v>
      </c>
      <c r="M15" s="35">
        <v>350000</v>
      </c>
      <c r="N15" s="30">
        <f t="shared" si="2"/>
        <v>350000</v>
      </c>
      <c r="O15" s="36">
        <v>1</v>
      </c>
      <c r="P15" s="26" t="s">
        <v>32</v>
      </c>
      <c r="Q15" s="26"/>
      <c r="R15" s="29" t="str">
        <f>IF(C15="","",IF(COUNTIF($C$2:C15,C15)=1,"Nueva","Recurrente"))</f>
        <v>Nueva</v>
      </c>
      <c r="S15" s="29">
        <f>IF(OR(C15="",J15&lt;&gt;"Paquete"),"",COUNTIFS($C$2:C15,C15,$J$2:J15,"Paquete"))</f>
        <v>1</v>
      </c>
      <c r="T15" s="26"/>
    </row>
    <row r="16" spans="1:20" x14ac:dyDescent="0.35">
      <c r="A16" s="26" t="s">
        <v>443</v>
      </c>
      <c r="B16" s="28">
        <v>46280</v>
      </c>
      <c r="C16" s="26" t="s">
        <v>111</v>
      </c>
      <c r="D16" s="34" t="str">
        <f>IF($C16="","",IFERROR(IF(INDEX('🎓 Alumnas'!$C$2:$C$1000,MATCH($C16,'🎓 Alumnas'!$B$2:$B$1000,0))="","",INDEX('🎓 Alumnas'!$C$2:$C$1000,MATCH($C16,'🎓 Alumnas'!$B$2:$B$1000,0))),""))</f>
        <v/>
      </c>
      <c r="E16" s="29" t="str">
        <f>IF($C16="","",IFERROR(IF(INDEX('🎓 Alumnas'!$D$2:$D$1000,MATCH($C16,'🎓 Alumnas'!$B$2:$B$1000,0))="","",INDEX('🎓 Alumnas'!$D$2:$D$1000,MATCH($C16,'🎓 Alumnas'!$B$2:$B$1000,0))),""))</f>
        <v/>
      </c>
      <c r="F16" s="29" t="str">
        <f>IF($C16="","",IFERROR(IF(INDEX('🎓 Alumnas'!$E$2:$E$1000,MATCH($C16,'🎓 Alumnas'!$B$2:$B$1000,0))="","",INDEX('🎓 Alumnas'!$E$2:$E$1000,MATCH($C16,'🎓 Alumnas'!$B$2:$B$1000,0))),""))</f>
        <v/>
      </c>
      <c r="G16" s="31" t="str">
        <f>IF($C16="","",IFERROR(IF(INDEX('🎓 Alumnas'!$F$2:$F$1000,MATCH($C16,'🎓 Alumnas'!$B$2:$B$1000,0))="","",INDEX('🎓 Alumnas'!$F$2:$F$1000,MATCH($C16,'🎓 Alumnas'!$B$2:$B$1000,0))),""))</f>
        <v/>
      </c>
      <c r="H16" s="29" t="str">
        <f t="shared" ca="1" si="0"/>
        <v/>
      </c>
      <c r="I16" s="26" t="s">
        <v>434</v>
      </c>
      <c r="J16" s="29" t="str">
        <f t="shared" si="1"/>
        <v>Alquiler</v>
      </c>
      <c r="K16" s="26"/>
      <c r="L16" s="26">
        <v>2</v>
      </c>
      <c r="M16" s="35">
        <v>22000</v>
      </c>
      <c r="N16" s="30">
        <f t="shared" si="2"/>
        <v>44000</v>
      </c>
      <c r="O16" s="36">
        <v>1</v>
      </c>
      <c r="P16" s="26" t="s">
        <v>32</v>
      </c>
      <c r="Q16" s="26"/>
      <c r="R16" s="29" t="str">
        <f>IF(C16="","",IF(COUNTIF($C$2:C16,C16)=1,"Nueva","Recurrente"))</f>
        <v>Nueva</v>
      </c>
      <c r="S16" s="29" t="str">
        <f>IF(OR(C16="",J16&lt;&gt;"Paquete"),"",COUNTIFS($C$2:C16,C16,$J$2:J16,"Paquete"))</f>
        <v/>
      </c>
      <c r="T16" s="26"/>
    </row>
    <row r="17" spans="1:20" x14ac:dyDescent="0.35">
      <c r="A17" s="26" t="s">
        <v>444</v>
      </c>
      <c r="B17" s="28">
        <v>46281</v>
      </c>
      <c r="C17" s="26" t="s">
        <v>105</v>
      </c>
      <c r="D17" s="34" t="str">
        <f>IF($C17="","",IFERROR(IF(INDEX('🎓 Alumnas'!$C$2:$C$1000,MATCH($C17,'🎓 Alumnas'!$B$2:$B$1000,0))="","",INDEX('🎓 Alumnas'!$C$2:$C$1000,MATCH($C17,'🎓 Alumnas'!$B$2:$B$1000,0))),""))</f>
        <v/>
      </c>
      <c r="E17" s="29" t="str">
        <f>IF($C17="","",IFERROR(IF(INDEX('🎓 Alumnas'!$D$2:$D$1000,MATCH($C17,'🎓 Alumnas'!$B$2:$B$1000,0))="","",INDEX('🎓 Alumnas'!$D$2:$D$1000,MATCH($C17,'🎓 Alumnas'!$B$2:$B$1000,0))),""))</f>
        <v/>
      </c>
      <c r="F17" s="29" t="str">
        <f>IF($C17="","",IFERROR(IF(INDEX('🎓 Alumnas'!$E$2:$E$1000,MATCH($C17,'🎓 Alumnas'!$B$2:$B$1000,0))="","",INDEX('🎓 Alumnas'!$E$2:$E$1000,MATCH($C17,'🎓 Alumnas'!$B$2:$B$1000,0))),""))</f>
        <v/>
      </c>
      <c r="G17" s="31" t="str">
        <f>IF($C17="","",IFERROR(IF(INDEX('🎓 Alumnas'!$F$2:$F$1000,MATCH($C17,'🎓 Alumnas'!$B$2:$B$1000,0))="","",INDEX('🎓 Alumnas'!$F$2:$F$1000,MATCH($C17,'🎓 Alumnas'!$B$2:$B$1000,0))),""))</f>
        <v/>
      </c>
      <c r="H17" s="29" t="str">
        <f t="shared" ca="1" si="0"/>
        <v/>
      </c>
      <c r="I17" s="26" t="s">
        <v>434</v>
      </c>
      <c r="J17" s="29" t="str">
        <f t="shared" si="1"/>
        <v>Alquiler</v>
      </c>
      <c r="K17" s="26"/>
      <c r="L17" s="26">
        <v>1</v>
      </c>
      <c r="M17" s="35">
        <v>22000</v>
      </c>
      <c r="N17" s="30">
        <f t="shared" si="2"/>
        <v>22000</v>
      </c>
      <c r="O17" s="36">
        <v>1</v>
      </c>
      <c r="P17" s="26" t="s">
        <v>32</v>
      </c>
      <c r="Q17" s="26"/>
      <c r="R17" s="29" t="str">
        <f>IF(C17="","",IF(COUNTIF($C$2:C17,C17)=1,"Nueva","Recurrente"))</f>
        <v>Recurrente</v>
      </c>
      <c r="S17" s="29" t="str">
        <f>IF(OR(C17="",J17&lt;&gt;"Paquete"),"",COUNTIFS($C$2:C17,C17,$J$2:J17,"Paquete"))</f>
        <v/>
      </c>
      <c r="T17" s="26"/>
    </row>
    <row r="18" spans="1:20" x14ac:dyDescent="0.35">
      <c r="A18" s="26" t="s">
        <v>445</v>
      </c>
      <c r="B18" s="28">
        <v>46281</v>
      </c>
      <c r="C18" s="26" t="s">
        <v>113</v>
      </c>
      <c r="D18" s="34">
        <f>IF($C18="","",IFERROR(IF(INDEX('🎓 Alumnas'!$C$2:$C$1000,MATCH($C18,'🎓 Alumnas'!$B$2:$B$1000,0))="","",INDEX('🎓 Alumnas'!$C$2:$C$1000,MATCH($C18,'🎓 Alumnas'!$B$2:$B$1000,0))),""))</f>
        <v>3204479014</v>
      </c>
      <c r="E18" s="29" t="str">
        <f>IF($C18="","",IFERROR(IF(INDEX('🎓 Alumnas'!$D$2:$D$1000,MATCH($C18,'🎓 Alumnas'!$B$2:$B$1000,0))="","",INDEX('🎓 Alumnas'!$D$2:$D$1000,MATCH($C18,'🎓 Alumnas'!$B$2:$B$1000,0))),""))</f>
        <v/>
      </c>
      <c r="F18" s="29" t="str">
        <f>IF($C18="","",IFERROR(IF(INDEX('🎓 Alumnas'!$E$2:$E$1000,MATCH($C18,'🎓 Alumnas'!$B$2:$B$1000,0))="","",INDEX('🎓 Alumnas'!$E$2:$E$1000,MATCH($C18,'🎓 Alumnas'!$B$2:$B$1000,0))),""))</f>
        <v/>
      </c>
      <c r="G18" s="31" t="str">
        <f>IF($C18="","",IFERROR(IF(INDEX('🎓 Alumnas'!$F$2:$F$1000,MATCH($C18,'🎓 Alumnas'!$B$2:$B$1000,0))="","",INDEX('🎓 Alumnas'!$F$2:$F$1000,MATCH($C18,'🎓 Alumnas'!$B$2:$B$1000,0))),""))</f>
        <v/>
      </c>
      <c r="H18" s="29" t="str">
        <f t="shared" ca="1" si="0"/>
        <v/>
      </c>
      <c r="I18" s="26" t="s">
        <v>429</v>
      </c>
      <c r="J18" s="29" t="str">
        <f t="shared" si="1"/>
        <v>Paquete</v>
      </c>
      <c r="K18" s="26"/>
      <c r="L18" s="26">
        <v>1</v>
      </c>
      <c r="M18" s="35">
        <v>480000</v>
      </c>
      <c r="N18" s="30">
        <f t="shared" si="2"/>
        <v>480000</v>
      </c>
      <c r="O18" s="36">
        <v>1</v>
      </c>
      <c r="P18" s="26" t="s">
        <v>26</v>
      </c>
      <c r="Q18" s="26"/>
      <c r="R18" s="29" t="str">
        <f>IF(C18="","",IF(COUNTIF($C$2:C18,C18)=1,"Nueva","Recurrente"))</f>
        <v>Nueva</v>
      </c>
      <c r="S18" s="29">
        <f>IF(OR(C18="",J18&lt;&gt;"Paquete"),"",COUNTIFS($C$2:C18,C18,$J$2:J18,"Paquete"))</f>
        <v>1</v>
      </c>
      <c r="T18" s="26"/>
    </row>
    <row r="19" spans="1:20" x14ac:dyDescent="0.35">
      <c r="A19" s="26" t="s">
        <v>446</v>
      </c>
      <c r="B19" s="28">
        <v>46283</v>
      </c>
      <c r="C19" s="26" t="s">
        <v>115</v>
      </c>
      <c r="D19" s="34">
        <f>IF($C19="","",IFERROR(IF(INDEX('🎓 Alumnas'!$C$2:$C$1000,MATCH($C19,'🎓 Alumnas'!$B$2:$B$1000,0))="","",INDEX('🎓 Alumnas'!$C$2:$C$1000,MATCH($C19,'🎓 Alumnas'!$B$2:$B$1000,0))),""))</f>
        <v>3114401669</v>
      </c>
      <c r="E19" s="29" t="str">
        <f>IF($C19="","",IFERROR(IF(INDEX('🎓 Alumnas'!$D$2:$D$1000,MATCH($C19,'🎓 Alumnas'!$B$2:$B$1000,0))="","",INDEX('🎓 Alumnas'!$D$2:$D$1000,MATCH($C19,'🎓 Alumnas'!$B$2:$B$1000,0))),""))</f>
        <v/>
      </c>
      <c r="F19" s="29" t="str">
        <f>IF($C19="","",IFERROR(IF(INDEX('🎓 Alumnas'!$E$2:$E$1000,MATCH($C19,'🎓 Alumnas'!$B$2:$B$1000,0))="","",INDEX('🎓 Alumnas'!$E$2:$E$1000,MATCH($C19,'🎓 Alumnas'!$B$2:$B$1000,0))),""))</f>
        <v/>
      </c>
      <c r="G19" s="31" t="str">
        <f>IF($C19="","",IFERROR(IF(INDEX('🎓 Alumnas'!$F$2:$F$1000,MATCH($C19,'🎓 Alumnas'!$B$2:$B$1000,0))="","",INDEX('🎓 Alumnas'!$F$2:$F$1000,MATCH($C19,'🎓 Alumnas'!$B$2:$B$1000,0))),""))</f>
        <v/>
      </c>
      <c r="H19" s="29" t="str">
        <f t="shared" ca="1" si="0"/>
        <v/>
      </c>
      <c r="I19" s="26" t="s">
        <v>429</v>
      </c>
      <c r="J19" s="29" t="str">
        <f t="shared" si="1"/>
        <v>Paquete</v>
      </c>
      <c r="K19" s="26" t="s">
        <v>430</v>
      </c>
      <c r="L19" s="26">
        <v>1</v>
      </c>
      <c r="M19" s="35">
        <v>240000</v>
      </c>
      <c r="N19" s="30">
        <f t="shared" si="2"/>
        <v>240000</v>
      </c>
      <c r="O19" s="36">
        <v>0.5</v>
      </c>
      <c r="P19" s="26" t="s">
        <v>26</v>
      </c>
      <c r="Q19" s="26"/>
      <c r="R19" s="29" t="str">
        <f>IF(C19="","",IF(COUNTIF($C$2:C19,C19)=1,"Nueva","Recurrente"))</f>
        <v>Nueva</v>
      </c>
      <c r="S19" s="29">
        <f>IF(OR(C19="",J19&lt;&gt;"Paquete"),"",COUNTIFS($C$2:C19,C19,$J$2:J19,"Paquete"))</f>
        <v>1</v>
      </c>
      <c r="T19" s="26"/>
    </row>
    <row r="20" spans="1:20" x14ac:dyDescent="0.35">
      <c r="A20" s="26" t="s">
        <v>447</v>
      </c>
      <c r="B20" s="28">
        <v>46283</v>
      </c>
      <c r="C20" s="26" t="s">
        <v>93</v>
      </c>
      <c r="D20" s="34">
        <f>IF($C20="","",IFERROR(IF(INDEX('🎓 Alumnas'!$C$2:$C$1000,MATCH($C20,'🎓 Alumnas'!$B$2:$B$1000,0))="","",INDEX('🎓 Alumnas'!$C$2:$C$1000,MATCH($C20,'🎓 Alumnas'!$B$2:$B$1000,0))),""))</f>
        <v>3185937737</v>
      </c>
      <c r="E20" s="29" t="str">
        <f>IF($C20="","",IFERROR(IF(INDEX('🎓 Alumnas'!$D$2:$D$1000,MATCH($C20,'🎓 Alumnas'!$B$2:$B$1000,0))="","",INDEX('🎓 Alumnas'!$D$2:$D$1000,MATCH($C20,'🎓 Alumnas'!$B$2:$B$1000,0))),""))</f>
        <v/>
      </c>
      <c r="F20" s="29" t="str">
        <f>IF($C20="","",IFERROR(IF(INDEX('🎓 Alumnas'!$E$2:$E$1000,MATCH($C20,'🎓 Alumnas'!$B$2:$B$1000,0))="","",INDEX('🎓 Alumnas'!$E$2:$E$1000,MATCH($C20,'🎓 Alumnas'!$B$2:$B$1000,0))),""))</f>
        <v/>
      </c>
      <c r="G20" s="31" t="str">
        <f>IF($C20="","",IFERROR(IF(INDEX('🎓 Alumnas'!$F$2:$F$1000,MATCH($C20,'🎓 Alumnas'!$B$2:$B$1000,0))="","",INDEX('🎓 Alumnas'!$F$2:$F$1000,MATCH($C20,'🎓 Alumnas'!$B$2:$B$1000,0))),""))</f>
        <v/>
      </c>
      <c r="H20" s="29" t="str">
        <f t="shared" ca="1" si="0"/>
        <v/>
      </c>
      <c r="I20" s="26" t="s">
        <v>434</v>
      </c>
      <c r="J20" s="29" t="str">
        <f t="shared" si="1"/>
        <v>Alquiler</v>
      </c>
      <c r="K20" s="26"/>
      <c r="L20" s="26">
        <v>1</v>
      </c>
      <c r="M20" s="35">
        <v>22000</v>
      </c>
      <c r="N20" s="30">
        <f t="shared" si="2"/>
        <v>22000</v>
      </c>
      <c r="O20" s="36">
        <v>1</v>
      </c>
      <c r="P20" s="26" t="s">
        <v>32</v>
      </c>
      <c r="Q20" s="26"/>
      <c r="R20" s="29" t="str">
        <f>IF(C20="","",IF(COUNTIF($C$2:C20,C20)=1,"Nueva","Recurrente"))</f>
        <v>Recurrente</v>
      </c>
      <c r="S20" s="29" t="str">
        <f>IF(OR(C20="",J20&lt;&gt;"Paquete"),"",COUNTIFS($C$2:C20,C20,$J$2:J20,"Paquete"))</f>
        <v/>
      </c>
      <c r="T20" s="26"/>
    </row>
    <row r="21" spans="1:20" x14ac:dyDescent="0.35">
      <c r="A21" s="26" t="s">
        <v>448</v>
      </c>
      <c r="B21" s="28">
        <v>46283</v>
      </c>
      <c r="C21" s="26" t="s">
        <v>117</v>
      </c>
      <c r="D21" s="34">
        <f>IF($C21="","",IFERROR(IF(INDEX('🎓 Alumnas'!$C$2:$C$1000,MATCH($C21,'🎓 Alumnas'!$B$2:$B$1000,0))="","",INDEX('🎓 Alumnas'!$C$2:$C$1000,MATCH($C21,'🎓 Alumnas'!$B$2:$B$1000,0))),""))</f>
        <v>3186650375</v>
      </c>
      <c r="E21" s="29" t="str">
        <f>IF($C21="","",IFERROR(IF(INDEX('🎓 Alumnas'!$D$2:$D$1000,MATCH($C21,'🎓 Alumnas'!$B$2:$B$1000,0))="","",INDEX('🎓 Alumnas'!$D$2:$D$1000,MATCH($C21,'🎓 Alumnas'!$B$2:$B$1000,0))),""))</f>
        <v/>
      </c>
      <c r="F21" s="29" t="str">
        <f>IF($C21="","",IFERROR(IF(INDEX('🎓 Alumnas'!$E$2:$E$1000,MATCH($C21,'🎓 Alumnas'!$B$2:$B$1000,0))="","",INDEX('🎓 Alumnas'!$E$2:$E$1000,MATCH($C21,'🎓 Alumnas'!$B$2:$B$1000,0))),""))</f>
        <v/>
      </c>
      <c r="G21" s="31" t="str">
        <f>IF($C21="","",IFERROR(IF(INDEX('🎓 Alumnas'!$F$2:$F$1000,MATCH($C21,'🎓 Alumnas'!$B$2:$B$1000,0))="","",INDEX('🎓 Alumnas'!$F$2:$F$1000,MATCH($C21,'🎓 Alumnas'!$B$2:$B$1000,0))),""))</f>
        <v/>
      </c>
      <c r="H21" s="29" t="str">
        <f t="shared" ca="1" si="0"/>
        <v/>
      </c>
      <c r="I21" s="26" t="s">
        <v>449</v>
      </c>
      <c r="J21" s="29" t="str">
        <f t="shared" si="1"/>
        <v>Clase suelta</v>
      </c>
      <c r="K21" s="26"/>
      <c r="L21" s="26">
        <v>1</v>
      </c>
      <c r="M21" s="35">
        <v>50000</v>
      </c>
      <c r="N21" s="30">
        <f t="shared" si="2"/>
        <v>50000</v>
      </c>
      <c r="O21" s="36">
        <v>1</v>
      </c>
      <c r="P21" s="26" t="s">
        <v>26</v>
      </c>
      <c r="Q21" s="26"/>
      <c r="R21" s="29" t="str">
        <f>IF(C21="","",IF(COUNTIF($C$2:C21,C21)=1,"Nueva","Recurrente"))</f>
        <v>Nueva</v>
      </c>
      <c r="S21" s="29" t="str">
        <f>IF(OR(C21="",J21&lt;&gt;"Paquete"),"",COUNTIFS($C$2:C21,C21,$J$2:J21,"Paquete"))</f>
        <v/>
      </c>
      <c r="T21" s="26"/>
    </row>
    <row r="22" spans="1:20" x14ac:dyDescent="0.35">
      <c r="A22" s="26" t="s">
        <v>450</v>
      </c>
      <c r="B22" s="28">
        <v>46283</v>
      </c>
      <c r="C22" s="26" t="s">
        <v>119</v>
      </c>
      <c r="D22" s="34">
        <f>IF($C22="","",IFERROR(IF(INDEX('🎓 Alumnas'!$C$2:$C$1000,MATCH($C22,'🎓 Alumnas'!$B$2:$B$1000,0))="","",INDEX('🎓 Alumnas'!$C$2:$C$1000,MATCH($C22,'🎓 Alumnas'!$B$2:$B$1000,0))),""))</f>
        <v>3197067161</v>
      </c>
      <c r="E22" s="29" t="str">
        <f>IF($C22="","",IFERROR(IF(INDEX('🎓 Alumnas'!$D$2:$D$1000,MATCH($C22,'🎓 Alumnas'!$B$2:$B$1000,0))="","",INDEX('🎓 Alumnas'!$D$2:$D$1000,MATCH($C22,'🎓 Alumnas'!$B$2:$B$1000,0))),""))</f>
        <v/>
      </c>
      <c r="F22" s="29" t="str">
        <f>IF($C22="","",IFERROR(IF(INDEX('🎓 Alumnas'!$E$2:$E$1000,MATCH($C22,'🎓 Alumnas'!$B$2:$B$1000,0))="","",INDEX('🎓 Alumnas'!$E$2:$E$1000,MATCH($C22,'🎓 Alumnas'!$B$2:$B$1000,0))),""))</f>
        <v/>
      </c>
      <c r="G22" s="31" t="str">
        <f>IF($C22="","",IFERROR(IF(INDEX('🎓 Alumnas'!$F$2:$F$1000,MATCH($C22,'🎓 Alumnas'!$B$2:$B$1000,0))="","",INDEX('🎓 Alumnas'!$F$2:$F$1000,MATCH($C22,'🎓 Alumnas'!$B$2:$B$1000,0))),""))</f>
        <v/>
      </c>
      <c r="H22" s="29" t="str">
        <f t="shared" ca="1" si="0"/>
        <v/>
      </c>
      <c r="I22" s="26" t="s">
        <v>449</v>
      </c>
      <c r="J22" s="29" t="str">
        <f t="shared" si="1"/>
        <v>Clase suelta</v>
      </c>
      <c r="K22" s="26"/>
      <c r="L22" s="26">
        <v>1</v>
      </c>
      <c r="M22" s="35">
        <v>50000</v>
      </c>
      <c r="N22" s="30">
        <f t="shared" si="2"/>
        <v>50000</v>
      </c>
      <c r="O22" s="36">
        <v>1</v>
      </c>
      <c r="P22" s="26" t="s">
        <v>26</v>
      </c>
      <c r="Q22" s="26"/>
      <c r="R22" s="29" t="str">
        <f>IF(C22="","",IF(COUNTIF($C$2:C22,C22)=1,"Nueva","Recurrente"))</f>
        <v>Nueva</v>
      </c>
      <c r="S22" s="29" t="str">
        <f>IF(OR(C22="",J22&lt;&gt;"Paquete"),"",COUNTIFS($C$2:C22,C22,$J$2:J22,"Paquete"))</f>
        <v/>
      </c>
      <c r="T22" s="26"/>
    </row>
    <row r="23" spans="1:20" x14ac:dyDescent="0.35">
      <c r="A23" s="26" t="s">
        <v>451</v>
      </c>
      <c r="B23" s="28">
        <v>46286</v>
      </c>
      <c r="C23" s="26" t="s">
        <v>107</v>
      </c>
      <c r="D23" s="34" t="str">
        <f>IF($C23="","",IFERROR(IF(INDEX('🎓 Alumnas'!$C$2:$C$1000,MATCH($C23,'🎓 Alumnas'!$B$2:$B$1000,0))="","",INDEX('🎓 Alumnas'!$C$2:$C$1000,MATCH($C23,'🎓 Alumnas'!$B$2:$B$1000,0))),""))</f>
        <v/>
      </c>
      <c r="E23" s="29" t="str">
        <f>IF($C23="","",IFERROR(IF(INDEX('🎓 Alumnas'!$D$2:$D$1000,MATCH($C23,'🎓 Alumnas'!$B$2:$B$1000,0))="","",INDEX('🎓 Alumnas'!$D$2:$D$1000,MATCH($C23,'🎓 Alumnas'!$B$2:$B$1000,0))),""))</f>
        <v/>
      </c>
      <c r="F23" s="29" t="str">
        <f>IF($C23="","",IFERROR(IF(INDEX('🎓 Alumnas'!$E$2:$E$1000,MATCH($C23,'🎓 Alumnas'!$B$2:$B$1000,0))="","",INDEX('🎓 Alumnas'!$E$2:$E$1000,MATCH($C23,'🎓 Alumnas'!$B$2:$B$1000,0))),""))</f>
        <v/>
      </c>
      <c r="G23" s="31" t="str">
        <f>IF($C23="","",IFERROR(IF(INDEX('🎓 Alumnas'!$F$2:$F$1000,MATCH($C23,'🎓 Alumnas'!$B$2:$B$1000,0))="","",INDEX('🎓 Alumnas'!$F$2:$F$1000,MATCH($C23,'🎓 Alumnas'!$B$2:$B$1000,0))),""))</f>
        <v/>
      </c>
      <c r="H23" s="29" t="str">
        <f t="shared" ca="1" si="0"/>
        <v/>
      </c>
      <c r="I23" s="26" t="s">
        <v>434</v>
      </c>
      <c r="J23" s="29" t="str">
        <f t="shared" si="1"/>
        <v>Alquiler</v>
      </c>
      <c r="K23" s="26"/>
      <c r="L23" s="26">
        <v>2</v>
      </c>
      <c r="M23" s="35">
        <v>22000</v>
      </c>
      <c r="N23" s="30">
        <f t="shared" si="2"/>
        <v>44000</v>
      </c>
      <c r="O23" s="36">
        <v>1</v>
      </c>
      <c r="P23" s="26" t="s">
        <v>32</v>
      </c>
      <c r="Q23" s="26"/>
      <c r="R23" s="29" t="str">
        <f>IF(C23="","",IF(COUNTIF($C$2:C23,C23)=1,"Nueva","Recurrente"))</f>
        <v>Recurrente</v>
      </c>
      <c r="S23" s="29" t="str">
        <f>IF(OR(C23="",J23&lt;&gt;"Paquete"),"",COUNTIFS($C$2:C23,C23,$J$2:J23,"Paquete"))</f>
        <v/>
      </c>
      <c r="T23" s="26"/>
    </row>
    <row r="24" spans="1:20" x14ac:dyDescent="0.35">
      <c r="A24" s="26" t="s">
        <v>452</v>
      </c>
      <c r="B24" s="28">
        <v>46287</v>
      </c>
      <c r="C24" s="26" t="s">
        <v>121</v>
      </c>
      <c r="D24" s="34" t="str">
        <f>IF($C24="","",IFERROR(IF(INDEX('🎓 Alumnas'!$C$2:$C$1000,MATCH($C24,'🎓 Alumnas'!$B$2:$B$1000,0))="","",INDEX('🎓 Alumnas'!$C$2:$C$1000,MATCH($C24,'🎓 Alumnas'!$B$2:$B$1000,0))),""))</f>
        <v/>
      </c>
      <c r="E24" s="29" t="str">
        <f>IF($C24="","",IFERROR(IF(INDEX('🎓 Alumnas'!$D$2:$D$1000,MATCH($C24,'🎓 Alumnas'!$B$2:$B$1000,0))="","",INDEX('🎓 Alumnas'!$D$2:$D$1000,MATCH($C24,'🎓 Alumnas'!$B$2:$B$1000,0))),""))</f>
        <v/>
      </c>
      <c r="F24" s="29" t="str">
        <f>IF($C24="","",IFERROR(IF(INDEX('🎓 Alumnas'!$E$2:$E$1000,MATCH($C24,'🎓 Alumnas'!$B$2:$B$1000,0))="","",INDEX('🎓 Alumnas'!$E$2:$E$1000,MATCH($C24,'🎓 Alumnas'!$B$2:$B$1000,0))),""))</f>
        <v/>
      </c>
      <c r="G24" s="31" t="str">
        <f>IF($C24="","",IFERROR(IF(INDEX('🎓 Alumnas'!$F$2:$F$1000,MATCH($C24,'🎓 Alumnas'!$B$2:$B$1000,0))="","",INDEX('🎓 Alumnas'!$F$2:$F$1000,MATCH($C24,'🎓 Alumnas'!$B$2:$B$1000,0))),""))</f>
        <v/>
      </c>
      <c r="H24" s="29" t="str">
        <f t="shared" ca="1" si="0"/>
        <v/>
      </c>
      <c r="I24" s="26" t="s">
        <v>449</v>
      </c>
      <c r="J24" s="29" t="str">
        <f t="shared" si="1"/>
        <v>Clase suelta</v>
      </c>
      <c r="K24" s="26"/>
      <c r="L24" s="26">
        <v>1</v>
      </c>
      <c r="M24" s="35">
        <v>50000</v>
      </c>
      <c r="N24" s="30">
        <f t="shared" si="2"/>
        <v>50000</v>
      </c>
      <c r="O24" s="36">
        <v>1</v>
      </c>
      <c r="P24" s="26" t="s">
        <v>32</v>
      </c>
      <c r="Q24" s="26"/>
      <c r="R24" s="29" t="str">
        <f>IF(C24="","",IF(COUNTIF($C$2:C24,C24)=1,"Nueva","Recurrente"))</f>
        <v>Nueva</v>
      </c>
      <c r="S24" s="29" t="str">
        <f>IF(OR(C24="",J24&lt;&gt;"Paquete"),"",COUNTIFS($C$2:C24,C24,$J$2:J24,"Paquete"))</f>
        <v/>
      </c>
      <c r="T24" s="26"/>
    </row>
    <row r="25" spans="1:20" x14ac:dyDescent="0.35">
      <c r="A25" s="26" t="s">
        <v>453</v>
      </c>
      <c r="B25" s="28">
        <v>46291</v>
      </c>
      <c r="C25" s="26" t="s">
        <v>123</v>
      </c>
      <c r="D25" s="34">
        <f>IF($C25="","",IFERROR(IF(INDEX('🎓 Alumnas'!$C$2:$C$1000,MATCH($C25,'🎓 Alumnas'!$B$2:$B$1000,0))="","",INDEX('🎓 Alumnas'!$C$2:$C$1000,MATCH($C25,'🎓 Alumnas'!$B$2:$B$1000,0))),""))</f>
        <v>3123221477</v>
      </c>
      <c r="E25" s="29" t="str">
        <f>IF($C25="","",IFERROR(IF(INDEX('🎓 Alumnas'!$D$2:$D$1000,MATCH($C25,'🎓 Alumnas'!$B$2:$B$1000,0))="","",INDEX('🎓 Alumnas'!$D$2:$D$1000,MATCH($C25,'🎓 Alumnas'!$B$2:$B$1000,0))),""))</f>
        <v/>
      </c>
      <c r="F25" s="29" t="str">
        <f>IF($C25="","",IFERROR(IF(INDEX('🎓 Alumnas'!$E$2:$E$1000,MATCH($C25,'🎓 Alumnas'!$B$2:$B$1000,0))="","",INDEX('🎓 Alumnas'!$E$2:$E$1000,MATCH($C25,'🎓 Alumnas'!$B$2:$B$1000,0))),""))</f>
        <v/>
      </c>
      <c r="G25" s="31" t="str">
        <f>IF($C25="","",IFERROR(IF(INDEX('🎓 Alumnas'!$F$2:$F$1000,MATCH($C25,'🎓 Alumnas'!$B$2:$B$1000,0))="","",INDEX('🎓 Alumnas'!$F$2:$F$1000,MATCH($C25,'🎓 Alumnas'!$B$2:$B$1000,0))),""))</f>
        <v/>
      </c>
      <c r="H25" s="29" t="str">
        <f t="shared" ca="1" si="0"/>
        <v/>
      </c>
      <c r="I25" s="26" t="s">
        <v>426</v>
      </c>
      <c r="J25" s="29" t="str">
        <f t="shared" si="1"/>
        <v>Paquete</v>
      </c>
      <c r="K25" s="26"/>
      <c r="L25" s="26">
        <v>1</v>
      </c>
      <c r="M25" s="35">
        <v>350000</v>
      </c>
      <c r="N25" s="30">
        <f t="shared" si="2"/>
        <v>350000</v>
      </c>
      <c r="O25" s="36">
        <v>1</v>
      </c>
      <c r="P25" s="26" t="s">
        <v>26</v>
      </c>
      <c r="Q25" s="26"/>
      <c r="R25" s="29" t="str">
        <f>IF(C25="","",IF(COUNTIF($C$2:C25,C25)=1,"Nueva","Recurrente"))</f>
        <v>Nueva</v>
      </c>
      <c r="S25" s="29">
        <f>IF(OR(C25="",J25&lt;&gt;"Paquete"),"",COUNTIFS($C$2:C25,C25,$J$2:J25,"Paquete"))</f>
        <v>1</v>
      </c>
      <c r="T25" s="26"/>
    </row>
    <row r="26" spans="1:20" x14ac:dyDescent="0.35">
      <c r="A26" s="26" t="s">
        <v>454</v>
      </c>
      <c r="B26" s="28">
        <v>46291</v>
      </c>
      <c r="C26" s="26" t="s">
        <v>121</v>
      </c>
      <c r="D26" s="34" t="str">
        <f>IF($C26="","",IFERROR(IF(INDEX('🎓 Alumnas'!$C$2:$C$1000,MATCH($C26,'🎓 Alumnas'!$B$2:$B$1000,0))="","",INDEX('🎓 Alumnas'!$C$2:$C$1000,MATCH($C26,'🎓 Alumnas'!$B$2:$B$1000,0))),""))</f>
        <v/>
      </c>
      <c r="E26" s="29" t="str">
        <f>IF($C26="","",IFERROR(IF(INDEX('🎓 Alumnas'!$D$2:$D$1000,MATCH($C26,'🎓 Alumnas'!$B$2:$B$1000,0))="","",INDEX('🎓 Alumnas'!$D$2:$D$1000,MATCH($C26,'🎓 Alumnas'!$B$2:$B$1000,0))),""))</f>
        <v/>
      </c>
      <c r="F26" s="29" t="str">
        <f>IF($C26="","",IFERROR(IF(INDEX('🎓 Alumnas'!$E$2:$E$1000,MATCH($C26,'🎓 Alumnas'!$B$2:$B$1000,0))="","",INDEX('🎓 Alumnas'!$E$2:$E$1000,MATCH($C26,'🎓 Alumnas'!$B$2:$B$1000,0))),""))</f>
        <v/>
      </c>
      <c r="G26" s="31" t="str">
        <f>IF($C26="","",IFERROR(IF(INDEX('🎓 Alumnas'!$F$2:$F$1000,MATCH($C26,'🎓 Alumnas'!$B$2:$B$1000,0))="","",INDEX('🎓 Alumnas'!$F$2:$F$1000,MATCH($C26,'🎓 Alumnas'!$B$2:$B$1000,0))),""))</f>
        <v/>
      </c>
      <c r="H26" s="29" t="str">
        <f t="shared" ca="1" si="0"/>
        <v/>
      </c>
      <c r="I26" s="26" t="s">
        <v>423</v>
      </c>
      <c r="J26" s="29" t="str">
        <f t="shared" si="1"/>
        <v>Paquete</v>
      </c>
      <c r="K26" s="26"/>
      <c r="L26" s="26">
        <v>1</v>
      </c>
      <c r="M26" s="35">
        <v>150000</v>
      </c>
      <c r="N26" s="30">
        <f t="shared" si="2"/>
        <v>150000</v>
      </c>
      <c r="O26" s="36">
        <v>1</v>
      </c>
      <c r="P26" s="26" t="s">
        <v>32</v>
      </c>
      <c r="Q26" s="26"/>
      <c r="R26" s="29" t="str">
        <f>IF(C26="","",IF(COUNTIF($C$2:C26,C26)=1,"Nueva","Recurrente"))</f>
        <v>Recurrente</v>
      </c>
      <c r="S26" s="29">
        <f>IF(OR(C26="",J26&lt;&gt;"Paquete"),"",COUNTIFS($C$2:C26,C26,$J$2:J26,"Paquete"))</f>
        <v>1</v>
      </c>
      <c r="T26" s="26"/>
    </row>
    <row r="27" spans="1:20" x14ac:dyDescent="0.35">
      <c r="A27" s="26" t="s">
        <v>455</v>
      </c>
      <c r="B27" s="28">
        <v>46293</v>
      </c>
      <c r="C27" s="26" t="s">
        <v>125</v>
      </c>
      <c r="D27" s="34" t="str">
        <f>IF($C27="","",IFERROR(IF(INDEX('🎓 Alumnas'!$C$2:$C$1000,MATCH($C27,'🎓 Alumnas'!$B$2:$B$1000,0))="","",INDEX('🎓 Alumnas'!$C$2:$C$1000,MATCH($C27,'🎓 Alumnas'!$B$2:$B$1000,0))),""))</f>
        <v/>
      </c>
      <c r="E27" s="29" t="str">
        <f>IF($C27="","",IFERROR(IF(INDEX('🎓 Alumnas'!$D$2:$D$1000,MATCH($C27,'🎓 Alumnas'!$B$2:$B$1000,0))="","",INDEX('🎓 Alumnas'!$D$2:$D$1000,MATCH($C27,'🎓 Alumnas'!$B$2:$B$1000,0))),""))</f>
        <v/>
      </c>
      <c r="F27" s="29" t="str">
        <f>IF($C27="","",IFERROR(IF(INDEX('🎓 Alumnas'!$E$2:$E$1000,MATCH($C27,'🎓 Alumnas'!$B$2:$B$1000,0))="","",INDEX('🎓 Alumnas'!$E$2:$E$1000,MATCH($C27,'🎓 Alumnas'!$B$2:$B$1000,0))),""))</f>
        <v/>
      </c>
      <c r="G27" s="31" t="str">
        <f>IF($C27="","",IFERROR(IF(INDEX('🎓 Alumnas'!$F$2:$F$1000,MATCH($C27,'🎓 Alumnas'!$B$2:$B$1000,0))="","",INDEX('🎓 Alumnas'!$F$2:$F$1000,MATCH($C27,'🎓 Alumnas'!$B$2:$B$1000,0))),""))</f>
        <v/>
      </c>
      <c r="H27" s="29" t="str">
        <f t="shared" ca="1" si="0"/>
        <v/>
      </c>
      <c r="I27" s="26" t="s">
        <v>429</v>
      </c>
      <c r="J27" s="29" t="str">
        <f t="shared" si="1"/>
        <v>Paquete</v>
      </c>
      <c r="K27" s="26" t="s">
        <v>430</v>
      </c>
      <c r="L27" s="26">
        <v>1</v>
      </c>
      <c r="M27" s="35">
        <v>240000</v>
      </c>
      <c r="N27" s="30">
        <f t="shared" si="2"/>
        <v>240000</v>
      </c>
      <c r="O27" s="36">
        <v>0.5</v>
      </c>
      <c r="P27" s="26" t="s">
        <v>32</v>
      </c>
      <c r="Q27" s="26"/>
      <c r="R27" s="29" t="str">
        <f>IF(C27="","",IF(COUNTIF($C$2:C27,C27)=1,"Nueva","Recurrente"))</f>
        <v>Nueva</v>
      </c>
      <c r="S27" s="29">
        <f>IF(OR(C27="",J27&lt;&gt;"Paquete"),"",COUNTIFS($C$2:C27,C27,$J$2:J27,"Paquete"))</f>
        <v>1</v>
      </c>
      <c r="T27" s="26"/>
    </row>
    <row r="28" spans="1:20" x14ac:dyDescent="0.35">
      <c r="A28" s="26" t="s">
        <v>456</v>
      </c>
      <c r="B28" s="28">
        <v>46293</v>
      </c>
      <c r="C28" s="26" t="s">
        <v>107</v>
      </c>
      <c r="D28" s="34" t="str">
        <f>IF($C28="","",IFERROR(IF(INDEX('🎓 Alumnas'!$C$2:$C$1000,MATCH($C28,'🎓 Alumnas'!$B$2:$B$1000,0))="","",INDEX('🎓 Alumnas'!$C$2:$C$1000,MATCH($C28,'🎓 Alumnas'!$B$2:$B$1000,0))),""))</f>
        <v/>
      </c>
      <c r="E28" s="29" t="str">
        <f>IF($C28="","",IFERROR(IF(INDEX('🎓 Alumnas'!$D$2:$D$1000,MATCH($C28,'🎓 Alumnas'!$B$2:$B$1000,0))="","",INDEX('🎓 Alumnas'!$D$2:$D$1000,MATCH($C28,'🎓 Alumnas'!$B$2:$B$1000,0))),""))</f>
        <v/>
      </c>
      <c r="F28" s="29" t="str">
        <f>IF($C28="","",IFERROR(IF(INDEX('🎓 Alumnas'!$E$2:$E$1000,MATCH($C28,'🎓 Alumnas'!$B$2:$B$1000,0))="","",INDEX('🎓 Alumnas'!$E$2:$E$1000,MATCH($C28,'🎓 Alumnas'!$B$2:$B$1000,0))),""))</f>
        <v/>
      </c>
      <c r="G28" s="31" t="str">
        <f>IF($C28="","",IFERROR(IF(INDEX('🎓 Alumnas'!$F$2:$F$1000,MATCH($C28,'🎓 Alumnas'!$B$2:$B$1000,0))="","",INDEX('🎓 Alumnas'!$F$2:$F$1000,MATCH($C28,'🎓 Alumnas'!$B$2:$B$1000,0))),""))</f>
        <v/>
      </c>
      <c r="H28" s="29" t="str">
        <f t="shared" ca="1" si="0"/>
        <v/>
      </c>
      <c r="I28" s="26" t="s">
        <v>434</v>
      </c>
      <c r="J28" s="29" t="str">
        <f t="shared" si="1"/>
        <v>Alquiler</v>
      </c>
      <c r="K28" s="26"/>
      <c r="L28" s="26">
        <v>1</v>
      </c>
      <c r="M28" s="35">
        <v>22000</v>
      </c>
      <c r="N28" s="30">
        <f t="shared" si="2"/>
        <v>22000</v>
      </c>
      <c r="O28" s="36">
        <v>1</v>
      </c>
      <c r="P28" s="26" t="s">
        <v>26</v>
      </c>
      <c r="Q28" s="26"/>
      <c r="R28" s="29" t="str">
        <f>IF(C28="","",IF(COUNTIF($C$2:C28,C28)=1,"Nueva","Recurrente"))</f>
        <v>Recurrente</v>
      </c>
      <c r="S28" s="29" t="str">
        <f>IF(OR(C28="",J28&lt;&gt;"Paquete"),"",COUNTIFS($C$2:C28,C28,$J$2:J28,"Paquete"))</f>
        <v/>
      </c>
      <c r="T28" s="26"/>
    </row>
    <row r="29" spans="1:20" x14ac:dyDescent="0.35">
      <c r="A29" s="26" t="s">
        <v>457</v>
      </c>
      <c r="B29" s="28">
        <v>46294</v>
      </c>
      <c r="C29" s="26" t="s">
        <v>127</v>
      </c>
      <c r="D29" s="34" t="str">
        <f>IF($C29="","",IFERROR(IF(INDEX('🎓 Alumnas'!$C$2:$C$1000,MATCH($C29,'🎓 Alumnas'!$B$2:$B$1000,0))="","",INDEX('🎓 Alumnas'!$C$2:$C$1000,MATCH($C29,'🎓 Alumnas'!$B$2:$B$1000,0))),""))</f>
        <v/>
      </c>
      <c r="E29" s="29" t="str">
        <f>IF($C29="","",IFERROR(IF(INDEX('🎓 Alumnas'!$D$2:$D$1000,MATCH($C29,'🎓 Alumnas'!$B$2:$B$1000,0))="","",INDEX('🎓 Alumnas'!$D$2:$D$1000,MATCH($C29,'🎓 Alumnas'!$B$2:$B$1000,0))),""))</f>
        <v/>
      </c>
      <c r="F29" s="29" t="str">
        <f>IF($C29="","",IFERROR(IF(INDEX('🎓 Alumnas'!$E$2:$E$1000,MATCH($C29,'🎓 Alumnas'!$B$2:$B$1000,0))="","",INDEX('🎓 Alumnas'!$E$2:$E$1000,MATCH($C29,'🎓 Alumnas'!$B$2:$B$1000,0))),""))</f>
        <v/>
      </c>
      <c r="G29" s="31" t="str">
        <f>IF($C29="","",IFERROR(IF(INDEX('🎓 Alumnas'!$F$2:$F$1000,MATCH($C29,'🎓 Alumnas'!$B$2:$B$1000,0))="","",INDEX('🎓 Alumnas'!$F$2:$F$1000,MATCH($C29,'🎓 Alumnas'!$B$2:$B$1000,0))),""))</f>
        <v/>
      </c>
      <c r="H29" s="29" t="str">
        <f t="shared" ca="1" si="0"/>
        <v/>
      </c>
      <c r="I29" s="26" t="s">
        <v>429</v>
      </c>
      <c r="J29" s="29" t="str">
        <f t="shared" si="1"/>
        <v>Paquete</v>
      </c>
      <c r="K29" s="26" t="s">
        <v>430</v>
      </c>
      <c r="L29" s="26">
        <v>1</v>
      </c>
      <c r="M29" s="35">
        <v>480000</v>
      </c>
      <c r="N29" s="30">
        <f t="shared" si="2"/>
        <v>480000</v>
      </c>
      <c r="O29" s="36">
        <v>1</v>
      </c>
      <c r="P29" s="26" t="s">
        <v>32</v>
      </c>
      <c r="Q29" s="26"/>
      <c r="R29" s="29" t="str">
        <f>IF(C29="","",IF(COUNTIF($C$2:C29,C29)=1,"Nueva","Recurrente"))</f>
        <v>Nueva</v>
      </c>
      <c r="S29" s="29">
        <f>IF(OR(C29="",J29&lt;&gt;"Paquete"),"",COUNTIFS($C$2:C29,C29,$J$2:J29,"Paquete"))</f>
        <v>1</v>
      </c>
      <c r="T29" s="26"/>
    </row>
    <row r="30" spans="1:20" x14ac:dyDescent="0.35">
      <c r="A30" s="26" t="s">
        <v>458</v>
      </c>
      <c r="B30" s="28">
        <v>46294</v>
      </c>
      <c r="C30" s="26" t="s">
        <v>129</v>
      </c>
      <c r="D30" s="34" t="str">
        <f>IF($C30="","",IFERROR(IF(INDEX('🎓 Alumnas'!$C$2:$C$1000,MATCH($C30,'🎓 Alumnas'!$B$2:$B$1000,0))="","",INDEX('🎓 Alumnas'!$C$2:$C$1000,MATCH($C30,'🎓 Alumnas'!$B$2:$B$1000,0))),""))</f>
        <v/>
      </c>
      <c r="E30" s="29" t="str">
        <f>IF($C30="","",IFERROR(IF(INDEX('🎓 Alumnas'!$D$2:$D$1000,MATCH($C30,'🎓 Alumnas'!$B$2:$B$1000,0))="","",INDEX('🎓 Alumnas'!$D$2:$D$1000,MATCH($C30,'🎓 Alumnas'!$B$2:$B$1000,0))),""))</f>
        <v/>
      </c>
      <c r="F30" s="29" t="str">
        <f>IF($C30="","",IFERROR(IF(INDEX('🎓 Alumnas'!$E$2:$E$1000,MATCH($C30,'🎓 Alumnas'!$B$2:$B$1000,0))="","",INDEX('🎓 Alumnas'!$E$2:$E$1000,MATCH($C30,'🎓 Alumnas'!$B$2:$B$1000,0))),""))</f>
        <v/>
      </c>
      <c r="G30" s="31" t="str">
        <f>IF($C30="","",IFERROR(IF(INDEX('🎓 Alumnas'!$F$2:$F$1000,MATCH($C30,'🎓 Alumnas'!$B$2:$B$1000,0))="","",INDEX('🎓 Alumnas'!$F$2:$F$1000,MATCH($C30,'🎓 Alumnas'!$B$2:$B$1000,0))),""))</f>
        <v/>
      </c>
      <c r="H30" s="29" t="str">
        <f t="shared" ca="1" si="0"/>
        <v/>
      </c>
      <c r="I30" s="26" t="s">
        <v>429</v>
      </c>
      <c r="J30" s="29" t="str">
        <f t="shared" si="1"/>
        <v>Paquete</v>
      </c>
      <c r="K30" s="26" t="s">
        <v>430</v>
      </c>
      <c r="L30" s="26">
        <v>1</v>
      </c>
      <c r="M30" s="35">
        <v>0</v>
      </c>
      <c r="N30" s="30">
        <f t="shared" si="2"/>
        <v>0</v>
      </c>
      <c r="O30" s="36">
        <v>0</v>
      </c>
      <c r="P30" s="26"/>
      <c r="Q30" s="26"/>
      <c r="R30" s="29" t="str">
        <f>IF(C30="","",IF(COUNTIF($C$2:C30,C30)=1,"Nueva","Recurrente"))</f>
        <v>Nueva</v>
      </c>
      <c r="S30" s="29">
        <f>IF(OR(C30="",J30&lt;&gt;"Paquete"),"",COUNTIFS($C$2:C30,C30,$J$2:J30,"Paquete"))</f>
        <v>1</v>
      </c>
      <c r="T30" s="26"/>
    </row>
    <row r="31" spans="1:20" x14ac:dyDescent="0.35">
      <c r="A31" s="26" t="s">
        <v>459</v>
      </c>
      <c r="B31" s="28">
        <v>46294</v>
      </c>
      <c r="C31" s="26" t="s">
        <v>131</v>
      </c>
      <c r="D31" s="34" t="str">
        <f>IF($C31="","",IFERROR(IF(INDEX('🎓 Alumnas'!$C$2:$C$1000,MATCH($C31,'🎓 Alumnas'!$B$2:$B$1000,0))="","",INDEX('🎓 Alumnas'!$C$2:$C$1000,MATCH($C31,'🎓 Alumnas'!$B$2:$B$1000,0))),""))</f>
        <v/>
      </c>
      <c r="E31" s="29" t="str">
        <f>IF($C31="","",IFERROR(IF(INDEX('🎓 Alumnas'!$D$2:$D$1000,MATCH($C31,'🎓 Alumnas'!$B$2:$B$1000,0))="","",INDEX('🎓 Alumnas'!$D$2:$D$1000,MATCH($C31,'🎓 Alumnas'!$B$2:$B$1000,0))),""))</f>
        <v/>
      </c>
      <c r="F31" s="29" t="str">
        <f>IF($C31="","",IFERROR(IF(INDEX('🎓 Alumnas'!$E$2:$E$1000,MATCH($C31,'🎓 Alumnas'!$B$2:$B$1000,0))="","",INDEX('🎓 Alumnas'!$E$2:$E$1000,MATCH($C31,'🎓 Alumnas'!$B$2:$B$1000,0))),""))</f>
        <v/>
      </c>
      <c r="G31" s="31" t="str">
        <f>IF($C31="","",IFERROR(IF(INDEX('🎓 Alumnas'!$F$2:$F$1000,MATCH($C31,'🎓 Alumnas'!$B$2:$B$1000,0))="","",INDEX('🎓 Alumnas'!$F$2:$F$1000,MATCH($C31,'🎓 Alumnas'!$B$2:$B$1000,0))),""))</f>
        <v/>
      </c>
      <c r="H31" s="29" t="str">
        <f t="shared" ca="1" si="0"/>
        <v/>
      </c>
      <c r="I31" s="26" t="s">
        <v>429</v>
      </c>
      <c r="J31" s="29" t="str">
        <f t="shared" si="1"/>
        <v>Paquete</v>
      </c>
      <c r="K31" s="26" t="s">
        <v>430</v>
      </c>
      <c r="L31" s="26">
        <v>1</v>
      </c>
      <c r="M31" s="35">
        <v>240000</v>
      </c>
      <c r="N31" s="30">
        <f t="shared" si="2"/>
        <v>240000</v>
      </c>
      <c r="O31" s="36">
        <v>0.5</v>
      </c>
      <c r="P31" s="26" t="s">
        <v>32</v>
      </c>
      <c r="Q31" s="26"/>
      <c r="R31" s="29" t="str">
        <f>IF(C31="","",IF(COUNTIF($C$2:C31,C31)=1,"Nueva","Recurrente"))</f>
        <v>Nueva</v>
      </c>
      <c r="S31" s="29">
        <f>IF(OR(C31="",J31&lt;&gt;"Paquete"),"",COUNTIFS($C$2:C31,C31,$J$2:J31,"Paquete"))</f>
        <v>1</v>
      </c>
      <c r="T31" s="26"/>
    </row>
    <row r="32" spans="1:20" x14ac:dyDescent="0.35">
      <c r="A32" s="26" t="s">
        <v>460</v>
      </c>
      <c r="B32" s="28">
        <v>46294</v>
      </c>
      <c r="C32" s="26" t="s">
        <v>133</v>
      </c>
      <c r="D32" s="34" t="str">
        <f>IF($C32="","",IFERROR(IF(INDEX('🎓 Alumnas'!$C$2:$C$1000,MATCH($C32,'🎓 Alumnas'!$B$2:$B$1000,0))="","",INDEX('🎓 Alumnas'!$C$2:$C$1000,MATCH($C32,'🎓 Alumnas'!$B$2:$B$1000,0))),""))</f>
        <v/>
      </c>
      <c r="E32" s="29" t="str">
        <f>IF($C32="","",IFERROR(IF(INDEX('🎓 Alumnas'!$D$2:$D$1000,MATCH($C32,'🎓 Alumnas'!$B$2:$B$1000,0))="","",INDEX('🎓 Alumnas'!$D$2:$D$1000,MATCH($C32,'🎓 Alumnas'!$B$2:$B$1000,0))),""))</f>
        <v/>
      </c>
      <c r="F32" s="29" t="str">
        <f>IF($C32="","",IFERROR(IF(INDEX('🎓 Alumnas'!$E$2:$E$1000,MATCH($C32,'🎓 Alumnas'!$B$2:$B$1000,0))="","",INDEX('🎓 Alumnas'!$E$2:$E$1000,MATCH($C32,'🎓 Alumnas'!$B$2:$B$1000,0))),""))</f>
        <v/>
      </c>
      <c r="G32" s="31" t="str">
        <f>IF($C32="","",IFERROR(IF(INDEX('🎓 Alumnas'!$F$2:$F$1000,MATCH($C32,'🎓 Alumnas'!$B$2:$B$1000,0))="","",INDEX('🎓 Alumnas'!$F$2:$F$1000,MATCH($C32,'🎓 Alumnas'!$B$2:$B$1000,0))),""))</f>
        <v/>
      </c>
      <c r="H32" s="29" t="str">
        <f t="shared" ca="1" si="0"/>
        <v/>
      </c>
      <c r="I32" s="26" t="s">
        <v>449</v>
      </c>
      <c r="J32" s="29" t="str">
        <f t="shared" si="1"/>
        <v>Clase suelta</v>
      </c>
      <c r="K32" s="26"/>
      <c r="L32" s="26">
        <v>1</v>
      </c>
      <c r="M32" s="35">
        <v>50000</v>
      </c>
      <c r="N32" s="30">
        <f t="shared" si="2"/>
        <v>50000</v>
      </c>
      <c r="O32" s="36">
        <v>1</v>
      </c>
      <c r="P32" s="26" t="s">
        <v>32</v>
      </c>
      <c r="Q32" s="26"/>
      <c r="R32" s="29" t="str">
        <f>IF(C32="","",IF(COUNTIF($C$2:C32,C32)=1,"Nueva","Recurrente"))</f>
        <v>Nueva</v>
      </c>
      <c r="S32" s="29" t="str">
        <f>IF(OR(C32="",J32&lt;&gt;"Paquete"),"",COUNTIFS($C$2:C32,C32,$J$2:J32,"Paquete"))</f>
        <v/>
      </c>
      <c r="T32" s="26"/>
    </row>
    <row r="33" spans="1:20" x14ac:dyDescent="0.35">
      <c r="A33" s="26" t="s">
        <v>461</v>
      </c>
      <c r="B33" s="28">
        <v>46295</v>
      </c>
      <c r="C33" s="26" t="s">
        <v>135</v>
      </c>
      <c r="D33" s="34" t="str">
        <f>IF($C33="","",IFERROR(IF(INDEX('🎓 Alumnas'!$C$2:$C$1000,MATCH($C33,'🎓 Alumnas'!$B$2:$B$1000,0))="","",INDEX('🎓 Alumnas'!$C$2:$C$1000,MATCH($C33,'🎓 Alumnas'!$B$2:$B$1000,0))),""))</f>
        <v/>
      </c>
      <c r="E33" s="29" t="str">
        <f>IF($C33="","",IFERROR(IF(INDEX('🎓 Alumnas'!$D$2:$D$1000,MATCH($C33,'🎓 Alumnas'!$B$2:$B$1000,0))="","",INDEX('🎓 Alumnas'!$D$2:$D$1000,MATCH($C33,'🎓 Alumnas'!$B$2:$B$1000,0))),""))</f>
        <v/>
      </c>
      <c r="F33" s="29" t="str">
        <f>IF($C33="","",IFERROR(IF(INDEX('🎓 Alumnas'!$E$2:$E$1000,MATCH($C33,'🎓 Alumnas'!$B$2:$B$1000,0))="","",INDEX('🎓 Alumnas'!$E$2:$E$1000,MATCH($C33,'🎓 Alumnas'!$B$2:$B$1000,0))),""))</f>
        <v/>
      </c>
      <c r="G33" s="31" t="str">
        <f>IF($C33="","",IFERROR(IF(INDEX('🎓 Alumnas'!$F$2:$F$1000,MATCH($C33,'🎓 Alumnas'!$B$2:$B$1000,0))="","",INDEX('🎓 Alumnas'!$F$2:$F$1000,MATCH($C33,'🎓 Alumnas'!$B$2:$B$1000,0))),""))</f>
        <v/>
      </c>
      <c r="H33" s="29" t="str">
        <f t="shared" ca="1" si="0"/>
        <v/>
      </c>
      <c r="I33" s="26" t="s">
        <v>429</v>
      </c>
      <c r="J33" s="29" t="str">
        <f t="shared" si="1"/>
        <v>Paquete</v>
      </c>
      <c r="K33" s="26" t="s">
        <v>430</v>
      </c>
      <c r="L33" s="26">
        <v>1</v>
      </c>
      <c r="M33" s="35">
        <v>240000</v>
      </c>
      <c r="N33" s="30">
        <f t="shared" si="2"/>
        <v>240000</v>
      </c>
      <c r="O33" s="36">
        <v>0.5</v>
      </c>
      <c r="P33" s="26" t="s">
        <v>32</v>
      </c>
      <c r="Q33" s="26"/>
      <c r="R33" s="29" t="str">
        <f>IF(C33="","",IF(COUNTIF($C$2:C33,C33)=1,"Nueva","Recurrente"))</f>
        <v>Nueva</v>
      </c>
      <c r="S33" s="29">
        <f>IF(OR(C33="",J33&lt;&gt;"Paquete"),"",COUNTIFS($C$2:C33,C33,$J$2:J33,"Paquete"))</f>
        <v>1</v>
      </c>
      <c r="T33" s="26"/>
    </row>
    <row r="34" spans="1:20" x14ac:dyDescent="0.35">
      <c r="A34" s="26" t="s">
        <v>462</v>
      </c>
      <c r="B34" s="28">
        <v>46295</v>
      </c>
      <c r="C34" s="26" t="s">
        <v>83</v>
      </c>
      <c r="D34" s="34">
        <f>IF($C34="","",IFERROR(IF(INDEX('🎓 Alumnas'!$C$2:$C$1000,MATCH($C34,'🎓 Alumnas'!$B$2:$B$1000,0))="","",INDEX('🎓 Alumnas'!$C$2:$C$1000,MATCH($C34,'🎓 Alumnas'!$B$2:$B$1000,0))),""))</f>
        <v>3196364084</v>
      </c>
      <c r="E34" s="29" t="str">
        <f>IF($C34="","",IFERROR(IF(INDEX('🎓 Alumnas'!$D$2:$D$1000,MATCH($C34,'🎓 Alumnas'!$B$2:$B$1000,0))="","",INDEX('🎓 Alumnas'!$D$2:$D$1000,MATCH($C34,'🎓 Alumnas'!$B$2:$B$1000,0))),""))</f>
        <v>diana0.bermudez@gmail.com</v>
      </c>
      <c r="F34" s="29" t="str">
        <f>IF($C34="","",IFERROR(IF(INDEX('🎓 Alumnas'!$E$2:$E$1000,MATCH($C34,'🎓 Alumnas'!$B$2:$B$1000,0))="","",INDEX('🎓 Alumnas'!$E$2:$E$1000,MATCH($C34,'🎓 Alumnas'!$B$2:$B$1000,0))),""))</f>
        <v>Cra 72k # 39a 96 sur</v>
      </c>
      <c r="G34" s="31">
        <f>IF($C34="","",IFERROR(IF(INDEX('🎓 Alumnas'!$F$2:$F$1000,MATCH($C34,'🎓 Alumnas'!$B$2:$B$1000,0))="","",INDEX('🎓 Alumnas'!$F$2:$F$1000,MATCH($C34,'🎓 Alumnas'!$B$2:$B$1000,0))),""))</f>
        <v>33374</v>
      </c>
      <c r="H34" s="29">
        <f t="shared" ca="1" si="0"/>
        <v>35</v>
      </c>
      <c r="I34" s="26" t="s">
        <v>429</v>
      </c>
      <c r="J34" s="29" t="str">
        <f t="shared" si="1"/>
        <v>Paquete</v>
      </c>
      <c r="K34" s="26" t="s">
        <v>430</v>
      </c>
      <c r="L34" s="26">
        <v>1</v>
      </c>
      <c r="M34" s="35">
        <v>480000</v>
      </c>
      <c r="N34" s="30">
        <f t="shared" si="2"/>
        <v>480000</v>
      </c>
      <c r="O34" s="36">
        <v>1</v>
      </c>
      <c r="P34" s="26" t="s">
        <v>32</v>
      </c>
      <c r="Q34" s="26" t="s">
        <v>424</v>
      </c>
      <c r="R34" s="29" t="str">
        <f>IF(C34="","",IF(COUNTIF($C$2:C34,C34)=1,"Nueva","Recurrente"))</f>
        <v>Recurrente</v>
      </c>
      <c r="S34" s="29">
        <f>IF(OR(C34="",J34&lt;&gt;"Paquete"),"",COUNTIFS($C$2:C34,C34,$J$2:J34,"Paquete"))</f>
        <v>2</v>
      </c>
      <c r="T34" s="26"/>
    </row>
    <row r="35" spans="1:20" x14ac:dyDescent="0.35">
      <c r="A35" s="26" t="s">
        <v>463</v>
      </c>
      <c r="B35" s="28">
        <v>46295</v>
      </c>
      <c r="C35" s="26" t="s">
        <v>87</v>
      </c>
      <c r="D35" s="34">
        <f>IF($C35="","",IFERROR(IF(INDEX('🎓 Alumnas'!$C$2:$C$1000,MATCH($C35,'🎓 Alumnas'!$B$2:$B$1000,0))="","",INDEX('🎓 Alumnas'!$C$2:$C$1000,MATCH($C35,'🎓 Alumnas'!$B$2:$B$1000,0))),""))</f>
        <v>3104775381</v>
      </c>
      <c r="E35" s="29" t="str">
        <f>IF($C35="","",IFERROR(IF(INDEX('🎓 Alumnas'!$D$2:$D$1000,MATCH($C35,'🎓 Alumnas'!$B$2:$B$1000,0))="","",INDEX('🎓 Alumnas'!$D$2:$D$1000,MATCH($C35,'🎓 Alumnas'!$B$2:$B$1000,0))),""))</f>
        <v>Jessicatorresolarte@gmail.com</v>
      </c>
      <c r="F35" s="29" t="str">
        <f>IF($C35="","",IFERROR(IF(INDEX('🎓 Alumnas'!$E$2:$E$1000,MATCH($C35,'🎓 Alumnas'!$B$2:$B$1000,0))="","",INDEX('🎓 Alumnas'!$E$2:$E$1000,MATCH($C35,'🎓 Alumnas'!$B$2:$B$1000,0))),""))</f>
        <v>Calle 6b 80b 85</v>
      </c>
      <c r="G35" s="31">
        <f>IF($C35="","",IFERROR(IF(INDEX('🎓 Alumnas'!$F$2:$F$1000,MATCH($C35,'🎓 Alumnas'!$B$2:$B$1000,0))="","",INDEX('🎓 Alumnas'!$F$2:$F$1000,MATCH($C35,'🎓 Alumnas'!$B$2:$B$1000,0))),""))</f>
        <v>31592</v>
      </c>
      <c r="H35" s="29">
        <f t="shared" ca="1" si="0"/>
        <v>40</v>
      </c>
      <c r="I35" s="26" t="s">
        <v>429</v>
      </c>
      <c r="J35" s="29" t="str">
        <f t="shared" si="1"/>
        <v>Paquete</v>
      </c>
      <c r="K35" s="26" t="s">
        <v>430</v>
      </c>
      <c r="L35" s="26">
        <v>1</v>
      </c>
      <c r="M35" s="35">
        <v>0</v>
      </c>
      <c r="N35" s="30">
        <f t="shared" si="2"/>
        <v>0</v>
      </c>
      <c r="O35" s="36">
        <v>0</v>
      </c>
      <c r="P35" s="26"/>
      <c r="Q35" s="26"/>
      <c r="R35" s="29" t="str">
        <f>IF(C35="","",IF(COUNTIF($C$2:C35,C35)=1,"Nueva","Recurrente"))</f>
        <v>Recurrente</v>
      </c>
      <c r="S35" s="29">
        <f>IF(OR(C35="",J35&lt;&gt;"Paquete"),"",COUNTIFS($C$2:C35,C35,$J$2:J35,"Paquete"))</f>
        <v>2</v>
      </c>
      <c r="T35" s="26"/>
    </row>
    <row r="36" spans="1:20" x14ac:dyDescent="0.35">
      <c r="A36" s="26" t="s">
        <v>464</v>
      </c>
      <c r="B36" s="28">
        <v>46295</v>
      </c>
      <c r="C36" s="26" t="s">
        <v>133</v>
      </c>
      <c r="D36" s="34" t="str">
        <f>IF($C36="","",IFERROR(IF(INDEX('🎓 Alumnas'!$C$2:$C$1000,MATCH($C36,'🎓 Alumnas'!$B$2:$B$1000,0))="","",INDEX('🎓 Alumnas'!$C$2:$C$1000,MATCH($C36,'🎓 Alumnas'!$B$2:$B$1000,0))),""))</f>
        <v/>
      </c>
      <c r="E36" s="29" t="str">
        <f>IF($C36="","",IFERROR(IF(INDEX('🎓 Alumnas'!$D$2:$D$1000,MATCH($C36,'🎓 Alumnas'!$B$2:$B$1000,0))="","",INDEX('🎓 Alumnas'!$D$2:$D$1000,MATCH($C36,'🎓 Alumnas'!$B$2:$B$1000,0))),""))</f>
        <v/>
      </c>
      <c r="F36" s="29" t="str">
        <f>IF($C36="","",IFERROR(IF(INDEX('🎓 Alumnas'!$E$2:$E$1000,MATCH($C36,'🎓 Alumnas'!$B$2:$B$1000,0))="","",INDEX('🎓 Alumnas'!$E$2:$E$1000,MATCH($C36,'🎓 Alumnas'!$B$2:$B$1000,0))),""))</f>
        <v/>
      </c>
      <c r="G36" s="31" t="str">
        <f>IF($C36="","",IFERROR(IF(INDEX('🎓 Alumnas'!$F$2:$F$1000,MATCH($C36,'🎓 Alumnas'!$B$2:$B$1000,0))="","",INDEX('🎓 Alumnas'!$F$2:$F$1000,MATCH($C36,'🎓 Alumnas'!$B$2:$B$1000,0))),""))</f>
        <v/>
      </c>
      <c r="H36" s="29" t="str">
        <f t="shared" ca="1" si="0"/>
        <v/>
      </c>
      <c r="I36" s="26" t="s">
        <v>429</v>
      </c>
      <c r="J36" s="29" t="str">
        <f t="shared" si="1"/>
        <v>Paquete</v>
      </c>
      <c r="K36" s="26" t="s">
        <v>430</v>
      </c>
      <c r="L36" s="26">
        <v>1</v>
      </c>
      <c r="M36" s="35">
        <v>240000</v>
      </c>
      <c r="N36" s="30">
        <f t="shared" si="2"/>
        <v>240000</v>
      </c>
      <c r="O36" s="36">
        <v>0.5</v>
      </c>
      <c r="P36" s="26" t="s">
        <v>32</v>
      </c>
      <c r="Q36" s="26"/>
      <c r="R36" s="29" t="str">
        <f>IF(C36="","",IF(COUNTIF($C$2:C36,C36)=1,"Nueva","Recurrente"))</f>
        <v>Recurrente</v>
      </c>
      <c r="S36" s="29">
        <f>IF(OR(C36="",J36&lt;&gt;"Paquete"),"",COUNTIFS($C$2:C36,C36,$J$2:J36,"Paquete"))</f>
        <v>1</v>
      </c>
      <c r="T36" s="26"/>
    </row>
    <row r="37" spans="1:20" x14ac:dyDescent="0.35">
      <c r="A37" s="26" t="s">
        <v>465</v>
      </c>
      <c r="B37" s="28">
        <v>46295</v>
      </c>
      <c r="C37" s="26" t="s">
        <v>97</v>
      </c>
      <c r="D37" s="34">
        <f>IF($C37="","",IFERROR(IF(INDEX('🎓 Alumnas'!$C$2:$C$1000,MATCH($C37,'🎓 Alumnas'!$B$2:$B$1000,0))="","",INDEX('🎓 Alumnas'!$C$2:$C$1000,MATCH($C37,'🎓 Alumnas'!$B$2:$B$1000,0))),""))</f>
        <v>3115269836</v>
      </c>
      <c r="E37" s="29" t="str">
        <f>IF($C37="","",IFERROR(IF(INDEX('🎓 Alumnas'!$D$2:$D$1000,MATCH($C37,'🎓 Alumnas'!$B$2:$B$1000,0))="","",INDEX('🎓 Alumnas'!$D$2:$D$1000,MATCH($C37,'🎓 Alumnas'!$B$2:$B$1000,0))),""))</f>
        <v/>
      </c>
      <c r="F37" s="29" t="str">
        <f>IF($C37="","",IFERROR(IF(INDEX('🎓 Alumnas'!$E$2:$E$1000,MATCH($C37,'🎓 Alumnas'!$B$2:$B$1000,0))="","",INDEX('🎓 Alumnas'!$E$2:$E$1000,MATCH($C37,'🎓 Alumnas'!$B$2:$B$1000,0))),""))</f>
        <v/>
      </c>
      <c r="G37" s="31" t="str">
        <f>IF($C37="","",IFERROR(IF(INDEX('🎓 Alumnas'!$F$2:$F$1000,MATCH($C37,'🎓 Alumnas'!$B$2:$B$1000,0))="","",INDEX('🎓 Alumnas'!$F$2:$F$1000,MATCH($C37,'🎓 Alumnas'!$B$2:$B$1000,0))),""))</f>
        <v/>
      </c>
      <c r="H37" s="29" t="str">
        <f t="shared" ca="1" si="0"/>
        <v/>
      </c>
      <c r="I37" s="26" t="s">
        <v>429</v>
      </c>
      <c r="J37" s="29" t="str">
        <f t="shared" si="1"/>
        <v>Paquete</v>
      </c>
      <c r="K37" s="26" t="s">
        <v>430</v>
      </c>
      <c r="L37" s="26">
        <v>1</v>
      </c>
      <c r="M37" s="35">
        <v>240000</v>
      </c>
      <c r="N37" s="30">
        <f t="shared" si="2"/>
        <v>240000</v>
      </c>
      <c r="O37" s="36">
        <v>0.5</v>
      </c>
      <c r="P37" s="26" t="s">
        <v>32</v>
      </c>
      <c r="Q37" s="26"/>
      <c r="R37" s="29" t="str">
        <f>IF(C37="","",IF(COUNTIF($C$2:C37,C37)=1,"Nueva","Recurrente"))</f>
        <v>Recurrente</v>
      </c>
      <c r="S37" s="29">
        <f>IF(OR(C37="",J37&lt;&gt;"Paquete"),"",COUNTIFS($C$2:C37,C37,$J$2:J37,"Paquete"))</f>
        <v>2</v>
      </c>
      <c r="T37" s="26"/>
    </row>
    <row r="38" spans="1:20" x14ac:dyDescent="0.35">
      <c r="A38" s="26" t="s">
        <v>466</v>
      </c>
      <c r="B38" s="28">
        <v>46295</v>
      </c>
      <c r="C38" s="26" t="s">
        <v>95</v>
      </c>
      <c r="D38" s="34" t="str">
        <f>IF($C38="","",IFERROR(IF(INDEX('🎓 Alumnas'!$C$2:$C$1000,MATCH($C38,'🎓 Alumnas'!$B$2:$B$1000,0))="","",INDEX('🎓 Alumnas'!$C$2:$C$1000,MATCH($C38,'🎓 Alumnas'!$B$2:$B$1000,0))),""))</f>
        <v/>
      </c>
      <c r="E38" s="29" t="str">
        <f>IF($C38="","",IFERROR(IF(INDEX('🎓 Alumnas'!$D$2:$D$1000,MATCH($C38,'🎓 Alumnas'!$B$2:$B$1000,0))="","",INDEX('🎓 Alumnas'!$D$2:$D$1000,MATCH($C38,'🎓 Alumnas'!$B$2:$B$1000,0))),""))</f>
        <v/>
      </c>
      <c r="F38" s="29" t="str">
        <f>IF($C38="","",IFERROR(IF(INDEX('🎓 Alumnas'!$E$2:$E$1000,MATCH($C38,'🎓 Alumnas'!$B$2:$B$1000,0))="","",INDEX('🎓 Alumnas'!$E$2:$E$1000,MATCH($C38,'🎓 Alumnas'!$B$2:$B$1000,0))),""))</f>
        <v/>
      </c>
      <c r="G38" s="31" t="str">
        <f>IF($C38="","",IFERROR(IF(INDEX('🎓 Alumnas'!$F$2:$F$1000,MATCH($C38,'🎓 Alumnas'!$B$2:$B$1000,0))="","",INDEX('🎓 Alumnas'!$F$2:$F$1000,MATCH($C38,'🎓 Alumnas'!$B$2:$B$1000,0))),""))</f>
        <v/>
      </c>
      <c r="H38" s="29" t="str">
        <f t="shared" ca="1" si="0"/>
        <v/>
      </c>
      <c r="I38" s="26" t="s">
        <v>429</v>
      </c>
      <c r="J38" s="29" t="str">
        <f t="shared" si="1"/>
        <v>Paquete</v>
      </c>
      <c r="K38" s="26" t="s">
        <v>430</v>
      </c>
      <c r="L38" s="26">
        <v>1</v>
      </c>
      <c r="M38" s="35">
        <v>240000</v>
      </c>
      <c r="N38" s="30">
        <f t="shared" si="2"/>
        <v>240000</v>
      </c>
      <c r="O38" s="36">
        <v>0.5</v>
      </c>
      <c r="P38" s="26" t="s">
        <v>28</v>
      </c>
      <c r="Q38" s="26"/>
      <c r="R38" s="29" t="str">
        <f>IF(C38="","",IF(COUNTIF($C$2:C38,C38)=1,"Nueva","Recurrente"))</f>
        <v>Recurrente</v>
      </c>
      <c r="S38" s="29">
        <f>IF(OR(C38="",J38&lt;&gt;"Paquete"),"",COUNTIFS($C$2:C38,C38,$J$2:J38,"Paquete"))</f>
        <v>2</v>
      </c>
      <c r="T38" s="26"/>
    </row>
    <row r="39" spans="1:20" x14ac:dyDescent="0.35">
      <c r="A39" s="26" t="s">
        <v>467</v>
      </c>
      <c r="B39" s="28">
        <v>46295</v>
      </c>
      <c r="C39" s="26" t="s">
        <v>117</v>
      </c>
      <c r="D39" s="34">
        <f>IF($C39="","",IFERROR(IF(INDEX('🎓 Alumnas'!$C$2:$C$1000,MATCH($C39,'🎓 Alumnas'!$B$2:$B$1000,0))="","",INDEX('🎓 Alumnas'!$C$2:$C$1000,MATCH($C39,'🎓 Alumnas'!$B$2:$B$1000,0))),""))</f>
        <v>3186650375</v>
      </c>
      <c r="E39" s="29" t="str">
        <f>IF($C39="","",IFERROR(IF(INDEX('🎓 Alumnas'!$D$2:$D$1000,MATCH($C39,'🎓 Alumnas'!$B$2:$B$1000,0))="","",INDEX('🎓 Alumnas'!$D$2:$D$1000,MATCH($C39,'🎓 Alumnas'!$B$2:$B$1000,0))),""))</f>
        <v/>
      </c>
      <c r="F39" s="29" t="str">
        <f>IF($C39="","",IFERROR(IF(INDEX('🎓 Alumnas'!$E$2:$E$1000,MATCH($C39,'🎓 Alumnas'!$B$2:$B$1000,0))="","",INDEX('🎓 Alumnas'!$E$2:$E$1000,MATCH($C39,'🎓 Alumnas'!$B$2:$B$1000,0))),""))</f>
        <v/>
      </c>
      <c r="G39" s="31" t="str">
        <f>IF($C39="","",IFERROR(IF(INDEX('🎓 Alumnas'!$F$2:$F$1000,MATCH($C39,'🎓 Alumnas'!$B$2:$B$1000,0))="","",INDEX('🎓 Alumnas'!$F$2:$F$1000,MATCH($C39,'🎓 Alumnas'!$B$2:$B$1000,0))),""))</f>
        <v/>
      </c>
      <c r="H39" s="29" t="str">
        <f t="shared" ca="1" si="0"/>
        <v/>
      </c>
      <c r="I39" s="26" t="s">
        <v>429</v>
      </c>
      <c r="J39" s="29" t="str">
        <f t="shared" si="1"/>
        <v>Paquete</v>
      </c>
      <c r="K39" s="26" t="s">
        <v>430</v>
      </c>
      <c r="L39" s="26">
        <v>1</v>
      </c>
      <c r="M39" s="35">
        <v>240000</v>
      </c>
      <c r="N39" s="30">
        <f t="shared" si="2"/>
        <v>240000</v>
      </c>
      <c r="O39" s="36">
        <v>0.5</v>
      </c>
      <c r="P39" s="26" t="s">
        <v>26</v>
      </c>
      <c r="Q39" s="26"/>
      <c r="R39" s="29" t="str">
        <f>IF(C39="","",IF(COUNTIF($C$2:C39,C39)=1,"Nueva","Recurrente"))</f>
        <v>Recurrente</v>
      </c>
      <c r="S39" s="29">
        <f>IF(OR(C39="",J39&lt;&gt;"Paquete"),"",COUNTIFS($C$2:C39,C39,$J$2:J39,"Paquete"))</f>
        <v>1</v>
      </c>
      <c r="T39" s="26"/>
    </row>
    <row r="40" spans="1:20" x14ac:dyDescent="0.35">
      <c r="A40" s="26" t="s">
        <v>468</v>
      </c>
      <c r="B40" s="28">
        <v>46295</v>
      </c>
      <c r="C40" s="26" t="s">
        <v>109</v>
      </c>
      <c r="D40" s="34" t="str">
        <f>IF($C40="","",IFERROR(IF(INDEX('🎓 Alumnas'!$C$2:$C$1000,MATCH($C40,'🎓 Alumnas'!$B$2:$B$1000,0))="","",INDEX('🎓 Alumnas'!$C$2:$C$1000,MATCH($C40,'🎓 Alumnas'!$B$2:$B$1000,0))),""))</f>
        <v/>
      </c>
      <c r="E40" s="29" t="str">
        <f>IF($C40="","",IFERROR(IF(INDEX('🎓 Alumnas'!$D$2:$D$1000,MATCH($C40,'🎓 Alumnas'!$B$2:$B$1000,0))="","",INDEX('🎓 Alumnas'!$D$2:$D$1000,MATCH($C40,'🎓 Alumnas'!$B$2:$B$1000,0))),""))</f>
        <v/>
      </c>
      <c r="F40" s="29" t="str">
        <f>IF($C40="","",IFERROR(IF(INDEX('🎓 Alumnas'!$E$2:$E$1000,MATCH($C40,'🎓 Alumnas'!$B$2:$B$1000,0))="","",INDEX('🎓 Alumnas'!$E$2:$E$1000,MATCH($C40,'🎓 Alumnas'!$B$2:$B$1000,0))),""))</f>
        <v/>
      </c>
      <c r="G40" s="31" t="str">
        <f>IF($C40="","",IFERROR(IF(INDEX('🎓 Alumnas'!$F$2:$F$1000,MATCH($C40,'🎓 Alumnas'!$B$2:$B$1000,0))="","",INDEX('🎓 Alumnas'!$F$2:$F$1000,MATCH($C40,'🎓 Alumnas'!$B$2:$B$1000,0))),""))</f>
        <v/>
      </c>
      <c r="H40" s="29" t="str">
        <f t="shared" ca="1" si="0"/>
        <v/>
      </c>
      <c r="I40" s="26" t="s">
        <v>429</v>
      </c>
      <c r="J40" s="29" t="str">
        <f t="shared" si="1"/>
        <v>Paquete</v>
      </c>
      <c r="K40" s="26" t="s">
        <v>430</v>
      </c>
      <c r="L40" s="26">
        <v>1</v>
      </c>
      <c r="M40" s="35">
        <v>240000</v>
      </c>
      <c r="N40" s="30">
        <f t="shared" si="2"/>
        <v>240000</v>
      </c>
      <c r="O40" s="36">
        <v>0.5</v>
      </c>
      <c r="P40" s="26" t="s">
        <v>32</v>
      </c>
      <c r="Q40" s="26"/>
      <c r="R40" s="29" t="str">
        <f>IF(C40="","",IF(COUNTIF($C$2:C40,C40)=1,"Nueva","Recurrente"))</f>
        <v>Recurrente</v>
      </c>
      <c r="S40" s="29">
        <f>IF(OR(C40="",J40&lt;&gt;"Paquete"),"",COUNTIFS($C$2:C40,C40,$J$2:J40,"Paquete"))</f>
        <v>2</v>
      </c>
      <c r="T40" s="26"/>
    </row>
    <row r="41" spans="1:20" x14ac:dyDescent="0.35">
      <c r="A41" s="26" t="s">
        <v>469</v>
      </c>
      <c r="B41" s="28">
        <v>46295</v>
      </c>
      <c r="C41" s="26" t="s">
        <v>107</v>
      </c>
      <c r="D41" s="34" t="str">
        <f>IF($C41="","",IFERROR(IF(INDEX('🎓 Alumnas'!$C$2:$C$1000,MATCH($C41,'🎓 Alumnas'!$B$2:$B$1000,0))="","",INDEX('🎓 Alumnas'!$C$2:$C$1000,MATCH($C41,'🎓 Alumnas'!$B$2:$B$1000,0))),""))</f>
        <v/>
      </c>
      <c r="E41" s="29" t="str">
        <f>IF($C41="","",IFERROR(IF(INDEX('🎓 Alumnas'!$D$2:$D$1000,MATCH($C41,'🎓 Alumnas'!$B$2:$B$1000,0))="","",INDEX('🎓 Alumnas'!$D$2:$D$1000,MATCH($C41,'🎓 Alumnas'!$B$2:$B$1000,0))),""))</f>
        <v/>
      </c>
      <c r="F41" s="29" t="str">
        <f>IF($C41="","",IFERROR(IF(INDEX('🎓 Alumnas'!$E$2:$E$1000,MATCH($C41,'🎓 Alumnas'!$B$2:$B$1000,0))="","",INDEX('🎓 Alumnas'!$E$2:$E$1000,MATCH($C41,'🎓 Alumnas'!$B$2:$B$1000,0))),""))</f>
        <v/>
      </c>
      <c r="G41" s="31" t="str">
        <f>IF($C41="","",IFERROR(IF(INDEX('🎓 Alumnas'!$F$2:$F$1000,MATCH($C41,'🎓 Alumnas'!$B$2:$B$1000,0))="","",INDEX('🎓 Alumnas'!$F$2:$F$1000,MATCH($C41,'🎓 Alumnas'!$B$2:$B$1000,0))),""))</f>
        <v/>
      </c>
      <c r="H41" s="29" t="str">
        <f t="shared" ca="1" si="0"/>
        <v/>
      </c>
      <c r="I41" s="26" t="s">
        <v>434</v>
      </c>
      <c r="J41" s="29" t="str">
        <f t="shared" si="1"/>
        <v>Alquiler</v>
      </c>
      <c r="K41" s="26"/>
      <c r="L41" s="26">
        <v>2</v>
      </c>
      <c r="M41" s="35">
        <v>22000</v>
      </c>
      <c r="N41" s="30">
        <f t="shared" si="2"/>
        <v>44000</v>
      </c>
      <c r="O41" s="36">
        <v>1</v>
      </c>
      <c r="P41" s="26" t="s">
        <v>32</v>
      </c>
      <c r="Q41" s="26"/>
      <c r="R41" s="29" t="str">
        <f>IF(C41="","",IF(COUNTIF($C$2:C41,C41)=1,"Nueva","Recurrente"))</f>
        <v>Recurrente</v>
      </c>
      <c r="S41" s="29" t="str">
        <f>IF(OR(C41="",J41&lt;&gt;"Paquete"),"",COUNTIFS($C$2:C41,C41,$J$2:J41,"Paquete"))</f>
        <v/>
      </c>
      <c r="T41" s="26"/>
    </row>
    <row r="42" spans="1:20" x14ac:dyDescent="0.35">
      <c r="A42" s="26" t="s">
        <v>470</v>
      </c>
      <c r="B42" s="28"/>
      <c r="C42" s="26"/>
      <c r="D42" s="34" t="str">
        <f>IF($C42="","",IFERROR(IF(INDEX('🎓 Alumnas'!$C$2:$C$1000,MATCH($C42,'🎓 Alumnas'!$B$2:$B$1000,0))="","",INDEX('🎓 Alumnas'!$C$2:$C$1000,MATCH($C42,'🎓 Alumnas'!$B$2:$B$1000,0))),""))</f>
        <v/>
      </c>
      <c r="E42" s="29" t="str">
        <f>IF($C42="","",IFERROR(IF(INDEX('🎓 Alumnas'!$D$2:$D$1000,MATCH($C42,'🎓 Alumnas'!$B$2:$B$1000,0))="","",INDEX('🎓 Alumnas'!$D$2:$D$1000,MATCH($C42,'🎓 Alumnas'!$B$2:$B$1000,0))),""))</f>
        <v/>
      </c>
      <c r="F42" s="29" t="str">
        <f>IF($C42="","",IFERROR(IF(INDEX('🎓 Alumnas'!$E$2:$E$1000,MATCH($C42,'🎓 Alumnas'!$B$2:$B$1000,0))="","",INDEX('🎓 Alumnas'!$E$2:$E$1000,MATCH($C42,'🎓 Alumnas'!$B$2:$B$1000,0))),""))</f>
        <v/>
      </c>
      <c r="G42" s="31" t="str">
        <f>IF($C42="","",IFERROR(IF(INDEX('🎓 Alumnas'!$F$2:$F$1000,MATCH($C42,'🎓 Alumnas'!$B$2:$B$1000,0))="","",INDEX('🎓 Alumnas'!$F$2:$F$1000,MATCH($C42,'🎓 Alumnas'!$B$2:$B$1000,0))),""))</f>
        <v/>
      </c>
      <c r="H42" s="29" t="str">
        <f t="shared" ca="1" si="0"/>
        <v/>
      </c>
      <c r="I42" s="26"/>
      <c r="J42" s="29" t="str">
        <f t="shared" si="1"/>
        <v/>
      </c>
      <c r="K42" s="26"/>
      <c r="L42" s="26"/>
      <c r="M42" s="35"/>
      <c r="N42" s="30" t="str">
        <f t="shared" si="2"/>
        <v/>
      </c>
      <c r="O42" s="36"/>
      <c r="P42" s="26"/>
      <c r="Q42" s="26"/>
      <c r="R42" s="29" t="str">
        <f>IF(C42="","",IF(COUNTIF($C$2:C42,C42)=1,"Nueva","Recurrente"))</f>
        <v/>
      </c>
      <c r="S42" s="29" t="str">
        <f>IF(OR(C42="",J42&lt;&gt;"Paquete"),"",COUNTIFS($C$2:C42,C42,$J$2:J42,"Paquete"))</f>
        <v/>
      </c>
      <c r="T42" s="26"/>
    </row>
    <row r="43" spans="1:20" x14ac:dyDescent="0.35">
      <c r="A43" s="26" t="s">
        <v>471</v>
      </c>
      <c r="B43" s="28"/>
      <c r="C43" s="26"/>
      <c r="D43" s="34" t="str">
        <f>IF($C43="","",IFERROR(IF(INDEX('🎓 Alumnas'!$C$2:$C$1000,MATCH($C43,'🎓 Alumnas'!$B$2:$B$1000,0))="","",INDEX('🎓 Alumnas'!$C$2:$C$1000,MATCH($C43,'🎓 Alumnas'!$B$2:$B$1000,0))),""))</f>
        <v/>
      </c>
      <c r="E43" s="29" t="str">
        <f>IF($C43="","",IFERROR(IF(INDEX('🎓 Alumnas'!$D$2:$D$1000,MATCH($C43,'🎓 Alumnas'!$B$2:$B$1000,0))="","",INDEX('🎓 Alumnas'!$D$2:$D$1000,MATCH($C43,'🎓 Alumnas'!$B$2:$B$1000,0))),""))</f>
        <v/>
      </c>
      <c r="F43" s="29" t="str">
        <f>IF($C43="","",IFERROR(IF(INDEX('🎓 Alumnas'!$E$2:$E$1000,MATCH($C43,'🎓 Alumnas'!$B$2:$B$1000,0))="","",INDEX('🎓 Alumnas'!$E$2:$E$1000,MATCH($C43,'🎓 Alumnas'!$B$2:$B$1000,0))),""))</f>
        <v/>
      </c>
      <c r="G43" s="31" t="str">
        <f>IF($C43="","",IFERROR(IF(INDEX('🎓 Alumnas'!$F$2:$F$1000,MATCH($C43,'🎓 Alumnas'!$B$2:$B$1000,0))="","",INDEX('🎓 Alumnas'!$F$2:$F$1000,MATCH($C43,'🎓 Alumnas'!$B$2:$B$1000,0))),""))</f>
        <v/>
      </c>
      <c r="H43" s="29" t="str">
        <f t="shared" ca="1" si="0"/>
        <v/>
      </c>
      <c r="I43" s="26"/>
      <c r="J43" s="29" t="str">
        <f t="shared" si="1"/>
        <v/>
      </c>
      <c r="K43" s="26"/>
      <c r="L43" s="26"/>
      <c r="M43" s="35"/>
      <c r="N43" s="30" t="str">
        <f t="shared" si="2"/>
        <v/>
      </c>
      <c r="O43" s="36"/>
      <c r="P43" s="26"/>
      <c r="Q43" s="26"/>
      <c r="R43" s="29" t="str">
        <f>IF(C43="","",IF(COUNTIF($C$2:C43,C43)=1,"Nueva","Recurrente"))</f>
        <v/>
      </c>
      <c r="S43" s="29" t="str">
        <f>IF(OR(C43="",J43&lt;&gt;"Paquete"),"",COUNTIFS($C$2:C43,C43,$J$2:J43,"Paquete"))</f>
        <v/>
      </c>
      <c r="T43" s="26"/>
    </row>
    <row r="44" spans="1:20" x14ac:dyDescent="0.35">
      <c r="A44" s="26" t="s">
        <v>472</v>
      </c>
      <c r="B44" s="28"/>
      <c r="C44" s="26"/>
      <c r="D44" s="34" t="str">
        <f>IF($C44="","",IFERROR(IF(INDEX('🎓 Alumnas'!$C$2:$C$1000,MATCH($C44,'🎓 Alumnas'!$B$2:$B$1000,0))="","",INDEX('🎓 Alumnas'!$C$2:$C$1000,MATCH($C44,'🎓 Alumnas'!$B$2:$B$1000,0))),""))</f>
        <v/>
      </c>
      <c r="E44" s="29" t="str">
        <f>IF($C44="","",IFERROR(IF(INDEX('🎓 Alumnas'!$D$2:$D$1000,MATCH($C44,'🎓 Alumnas'!$B$2:$B$1000,0))="","",INDEX('🎓 Alumnas'!$D$2:$D$1000,MATCH($C44,'🎓 Alumnas'!$B$2:$B$1000,0))),""))</f>
        <v/>
      </c>
      <c r="F44" s="29" t="str">
        <f>IF($C44="","",IFERROR(IF(INDEX('🎓 Alumnas'!$E$2:$E$1000,MATCH($C44,'🎓 Alumnas'!$B$2:$B$1000,0))="","",INDEX('🎓 Alumnas'!$E$2:$E$1000,MATCH($C44,'🎓 Alumnas'!$B$2:$B$1000,0))),""))</f>
        <v/>
      </c>
      <c r="G44" s="31" t="str">
        <f>IF($C44="","",IFERROR(IF(INDEX('🎓 Alumnas'!$F$2:$F$1000,MATCH($C44,'🎓 Alumnas'!$B$2:$B$1000,0))="","",INDEX('🎓 Alumnas'!$F$2:$F$1000,MATCH($C44,'🎓 Alumnas'!$B$2:$B$1000,0))),""))</f>
        <v/>
      </c>
      <c r="H44" s="29" t="str">
        <f t="shared" ca="1" si="0"/>
        <v/>
      </c>
      <c r="I44" s="26"/>
      <c r="J44" s="29" t="str">
        <f t="shared" si="1"/>
        <v/>
      </c>
      <c r="K44" s="26"/>
      <c r="L44" s="26"/>
      <c r="M44" s="35"/>
      <c r="N44" s="30" t="str">
        <f t="shared" si="2"/>
        <v/>
      </c>
      <c r="O44" s="36"/>
      <c r="P44" s="26"/>
      <c r="Q44" s="26"/>
      <c r="R44" s="29" t="str">
        <f>IF(C44="","",IF(COUNTIF($C$2:C44,C44)=1,"Nueva","Recurrente"))</f>
        <v/>
      </c>
      <c r="S44" s="29" t="str">
        <f>IF(OR(C44="",J44&lt;&gt;"Paquete"),"",COUNTIFS($C$2:C44,C44,$J$2:J44,"Paquete"))</f>
        <v/>
      </c>
      <c r="T44" s="26"/>
    </row>
    <row r="45" spans="1:20" x14ac:dyDescent="0.35">
      <c r="A45" s="26" t="s">
        <v>473</v>
      </c>
      <c r="B45" s="28"/>
      <c r="C45" s="26"/>
      <c r="D45" s="34" t="str">
        <f>IF($C45="","",IFERROR(IF(INDEX('🎓 Alumnas'!$C$2:$C$1000,MATCH($C45,'🎓 Alumnas'!$B$2:$B$1000,0))="","",INDEX('🎓 Alumnas'!$C$2:$C$1000,MATCH($C45,'🎓 Alumnas'!$B$2:$B$1000,0))),""))</f>
        <v/>
      </c>
      <c r="E45" s="29" t="str">
        <f>IF($C45="","",IFERROR(IF(INDEX('🎓 Alumnas'!$D$2:$D$1000,MATCH($C45,'🎓 Alumnas'!$B$2:$B$1000,0))="","",INDEX('🎓 Alumnas'!$D$2:$D$1000,MATCH($C45,'🎓 Alumnas'!$B$2:$B$1000,0))),""))</f>
        <v/>
      </c>
      <c r="F45" s="29" t="str">
        <f>IF($C45="","",IFERROR(IF(INDEX('🎓 Alumnas'!$E$2:$E$1000,MATCH($C45,'🎓 Alumnas'!$B$2:$B$1000,0))="","",INDEX('🎓 Alumnas'!$E$2:$E$1000,MATCH($C45,'🎓 Alumnas'!$B$2:$B$1000,0))),""))</f>
        <v/>
      </c>
      <c r="G45" s="31" t="str">
        <f>IF($C45="","",IFERROR(IF(INDEX('🎓 Alumnas'!$F$2:$F$1000,MATCH($C45,'🎓 Alumnas'!$B$2:$B$1000,0))="","",INDEX('🎓 Alumnas'!$F$2:$F$1000,MATCH($C45,'🎓 Alumnas'!$B$2:$B$1000,0))),""))</f>
        <v/>
      </c>
      <c r="H45" s="29" t="str">
        <f t="shared" ca="1" si="0"/>
        <v/>
      </c>
      <c r="I45" s="26"/>
      <c r="J45" s="29" t="str">
        <f t="shared" si="1"/>
        <v/>
      </c>
      <c r="K45" s="26"/>
      <c r="L45" s="26"/>
      <c r="M45" s="35"/>
      <c r="N45" s="30" t="str">
        <f t="shared" si="2"/>
        <v/>
      </c>
      <c r="O45" s="36"/>
      <c r="P45" s="26"/>
      <c r="Q45" s="26"/>
      <c r="R45" s="29" t="str">
        <f>IF(C45="","",IF(COUNTIF($C$2:C45,C45)=1,"Nueva","Recurrente"))</f>
        <v/>
      </c>
      <c r="S45" s="29" t="str">
        <f>IF(OR(C45="",J45&lt;&gt;"Paquete"),"",COUNTIFS($C$2:C45,C45,$J$2:J45,"Paquete"))</f>
        <v/>
      </c>
      <c r="T45" s="26"/>
    </row>
    <row r="46" spans="1:20" x14ac:dyDescent="0.35">
      <c r="A46" s="26" t="s">
        <v>474</v>
      </c>
      <c r="B46" s="28"/>
      <c r="C46" s="26"/>
      <c r="D46" s="34" t="str">
        <f>IF($C46="","",IFERROR(IF(INDEX('🎓 Alumnas'!$C$2:$C$1000,MATCH($C46,'🎓 Alumnas'!$B$2:$B$1000,0))="","",INDEX('🎓 Alumnas'!$C$2:$C$1000,MATCH($C46,'🎓 Alumnas'!$B$2:$B$1000,0))),""))</f>
        <v/>
      </c>
      <c r="E46" s="29" t="str">
        <f>IF($C46="","",IFERROR(IF(INDEX('🎓 Alumnas'!$D$2:$D$1000,MATCH($C46,'🎓 Alumnas'!$B$2:$B$1000,0))="","",INDEX('🎓 Alumnas'!$D$2:$D$1000,MATCH($C46,'🎓 Alumnas'!$B$2:$B$1000,0))),""))</f>
        <v/>
      </c>
      <c r="F46" s="29" t="str">
        <f>IF($C46="","",IFERROR(IF(INDEX('🎓 Alumnas'!$E$2:$E$1000,MATCH($C46,'🎓 Alumnas'!$B$2:$B$1000,0))="","",INDEX('🎓 Alumnas'!$E$2:$E$1000,MATCH($C46,'🎓 Alumnas'!$B$2:$B$1000,0))),""))</f>
        <v/>
      </c>
      <c r="G46" s="31" t="str">
        <f>IF($C46="","",IFERROR(IF(INDEX('🎓 Alumnas'!$F$2:$F$1000,MATCH($C46,'🎓 Alumnas'!$B$2:$B$1000,0))="","",INDEX('🎓 Alumnas'!$F$2:$F$1000,MATCH($C46,'🎓 Alumnas'!$B$2:$B$1000,0))),""))</f>
        <v/>
      </c>
      <c r="H46" s="29" t="str">
        <f t="shared" ca="1" si="0"/>
        <v/>
      </c>
      <c r="I46" s="26"/>
      <c r="J46" s="29" t="str">
        <f t="shared" si="1"/>
        <v/>
      </c>
      <c r="K46" s="26"/>
      <c r="L46" s="26"/>
      <c r="M46" s="35"/>
      <c r="N46" s="30" t="str">
        <f t="shared" si="2"/>
        <v/>
      </c>
      <c r="O46" s="36"/>
      <c r="P46" s="26"/>
      <c r="Q46" s="26"/>
      <c r="R46" s="29" t="str">
        <f>IF(C46="","",IF(COUNTIF($C$2:C46,C46)=1,"Nueva","Recurrente"))</f>
        <v/>
      </c>
      <c r="S46" s="29" t="str">
        <f>IF(OR(C46="",J46&lt;&gt;"Paquete"),"",COUNTIFS($C$2:C46,C46,$J$2:J46,"Paquete"))</f>
        <v/>
      </c>
      <c r="T46" s="26"/>
    </row>
    <row r="47" spans="1:20" x14ac:dyDescent="0.35">
      <c r="A47" s="26" t="s">
        <v>475</v>
      </c>
      <c r="B47" s="28"/>
      <c r="C47" s="26"/>
      <c r="D47" s="34" t="str">
        <f>IF($C47="","",IFERROR(IF(INDEX('🎓 Alumnas'!$C$2:$C$1000,MATCH($C47,'🎓 Alumnas'!$B$2:$B$1000,0))="","",INDEX('🎓 Alumnas'!$C$2:$C$1000,MATCH($C47,'🎓 Alumnas'!$B$2:$B$1000,0))),""))</f>
        <v/>
      </c>
      <c r="E47" s="29" t="str">
        <f>IF($C47="","",IFERROR(IF(INDEX('🎓 Alumnas'!$D$2:$D$1000,MATCH($C47,'🎓 Alumnas'!$B$2:$B$1000,0))="","",INDEX('🎓 Alumnas'!$D$2:$D$1000,MATCH($C47,'🎓 Alumnas'!$B$2:$B$1000,0))),""))</f>
        <v/>
      </c>
      <c r="F47" s="29" t="str">
        <f>IF($C47="","",IFERROR(IF(INDEX('🎓 Alumnas'!$E$2:$E$1000,MATCH($C47,'🎓 Alumnas'!$B$2:$B$1000,0))="","",INDEX('🎓 Alumnas'!$E$2:$E$1000,MATCH($C47,'🎓 Alumnas'!$B$2:$B$1000,0))),""))</f>
        <v/>
      </c>
      <c r="G47" s="31" t="str">
        <f>IF($C47="","",IFERROR(IF(INDEX('🎓 Alumnas'!$F$2:$F$1000,MATCH($C47,'🎓 Alumnas'!$B$2:$B$1000,0))="","",INDEX('🎓 Alumnas'!$F$2:$F$1000,MATCH($C47,'🎓 Alumnas'!$B$2:$B$1000,0))),""))</f>
        <v/>
      </c>
      <c r="H47" s="29" t="str">
        <f t="shared" ca="1" si="0"/>
        <v/>
      </c>
      <c r="I47" s="26"/>
      <c r="J47" s="29" t="str">
        <f t="shared" si="1"/>
        <v/>
      </c>
      <c r="K47" s="26"/>
      <c r="L47" s="26"/>
      <c r="M47" s="35"/>
      <c r="N47" s="30" t="str">
        <f t="shared" si="2"/>
        <v/>
      </c>
      <c r="O47" s="36"/>
      <c r="P47" s="26"/>
      <c r="Q47" s="26"/>
      <c r="R47" s="29" t="str">
        <f>IF(C47="","",IF(COUNTIF($C$2:C47,C47)=1,"Nueva","Recurrente"))</f>
        <v/>
      </c>
      <c r="S47" s="29" t="str">
        <f>IF(OR(C47="",J47&lt;&gt;"Paquete"),"",COUNTIFS($C$2:C47,C47,$J$2:J47,"Paquete"))</f>
        <v/>
      </c>
      <c r="T47" s="26"/>
    </row>
    <row r="48" spans="1:20" x14ac:dyDescent="0.35">
      <c r="A48" s="26" t="s">
        <v>476</v>
      </c>
      <c r="B48" s="28"/>
      <c r="C48" s="26"/>
      <c r="D48" s="34" t="str">
        <f>IF($C48="","",IFERROR(IF(INDEX('🎓 Alumnas'!$C$2:$C$1000,MATCH($C48,'🎓 Alumnas'!$B$2:$B$1000,0))="","",INDEX('🎓 Alumnas'!$C$2:$C$1000,MATCH($C48,'🎓 Alumnas'!$B$2:$B$1000,0))),""))</f>
        <v/>
      </c>
      <c r="E48" s="29" t="str">
        <f>IF($C48="","",IFERROR(IF(INDEX('🎓 Alumnas'!$D$2:$D$1000,MATCH($C48,'🎓 Alumnas'!$B$2:$B$1000,0))="","",INDEX('🎓 Alumnas'!$D$2:$D$1000,MATCH($C48,'🎓 Alumnas'!$B$2:$B$1000,0))),""))</f>
        <v/>
      </c>
      <c r="F48" s="29" t="str">
        <f>IF($C48="","",IFERROR(IF(INDEX('🎓 Alumnas'!$E$2:$E$1000,MATCH($C48,'🎓 Alumnas'!$B$2:$B$1000,0))="","",INDEX('🎓 Alumnas'!$E$2:$E$1000,MATCH($C48,'🎓 Alumnas'!$B$2:$B$1000,0))),""))</f>
        <v/>
      </c>
      <c r="G48" s="31" t="str">
        <f>IF($C48="","",IFERROR(IF(INDEX('🎓 Alumnas'!$F$2:$F$1000,MATCH($C48,'🎓 Alumnas'!$B$2:$B$1000,0))="","",INDEX('🎓 Alumnas'!$F$2:$F$1000,MATCH($C48,'🎓 Alumnas'!$B$2:$B$1000,0))),""))</f>
        <v/>
      </c>
      <c r="H48" s="29" t="str">
        <f t="shared" ca="1" si="0"/>
        <v/>
      </c>
      <c r="I48" s="26"/>
      <c r="J48" s="29" t="str">
        <f t="shared" si="1"/>
        <v/>
      </c>
      <c r="K48" s="26"/>
      <c r="L48" s="26"/>
      <c r="M48" s="35"/>
      <c r="N48" s="30" t="str">
        <f t="shared" si="2"/>
        <v/>
      </c>
      <c r="O48" s="36"/>
      <c r="P48" s="26"/>
      <c r="Q48" s="26"/>
      <c r="R48" s="29" t="str">
        <f>IF(C48="","",IF(COUNTIF($C$2:C48,C48)=1,"Nueva","Recurrente"))</f>
        <v/>
      </c>
      <c r="S48" s="29" t="str">
        <f>IF(OR(C48="",J48&lt;&gt;"Paquete"),"",COUNTIFS($C$2:C48,C48,$J$2:J48,"Paquete"))</f>
        <v/>
      </c>
      <c r="T48" s="26"/>
    </row>
    <row r="49" spans="1:20" x14ac:dyDescent="0.35">
      <c r="A49" s="26" t="s">
        <v>477</v>
      </c>
      <c r="B49" s="28"/>
      <c r="C49" s="26"/>
      <c r="D49" s="34" t="str">
        <f>IF($C49="","",IFERROR(IF(INDEX('🎓 Alumnas'!$C$2:$C$1000,MATCH($C49,'🎓 Alumnas'!$B$2:$B$1000,0))="","",INDEX('🎓 Alumnas'!$C$2:$C$1000,MATCH($C49,'🎓 Alumnas'!$B$2:$B$1000,0))),""))</f>
        <v/>
      </c>
      <c r="E49" s="29" t="str">
        <f>IF($C49="","",IFERROR(IF(INDEX('🎓 Alumnas'!$D$2:$D$1000,MATCH($C49,'🎓 Alumnas'!$B$2:$B$1000,0))="","",INDEX('🎓 Alumnas'!$D$2:$D$1000,MATCH($C49,'🎓 Alumnas'!$B$2:$B$1000,0))),""))</f>
        <v/>
      </c>
      <c r="F49" s="29" t="str">
        <f>IF($C49="","",IFERROR(IF(INDEX('🎓 Alumnas'!$E$2:$E$1000,MATCH($C49,'🎓 Alumnas'!$B$2:$B$1000,0))="","",INDEX('🎓 Alumnas'!$E$2:$E$1000,MATCH($C49,'🎓 Alumnas'!$B$2:$B$1000,0))),""))</f>
        <v/>
      </c>
      <c r="G49" s="31" t="str">
        <f>IF($C49="","",IFERROR(IF(INDEX('🎓 Alumnas'!$F$2:$F$1000,MATCH($C49,'🎓 Alumnas'!$B$2:$B$1000,0))="","",INDEX('🎓 Alumnas'!$F$2:$F$1000,MATCH($C49,'🎓 Alumnas'!$B$2:$B$1000,0))),""))</f>
        <v/>
      </c>
      <c r="H49" s="29" t="str">
        <f t="shared" ca="1" si="0"/>
        <v/>
      </c>
      <c r="I49" s="26"/>
      <c r="J49" s="29" t="str">
        <f t="shared" si="1"/>
        <v/>
      </c>
      <c r="K49" s="26"/>
      <c r="L49" s="26"/>
      <c r="M49" s="35"/>
      <c r="N49" s="30" t="str">
        <f t="shared" si="2"/>
        <v/>
      </c>
      <c r="O49" s="36"/>
      <c r="P49" s="26"/>
      <c r="Q49" s="26"/>
      <c r="R49" s="29" t="str">
        <f>IF(C49="","",IF(COUNTIF($C$2:C49,C49)=1,"Nueva","Recurrente"))</f>
        <v/>
      </c>
      <c r="S49" s="29" t="str">
        <f>IF(OR(C49="",J49&lt;&gt;"Paquete"),"",COUNTIFS($C$2:C49,C49,$J$2:J49,"Paquete"))</f>
        <v/>
      </c>
      <c r="T49" s="26"/>
    </row>
    <row r="50" spans="1:20" x14ac:dyDescent="0.35">
      <c r="A50" s="26" t="s">
        <v>478</v>
      </c>
      <c r="B50" s="28"/>
      <c r="C50" s="26"/>
      <c r="D50" s="34" t="str">
        <f>IF($C50="","",IFERROR(IF(INDEX('🎓 Alumnas'!$C$2:$C$1000,MATCH($C50,'🎓 Alumnas'!$B$2:$B$1000,0))="","",INDEX('🎓 Alumnas'!$C$2:$C$1000,MATCH($C50,'🎓 Alumnas'!$B$2:$B$1000,0))),""))</f>
        <v/>
      </c>
      <c r="E50" s="29" t="str">
        <f>IF($C50="","",IFERROR(IF(INDEX('🎓 Alumnas'!$D$2:$D$1000,MATCH($C50,'🎓 Alumnas'!$B$2:$B$1000,0))="","",INDEX('🎓 Alumnas'!$D$2:$D$1000,MATCH($C50,'🎓 Alumnas'!$B$2:$B$1000,0))),""))</f>
        <v/>
      </c>
      <c r="F50" s="29" t="str">
        <f>IF($C50="","",IFERROR(IF(INDEX('🎓 Alumnas'!$E$2:$E$1000,MATCH($C50,'🎓 Alumnas'!$B$2:$B$1000,0))="","",INDEX('🎓 Alumnas'!$E$2:$E$1000,MATCH($C50,'🎓 Alumnas'!$B$2:$B$1000,0))),""))</f>
        <v/>
      </c>
      <c r="G50" s="31" t="str">
        <f>IF($C50="","",IFERROR(IF(INDEX('🎓 Alumnas'!$F$2:$F$1000,MATCH($C50,'🎓 Alumnas'!$B$2:$B$1000,0))="","",INDEX('🎓 Alumnas'!$F$2:$F$1000,MATCH($C50,'🎓 Alumnas'!$B$2:$B$1000,0))),""))</f>
        <v/>
      </c>
      <c r="H50" s="29" t="str">
        <f t="shared" ca="1" si="0"/>
        <v/>
      </c>
      <c r="I50" s="26"/>
      <c r="J50" s="29" t="str">
        <f t="shared" si="1"/>
        <v/>
      </c>
      <c r="K50" s="26"/>
      <c r="L50" s="26"/>
      <c r="M50" s="35"/>
      <c r="N50" s="30" t="str">
        <f t="shared" si="2"/>
        <v/>
      </c>
      <c r="O50" s="36"/>
      <c r="P50" s="26"/>
      <c r="Q50" s="26"/>
      <c r="R50" s="29" t="str">
        <f>IF(C50="","",IF(COUNTIF($C$2:C50,C50)=1,"Nueva","Recurrente"))</f>
        <v/>
      </c>
      <c r="S50" s="29" t="str">
        <f>IF(OR(C50="",J50&lt;&gt;"Paquete"),"",COUNTIFS($C$2:C50,C50,$J$2:J50,"Paquete"))</f>
        <v/>
      </c>
      <c r="T50" s="26"/>
    </row>
    <row r="51" spans="1:20" x14ac:dyDescent="0.35">
      <c r="A51" s="26" t="s">
        <v>479</v>
      </c>
      <c r="B51" s="28"/>
      <c r="C51" s="26"/>
      <c r="D51" s="34" t="str">
        <f>IF($C51="","",IFERROR(IF(INDEX('🎓 Alumnas'!$C$2:$C$1000,MATCH($C51,'🎓 Alumnas'!$B$2:$B$1000,0))="","",INDEX('🎓 Alumnas'!$C$2:$C$1000,MATCH($C51,'🎓 Alumnas'!$B$2:$B$1000,0))),""))</f>
        <v/>
      </c>
      <c r="E51" s="29" t="str">
        <f>IF($C51="","",IFERROR(IF(INDEX('🎓 Alumnas'!$D$2:$D$1000,MATCH($C51,'🎓 Alumnas'!$B$2:$B$1000,0))="","",INDEX('🎓 Alumnas'!$D$2:$D$1000,MATCH($C51,'🎓 Alumnas'!$B$2:$B$1000,0))),""))</f>
        <v/>
      </c>
      <c r="F51" s="29" t="str">
        <f>IF($C51="","",IFERROR(IF(INDEX('🎓 Alumnas'!$E$2:$E$1000,MATCH($C51,'🎓 Alumnas'!$B$2:$B$1000,0))="","",INDEX('🎓 Alumnas'!$E$2:$E$1000,MATCH($C51,'🎓 Alumnas'!$B$2:$B$1000,0))),""))</f>
        <v/>
      </c>
      <c r="G51" s="31" t="str">
        <f>IF($C51="","",IFERROR(IF(INDEX('🎓 Alumnas'!$F$2:$F$1000,MATCH($C51,'🎓 Alumnas'!$B$2:$B$1000,0))="","",INDEX('🎓 Alumnas'!$F$2:$F$1000,MATCH($C51,'🎓 Alumnas'!$B$2:$B$1000,0))),""))</f>
        <v/>
      </c>
      <c r="H51" s="29" t="str">
        <f t="shared" ca="1" si="0"/>
        <v/>
      </c>
      <c r="I51" s="26"/>
      <c r="J51" s="29" t="str">
        <f t="shared" si="1"/>
        <v/>
      </c>
      <c r="K51" s="26"/>
      <c r="L51" s="26"/>
      <c r="M51" s="35"/>
      <c r="N51" s="30" t="str">
        <f t="shared" si="2"/>
        <v/>
      </c>
      <c r="O51" s="36"/>
      <c r="P51" s="26"/>
      <c r="Q51" s="26"/>
      <c r="R51" s="29" t="str">
        <f>IF(C51="","",IF(COUNTIF($C$2:C51,C51)=1,"Nueva","Recurrente"))</f>
        <v/>
      </c>
      <c r="S51" s="29" t="str">
        <f>IF(OR(C51="",J51&lt;&gt;"Paquete"),"",COUNTIFS($C$2:C51,C51,$J$2:J51,"Paquete"))</f>
        <v/>
      </c>
      <c r="T51" s="26"/>
    </row>
    <row r="52" spans="1:20" x14ac:dyDescent="0.35">
      <c r="A52" s="26" t="s">
        <v>480</v>
      </c>
      <c r="B52" s="28"/>
      <c r="C52" s="26"/>
      <c r="D52" s="34" t="str">
        <f>IF($C52="","",IFERROR(IF(INDEX('🎓 Alumnas'!$C$2:$C$1000,MATCH($C52,'🎓 Alumnas'!$B$2:$B$1000,0))="","",INDEX('🎓 Alumnas'!$C$2:$C$1000,MATCH($C52,'🎓 Alumnas'!$B$2:$B$1000,0))),""))</f>
        <v/>
      </c>
      <c r="E52" s="29" t="str">
        <f>IF($C52="","",IFERROR(IF(INDEX('🎓 Alumnas'!$D$2:$D$1000,MATCH($C52,'🎓 Alumnas'!$B$2:$B$1000,0))="","",INDEX('🎓 Alumnas'!$D$2:$D$1000,MATCH($C52,'🎓 Alumnas'!$B$2:$B$1000,0))),""))</f>
        <v/>
      </c>
      <c r="F52" s="29" t="str">
        <f>IF($C52="","",IFERROR(IF(INDEX('🎓 Alumnas'!$E$2:$E$1000,MATCH($C52,'🎓 Alumnas'!$B$2:$B$1000,0))="","",INDEX('🎓 Alumnas'!$E$2:$E$1000,MATCH($C52,'🎓 Alumnas'!$B$2:$B$1000,0))),""))</f>
        <v/>
      </c>
      <c r="G52" s="31" t="str">
        <f>IF($C52="","",IFERROR(IF(INDEX('🎓 Alumnas'!$F$2:$F$1000,MATCH($C52,'🎓 Alumnas'!$B$2:$B$1000,0))="","",INDEX('🎓 Alumnas'!$F$2:$F$1000,MATCH($C52,'🎓 Alumnas'!$B$2:$B$1000,0))),""))</f>
        <v/>
      </c>
      <c r="H52" s="29" t="str">
        <f t="shared" ca="1" si="0"/>
        <v/>
      </c>
      <c r="I52" s="26"/>
      <c r="J52" s="29" t="str">
        <f t="shared" si="1"/>
        <v/>
      </c>
      <c r="K52" s="26"/>
      <c r="L52" s="26"/>
      <c r="M52" s="35"/>
      <c r="N52" s="30" t="str">
        <f t="shared" si="2"/>
        <v/>
      </c>
      <c r="O52" s="36"/>
      <c r="P52" s="26"/>
      <c r="Q52" s="26"/>
      <c r="R52" s="29" t="str">
        <f>IF(C52="","",IF(COUNTIF($C$2:C52,C52)=1,"Nueva","Recurrente"))</f>
        <v/>
      </c>
      <c r="S52" s="29" t="str">
        <f>IF(OR(C52="",J52&lt;&gt;"Paquete"),"",COUNTIFS($C$2:C52,C52,$J$2:J52,"Paquete"))</f>
        <v/>
      </c>
      <c r="T52" s="26"/>
    </row>
    <row r="53" spans="1:20" x14ac:dyDescent="0.35">
      <c r="A53" s="26" t="s">
        <v>481</v>
      </c>
      <c r="B53" s="28"/>
      <c r="C53" s="26"/>
      <c r="D53" s="34" t="str">
        <f>IF($C53="","",IFERROR(IF(INDEX('🎓 Alumnas'!$C$2:$C$1000,MATCH($C53,'🎓 Alumnas'!$B$2:$B$1000,0))="","",INDEX('🎓 Alumnas'!$C$2:$C$1000,MATCH($C53,'🎓 Alumnas'!$B$2:$B$1000,0))),""))</f>
        <v/>
      </c>
      <c r="E53" s="29" t="str">
        <f>IF($C53="","",IFERROR(IF(INDEX('🎓 Alumnas'!$D$2:$D$1000,MATCH($C53,'🎓 Alumnas'!$B$2:$B$1000,0))="","",INDEX('🎓 Alumnas'!$D$2:$D$1000,MATCH($C53,'🎓 Alumnas'!$B$2:$B$1000,0))),""))</f>
        <v/>
      </c>
      <c r="F53" s="29" t="str">
        <f>IF($C53="","",IFERROR(IF(INDEX('🎓 Alumnas'!$E$2:$E$1000,MATCH($C53,'🎓 Alumnas'!$B$2:$B$1000,0))="","",INDEX('🎓 Alumnas'!$E$2:$E$1000,MATCH($C53,'🎓 Alumnas'!$B$2:$B$1000,0))),""))</f>
        <v/>
      </c>
      <c r="G53" s="31" t="str">
        <f>IF($C53="","",IFERROR(IF(INDEX('🎓 Alumnas'!$F$2:$F$1000,MATCH($C53,'🎓 Alumnas'!$B$2:$B$1000,0))="","",INDEX('🎓 Alumnas'!$F$2:$F$1000,MATCH($C53,'🎓 Alumnas'!$B$2:$B$1000,0))),""))</f>
        <v/>
      </c>
      <c r="H53" s="29" t="str">
        <f t="shared" ca="1" si="0"/>
        <v/>
      </c>
      <c r="I53" s="26"/>
      <c r="J53" s="29" t="str">
        <f t="shared" si="1"/>
        <v/>
      </c>
      <c r="K53" s="26"/>
      <c r="L53" s="26"/>
      <c r="M53" s="35"/>
      <c r="N53" s="30" t="str">
        <f t="shared" si="2"/>
        <v/>
      </c>
      <c r="O53" s="36"/>
      <c r="P53" s="26"/>
      <c r="Q53" s="26"/>
      <c r="R53" s="29" t="str">
        <f>IF(C53="","",IF(COUNTIF($C$2:C53,C53)=1,"Nueva","Recurrente"))</f>
        <v/>
      </c>
      <c r="S53" s="29" t="str">
        <f>IF(OR(C53="",J53&lt;&gt;"Paquete"),"",COUNTIFS($C$2:C53,C53,$J$2:J53,"Paquete"))</f>
        <v/>
      </c>
      <c r="T53" s="26"/>
    </row>
    <row r="54" spans="1:20" x14ac:dyDescent="0.35">
      <c r="A54" s="26" t="s">
        <v>482</v>
      </c>
      <c r="B54" s="28"/>
      <c r="C54" s="26"/>
      <c r="D54" s="34" t="str">
        <f>IF($C54="","",IFERROR(IF(INDEX('🎓 Alumnas'!$C$2:$C$1000,MATCH($C54,'🎓 Alumnas'!$B$2:$B$1000,0))="","",INDEX('🎓 Alumnas'!$C$2:$C$1000,MATCH($C54,'🎓 Alumnas'!$B$2:$B$1000,0))),""))</f>
        <v/>
      </c>
      <c r="E54" s="29" t="str">
        <f>IF($C54="","",IFERROR(IF(INDEX('🎓 Alumnas'!$D$2:$D$1000,MATCH($C54,'🎓 Alumnas'!$B$2:$B$1000,0))="","",INDEX('🎓 Alumnas'!$D$2:$D$1000,MATCH($C54,'🎓 Alumnas'!$B$2:$B$1000,0))),""))</f>
        <v/>
      </c>
      <c r="F54" s="29" t="str">
        <f>IF($C54="","",IFERROR(IF(INDEX('🎓 Alumnas'!$E$2:$E$1000,MATCH($C54,'🎓 Alumnas'!$B$2:$B$1000,0))="","",INDEX('🎓 Alumnas'!$E$2:$E$1000,MATCH($C54,'🎓 Alumnas'!$B$2:$B$1000,0))),""))</f>
        <v/>
      </c>
      <c r="G54" s="31" t="str">
        <f>IF($C54="","",IFERROR(IF(INDEX('🎓 Alumnas'!$F$2:$F$1000,MATCH($C54,'🎓 Alumnas'!$B$2:$B$1000,0))="","",INDEX('🎓 Alumnas'!$F$2:$F$1000,MATCH($C54,'🎓 Alumnas'!$B$2:$B$1000,0))),""))</f>
        <v/>
      </c>
      <c r="H54" s="29" t="str">
        <f t="shared" ca="1" si="0"/>
        <v/>
      </c>
      <c r="I54" s="26"/>
      <c r="J54" s="29" t="str">
        <f t="shared" si="1"/>
        <v/>
      </c>
      <c r="K54" s="26"/>
      <c r="L54" s="26"/>
      <c r="M54" s="35"/>
      <c r="N54" s="30" t="str">
        <f t="shared" si="2"/>
        <v/>
      </c>
      <c r="O54" s="36"/>
      <c r="P54" s="26"/>
      <c r="Q54" s="26"/>
      <c r="R54" s="29" t="str">
        <f>IF(C54="","",IF(COUNTIF($C$2:C54,C54)=1,"Nueva","Recurrente"))</f>
        <v/>
      </c>
      <c r="S54" s="29" t="str">
        <f>IF(OR(C54="",J54&lt;&gt;"Paquete"),"",COUNTIFS($C$2:C54,C54,$J$2:J54,"Paquete"))</f>
        <v/>
      </c>
      <c r="T54" s="26"/>
    </row>
    <row r="55" spans="1:20" x14ac:dyDescent="0.35">
      <c r="A55" s="26" t="s">
        <v>483</v>
      </c>
      <c r="B55" s="28"/>
      <c r="C55" s="26"/>
      <c r="D55" s="34" t="str">
        <f>IF($C55="","",IFERROR(IF(INDEX('🎓 Alumnas'!$C$2:$C$1000,MATCH($C55,'🎓 Alumnas'!$B$2:$B$1000,0))="","",INDEX('🎓 Alumnas'!$C$2:$C$1000,MATCH($C55,'🎓 Alumnas'!$B$2:$B$1000,0))),""))</f>
        <v/>
      </c>
      <c r="E55" s="29" t="str">
        <f>IF($C55="","",IFERROR(IF(INDEX('🎓 Alumnas'!$D$2:$D$1000,MATCH($C55,'🎓 Alumnas'!$B$2:$B$1000,0))="","",INDEX('🎓 Alumnas'!$D$2:$D$1000,MATCH($C55,'🎓 Alumnas'!$B$2:$B$1000,0))),""))</f>
        <v/>
      </c>
      <c r="F55" s="29" t="str">
        <f>IF($C55="","",IFERROR(IF(INDEX('🎓 Alumnas'!$E$2:$E$1000,MATCH($C55,'🎓 Alumnas'!$B$2:$B$1000,0))="","",INDEX('🎓 Alumnas'!$E$2:$E$1000,MATCH($C55,'🎓 Alumnas'!$B$2:$B$1000,0))),""))</f>
        <v/>
      </c>
      <c r="G55" s="31" t="str">
        <f>IF($C55="","",IFERROR(IF(INDEX('🎓 Alumnas'!$F$2:$F$1000,MATCH($C55,'🎓 Alumnas'!$B$2:$B$1000,0))="","",INDEX('🎓 Alumnas'!$F$2:$F$1000,MATCH($C55,'🎓 Alumnas'!$B$2:$B$1000,0))),""))</f>
        <v/>
      </c>
      <c r="H55" s="29" t="str">
        <f t="shared" ca="1" si="0"/>
        <v/>
      </c>
      <c r="I55" s="26"/>
      <c r="J55" s="29" t="str">
        <f t="shared" si="1"/>
        <v/>
      </c>
      <c r="K55" s="26"/>
      <c r="L55" s="26"/>
      <c r="M55" s="35"/>
      <c r="N55" s="30" t="str">
        <f t="shared" si="2"/>
        <v/>
      </c>
      <c r="O55" s="36"/>
      <c r="P55" s="26"/>
      <c r="Q55" s="26"/>
      <c r="R55" s="29" t="str">
        <f>IF(C55="","",IF(COUNTIF($C$2:C55,C55)=1,"Nueva","Recurrente"))</f>
        <v/>
      </c>
      <c r="S55" s="29" t="str">
        <f>IF(OR(C55="",J55&lt;&gt;"Paquete"),"",COUNTIFS($C$2:C55,C55,$J$2:J55,"Paquete"))</f>
        <v/>
      </c>
      <c r="T55" s="26"/>
    </row>
    <row r="56" spans="1:20" x14ac:dyDescent="0.35">
      <c r="A56" s="26" t="s">
        <v>484</v>
      </c>
      <c r="B56" s="28"/>
      <c r="C56" s="26"/>
      <c r="D56" s="34" t="str">
        <f>IF($C56="","",IFERROR(IF(INDEX('🎓 Alumnas'!$C$2:$C$1000,MATCH($C56,'🎓 Alumnas'!$B$2:$B$1000,0))="","",INDEX('🎓 Alumnas'!$C$2:$C$1000,MATCH($C56,'🎓 Alumnas'!$B$2:$B$1000,0))),""))</f>
        <v/>
      </c>
      <c r="E56" s="29" t="str">
        <f>IF($C56="","",IFERROR(IF(INDEX('🎓 Alumnas'!$D$2:$D$1000,MATCH($C56,'🎓 Alumnas'!$B$2:$B$1000,0))="","",INDEX('🎓 Alumnas'!$D$2:$D$1000,MATCH($C56,'🎓 Alumnas'!$B$2:$B$1000,0))),""))</f>
        <v/>
      </c>
      <c r="F56" s="29" t="str">
        <f>IF($C56="","",IFERROR(IF(INDEX('🎓 Alumnas'!$E$2:$E$1000,MATCH($C56,'🎓 Alumnas'!$B$2:$B$1000,0))="","",INDEX('🎓 Alumnas'!$E$2:$E$1000,MATCH($C56,'🎓 Alumnas'!$B$2:$B$1000,0))),""))</f>
        <v/>
      </c>
      <c r="G56" s="31" t="str">
        <f>IF($C56="","",IFERROR(IF(INDEX('🎓 Alumnas'!$F$2:$F$1000,MATCH($C56,'🎓 Alumnas'!$B$2:$B$1000,0))="","",INDEX('🎓 Alumnas'!$F$2:$F$1000,MATCH($C56,'🎓 Alumnas'!$B$2:$B$1000,0))),""))</f>
        <v/>
      </c>
      <c r="H56" s="29" t="str">
        <f t="shared" ca="1" si="0"/>
        <v/>
      </c>
      <c r="I56" s="26"/>
      <c r="J56" s="29" t="str">
        <f t="shared" si="1"/>
        <v/>
      </c>
      <c r="K56" s="26"/>
      <c r="L56" s="26"/>
      <c r="M56" s="35"/>
      <c r="N56" s="30" t="str">
        <f t="shared" si="2"/>
        <v/>
      </c>
      <c r="O56" s="36"/>
      <c r="P56" s="26"/>
      <c r="Q56" s="26"/>
      <c r="R56" s="29" t="str">
        <f>IF(C56="","",IF(COUNTIF($C$2:C56,C56)=1,"Nueva","Recurrente"))</f>
        <v/>
      </c>
      <c r="S56" s="29" t="str">
        <f>IF(OR(C56="",J56&lt;&gt;"Paquete"),"",COUNTIFS($C$2:C56,C56,$J$2:J56,"Paquete"))</f>
        <v/>
      </c>
      <c r="T56" s="26"/>
    </row>
    <row r="57" spans="1:20" x14ac:dyDescent="0.35">
      <c r="A57" s="26" t="s">
        <v>485</v>
      </c>
      <c r="B57" s="28"/>
      <c r="C57" s="26"/>
      <c r="D57" s="34" t="str">
        <f>IF($C57="","",IFERROR(IF(INDEX('🎓 Alumnas'!$C$2:$C$1000,MATCH($C57,'🎓 Alumnas'!$B$2:$B$1000,0))="","",INDEX('🎓 Alumnas'!$C$2:$C$1000,MATCH($C57,'🎓 Alumnas'!$B$2:$B$1000,0))),""))</f>
        <v/>
      </c>
      <c r="E57" s="29" t="str">
        <f>IF($C57="","",IFERROR(IF(INDEX('🎓 Alumnas'!$D$2:$D$1000,MATCH($C57,'🎓 Alumnas'!$B$2:$B$1000,0))="","",INDEX('🎓 Alumnas'!$D$2:$D$1000,MATCH($C57,'🎓 Alumnas'!$B$2:$B$1000,0))),""))</f>
        <v/>
      </c>
      <c r="F57" s="29" t="str">
        <f>IF($C57="","",IFERROR(IF(INDEX('🎓 Alumnas'!$E$2:$E$1000,MATCH($C57,'🎓 Alumnas'!$B$2:$B$1000,0))="","",INDEX('🎓 Alumnas'!$E$2:$E$1000,MATCH($C57,'🎓 Alumnas'!$B$2:$B$1000,0))),""))</f>
        <v/>
      </c>
      <c r="G57" s="31" t="str">
        <f>IF($C57="","",IFERROR(IF(INDEX('🎓 Alumnas'!$F$2:$F$1000,MATCH($C57,'🎓 Alumnas'!$B$2:$B$1000,0))="","",INDEX('🎓 Alumnas'!$F$2:$F$1000,MATCH($C57,'🎓 Alumnas'!$B$2:$B$1000,0))),""))</f>
        <v/>
      </c>
      <c r="H57" s="29" t="str">
        <f t="shared" ca="1" si="0"/>
        <v/>
      </c>
      <c r="I57" s="26"/>
      <c r="J57" s="29" t="str">
        <f t="shared" si="1"/>
        <v/>
      </c>
      <c r="K57" s="26"/>
      <c r="L57" s="26"/>
      <c r="M57" s="35"/>
      <c r="N57" s="30" t="str">
        <f t="shared" si="2"/>
        <v/>
      </c>
      <c r="O57" s="36"/>
      <c r="P57" s="26"/>
      <c r="Q57" s="26"/>
      <c r="R57" s="29" t="str">
        <f>IF(C57="","",IF(COUNTIF($C$2:C57,C57)=1,"Nueva","Recurrente"))</f>
        <v/>
      </c>
      <c r="S57" s="29" t="str">
        <f>IF(OR(C57="",J57&lt;&gt;"Paquete"),"",COUNTIFS($C$2:C57,C57,$J$2:J57,"Paquete"))</f>
        <v/>
      </c>
      <c r="T57" s="26"/>
    </row>
    <row r="58" spans="1:20" x14ac:dyDescent="0.35">
      <c r="A58" s="26" t="s">
        <v>486</v>
      </c>
      <c r="B58" s="28"/>
      <c r="C58" s="26"/>
      <c r="D58" s="34" t="str">
        <f>IF($C58="","",IFERROR(IF(INDEX('🎓 Alumnas'!$C$2:$C$1000,MATCH($C58,'🎓 Alumnas'!$B$2:$B$1000,0))="","",INDEX('🎓 Alumnas'!$C$2:$C$1000,MATCH($C58,'🎓 Alumnas'!$B$2:$B$1000,0))),""))</f>
        <v/>
      </c>
      <c r="E58" s="29" t="str">
        <f>IF($C58="","",IFERROR(IF(INDEX('🎓 Alumnas'!$D$2:$D$1000,MATCH($C58,'🎓 Alumnas'!$B$2:$B$1000,0))="","",INDEX('🎓 Alumnas'!$D$2:$D$1000,MATCH($C58,'🎓 Alumnas'!$B$2:$B$1000,0))),""))</f>
        <v/>
      </c>
      <c r="F58" s="29" t="str">
        <f>IF($C58="","",IFERROR(IF(INDEX('🎓 Alumnas'!$E$2:$E$1000,MATCH($C58,'🎓 Alumnas'!$B$2:$B$1000,0))="","",INDEX('🎓 Alumnas'!$E$2:$E$1000,MATCH($C58,'🎓 Alumnas'!$B$2:$B$1000,0))),""))</f>
        <v/>
      </c>
      <c r="G58" s="31" t="str">
        <f>IF($C58="","",IFERROR(IF(INDEX('🎓 Alumnas'!$F$2:$F$1000,MATCH($C58,'🎓 Alumnas'!$B$2:$B$1000,0))="","",INDEX('🎓 Alumnas'!$F$2:$F$1000,MATCH($C58,'🎓 Alumnas'!$B$2:$B$1000,0))),""))</f>
        <v/>
      </c>
      <c r="H58" s="29" t="str">
        <f t="shared" ca="1" si="0"/>
        <v/>
      </c>
      <c r="I58" s="26"/>
      <c r="J58" s="29" t="str">
        <f t="shared" si="1"/>
        <v/>
      </c>
      <c r="K58" s="26"/>
      <c r="L58" s="26"/>
      <c r="M58" s="35"/>
      <c r="N58" s="30" t="str">
        <f t="shared" si="2"/>
        <v/>
      </c>
      <c r="O58" s="36"/>
      <c r="P58" s="26"/>
      <c r="Q58" s="26"/>
      <c r="R58" s="29" t="str">
        <f>IF(C58="","",IF(COUNTIF($C$2:C58,C58)=1,"Nueva","Recurrente"))</f>
        <v/>
      </c>
      <c r="S58" s="29" t="str">
        <f>IF(OR(C58="",J58&lt;&gt;"Paquete"),"",COUNTIFS($C$2:C58,C58,$J$2:J58,"Paquete"))</f>
        <v/>
      </c>
      <c r="T58" s="26"/>
    </row>
    <row r="59" spans="1:20" x14ac:dyDescent="0.35">
      <c r="A59" s="26" t="s">
        <v>487</v>
      </c>
      <c r="B59" s="28"/>
      <c r="C59" s="26"/>
      <c r="D59" s="34" t="str">
        <f>IF($C59="","",IFERROR(IF(INDEX('🎓 Alumnas'!$C$2:$C$1000,MATCH($C59,'🎓 Alumnas'!$B$2:$B$1000,0))="","",INDEX('🎓 Alumnas'!$C$2:$C$1000,MATCH($C59,'🎓 Alumnas'!$B$2:$B$1000,0))),""))</f>
        <v/>
      </c>
      <c r="E59" s="29" t="str">
        <f>IF($C59="","",IFERROR(IF(INDEX('🎓 Alumnas'!$D$2:$D$1000,MATCH($C59,'🎓 Alumnas'!$B$2:$B$1000,0))="","",INDEX('🎓 Alumnas'!$D$2:$D$1000,MATCH($C59,'🎓 Alumnas'!$B$2:$B$1000,0))),""))</f>
        <v/>
      </c>
      <c r="F59" s="29" t="str">
        <f>IF($C59="","",IFERROR(IF(INDEX('🎓 Alumnas'!$E$2:$E$1000,MATCH($C59,'🎓 Alumnas'!$B$2:$B$1000,0))="","",INDEX('🎓 Alumnas'!$E$2:$E$1000,MATCH($C59,'🎓 Alumnas'!$B$2:$B$1000,0))),""))</f>
        <v/>
      </c>
      <c r="G59" s="31" t="str">
        <f>IF($C59="","",IFERROR(IF(INDEX('🎓 Alumnas'!$F$2:$F$1000,MATCH($C59,'🎓 Alumnas'!$B$2:$B$1000,0))="","",INDEX('🎓 Alumnas'!$F$2:$F$1000,MATCH($C59,'🎓 Alumnas'!$B$2:$B$1000,0))),""))</f>
        <v/>
      </c>
      <c r="H59" s="29" t="str">
        <f t="shared" ca="1" si="0"/>
        <v/>
      </c>
      <c r="I59" s="26"/>
      <c r="J59" s="29" t="str">
        <f t="shared" si="1"/>
        <v/>
      </c>
      <c r="K59" s="26"/>
      <c r="L59" s="26"/>
      <c r="M59" s="35"/>
      <c r="N59" s="30" t="str">
        <f t="shared" si="2"/>
        <v/>
      </c>
      <c r="O59" s="36"/>
      <c r="P59" s="26"/>
      <c r="Q59" s="26"/>
      <c r="R59" s="29" t="str">
        <f>IF(C59="","",IF(COUNTIF($C$2:C59,C59)=1,"Nueva","Recurrente"))</f>
        <v/>
      </c>
      <c r="S59" s="29" t="str">
        <f>IF(OR(C59="",J59&lt;&gt;"Paquete"),"",COUNTIFS($C$2:C59,C59,$J$2:J59,"Paquete"))</f>
        <v/>
      </c>
      <c r="T59" s="26"/>
    </row>
    <row r="60" spans="1:20" x14ac:dyDescent="0.35">
      <c r="A60" s="26" t="s">
        <v>488</v>
      </c>
      <c r="B60" s="28"/>
      <c r="C60" s="26"/>
      <c r="D60" s="34" t="str">
        <f>IF($C60="","",IFERROR(IF(INDEX('🎓 Alumnas'!$C$2:$C$1000,MATCH($C60,'🎓 Alumnas'!$B$2:$B$1000,0))="","",INDEX('🎓 Alumnas'!$C$2:$C$1000,MATCH($C60,'🎓 Alumnas'!$B$2:$B$1000,0))),""))</f>
        <v/>
      </c>
      <c r="E60" s="29" t="str">
        <f>IF($C60="","",IFERROR(IF(INDEX('🎓 Alumnas'!$D$2:$D$1000,MATCH($C60,'🎓 Alumnas'!$B$2:$B$1000,0))="","",INDEX('🎓 Alumnas'!$D$2:$D$1000,MATCH($C60,'🎓 Alumnas'!$B$2:$B$1000,0))),""))</f>
        <v/>
      </c>
      <c r="F60" s="29" t="str">
        <f>IF($C60="","",IFERROR(IF(INDEX('🎓 Alumnas'!$E$2:$E$1000,MATCH($C60,'🎓 Alumnas'!$B$2:$B$1000,0))="","",INDEX('🎓 Alumnas'!$E$2:$E$1000,MATCH($C60,'🎓 Alumnas'!$B$2:$B$1000,0))),""))</f>
        <v/>
      </c>
      <c r="G60" s="31" t="str">
        <f>IF($C60="","",IFERROR(IF(INDEX('🎓 Alumnas'!$F$2:$F$1000,MATCH($C60,'🎓 Alumnas'!$B$2:$B$1000,0))="","",INDEX('🎓 Alumnas'!$F$2:$F$1000,MATCH($C60,'🎓 Alumnas'!$B$2:$B$1000,0))),""))</f>
        <v/>
      </c>
      <c r="H60" s="29" t="str">
        <f t="shared" ca="1" si="0"/>
        <v/>
      </c>
      <c r="I60" s="26"/>
      <c r="J60" s="29" t="str">
        <f t="shared" si="1"/>
        <v/>
      </c>
      <c r="K60" s="26"/>
      <c r="L60" s="26"/>
      <c r="M60" s="35"/>
      <c r="N60" s="30" t="str">
        <f t="shared" si="2"/>
        <v/>
      </c>
      <c r="O60" s="36"/>
      <c r="P60" s="26"/>
      <c r="Q60" s="26"/>
      <c r="R60" s="29" t="str">
        <f>IF(C60="","",IF(COUNTIF($C$2:C60,C60)=1,"Nueva","Recurrente"))</f>
        <v/>
      </c>
      <c r="S60" s="29" t="str">
        <f>IF(OR(C60="",J60&lt;&gt;"Paquete"),"",COUNTIFS($C$2:C60,C60,$J$2:J60,"Paquete"))</f>
        <v/>
      </c>
      <c r="T60" s="26"/>
    </row>
    <row r="61" spans="1:20" x14ac:dyDescent="0.35">
      <c r="A61" s="26" t="s">
        <v>489</v>
      </c>
      <c r="B61" s="28"/>
      <c r="C61" s="26"/>
      <c r="D61" s="34" t="str">
        <f>IF($C61="","",IFERROR(IF(INDEX('🎓 Alumnas'!$C$2:$C$1000,MATCH($C61,'🎓 Alumnas'!$B$2:$B$1000,0))="","",INDEX('🎓 Alumnas'!$C$2:$C$1000,MATCH($C61,'🎓 Alumnas'!$B$2:$B$1000,0))),""))</f>
        <v/>
      </c>
      <c r="E61" s="29" t="str">
        <f>IF($C61="","",IFERROR(IF(INDEX('🎓 Alumnas'!$D$2:$D$1000,MATCH($C61,'🎓 Alumnas'!$B$2:$B$1000,0))="","",INDEX('🎓 Alumnas'!$D$2:$D$1000,MATCH($C61,'🎓 Alumnas'!$B$2:$B$1000,0))),""))</f>
        <v/>
      </c>
      <c r="F61" s="29" t="str">
        <f>IF($C61="","",IFERROR(IF(INDEX('🎓 Alumnas'!$E$2:$E$1000,MATCH($C61,'🎓 Alumnas'!$B$2:$B$1000,0))="","",INDEX('🎓 Alumnas'!$E$2:$E$1000,MATCH($C61,'🎓 Alumnas'!$B$2:$B$1000,0))),""))</f>
        <v/>
      </c>
      <c r="G61" s="31" t="str">
        <f>IF($C61="","",IFERROR(IF(INDEX('🎓 Alumnas'!$F$2:$F$1000,MATCH($C61,'🎓 Alumnas'!$B$2:$B$1000,0))="","",INDEX('🎓 Alumnas'!$F$2:$F$1000,MATCH($C61,'🎓 Alumnas'!$B$2:$B$1000,0))),""))</f>
        <v/>
      </c>
      <c r="H61" s="29" t="str">
        <f t="shared" ca="1" si="0"/>
        <v/>
      </c>
      <c r="I61" s="26"/>
      <c r="J61" s="29" t="str">
        <f t="shared" si="1"/>
        <v/>
      </c>
      <c r="K61" s="26"/>
      <c r="L61" s="26"/>
      <c r="M61" s="35"/>
      <c r="N61" s="30" t="str">
        <f t="shared" si="2"/>
        <v/>
      </c>
      <c r="O61" s="36"/>
      <c r="P61" s="26"/>
      <c r="Q61" s="26"/>
      <c r="R61" s="29" t="str">
        <f>IF(C61="","",IF(COUNTIF($C$2:C61,C61)=1,"Nueva","Recurrente"))</f>
        <v/>
      </c>
      <c r="S61" s="29" t="str">
        <f>IF(OR(C61="",J61&lt;&gt;"Paquete"),"",COUNTIFS($C$2:C61,C61,$J$2:J61,"Paquete"))</f>
        <v/>
      </c>
      <c r="T61" s="26"/>
    </row>
    <row r="62" spans="1:20" x14ac:dyDescent="0.35">
      <c r="A62" s="26" t="s">
        <v>490</v>
      </c>
      <c r="B62" s="28"/>
      <c r="C62" s="26"/>
      <c r="D62" s="34" t="str">
        <f>IF($C62="","",IFERROR(IF(INDEX('🎓 Alumnas'!$C$2:$C$1000,MATCH($C62,'🎓 Alumnas'!$B$2:$B$1000,0))="","",INDEX('🎓 Alumnas'!$C$2:$C$1000,MATCH($C62,'🎓 Alumnas'!$B$2:$B$1000,0))),""))</f>
        <v/>
      </c>
      <c r="E62" s="29" t="str">
        <f>IF($C62="","",IFERROR(IF(INDEX('🎓 Alumnas'!$D$2:$D$1000,MATCH($C62,'🎓 Alumnas'!$B$2:$B$1000,0))="","",INDEX('🎓 Alumnas'!$D$2:$D$1000,MATCH($C62,'🎓 Alumnas'!$B$2:$B$1000,0))),""))</f>
        <v/>
      </c>
      <c r="F62" s="29" t="str">
        <f>IF($C62="","",IFERROR(IF(INDEX('🎓 Alumnas'!$E$2:$E$1000,MATCH($C62,'🎓 Alumnas'!$B$2:$B$1000,0))="","",INDEX('🎓 Alumnas'!$E$2:$E$1000,MATCH($C62,'🎓 Alumnas'!$B$2:$B$1000,0))),""))</f>
        <v/>
      </c>
      <c r="G62" s="31" t="str">
        <f>IF($C62="","",IFERROR(IF(INDEX('🎓 Alumnas'!$F$2:$F$1000,MATCH($C62,'🎓 Alumnas'!$B$2:$B$1000,0))="","",INDEX('🎓 Alumnas'!$F$2:$F$1000,MATCH($C62,'🎓 Alumnas'!$B$2:$B$1000,0))),""))</f>
        <v/>
      </c>
      <c r="H62" s="29" t="str">
        <f t="shared" ca="1" si="0"/>
        <v/>
      </c>
      <c r="I62" s="26"/>
      <c r="J62" s="29" t="str">
        <f t="shared" si="1"/>
        <v/>
      </c>
      <c r="K62" s="26"/>
      <c r="L62" s="26"/>
      <c r="M62" s="35"/>
      <c r="N62" s="30" t="str">
        <f t="shared" si="2"/>
        <v/>
      </c>
      <c r="O62" s="36"/>
      <c r="P62" s="26"/>
      <c r="Q62" s="26"/>
      <c r="R62" s="29" t="str">
        <f>IF(C62="","",IF(COUNTIF($C$2:C62,C62)=1,"Nueva","Recurrente"))</f>
        <v/>
      </c>
      <c r="S62" s="29" t="str">
        <f>IF(OR(C62="",J62&lt;&gt;"Paquete"),"",COUNTIFS($C$2:C62,C62,$J$2:J62,"Paquete"))</f>
        <v/>
      </c>
      <c r="T62" s="26"/>
    </row>
    <row r="63" spans="1:20" x14ac:dyDescent="0.35">
      <c r="A63" s="26" t="s">
        <v>491</v>
      </c>
      <c r="B63" s="28"/>
      <c r="C63" s="26"/>
      <c r="D63" s="34" t="str">
        <f>IF($C63="","",IFERROR(IF(INDEX('🎓 Alumnas'!$C$2:$C$1000,MATCH($C63,'🎓 Alumnas'!$B$2:$B$1000,0))="","",INDEX('🎓 Alumnas'!$C$2:$C$1000,MATCH($C63,'🎓 Alumnas'!$B$2:$B$1000,0))),""))</f>
        <v/>
      </c>
      <c r="E63" s="29" t="str">
        <f>IF($C63="","",IFERROR(IF(INDEX('🎓 Alumnas'!$D$2:$D$1000,MATCH($C63,'🎓 Alumnas'!$B$2:$B$1000,0))="","",INDEX('🎓 Alumnas'!$D$2:$D$1000,MATCH($C63,'🎓 Alumnas'!$B$2:$B$1000,0))),""))</f>
        <v/>
      </c>
      <c r="F63" s="29" t="str">
        <f>IF($C63="","",IFERROR(IF(INDEX('🎓 Alumnas'!$E$2:$E$1000,MATCH($C63,'🎓 Alumnas'!$B$2:$B$1000,0))="","",INDEX('🎓 Alumnas'!$E$2:$E$1000,MATCH($C63,'🎓 Alumnas'!$B$2:$B$1000,0))),""))</f>
        <v/>
      </c>
      <c r="G63" s="31" t="str">
        <f>IF($C63="","",IFERROR(IF(INDEX('🎓 Alumnas'!$F$2:$F$1000,MATCH($C63,'🎓 Alumnas'!$B$2:$B$1000,0))="","",INDEX('🎓 Alumnas'!$F$2:$F$1000,MATCH($C63,'🎓 Alumnas'!$B$2:$B$1000,0))),""))</f>
        <v/>
      </c>
      <c r="H63" s="29" t="str">
        <f t="shared" ca="1" si="0"/>
        <v/>
      </c>
      <c r="I63" s="26"/>
      <c r="J63" s="29" t="str">
        <f t="shared" si="1"/>
        <v/>
      </c>
      <c r="K63" s="26"/>
      <c r="L63" s="26"/>
      <c r="M63" s="35"/>
      <c r="N63" s="30" t="str">
        <f t="shared" si="2"/>
        <v/>
      </c>
      <c r="O63" s="36"/>
      <c r="P63" s="26"/>
      <c r="Q63" s="26"/>
      <c r="R63" s="29" t="str">
        <f>IF(C63="","",IF(COUNTIF($C$2:C63,C63)=1,"Nueva","Recurrente"))</f>
        <v/>
      </c>
      <c r="S63" s="29" t="str">
        <f>IF(OR(C63="",J63&lt;&gt;"Paquete"),"",COUNTIFS($C$2:C63,C63,$J$2:J63,"Paquete"))</f>
        <v/>
      </c>
      <c r="T63" s="26"/>
    </row>
    <row r="64" spans="1:20" x14ac:dyDescent="0.35">
      <c r="A64" s="26" t="s">
        <v>492</v>
      </c>
      <c r="B64" s="28"/>
      <c r="C64" s="26"/>
      <c r="D64" s="34" t="str">
        <f>IF($C64="","",IFERROR(IF(INDEX('🎓 Alumnas'!$C$2:$C$1000,MATCH($C64,'🎓 Alumnas'!$B$2:$B$1000,0))="","",INDEX('🎓 Alumnas'!$C$2:$C$1000,MATCH($C64,'🎓 Alumnas'!$B$2:$B$1000,0))),""))</f>
        <v/>
      </c>
      <c r="E64" s="29" t="str">
        <f>IF($C64="","",IFERROR(IF(INDEX('🎓 Alumnas'!$D$2:$D$1000,MATCH($C64,'🎓 Alumnas'!$B$2:$B$1000,0))="","",INDEX('🎓 Alumnas'!$D$2:$D$1000,MATCH($C64,'🎓 Alumnas'!$B$2:$B$1000,0))),""))</f>
        <v/>
      </c>
      <c r="F64" s="29" t="str">
        <f>IF($C64="","",IFERROR(IF(INDEX('🎓 Alumnas'!$E$2:$E$1000,MATCH($C64,'🎓 Alumnas'!$B$2:$B$1000,0))="","",INDEX('🎓 Alumnas'!$E$2:$E$1000,MATCH($C64,'🎓 Alumnas'!$B$2:$B$1000,0))),""))</f>
        <v/>
      </c>
      <c r="G64" s="31" t="str">
        <f>IF($C64="","",IFERROR(IF(INDEX('🎓 Alumnas'!$F$2:$F$1000,MATCH($C64,'🎓 Alumnas'!$B$2:$B$1000,0))="","",INDEX('🎓 Alumnas'!$F$2:$F$1000,MATCH($C64,'🎓 Alumnas'!$B$2:$B$1000,0))),""))</f>
        <v/>
      </c>
      <c r="H64" s="29" t="str">
        <f t="shared" ca="1" si="0"/>
        <v/>
      </c>
      <c r="I64" s="26"/>
      <c r="J64" s="29" t="str">
        <f t="shared" si="1"/>
        <v/>
      </c>
      <c r="K64" s="26"/>
      <c r="L64" s="26"/>
      <c r="M64" s="35"/>
      <c r="N64" s="30" t="str">
        <f t="shared" si="2"/>
        <v/>
      </c>
      <c r="O64" s="36"/>
      <c r="P64" s="26"/>
      <c r="Q64" s="26"/>
      <c r="R64" s="29" t="str">
        <f>IF(C64="","",IF(COUNTIF($C$2:C64,C64)=1,"Nueva","Recurrente"))</f>
        <v/>
      </c>
      <c r="S64" s="29" t="str">
        <f>IF(OR(C64="",J64&lt;&gt;"Paquete"),"",COUNTIFS($C$2:C64,C64,$J$2:J64,"Paquete"))</f>
        <v/>
      </c>
      <c r="T64" s="26"/>
    </row>
    <row r="65" spans="1:20" x14ac:dyDescent="0.35">
      <c r="A65" s="26" t="s">
        <v>493</v>
      </c>
      <c r="B65" s="28"/>
      <c r="C65" s="26"/>
      <c r="D65" s="34" t="str">
        <f>IF($C65="","",IFERROR(IF(INDEX('🎓 Alumnas'!$C$2:$C$1000,MATCH($C65,'🎓 Alumnas'!$B$2:$B$1000,0))="","",INDEX('🎓 Alumnas'!$C$2:$C$1000,MATCH($C65,'🎓 Alumnas'!$B$2:$B$1000,0))),""))</f>
        <v/>
      </c>
      <c r="E65" s="29" t="str">
        <f>IF($C65="","",IFERROR(IF(INDEX('🎓 Alumnas'!$D$2:$D$1000,MATCH($C65,'🎓 Alumnas'!$B$2:$B$1000,0))="","",INDEX('🎓 Alumnas'!$D$2:$D$1000,MATCH($C65,'🎓 Alumnas'!$B$2:$B$1000,0))),""))</f>
        <v/>
      </c>
      <c r="F65" s="29" t="str">
        <f>IF($C65="","",IFERROR(IF(INDEX('🎓 Alumnas'!$E$2:$E$1000,MATCH($C65,'🎓 Alumnas'!$B$2:$B$1000,0))="","",INDEX('🎓 Alumnas'!$E$2:$E$1000,MATCH($C65,'🎓 Alumnas'!$B$2:$B$1000,0))),""))</f>
        <v/>
      </c>
      <c r="G65" s="31" t="str">
        <f>IF($C65="","",IFERROR(IF(INDEX('🎓 Alumnas'!$F$2:$F$1000,MATCH($C65,'🎓 Alumnas'!$B$2:$B$1000,0))="","",INDEX('🎓 Alumnas'!$F$2:$F$1000,MATCH($C65,'🎓 Alumnas'!$B$2:$B$1000,0))),""))</f>
        <v/>
      </c>
      <c r="H65" s="29" t="str">
        <f t="shared" ca="1" si="0"/>
        <v/>
      </c>
      <c r="I65" s="26"/>
      <c r="J65" s="29" t="str">
        <f t="shared" si="1"/>
        <v/>
      </c>
      <c r="K65" s="26"/>
      <c r="L65" s="26"/>
      <c r="M65" s="35"/>
      <c r="N65" s="30" t="str">
        <f t="shared" si="2"/>
        <v/>
      </c>
      <c r="O65" s="36"/>
      <c r="P65" s="26"/>
      <c r="Q65" s="26"/>
      <c r="R65" s="29" t="str">
        <f>IF(C65="","",IF(COUNTIF($C$2:C65,C65)=1,"Nueva","Recurrente"))</f>
        <v/>
      </c>
      <c r="S65" s="29" t="str">
        <f>IF(OR(C65="",J65&lt;&gt;"Paquete"),"",COUNTIFS($C$2:C65,C65,$J$2:J65,"Paquete"))</f>
        <v/>
      </c>
      <c r="T65" s="26"/>
    </row>
    <row r="66" spans="1:20" x14ac:dyDescent="0.35">
      <c r="A66" s="26" t="s">
        <v>494</v>
      </c>
      <c r="B66" s="28"/>
      <c r="C66" s="26"/>
      <c r="D66" s="34" t="str">
        <f>IF($C66="","",IFERROR(IF(INDEX('🎓 Alumnas'!$C$2:$C$1000,MATCH($C66,'🎓 Alumnas'!$B$2:$B$1000,0))="","",INDEX('🎓 Alumnas'!$C$2:$C$1000,MATCH($C66,'🎓 Alumnas'!$B$2:$B$1000,0))),""))</f>
        <v/>
      </c>
      <c r="E66" s="29" t="str">
        <f>IF($C66="","",IFERROR(IF(INDEX('🎓 Alumnas'!$D$2:$D$1000,MATCH($C66,'🎓 Alumnas'!$B$2:$B$1000,0))="","",INDEX('🎓 Alumnas'!$D$2:$D$1000,MATCH($C66,'🎓 Alumnas'!$B$2:$B$1000,0))),""))</f>
        <v/>
      </c>
      <c r="F66" s="29" t="str">
        <f>IF($C66="","",IFERROR(IF(INDEX('🎓 Alumnas'!$E$2:$E$1000,MATCH($C66,'🎓 Alumnas'!$B$2:$B$1000,0))="","",INDEX('🎓 Alumnas'!$E$2:$E$1000,MATCH($C66,'🎓 Alumnas'!$B$2:$B$1000,0))),""))</f>
        <v/>
      </c>
      <c r="G66" s="31" t="str">
        <f>IF($C66="","",IFERROR(IF(INDEX('🎓 Alumnas'!$F$2:$F$1000,MATCH($C66,'🎓 Alumnas'!$B$2:$B$1000,0))="","",INDEX('🎓 Alumnas'!$F$2:$F$1000,MATCH($C66,'🎓 Alumnas'!$B$2:$B$1000,0))),""))</f>
        <v/>
      </c>
      <c r="H66" s="29" t="str">
        <f t="shared" ref="H66:H129" ca="1" si="3">IF(G66="","",DATEDIF(G66,TODAY(),"Y"))</f>
        <v/>
      </c>
      <c r="I66" s="26"/>
      <c r="J66" s="29" t="str">
        <f t="shared" ref="J66:J129" si="4">IF(I66="","",IF(LEFT(I66,6)="1 Pole","Alquiler",IF(LEFT(I66,7)="1 Clase","Clase suelta","Paquete")))</f>
        <v/>
      </c>
      <c r="K66" s="26"/>
      <c r="L66" s="26"/>
      <c r="M66" s="35"/>
      <c r="N66" s="30" t="str">
        <f t="shared" ref="N66:N129" si="5">IF(M66="","",L66*M66)</f>
        <v/>
      </c>
      <c r="O66" s="36"/>
      <c r="P66" s="26"/>
      <c r="Q66" s="26"/>
      <c r="R66" s="29" t="str">
        <f>IF(C66="","",IF(COUNTIF($C$2:C66,C66)=1,"Nueva","Recurrente"))</f>
        <v/>
      </c>
      <c r="S66" s="29" t="str">
        <f>IF(OR(C66="",J66&lt;&gt;"Paquete"),"",COUNTIFS($C$2:C66,C66,$J$2:J66,"Paquete"))</f>
        <v/>
      </c>
      <c r="T66" s="26"/>
    </row>
    <row r="67" spans="1:20" x14ac:dyDescent="0.35">
      <c r="A67" s="26" t="s">
        <v>495</v>
      </c>
      <c r="B67" s="28"/>
      <c r="C67" s="26"/>
      <c r="D67" s="34" t="str">
        <f>IF($C67="","",IFERROR(IF(INDEX('🎓 Alumnas'!$C$2:$C$1000,MATCH($C67,'🎓 Alumnas'!$B$2:$B$1000,0))="","",INDEX('🎓 Alumnas'!$C$2:$C$1000,MATCH($C67,'🎓 Alumnas'!$B$2:$B$1000,0))),""))</f>
        <v/>
      </c>
      <c r="E67" s="29" t="str">
        <f>IF($C67="","",IFERROR(IF(INDEX('🎓 Alumnas'!$D$2:$D$1000,MATCH($C67,'🎓 Alumnas'!$B$2:$B$1000,0))="","",INDEX('🎓 Alumnas'!$D$2:$D$1000,MATCH($C67,'🎓 Alumnas'!$B$2:$B$1000,0))),""))</f>
        <v/>
      </c>
      <c r="F67" s="29" t="str">
        <f>IF($C67="","",IFERROR(IF(INDEX('🎓 Alumnas'!$E$2:$E$1000,MATCH($C67,'🎓 Alumnas'!$B$2:$B$1000,0))="","",INDEX('🎓 Alumnas'!$E$2:$E$1000,MATCH($C67,'🎓 Alumnas'!$B$2:$B$1000,0))),""))</f>
        <v/>
      </c>
      <c r="G67" s="31" t="str">
        <f>IF($C67="","",IFERROR(IF(INDEX('🎓 Alumnas'!$F$2:$F$1000,MATCH($C67,'🎓 Alumnas'!$B$2:$B$1000,0))="","",INDEX('🎓 Alumnas'!$F$2:$F$1000,MATCH($C67,'🎓 Alumnas'!$B$2:$B$1000,0))),""))</f>
        <v/>
      </c>
      <c r="H67" s="29" t="str">
        <f t="shared" ca="1" si="3"/>
        <v/>
      </c>
      <c r="I67" s="26"/>
      <c r="J67" s="29" t="str">
        <f t="shared" si="4"/>
        <v/>
      </c>
      <c r="K67" s="26"/>
      <c r="L67" s="26"/>
      <c r="M67" s="35"/>
      <c r="N67" s="30" t="str">
        <f t="shared" si="5"/>
        <v/>
      </c>
      <c r="O67" s="36"/>
      <c r="P67" s="26"/>
      <c r="Q67" s="26"/>
      <c r="R67" s="29" t="str">
        <f>IF(C67="","",IF(COUNTIF($C$2:C67,C67)=1,"Nueva","Recurrente"))</f>
        <v/>
      </c>
      <c r="S67" s="29" t="str">
        <f>IF(OR(C67="",J67&lt;&gt;"Paquete"),"",COUNTIFS($C$2:C67,C67,$J$2:J67,"Paquete"))</f>
        <v/>
      </c>
      <c r="T67" s="26"/>
    </row>
    <row r="68" spans="1:20" x14ac:dyDescent="0.35">
      <c r="A68" s="26" t="s">
        <v>496</v>
      </c>
      <c r="B68" s="28"/>
      <c r="C68" s="26"/>
      <c r="D68" s="34" t="str">
        <f>IF($C68="","",IFERROR(IF(INDEX('🎓 Alumnas'!$C$2:$C$1000,MATCH($C68,'🎓 Alumnas'!$B$2:$B$1000,0))="","",INDEX('🎓 Alumnas'!$C$2:$C$1000,MATCH($C68,'🎓 Alumnas'!$B$2:$B$1000,0))),""))</f>
        <v/>
      </c>
      <c r="E68" s="29" t="str">
        <f>IF($C68="","",IFERROR(IF(INDEX('🎓 Alumnas'!$D$2:$D$1000,MATCH($C68,'🎓 Alumnas'!$B$2:$B$1000,0))="","",INDEX('🎓 Alumnas'!$D$2:$D$1000,MATCH($C68,'🎓 Alumnas'!$B$2:$B$1000,0))),""))</f>
        <v/>
      </c>
      <c r="F68" s="29" t="str">
        <f>IF($C68="","",IFERROR(IF(INDEX('🎓 Alumnas'!$E$2:$E$1000,MATCH($C68,'🎓 Alumnas'!$B$2:$B$1000,0))="","",INDEX('🎓 Alumnas'!$E$2:$E$1000,MATCH($C68,'🎓 Alumnas'!$B$2:$B$1000,0))),""))</f>
        <v/>
      </c>
      <c r="G68" s="31" t="str">
        <f>IF($C68="","",IFERROR(IF(INDEX('🎓 Alumnas'!$F$2:$F$1000,MATCH($C68,'🎓 Alumnas'!$B$2:$B$1000,0))="","",INDEX('🎓 Alumnas'!$F$2:$F$1000,MATCH($C68,'🎓 Alumnas'!$B$2:$B$1000,0))),""))</f>
        <v/>
      </c>
      <c r="H68" s="29" t="str">
        <f t="shared" ca="1" si="3"/>
        <v/>
      </c>
      <c r="I68" s="26"/>
      <c r="J68" s="29" t="str">
        <f t="shared" si="4"/>
        <v/>
      </c>
      <c r="K68" s="26"/>
      <c r="L68" s="26"/>
      <c r="M68" s="35"/>
      <c r="N68" s="30" t="str">
        <f t="shared" si="5"/>
        <v/>
      </c>
      <c r="O68" s="36"/>
      <c r="P68" s="26"/>
      <c r="Q68" s="26"/>
      <c r="R68" s="29" t="str">
        <f>IF(C68="","",IF(COUNTIF($C$2:C68,C68)=1,"Nueva","Recurrente"))</f>
        <v/>
      </c>
      <c r="S68" s="29" t="str">
        <f>IF(OR(C68="",J68&lt;&gt;"Paquete"),"",COUNTIFS($C$2:C68,C68,$J$2:J68,"Paquete"))</f>
        <v/>
      </c>
      <c r="T68" s="26"/>
    </row>
    <row r="69" spans="1:20" x14ac:dyDescent="0.35">
      <c r="A69" s="26" t="s">
        <v>497</v>
      </c>
      <c r="B69" s="28"/>
      <c r="C69" s="26"/>
      <c r="D69" s="34" t="str">
        <f>IF($C69="","",IFERROR(IF(INDEX('🎓 Alumnas'!$C$2:$C$1000,MATCH($C69,'🎓 Alumnas'!$B$2:$B$1000,0))="","",INDEX('🎓 Alumnas'!$C$2:$C$1000,MATCH($C69,'🎓 Alumnas'!$B$2:$B$1000,0))),""))</f>
        <v/>
      </c>
      <c r="E69" s="29" t="str">
        <f>IF($C69="","",IFERROR(IF(INDEX('🎓 Alumnas'!$D$2:$D$1000,MATCH($C69,'🎓 Alumnas'!$B$2:$B$1000,0))="","",INDEX('🎓 Alumnas'!$D$2:$D$1000,MATCH($C69,'🎓 Alumnas'!$B$2:$B$1000,0))),""))</f>
        <v/>
      </c>
      <c r="F69" s="29" t="str">
        <f>IF($C69="","",IFERROR(IF(INDEX('🎓 Alumnas'!$E$2:$E$1000,MATCH($C69,'🎓 Alumnas'!$B$2:$B$1000,0))="","",INDEX('🎓 Alumnas'!$E$2:$E$1000,MATCH($C69,'🎓 Alumnas'!$B$2:$B$1000,0))),""))</f>
        <v/>
      </c>
      <c r="G69" s="31" t="str">
        <f>IF($C69="","",IFERROR(IF(INDEX('🎓 Alumnas'!$F$2:$F$1000,MATCH($C69,'🎓 Alumnas'!$B$2:$B$1000,0))="","",INDEX('🎓 Alumnas'!$F$2:$F$1000,MATCH($C69,'🎓 Alumnas'!$B$2:$B$1000,0))),""))</f>
        <v/>
      </c>
      <c r="H69" s="29" t="str">
        <f t="shared" ca="1" si="3"/>
        <v/>
      </c>
      <c r="I69" s="26"/>
      <c r="J69" s="29" t="str">
        <f t="shared" si="4"/>
        <v/>
      </c>
      <c r="K69" s="26"/>
      <c r="L69" s="26"/>
      <c r="M69" s="35"/>
      <c r="N69" s="30" t="str">
        <f t="shared" si="5"/>
        <v/>
      </c>
      <c r="O69" s="36"/>
      <c r="P69" s="26"/>
      <c r="Q69" s="26"/>
      <c r="R69" s="29" t="str">
        <f>IF(C69="","",IF(COUNTIF($C$2:C69,C69)=1,"Nueva","Recurrente"))</f>
        <v/>
      </c>
      <c r="S69" s="29" t="str">
        <f>IF(OR(C69="",J69&lt;&gt;"Paquete"),"",COUNTIFS($C$2:C69,C69,$J$2:J69,"Paquete"))</f>
        <v/>
      </c>
      <c r="T69" s="26"/>
    </row>
    <row r="70" spans="1:20" x14ac:dyDescent="0.35">
      <c r="A70" s="26" t="s">
        <v>498</v>
      </c>
      <c r="B70" s="28"/>
      <c r="C70" s="26"/>
      <c r="D70" s="34" t="str">
        <f>IF($C70="","",IFERROR(IF(INDEX('🎓 Alumnas'!$C$2:$C$1000,MATCH($C70,'🎓 Alumnas'!$B$2:$B$1000,0))="","",INDEX('🎓 Alumnas'!$C$2:$C$1000,MATCH($C70,'🎓 Alumnas'!$B$2:$B$1000,0))),""))</f>
        <v/>
      </c>
      <c r="E70" s="29" t="str">
        <f>IF($C70="","",IFERROR(IF(INDEX('🎓 Alumnas'!$D$2:$D$1000,MATCH($C70,'🎓 Alumnas'!$B$2:$B$1000,0))="","",INDEX('🎓 Alumnas'!$D$2:$D$1000,MATCH($C70,'🎓 Alumnas'!$B$2:$B$1000,0))),""))</f>
        <v/>
      </c>
      <c r="F70" s="29" t="str">
        <f>IF($C70="","",IFERROR(IF(INDEX('🎓 Alumnas'!$E$2:$E$1000,MATCH($C70,'🎓 Alumnas'!$B$2:$B$1000,0))="","",INDEX('🎓 Alumnas'!$E$2:$E$1000,MATCH($C70,'🎓 Alumnas'!$B$2:$B$1000,0))),""))</f>
        <v/>
      </c>
      <c r="G70" s="31" t="str">
        <f>IF($C70="","",IFERROR(IF(INDEX('🎓 Alumnas'!$F$2:$F$1000,MATCH($C70,'🎓 Alumnas'!$B$2:$B$1000,0))="","",INDEX('🎓 Alumnas'!$F$2:$F$1000,MATCH($C70,'🎓 Alumnas'!$B$2:$B$1000,0))),""))</f>
        <v/>
      </c>
      <c r="H70" s="29" t="str">
        <f t="shared" ca="1" si="3"/>
        <v/>
      </c>
      <c r="I70" s="26"/>
      <c r="J70" s="29" t="str">
        <f t="shared" si="4"/>
        <v/>
      </c>
      <c r="K70" s="26"/>
      <c r="L70" s="26"/>
      <c r="M70" s="35"/>
      <c r="N70" s="30" t="str">
        <f t="shared" si="5"/>
        <v/>
      </c>
      <c r="O70" s="36"/>
      <c r="P70" s="26"/>
      <c r="Q70" s="26"/>
      <c r="R70" s="29" t="str">
        <f>IF(C70="","",IF(COUNTIF($C$2:C70,C70)=1,"Nueva","Recurrente"))</f>
        <v/>
      </c>
      <c r="S70" s="29" t="str">
        <f>IF(OR(C70="",J70&lt;&gt;"Paquete"),"",COUNTIFS($C$2:C70,C70,$J$2:J70,"Paquete"))</f>
        <v/>
      </c>
      <c r="T70" s="26"/>
    </row>
    <row r="71" spans="1:20" x14ac:dyDescent="0.35">
      <c r="A71" s="26" t="s">
        <v>499</v>
      </c>
      <c r="B71" s="28"/>
      <c r="C71" s="26"/>
      <c r="D71" s="34" t="str">
        <f>IF($C71="","",IFERROR(IF(INDEX('🎓 Alumnas'!$C$2:$C$1000,MATCH($C71,'🎓 Alumnas'!$B$2:$B$1000,0))="","",INDEX('🎓 Alumnas'!$C$2:$C$1000,MATCH($C71,'🎓 Alumnas'!$B$2:$B$1000,0))),""))</f>
        <v/>
      </c>
      <c r="E71" s="29" t="str">
        <f>IF($C71="","",IFERROR(IF(INDEX('🎓 Alumnas'!$D$2:$D$1000,MATCH($C71,'🎓 Alumnas'!$B$2:$B$1000,0))="","",INDEX('🎓 Alumnas'!$D$2:$D$1000,MATCH($C71,'🎓 Alumnas'!$B$2:$B$1000,0))),""))</f>
        <v/>
      </c>
      <c r="F71" s="29" t="str">
        <f>IF($C71="","",IFERROR(IF(INDEX('🎓 Alumnas'!$E$2:$E$1000,MATCH($C71,'🎓 Alumnas'!$B$2:$B$1000,0))="","",INDEX('🎓 Alumnas'!$E$2:$E$1000,MATCH($C71,'🎓 Alumnas'!$B$2:$B$1000,0))),""))</f>
        <v/>
      </c>
      <c r="G71" s="31" t="str">
        <f>IF($C71="","",IFERROR(IF(INDEX('🎓 Alumnas'!$F$2:$F$1000,MATCH($C71,'🎓 Alumnas'!$B$2:$B$1000,0))="","",INDEX('🎓 Alumnas'!$F$2:$F$1000,MATCH($C71,'🎓 Alumnas'!$B$2:$B$1000,0))),""))</f>
        <v/>
      </c>
      <c r="H71" s="29" t="str">
        <f t="shared" ca="1" si="3"/>
        <v/>
      </c>
      <c r="I71" s="26"/>
      <c r="J71" s="29" t="str">
        <f t="shared" si="4"/>
        <v/>
      </c>
      <c r="K71" s="26"/>
      <c r="L71" s="26"/>
      <c r="M71" s="35"/>
      <c r="N71" s="30" t="str">
        <f t="shared" si="5"/>
        <v/>
      </c>
      <c r="O71" s="36"/>
      <c r="P71" s="26"/>
      <c r="Q71" s="26"/>
      <c r="R71" s="29" t="str">
        <f>IF(C71="","",IF(COUNTIF($C$2:C71,C71)=1,"Nueva","Recurrente"))</f>
        <v/>
      </c>
      <c r="S71" s="29" t="str">
        <f>IF(OR(C71="",J71&lt;&gt;"Paquete"),"",COUNTIFS($C$2:C71,C71,$J$2:J71,"Paquete"))</f>
        <v/>
      </c>
      <c r="T71" s="26"/>
    </row>
    <row r="72" spans="1:20" x14ac:dyDescent="0.35">
      <c r="A72" s="26" t="s">
        <v>500</v>
      </c>
      <c r="B72" s="28"/>
      <c r="C72" s="26"/>
      <c r="D72" s="34" t="str">
        <f>IF($C72="","",IFERROR(IF(INDEX('🎓 Alumnas'!$C$2:$C$1000,MATCH($C72,'🎓 Alumnas'!$B$2:$B$1000,0))="","",INDEX('🎓 Alumnas'!$C$2:$C$1000,MATCH($C72,'🎓 Alumnas'!$B$2:$B$1000,0))),""))</f>
        <v/>
      </c>
      <c r="E72" s="29" t="str">
        <f>IF($C72="","",IFERROR(IF(INDEX('🎓 Alumnas'!$D$2:$D$1000,MATCH($C72,'🎓 Alumnas'!$B$2:$B$1000,0))="","",INDEX('🎓 Alumnas'!$D$2:$D$1000,MATCH($C72,'🎓 Alumnas'!$B$2:$B$1000,0))),""))</f>
        <v/>
      </c>
      <c r="F72" s="29" t="str">
        <f>IF($C72="","",IFERROR(IF(INDEX('🎓 Alumnas'!$E$2:$E$1000,MATCH($C72,'🎓 Alumnas'!$B$2:$B$1000,0))="","",INDEX('🎓 Alumnas'!$E$2:$E$1000,MATCH($C72,'🎓 Alumnas'!$B$2:$B$1000,0))),""))</f>
        <v/>
      </c>
      <c r="G72" s="31" t="str">
        <f>IF($C72="","",IFERROR(IF(INDEX('🎓 Alumnas'!$F$2:$F$1000,MATCH($C72,'🎓 Alumnas'!$B$2:$B$1000,0))="","",INDEX('🎓 Alumnas'!$F$2:$F$1000,MATCH($C72,'🎓 Alumnas'!$B$2:$B$1000,0))),""))</f>
        <v/>
      </c>
      <c r="H72" s="29" t="str">
        <f t="shared" ca="1" si="3"/>
        <v/>
      </c>
      <c r="I72" s="26"/>
      <c r="J72" s="29" t="str">
        <f t="shared" si="4"/>
        <v/>
      </c>
      <c r="K72" s="26"/>
      <c r="L72" s="26"/>
      <c r="M72" s="35"/>
      <c r="N72" s="30" t="str">
        <f t="shared" si="5"/>
        <v/>
      </c>
      <c r="O72" s="36"/>
      <c r="P72" s="26"/>
      <c r="Q72" s="26"/>
      <c r="R72" s="29" t="str">
        <f>IF(C72="","",IF(COUNTIF($C$2:C72,C72)=1,"Nueva","Recurrente"))</f>
        <v/>
      </c>
      <c r="S72" s="29" t="str">
        <f>IF(OR(C72="",J72&lt;&gt;"Paquete"),"",COUNTIFS($C$2:C72,C72,$J$2:J72,"Paquete"))</f>
        <v/>
      </c>
      <c r="T72" s="26"/>
    </row>
    <row r="73" spans="1:20" x14ac:dyDescent="0.35">
      <c r="A73" s="26" t="s">
        <v>501</v>
      </c>
      <c r="B73" s="28"/>
      <c r="C73" s="26"/>
      <c r="D73" s="34" t="str">
        <f>IF($C73="","",IFERROR(IF(INDEX('🎓 Alumnas'!$C$2:$C$1000,MATCH($C73,'🎓 Alumnas'!$B$2:$B$1000,0))="","",INDEX('🎓 Alumnas'!$C$2:$C$1000,MATCH($C73,'🎓 Alumnas'!$B$2:$B$1000,0))),""))</f>
        <v/>
      </c>
      <c r="E73" s="29" t="str">
        <f>IF($C73="","",IFERROR(IF(INDEX('🎓 Alumnas'!$D$2:$D$1000,MATCH($C73,'🎓 Alumnas'!$B$2:$B$1000,0))="","",INDEX('🎓 Alumnas'!$D$2:$D$1000,MATCH($C73,'🎓 Alumnas'!$B$2:$B$1000,0))),""))</f>
        <v/>
      </c>
      <c r="F73" s="29" t="str">
        <f>IF($C73="","",IFERROR(IF(INDEX('🎓 Alumnas'!$E$2:$E$1000,MATCH($C73,'🎓 Alumnas'!$B$2:$B$1000,0))="","",INDEX('🎓 Alumnas'!$E$2:$E$1000,MATCH($C73,'🎓 Alumnas'!$B$2:$B$1000,0))),""))</f>
        <v/>
      </c>
      <c r="G73" s="31" t="str">
        <f>IF($C73="","",IFERROR(IF(INDEX('🎓 Alumnas'!$F$2:$F$1000,MATCH($C73,'🎓 Alumnas'!$B$2:$B$1000,0))="","",INDEX('🎓 Alumnas'!$F$2:$F$1000,MATCH($C73,'🎓 Alumnas'!$B$2:$B$1000,0))),""))</f>
        <v/>
      </c>
      <c r="H73" s="29" t="str">
        <f t="shared" ca="1" si="3"/>
        <v/>
      </c>
      <c r="I73" s="26"/>
      <c r="J73" s="29" t="str">
        <f t="shared" si="4"/>
        <v/>
      </c>
      <c r="K73" s="26"/>
      <c r="L73" s="26"/>
      <c r="M73" s="35"/>
      <c r="N73" s="30" t="str">
        <f t="shared" si="5"/>
        <v/>
      </c>
      <c r="O73" s="36"/>
      <c r="P73" s="26"/>
      <c r="Q73" s="26"/>
      <c r="R73" s="29" t="str">
        <f>IF(C73="","",IF(COUNTIF($C$2:C73,C73)=1,"Nueva","Recurrente"))</f>
        <v/>
      </c>
      <c r="S73" s="29" t="str">
        <f>IF(OR(C73="",J73&lt;&gt;"Paquete"),"",COUNTIFS($C$2:C73,C73,$J$2:J73,"Paquete"))</f>
        <v/>
      </c>
      <c r="T73" s="26"/>
    </row>
    <row r="74" spans="1:20" x14ac:dyDescent="0.35">
      <c r="A74" s="26" t="s">
        <v>502</v>
      </c>
      <c r="B74" s="28"/>
      <c r="C74" s="26"/>
      <c r="D74" s="34" t="str">
        <f>IF($C74="","",IFERROR(IF(INDEX('🎓 Alumnas'!$C$2:$C$1000,MATCH($C74,'🎓 Alumnas'!$B$2:$B$1000,0))="","",INDEX('🎓 Alumnas'!$C$2:$C$1000,MATCH($C74,'🎓 Alumnas'!$B$2:$B$1000,0))),""))</f>
        <v/>
      </c>
      <c r="E74" s="29" t="str">
        <f>IF($C74="","",IFERROR(IF(INDEX('🎓 Alumnas'!$D$2:$D$1000,MATCH($C74,'🎓 Alumnas'!$B$2:$B$1000,0))="","",INDEX('🎓 Alumnas'!$D$2:$D$1000,MATCH($C74,'🎓 Alumnas'!$B$2:$B$1000,0))),""))</f>
        <v/>
      </c>
      <c r="F74" s="29" t="str">
        <f>IF($C74="","",IFERROR(IF(INDEX('🎓 Alumnas'!$E$2:$E$1000,MATCH($C74,'🎓 Alumnas'!$B$2:$B$1000,0))="","",INDEX('🎓 Alumnas'!$E$2:$E$1000,MATCH($C74,'🎓 Alumnas'!$B$2:$B$1000,0))),""))</f>
        <v/>
      </c>
      <c r="G74" s="31" t="str">
        <f>IF($C74="","",IFERROR(IF(INDEX('🎓 Alumnas'!$F$2:$F$1000,MATCH($C74,'🎓 Alumnas'!$B$2:$B$1000,0))="","",INDEX('🎓 Alumnas'!$F$2:$F$1000,MATCH($C74,'🎓 Alumnas'!$B$2:$B$1000,0))),""))</f>
        <v/>
      </c>
      <c r="H74" s="29" t="str">
        <f t="shared" ca="1" si="3"/>
        <v/>
      </c>
      <c r="I74" s="26"/>
      <c r="J74" s="29" t="str">
        <f t="shared" si="4"/>
        <v/>
      </c>
      <c r="K74" s="26"/>
      <c r="L74" s="26"/>
      <c r="M74" s="35"/>
      <c r="N74" s="30" t="str">
        <f t="shared" si="5"/>
        <v/>
      </c>
      <c r="O74" s="36"/>
      <c r="P74" s="26"/>
      <c r="Q74" s="26"/>
      <c r="R74" s="29" t="str">
        <f>IF(C74="","",IF(COUNTIF($C$2:C74,C74)=1,"Nueva","Recurrente"))</f>
        <v/>
      </c>
      <c r="S74" s="29" t="str">
        <f>IF(OR(C74="",J74&lt;&gt;"Paquete"),"",COUNTIFS($C$2:C74,C74,$J$2:J74,"Paquete"))</f>
        <v/>
      </c>
      <c r="T74" s="26"/>
    </row>
    <row r="75" spans="1:20" x14ac:dyDescent="0.35">
      <c r="A75" s="26" t="s">
        <v>503</v>
      </c>
      <c r="B75" s="28"/>
      <c r="C75" s="26"/>
      <c r="D75" s="34" t="str">
        <f>IF($C75="","",IFERROR(IF(INDEX('🎓 Alumnas'!$C$2:$C$1000,MATCH($C75,'🎓 Alumnas'!$B$2:$B$1000,0))="","",INDEX('🎓 Alumnas'!$C$2:$C$1000,MATCH($C75,'🎓 Alumnas'!$B$2:$B$1000,0))),""))</f>
        <v/>
      </c>
      <c r="E75" s="29" t="str">
        <f>IF($C75="","",IFERROR(IF(INDEX('🎓 Alumnas'!$D$2:$D$1000,MATCH($C75,'🎓 Alumnas'!$B$2:$B$1000,0))="","",INDEX('🎓 Alumnas'!$D$2:$D$1000,MATCH($C75,'🎓 Alumnas'!$B$2:$B$1000,0))),""))</f>
        <v/>
      </c>
      <c r="F75" s="29" t="str">
        <f>IF($C75="","",IFERROR(IF(INDEX('🎓 Alumnas'!$E$2:$E$1000,MATCH($C75,'🎓 Alumnas'!$B$2:$B$1000,0))="","",INDEX('🎓 Alumnas'!$E$2:$E$1000,MATCH($C75,'🎓 Alumnas'!$B$2:$B$1000,0))),""))</f>
        <v/>
      </c>
      <c r="G75" s="31" t="str">
        <f>IF($C75="","",IFERROR(IF(INDEX('🎓 Alumnas'!$F$2:$F$1000,MATCH($C75,'🎓 Alumnas'!$B$2:$B$1000,0))="","",INDEX('🎓 Alumnas'!$F$2:$F$1000,MATCH($C75,'🎓 Alumnas'!$B$2:$B$1000,0))),""))</f>
        <v/>
      </c>
      <c r="H75" s="29" t="str">
        <f t="shared" ca="1" si="3"/>
        <v/>
      </c>
      <c r="I75" s="26"/>
      <c r="J75" s="29" t="str">
        <f t="shared" si="4"/>
        <v/>
      </c>
      <c r="K75" s="26"/>
      <c r="L75" s="26"/>
      <c r="M75" s="35"/>
      <c r="N75" s="30" t="str">
        <f t="shared" si="5"/>
        <v/>
      </c>
      <c r="O75" s="36"/>
      <c r="P75" s="26"/>
      <c r="Q75" s="26"/>
      <c r="R75" s="29" t="str">
        <f>IF(C75="","",IF(COUNTIF($C$2:C75,C75)=1,"Nueva","Recurrente"))</f>
        <v/>
      </c>
      <c r="S75" s="29" t="str">
        <f>IF(OR(C75="",J75&lt;&gt;"Paquete"),"",COUNTIFS($C$2:C75,C75,$J$2:J75,"Paquete"))</f>
        <v/>
      </c>
      <c r="T75" s="26"/>
    </row>
    <row r="76" spans="1:20" x14ac:dyDescent="0.35">
      <c r="A76" s="26" t="s">
        <v>504</v>
      </c>
      <c r="B76" s="28"/>
      <c r="C76" s="26"/>
      <c r="D76" s="34" t="str">
        <f>IF($C76="","",IFERROR(IF(INDEX('🎓 Alumnas'!$C$2:$C$1000,MATCH($C76,'🎓 Alumnas'!$B$2:$B$1000,0))="","",INDEX('🎓 Alumnas'!$C$2:$C$1000,MATCH($C76,'🎓 Alumnas'!$B$2:$B$1000,0))),""))</f>
        <v/>
      </c>
      <c r="E76" s="29" t="str">
        <f>IF($C76="","",IFERROR(IF(INDEX('🎓 Alumnas'!$D$2:$D$1000,MATCH($C76,'🎓 Alumnas'!$B$2:$B$1000,0))="","",INDEX('🎓 Alumnas'!$D$2:$D$1000,MATCH($C76,'🎓 Alumnas'!$B$2:$B$1000,0))),""))</f>
        <v/>
      </c>
      <c r="F76" s="29" t="str">
        <f>IF($C76="","",IFERROR(IF(INDEX('🎓 Alumnas'!$E$2:$E$1000,MATCH($C76,'🎓 Alumnas'!$B$2:$B$1000,0))="","",INDEX('🎓 Alumnas'!$E$2:$E$1000,MATCH($C76,'🎓 Alumnas'!$B$2:$B$1000,0))),""))</f>
        <v/>
      </c>
      <c r="G76" s="31" t="str">
        <f>IF($C76="","",IFERROR(IF(INDEX('🎓 Alumnas'!$F$2:$F$1000,MATCH($C76,'🎓 Alumnas'!$B$2:$B$1000,0))="","",INDEX('🎓 Alumnas'!$F$2:$F$1000,MATCH($C76,'🎓 Alumnas'!$B$2:$B$1000,0))),""))</f>
        <v/>
      </c>
      <c r="H76" s="29" t="str">
        <f t="shared" ca="1" si="3"/>
        <v/>
      </c>
      <c r="I76" s="26"/>
      <c r="J76" s="29" t="str">
        <f t="shared" si="4"/>
        <v/>
      </c>
      <c r="K76" s="26"/>
      <c r="L76" s="26"/>
      <c r="M76" s="35"/>
      <c r="N76" s="30" t="str">
        <f t="shared" si="5"/>
        <v/>
      </c>
      <c r="O76" s="36"/>
      <c r="P76" s="26"/>
      <c r="Q76" s="26"/>
      <c r="R76" s="29" t="str">
        <f>IF(C76="","",IF(COUNTIF($C$2:C76,C76)=1,"Nueva","Recurrente"))</f>
        <v/>
      </c>
      <c r="S76" s="29" t="str">
        <f>IF(OR(C76="",J76&lt;&gt;"Paquete"),"",COUNTIFS($C$2:C76,C76,$J$2:J76,"Paquete"))</f>
        <v/>
      </c>
      <c r="T76" s="26"/>
    </row>
    <row r="77" spans="1:20" x14ac:dyDescent="0.35">
      <c r="A77" s="26" t="s">
        <v>505</v>
      </c>
      <c r="B77" s="28"/>
      <c r="C77" s="26"/>
      <c r="D77" s="34" t="str">
        <f>IF($C77="","",IFERROR(IF(INDEX('🎓 Alumnas'!$C$2:$C$1000,MATCH($C77,'🎓 Alumnas'!$B$2:$B$1000,0))="","",INDEX('🎓 Alumnas'!$C$2:$C$1000,MATCH($C77,'🎓 Alumnas'!$B$2:$B$1000,0))),""))</f>
        <v/>
      </c>
      <c r="E77" s="29" t="str">
        <f>IF($C77="","",IFERROR(IF(INDEX('🎓 Alumnas'!$D$2:$D$1000,MATCH($C77,'🎓 Alumnas'!$B$2:$B$1000,0))="","",INDEX('🎓 Alumnas'!$D$2:$D$1000,MATCH($C77,'🎓 Alumnas'!$B$2:$B$1000,0))),""))</f>
        <v/>
      </c>
      <c r="F77" s="29" t="str">
        <f>IF($C77="","",IFERROR(IF(INDEX('🎓 Alumnas'!$E$2:$E$1000,MATCH($C77,'🎓 Alumnas'!$B$2:$B$1000,0))="","",INDEX('🎓 Alumnas'!$E$2:$E$1000,MATCH($C77,'🎓 Alumnas'!$B$2:$B$1000,0))),""))</f>
        <v/>
      </c>
      <c r="G77" s="31" t="str">
        <f>IF($C77="","",IFERROR(IF(INDEX('🎓 Alumnas'!$F$2:$F$1000,MATCH($C77,'🎓 Alumnas'!$B$2:$B$1000,0))="","",INDEX('🎓 Alumnas'!$F$2:$F$1000,MATCH($C77,'🎓 Alumnas'!$B$2:$B$1000,0))),""))</f>
        <v/>
      </c>
      <c r="H77" s="29" t="str">
        <f t="shared" ca="1" si="3"/>
        <v/>
      </c>
      <c r="I77" s="26"/>
      <c r="J77" s="29" t="str">
        <f t="shared" si="4"/>
        <v/>
      </c>
      <c r="K77" s="26"/>
      <c r="L77" s="26"/>
      <c r="M77" s="35"/>
      <c r="N77" s="30" t="str">
        <f t="shared" si="5"/>
        <v/>
      </c>
      <c r="O77" s="36"/>
      <c r="P77" s="26"/>
      <c r="Q77" s="26"/>
      <c r="R77" s="29" t="str">
        <f>IF(C77="","",IF(COUNTIF($C$2:C77,C77)=1,"Nueva","Recurrente"))</f>
        <v/>
      </c>
      <c r="S77" s="29" t="str">
        <f>IF(OR(C77="",J77&lt;&gt;"Paquete"),"",COUNTIFS($C$2:C77,C77,$J$2:J77,"Paquete"))</f>
        <v/>
      </c>
      <c r="T77" s="26"/>
    </row>
    <row r="78" spans="1:20" x14ac:dyDescent="0.35">
      <c r="A78" s="26" t="s">
        <v>506</v>
      </c>
      <c r="B78" s="28"/>
      <c r="C78" s="26"/>
      <c r="D78" s="34" t="str">
        <f>IF($C78="","",IFERROR(IF(INDEX('🎓 Alumnas'!$C$2:$C$1000,MATCH($C78,'🎓 Alumnas'!$B$2:$B$1000,0))="","",INDEX('🎓 Alumnas'!$C$2:$C$1000,MATCH($C78,'🎓 Alumnas'!$B$2:$B$1000,0))),""))</f>
        <v/>
      </c>
      <c r="E78" s="29" t="str">
        <f>IF($C78="","",IFERROR(IF(INDEX('🎓 Alumnas'!$D$2:$D$1000,MATCH($C78,'🎓 Alumnas'!$B$2:$B$1000,0))="","",INDEX('🎓 Alumnas'!$D$2:$D$1000,MATCH($C78,'🎓 Alumnas'!$B$2:$B$1000,0))),""))</f>
        <v/>
      </c>
      <c r="F78" s="29" t="str">
        <f>IF($C78="","",IFERROR(IF(INDEX('🎓 Alumnas'!$E$2:$E$1000,MATCH($C78,'🎓 Alumnas'!$B$2:$B$1000,0))="","",INDEX('🎓 Alumnas'!$E$2:$E$1000,MATCH($C78,'🎓 Alumnas'!$B$2:$B$1000,0))),""))</f>
        <v/>
      </c>
      <c r="G78" s="31" t="str">
        <f>IF($C78="","",IFERROR(IF(INDEX('🎓 Alumnas'!$F$2:$F$1000,MATCH($C78,'🎓 Alumnas'!$B$2:$B$1000,0))="","",INDEX('🎓 Alumnas'!$F$2:$F$1000,MATCH($C78,'🎓 Alumnas'!$B$2:$B$1000,0))),""))</f>
        <v/>
      </c>
      <c r="H78" s="29" t="str">
        <f t="shared" ca="1" si="3"/>
        <v/>
      </c>
      <c r="I78" s="26"/>
      <c r="J78" s="29" t="str">
        <f t="shared" si="4"/>
        <v/>
      </c>
      <c r="K78" s="26"/>
      <c r="L78" s="26"/>
      <c r="M78" s="35"/>
      <c r="N78" s="30" t="str">
        <f t="shared" si="5"/>
        <v/>
      </c>
      <c r="O78" s="36"/>
      <c r="P78" s="26"/>
      <c r="Q78" s="26"/>
      <c r="R78" s="29" t="str">
        <f>IF(C78="","",IF(COUNTIF($C$2:C78,C78)=1,"Nueva","Recurrente"))</f>
        <v/>
      </c>
      <c r="S78" s="29" t="str">
        <f>IF(OR(C78="",J78&lt;&gt;"Paquete"),"",COUNTIFS($C$2:C78,C78,$J$2:J78,"Paquete"))</f>
        <v/>
      </c>
      <c r="T78" s="26"/>
    </row>
    <row r="79" spans="1:20" x14ac:dyDescent="0.35">
      <c r="A79" s="26" t="s">
        <v>507</v>
      </c>
      <c r="B79" s="28"/>
      <c r="C79" s="26"/>
      <c r="D79" s="34" t="str">
        <f>IF($C79="","",IFERROR(IF(INDEX('🎓 Alumnas'!$C$2:$C$1000,MATCH($C79,'🎓 Alumnas'!$B$2:$B$1000,0))="","",INDEX('🎓 Alumnas'!$C$2:$C$1000,MATCH($C79,'🎓 Alumnas'!$B$2:$B$1000,0))),""))</f>
        <v/>
      </c>
      <c r="E79" s="29" t="str">
        <f>IF($C79="","",IFERROR(IF(INDEX('🎓 Alumnas'!$D$2:$D$1000,MATCH($C79,'🎓 Alumnas'!$B$2:$B$1000,0))="","",INDEX('🎓 Alumnas'!$D$2:$D$1000,MATCH($C79,'🎓 Alumnas'!$B$2:$B$1000,0))),""))</f>
        <v/>
      </c>
      <c r="F79" s="29" t="str">
        <f>IF($C79="","",IFERROR(IF(INDEX('🎓 Alumnas'!$E$2:$E$1000,MATCH($C79,'🎓 Alumnas'!$B$2:$B$1000,0))="","",INDEX('🎓 Alumnas'!$E$2:$E$1000,MATCH($C79,'🎓 Alumnas'!$B$2:$B$1000,0))),""))</f>
        <v/>
      </c>
      <c r="G79" s="31" t="str">
        <f>IF($C79="","",IFERROR(IF(INDEX('🎓 Alumnas'!$F$2:$F$1000,MATCH($C79,'🎓 Alumnas'!$B$2:$B$1000,0))="","",INDEX('🎓 Alumnas'!$F$2:$F$1000,MATCH($C79,'🎓 Alumnas'!$B$2:$B$1000,0))),""))</f>
        <v/>
      </c>
      <c r="H79" s="29" t="str">
        <f t="shared" ca="1" si="3"/>
        <v/>
      </c>
      <c r="I79" s="26"/>
      <c r="J79" s="29" t="str">
        <f t="shared" si="4"/>
        <v/>
      </c>
      <c r="K79" s="26"/>
      <c r="L79" s="26"/>
      <c r="M79" s="35"/>
      <c r="N79" s="30" t="str">
        <f t="shared" si="5"/>
        <v/>
      </c>
      <c r="O79" s="36"/>
      <c r="P79" s="26"/>
      <c r="Q79" s="26"/>
      <c r="R79" s="29" t="str">
        <f>IF(C79="","",IF(COUNTIF($C$2:C79,C79)=1,"Nueva","Recurrente"))</f>
        <v/>
      </c>
      <c r="S79" s="29" t="str">
        <f>IF(OR(C79="",J79&lt;&gt;"Paquete"),"",COUNTIFS($C$2:C79,C79,$J$2:J79,"Paquete"))</f>
        <v/>
      </c>
      <c r="T79" s="26"/>
    </row>
    <row r="80" spans="1:20" x14ac:dyDescent="0.35">
      <c r="A80" s="26" t="s">
        <v>508</v>
      </c>
      <c r="B80" s="28"/>
      <c r="C80" s="26"/>
      <c r="D80" s="34" t="str">
        <f>IF($C80="","",IFERROR(IF(INDEX('🎓 Alumnas'!$C$2:$C$1000,MATCH($C80,'🎓 Alumnas'!$B$2:$B$1000,0))="","",INDEX('🎓 Alumnas'!$C$2:$C$1000,MATCH($C80,'🎓 Alumnas'!$B$2:$B$1000,0))),""))</f>
        <v/>
      </c>
      <c r="E80" s="29" t="str">
        <f>IF($C80="","",IFERROR(IF(INDEX('🎓 Alumnas'!$D$2:$D$1000,MATCH($C80,'🎓 Alumnas'!$B$2:$B$1000,0))="","",INDEX('🎓 Alumnas'!$D$2:$D$1000,MATCH($C80,'🎓 Alumnas'!$B$2:$B$1000,0))),""))</f>
        <v/>
      </c>
      <c r="F80" s="29" t="str">
        <f>IF($C80="","",IFERROR(IF(INDEX('🎓 Alumnas'!$E$2:$E$1000,MATCH($C80,'🎓 Alumnas'!$B$2:$B$1000,0))="","",INDEX('🎓 Alumnas'!$E$2:$E$1000,MATCH($C80,'🎓 Alumnas'!$B$2:$B$1000,0))),""))</f>
        <v/>
      </c>
      <c r="G80" s="31" t="str">
        <f>IF($C80="","",IFERROR(IF(INDEX('🎓 Alumnas'!$F$2:$F$1000,MATCH($C80,'🎓 Alumnas'!$B$2:$B$1000,0))="","",INDEX('🎓 Alumnas'!$F$2:$F$1000,MATCH($C80,'🎓 Alumnas'!$B$2:$B$1000,0))),""))</f>
        <v/>
      </c>
      <c r="H80" s="29" t="str">
        <f t="shared" ca="1" si="3"/>
        <v/>
      </c>
      <c r="I80" s="26"/>
      <c r="J80" s="29" t="str">
        <f t="shared" si="4"/>
        <v/>
      </c>
      <c r="K80" s="26"/>
      <c r="L80" s="26"/>
      <c r="M80" s="35"/>
      <c r="N80" s="30" t="str">
        <f t="shared" si="5"/>
        <v/>
      </c>
      <c r="O80" s="36"/>
      <c r="P80" s="26"/>
      <c r="Q80" s="26"/>
      <c r="R80" s="29" t="str">
        <f>IF(C80="","",IF(COUNTIF($C$2:C80,C80)=1,"Nueva","Recurrente"))</f>
        <v/>
      </c>
      <c r="S80" s="29" t="str">
        <f>IF(OR(C80="",J80&lt;&gt;"Paquete"),"",COUNTIFS($C$2:C80,C80,$J$2:J80,"Paquete"))</f>
        <v/>
      </c>
      <c r="T80" s="26"/>
    </row>
    <row r="81" spans="1:20" x14ac:dyDescent="0.35">
      <c r="A81" s="26" t="s">
        <v>509</v>
      </c>
      <c r="B81" s="28"/>
      <c r="C81" s="26"/>
      <c r="D81" s="34" t="str">
        <f>IF($C81="","",IFERROR(IF(INDEX('🎓 Alumnas'!$C$2:$C$1000,MATCH($C81,'🎓 Alumnas'!$B$2:$B$1000,0))="","",INDEX('🎓 Alumnas'!$C$2:$C$1000,MATCH($C81,'🎓 Alumnas'!$B$2:$B$1000,0))),""))</f>
        <v/>
      </c>
      <c r="E81" s="29" t="str">
        <f>IF($C81="","",IFERROR(IF(INDEX('🎓 Alumnas'!$D$2:$D$1000,MATCH($C81,'🎓 Alumnas'!$B$2:$B$1000,0))="","",INDEX('🎓 Alumnas'!$D$2:$D$1000,MATCH($C81,'🎓 Alumnas'!$B$2:$B$1000,0))),""))</f>
        <v/>
      </c>
      <c r="F81" s="29" t="str">
        <f>IF($C81="","",IFERROR(IF(INDEX('🎓 Alumnas'!$E$2:$E$1000,MATCH($C81,'🎓 Alumnas'!$B$2:$B$1000,0))="","",INDEX('🎓 Alumnas'!$E$2:$E$1000,MATCH($C81,'🎓 Alumnas'!$B$2:$B$1000,0))),""))</f>
        <v/>
      </c>
      <c r="G81" s="31" t="str">
        <f>IF($C81="","",IFERROR(IF(INDEX('🎓 Alumnas'!$F$2:$F$1000,MATCH($C81,'🎓 Alumnas'!$B$2:$B$1000,0))="","",INDEX('🎓 Alumnas'!$F$2:$F$1000,MATCH($C81,'🎓 Alumnas'!$B$2:$B$1000,0))),""))</f>
        <v/>
      </c>
      <c r="H81" s="29" t="str">
        <f t="shared" ca="1" si="3"/>
        <v/>
      </c>
      <c r="I81" s="26"/>
      <c r="J81" s="29" t="str">
        <f t="shared" si="4"/>
        <v/>
      </c>
      <c r="K81" s="26"/>
      <c r="L81" s="26"/>
      <c r="M81" s="35"/>
      <c r="N81" s="30" t="str">
        <f t="shared" si="5"/>
        <v/>
      </c>
      <c r="O81" s="36"/>
      <c r="P81" s="26"/>
      <c r="Q81" s="26"/>
      <c r="R81" s="29" t="str">
        <f>IF(C81="","",IF(COUNTIF($C$2:C81,C81)=1,"Nueva","Recurrente"))</f>
        <v/>
      </c>
      <c r="S81" s="29" t="str">
        <f>IF(OR(C81="",J81&lt;&gt;"Paquete"),"",COUNTIFS($C$2:C81,C81,$J$2:J81,"Paquete"))</f>
        <v/>
      </c>
      <c r="T81" s="26"/>
    </row>
    <row r="82" spans="1:20" x14ac:dyDescent="0.35">
      <c r="A82" s="26" t="s">
        <v>510</v>
      </c>
      <c r="B82" s="28"/>
      <c r="C82" s="26"/>
      <c r="D82" s="34" t="str">
        <f>IF($C82="","",IFERROR(IF(INDEX('🎓 Alumnas'!$C$2:$C$1000,MATCH($C82,'🎓 Alumnas'!$B$2:$B$1000,0))="","",INDEX('🎓 Alumnas'!$C$2:$C$1000,MATCH($C82,'🎓 Alumnas'!$B$2:$B$1000,0))),""))</f>
        <v/>
      </c>
      <c r="E82" s="29" t="str">
        <f>IF($C82="","",IFERROR(IF(INDEX('🎓 Alumnas'!$D$2:$D$1000,MATCH($C82,'🎓 Alumnas'!$B$2:$B$1000,0))="","",INDEX('🎓 Alumnas'!$D$2:$D$1000,MATCH($C82,'🎓 Alumnas'!$B$2:$B$1000,0))),""))</f>
        <v/>
      </c>
      <c r="F82" s="29" t="str">
        <f>IF($C82="","",IFERROR(IF(INDEX('🎓 Alumnas'!$E$2:$E$1000,MATCH($C82,'🎓 Alumnas'!$B$2:$B$1000,0))="","",INDEX('🎓 Alumnas'!$E$2:$E$1000,MATCH($C82,'🎓 Alumnas'!$B$2:$B$1000,0))),""))</f>
        <v/>
      </c>
      <c r="G82" s="31" t="str">
        <f>IF($C82="","",IFERROR(IF(INDEX('🎓 Alumnas'!$F$2:$F$1000,MATCH($C82,'🎓 Alumnas'!$B$2:$B$1000,0))="","",INDEX('🎓 Alumnas'!$F$2:$F$1000,MATCH($C82,'🎓 Alumnas'!$B$2:$B$1000,0))),""))</f>
        <v/>
      </c>
      <c r="H82" s="29" t="str">
        <f t="shared" ca="1" si="3"/>
        <v/>
      </c>
      <c r="I82" s="26"/>
      <c r="J82" s="29" t="str">
        <f t="shared" si="4"/>
        <v/>
      </c>
      <c r="K82" s="26"/>
      <c r="L82" s="26"/>
      <c r="M82" s="35"/>
      <c r="N82" s="30" t="str">
        <f t="shared" si="5"/>
        <v/>
      </c>
      <c r="O82" s="36"/>
      <c r="P82" s="26"/>
      <c r="Q82" s="26"/>
      <c r="R82" s="29" t="str">
        <f>IF(C82="","",IF(COUNTIF($C$2:C82,C82)=1,"Nueva","Recurrente"))</f>
        <v/>
      </c>
      <c r="S82" s="29" t="str">
        <f>IF(OR(C82="",J82&lt;&gt;"Paquete"),"",COUNTIFS($C$2:C82,C82,$J$2:J82,"Paquete"))</f>
        <v/>
      </c>
      <c r="T82" s="26"/>
    </row>
    <row r="83" spans="1:20" x14ac:dyDescent="0.35">
      <c r="A83" s="26" t="s">
        <v>511</v>
      </c>
      <c r="B83" s="28"/>
      <c r="C83" s="26"/>
      <c r="D83" s="34" t="str">
        <f>IF($C83="","",IFERROR(IF(INDEX('🎓 Alumnas'!$C$2:$C$1000,MATCH($C83,'🎓 Alumnas'!$B$2:$B$1000,0))="","",INDEX('🎓 Alumnas'!$C$2:$C$1000,MATCH($C83,'🎓 Alumnas'!$B$2:$B$1000,0))),""))</f>
        <v/>
      </c>
      <c r="E83" s="29" t="str">
        <f>IF($C83="","",IFERROR(IF(INDEX('🎓 Alumnas'!$D$2:$D$1000,MATCH($C83,'🎓 Alumnas'!$B$2:$B$1000,0))="","",INDEX('🎓 Alumnas'!$D$2:$D$1000,MATCH($C83,'🎓 Alumnas'!$B$2:$B$1000,0))),""))</f>
        <v/>
      </c>
      <c r="F83" s="29" t="str">
        <f>IF($C83="","",IFERROR(IF(INDEX('🎓 Alumnas'!$E$2:$E$1000,MATCH($C83,'🎓 Alumnas'!$B$2:$B$1000,0))="","",INDEX('🎓 Alumnas'!$E$2:$E$1000,MATCH($C83,'🎓 Alumnas'!$B$2:$B$1000,0))),""))</f>
        <v/>
      </c>
      <c r="G83" s="31" t="str">
        <f>IF($C83="","",IFERROR(IF(INDEX('🎓 Alumnas'!$F$2:$F$1000,MATCH($C83,'🎓 Alumnas'!$B$2:$B$1000,0))="","",INDEX('🎓 Alumnas'!$F$2:$F$1000,MATCH($C83,'🎓 Alumnas'!$B$2:$B$1000,0))),""))</f>
        <v/>
      </c>
      <c r="H83" s="29" t="str">
        <f t="shared" ca="1" si="3"/>
        <v/>
      </c>
      <c r="I83" s="26"/>
      <c r="J83" s="29" t="str">
        <f t="shared" si="4"/>
        <v/>
      </c>
      <c r="K83" s="26"/>
      <c r="L83" s="26"/>
      <c r="M83" s="35"/>
      <c r="N83" s="30" t="str">
        <f t="shared" si="5"/>
        <v/>
      </c>
      <c r="O83" s="36"/>
      <c r="P83" s="26"/>
      <c r="Q83" s="26"/>
      <c r="R83" s="29" t="str">
        <f>IF(C83="","",IF(COUNTIF($C$2:C83,C83)=1,"Nueva","Recurrente"))</f>
        <v/>
      </c>
      <c r="S83" s="29" t="str">
        <f>IF(OR(C83="",J83&lt;&gt;"Paquete"),"",COUNTIFS($C$2:C83,C83,$J$2:J83,"Paquete"))</f>
        <v/>
      </c>
      <c r="T83" s="26"/>
    </row>
    <row r="84" spans="1:20" x14ac:dyDescent="0.35">
      <c r="A84" s="26" t="s">
        <v>512</v>
      </c>
      <c r="B84" s="28"/>
      <c r="C84" s="26"/>
      <c r="D84" s="34" t="str">
        <f>IF($C84="","",IFERROR(IF(INDEX('🎓 Alumnas'!$C$2:$C$1000,MATCH($C84,'🎓 Alumnas'!$B$2:$B$1000,0))="","",INDEX('🎓 Alumnas'!$C$2:$C$1000,MATCH($C84,'🎓 Alumnas'!$B$2:$B$1000,0))),""))</f>
        <v/>
      </c>
      <c r="E84" s="29" t="str">
        <f>IF($C84="","",IFERROR(IF(INDEX('🎓 Alumnas'!$D$2:$D$1000,MATCH($C84,'🎓 Alumnas'!$B$2:$B$1000,0))="","",INDEX('🎓 Alumnas'!$D$2:$D$1000,MATCH($C84,'🎓 Alumnas'!$B$2:$B$1000,0))),""))</f>
        <v/>
      </c>
      <c r="F84" s="29" t="str">
        <f>IF($C84="","",IFERROR(IF(INDEX('🎓 Alumnas'!$E$2:$E$1000,MATCH($C84,'🎓 Alumnas'!$B$2:$B$1000,0))="","",INDEX('🎓 Alumnas'!$E$2:$E$1000,MATCH($C84,'🎓 Alumnas'!$B$2:$B$1000,0))),""))</f>
        <v/>
      </c>
      <c r="G84" s="31" t="str">
        <f>IF($C84="","",IFERROR(IF(INDEX('🎓 Alumnas'!$F$2:$F$1000,MATCH($C84,'🎓 Alumnas'!$B$2:$B$1000,0))="","",INDEX('🎓 Alumnas'!$F$2:$F$1000,MATCH($C84,'🎓 Alumnas'!$B$2:$B$1000,0))),""))</f>
        <v/>
      </c>
      <c r="H84" s="29" t="str">
        <f t="shared" ca="1" si="3"/>
        <v/>
      </c>
      <c r="I84" s="26"/>
      <c r="J84" s="29" t="str">
        <f t="shared" si="4"/>
        <v/>
      </c>
      <c r="K84" s="26"/>
      <c r="L84" s="26"/>
      <c r="M84" s="35"/>
      <c r="N84" s="30" t="str">
        <f t="shared" si="5"/>
        <v/>
      </c>
      <c r="O84" s="36"/>
      <c r="P84" s="26"/>
      <c r="Q84" s="26"/>
      <c r="R84" s="29" t="str">
        <f>IF(C84="","",IF(COUNTIF($C$2:C84,C84)=1,"Nueva","Recurrente"))</f>
        <v/>
      </c>
      <c r="S84" s="29" t="str">
        <f>IF(OR(C84="",J84&lt;&gt;"Paquete"),"",COUNTIFS($C$2:C84,C84,$J$2:J84,"Paquete"))</f>
        <v/>
      </c>
      <c r="T84" s="26"/>
    </row>
    <row r="85" spans="1:20" x14ac:dyDescent="0.35">
      <c r="A85" s="26" t="s">
        <v>513</v>
      </c>
      <c r="B85" s="28"/>
      <c r="C85" s="26"/>
      <c r="D85" s="34" t="str">
        <f>IF($C85="","",IFERROR(IF(INDEX('🎓 Alumnas'!$C$2:$C$1000,MATCH($C85,'🎓 Alumnas'!$B$2:$B$1000,0))="","",INDEX('🎓 Alumnas'!$C$2:$C$1000,MATCH($C85,'🎓 Alumnas'!$B$2:$B$1000,0))),""))</f>
        <v/>
      </c>
      <c r="E85" s="29" t="str">
        <f>IF($C85="","",IFERROR(IF(INDEX('🎓 Alumnas'!$D$2:$D$1000,MATCH($C85,'🎓 Alumnas'!$B$2:$B$1000,0))="","",INDEX('🎓 Alumnas'!$D$2:$D$1000,MATCH($C85,'🎓 Alumnas'!$B$2:$B$1000,0))),""))</f>
        <v/>
      </c>
      <c r="F85" s="29" t="str">
        <f>IF($C85="","",IFERROR(IF(INDEX('🎓 Alumnas'!$E$2:$E$1000,MATCH($C85,'🎓 Alumnas'!$B$2:$B$1000,0))="","",INDEX('🎓 Alumnas'!$E$2:$E$1000,MATCH($C85,'🎓 Alumnas'!$B$2:$B$1000,0))),""))</f>
        <v/>
      </c>
      <c r="G85" s="31" t="str">
        <f>IF($C85="","",IFERROR(IF(INDEX('🎓 Alumnas'!$F$2:$F$1000,MATCH($C85,'🎓 Alumnas'!$B$2:$B$1000,0))="","",INDEX('🎓 Alumnas'!$F$2:$F$1000,MATCH($C85,'🎓 Alumnas'!$B$2:$B$1000,0))),""))</f>
        <v/>
      </c>
      <c r="H85" s="29" t="str">
        <f t="shared" ca="1" si="3"/>
        <v/>
      </c>
      <c r="I85" s="26"/>
      <c r="J85" s="29" t="str">
        <f t="shared" si="4"/>
        <v/>
      </c>
      <c r="K85" s="26"/>
      <c r="L85" s="26"/>
      <c r="M85" s="35"/>
      <c r="N85" s="30" t="str">
        <f t="shared" si="5"/>
        <v/>
      </c>
      <c r="O85" s="36"/>
      <c r="P85" s="26"/>
      <c r="Q85" s="26"/>
      <c r="R85" s="29" t="str">
        <f>IF(C85="","",IF(COUNTIF($C$2:C85,C85)=1,"Nueva","Recurrente"))</f>
        <v/>
      </c>
      <c r="S85" s="29" t="str">
        <f>IF(OR(C85="",J85&lt;&gt;"Paquete"),"",COUNTIFS($C$2:C85,C85,$J$2:J85,"Paquete"))</f>
        <v/>
      </c>
      <c r="T85" s="26"/>
    </row>
    <row r="86" spans="1:20" x14ac:dyDescent="0.35">
      <c r="A86" s="26" t="s">
        <v>514</v>
      </c>
      <c r="B86" s="28"/>
      <c r="C86" s="26"/>
      <c r="D86" s="34" t="str">
        <f>IF($C86="","",IFERROR(IF(INDEX('🎓 Alumnas'!$C$2:$C$1000,MATCH($C86,'🎓 Alumnas'!$B$2:$B$1000,0))="","",INDEX('🎓 Alumnas'!$C$2:$C$1000,MATCH($C86,'🎓 Alumnas'!$B$2:$B$1000,0))),""))</f>
        <v/>
      </c>
      <c r="E86" s="29" t="str">
        <f>IF($C86="","",IFERROR(IF(INDEX('🎓 Alumnas'!$D$2:$D$1000,MATCH($C86,'🎓 Alumnas'!$B$2:$B$1000,0))="","",INDEX('🎓 Alumnas'!$D$2:$D$1000,MATCH($C86,'🎓 Alumnas'!$B$2:$B$1000,0))),""))</f>
        <v/>
      </c>
      <c r="F86" s="29" t="str">
        <f>IF($C86="","",IFERROR(IF(INDEX('🎓 Alumnas'!$E$2:$E$1000,MATCH($C86,'🎓 Alumnas'!$B$2:$B$1000,0))="","",INDEX('🎓 Alumnas'!$E$2:$E$1000,MATCH($C86,'🎓 Alumnas'!$B$2:$B$1000,0))),""))</f>
        <v/>
      </c>
      <c r="G86" s="31" t="str">
        <f>IF($C86="","",IFERROR(IF(INDEX('🎓 Alumnas'!$F$2:$F$1000,MATCH($C86,'🎓 Alumnas'!$B$2:$B$1000,0))="","",INDEX('🎓 Alumnas'!$F$2:$F$1000,MATCH($C86,'🎓 Alumnas'!$B$2:$B$1000,0))),""))</f>
        <v/>
      </c>
      <c r="H86" s="29" t="str">
        <f t="shared" ca="1" si="3"/>
        <v/>
      </c>
      <c r="I86" s="26"/>
      <c r="J86" s="29" t="str">
        <f t="shared" si="4"/>
        <v/>
      </c>
      <c r="K86" s="26"/>
      <c r="L86" s="26"/>
      <c r="M86" s="35"/>
      <c r="N86" s="30" t="str">
        <f t="shared" si="5"/>
        <v/>
      </c>
      <c r="O86" s="36"/>
      <c r="P86" s="26"/>
      <c r="Q86" s="26"/>
      <c r="R86" s="29" t="str">
        <f>IF(C86="","",IF(COUNTIF($C$2:C86,C86)=1,"Nueva","Recurrente"))</f>
        <v/>
      </c>
      <c r="S86" s="29" t="str">
        <f>IF(OR(C86="",J86&lt;&gt;"Paquete"),"",COUNTIFS($C$2:C86,C86,$J$2:J86,"Paquete"))</f>
        <v/>
      </c>
      <c r="T86" s="26"/>
    </row>
    <row r="87" spans="1:20" x14ac:dyDescent="0.35">
      <c r="A87" s="26" t="s">
        <v>515</v>
      </c>
      <c r="B87" s="28"/>
      <c r="C87" s="26"/>
      <c r="D87" s="34" t="str">
        <f>IF($C87="","",IFERROR(IF(INDEX('🎓 Alumnas'!$C$2:$C$1000,MATCH($C87,'🎓 Alumnas'!$B$2:$B$1000,0))="","",INDEX('🎓 Alumnas'!$C$2:$C$1000,MATCH($C87,'🎓 Alumnas'!$B$2:$B$1000,0))),""))</f>
        <v/>
      </c>
      <c r="E87" s="29" t="str">
        <f>IF($C87="","",IFERROR(IF(INDEX('🎓 Alumnas'!$D$2:$D$1000,MATCH($C87,'🎓 Alumnas'!$B$2:$B$1000,0))="","",INDEX('🎓 Alumnas'!$D$2:$D$1000,MATCH($C87,'🎓 Alumnas'!$B$2:$B$1000,0))),""))</f>
        <v/>
      </c>
      <c r="F87" s="29" t="str">
        <f>IF($C87="","",IFERROR(IF(INDEX('🎓 Alumnas'!$E$2:$E$1000,MATCH($C87,'🎓 Alumnas'!$B$2:$B$1000,0))="","",INDEX('🎓 Alumnas'!$E$2:$E$1000,MATCH($C87,'🎓 Alumnas'!$B$2:$B$1000,0))),""))</f>
        <v/>
      </c>
      <c r="G87" s="31" t="str">
        <f>IF($C87="","",IFERROR(IF(INDEX('🎓 Alumnas'!$F$2:$F$1000,MATCH($C87,'🎓 Alumnas'!$B$2:$B$1000,0))="","",INDEX('🎓 Alumnas'!$F$2:$F$1000,MATCH($C87,'🎓 Alumnas'!$B$2:$B$1000,0))),""))</f>
        <v/>
      </c>
      <c r="H87" s="29" t="str">
        <f t="shared" ca="1" si="3"/>
        <v/>
      </c>
      <c r="I87" s="26"/>
      <c r="J87" s="29" t="str">
        <f t="shared" si="4"/>
        <v/>
      </c>
      <c r="K87" s="26"/>
      <c r="L87" s="26"/>
      <c r="M87" s="35"/>
      <c r="N87" s="30" t="str">
        <f t="shared" si="5"/>
        <v/>
      </c>
      <c r="O87" s="36"/>
      <c r="P87" s="26"/>
      <c r="Q87" s="26"/>
      <c r="R87" s="29" t="str">
        <f>IF(C87="","",IF(COUNTIF($C$2:C87,C87)=1,"Nueva","Recurrente"))</f>
        <v/>
      </c>
      <c r="S87" s="29" t="str">
        <f>IF(OR(C87="",J87&lt;&gt;"Paquete"),"",COUNTIFS($C$2:C87,C87,$J$2:J87,"Paquete"))</f>
        <v/>
      </c>
      <c r="T87" s="26"/>
    </row>
    <row r="88" spans="1:20" x14ac:dyDescent="0.35">
      <c r="A88" s="26" t="s">
        <v>516</v>
      </c>
      <c r="B88" s="28"/>
      <c r="C88" s="26"/>
      <c r="D88" s="34" t="str">
        <f>IF($C88="","",IFERROR(IF(INDEX('🎓 Alumnas'!$C$2:$C$1000,MATCH($C88,'🎓 Alumnas'!$B$2:$B$1000,0))="","",INDEX('🎓 Alumnas'!$C$2:$C$1000,MATCH($C88,'🎓 Alumnas'!$B$2:$B$1000,0))),""))</f>
        <v/>
      </c>
      <c r="E88" s="29" t="str">
        <f>IF($C88="","",IFERROR(IF(INDEX('🎓 Alumnas'!$D$2:$D$1000,MATCH($C88,'🎓 Alumnas'!$B$2:$B$1000,0))="","",INDEX('🎓 Alumnas'!$D$2:$D$1000,MATCH($C88,'🎓 Alumnas'!$B$2:$B$1000,0))),""))</f>
        <v/>
      </c>
      <c r="F88" s="29" t="str">
        <f>IF($C88="","",IFERROR(IF(INDEX('🎓 Alumnas'!$E$2:$E$1000,MATCH($C88,'🎓 Alumnas'!$B$2:$B$1000,0))="","",INDEX('🎓 Alumnas'!$E$2:$E$1000,MATCH($C88,'🎓 Alumnas'!$B$2:$B$1000,0))),""))</f>
        <v/>
      </c>
      <c r="G88" s="31" t="str">
        <f>IF($C88="","",IFERROR(IF(INDEX('🎓 Alumnas'!$F$2:$F$1000,MATCH($C88,'🎓 Alumnas'!$B$2:$B$1000,0))="","",INDEX('🎓 Alumnas'!$F$2:$F$1000,MATCH($C88,'🎓 Alumnas'!$B$2:$B$1000,0))),""))</f>
        <v/>
      </c>
      <c r="H88" s="29" t="str">
        <f t="shared" ca="1" si="3"/>
        <v/>
      </c>
      <c r="I88" s="26"/>
      <c r="J88" s="29" t="str">
        <f t="shared" si="4"/>
        <v/>
      </c>
      <c r="K88" s="26"/>
      <c r="L88" s="26"/>
      <c r="M88" s="35"/>
      <c r="N88" s="30" t="str">
        <f t="shared" si="5"/>
        <v/>
      </c>
      <c r="O88" s="36"/>
      <c r="P88" s="26"/>
      <c r="Q88" s="26"/>
      <c r="R88" s="29" t="str">
        <f>IF(C88="","",IF(COUNTIF($C$2:C88,C88)=1,"Nueva","Recurrente"))</f>
        <v/>
      </c>
      <c r="S88" s="29" t="str">
        <f>IF(OR(C88="",J88&lt;&gt;"Paquete"),"",COUNTIFS($C$2:C88,C88,$J$2:J88,"Paquete"))</f>
        <v/>
      </c>
      <c r="T88" s="26"/>
    </row>
    <row r="89" spans="1:20" x14ac:dyDescent="0.35">
      <c r="A89" s="26" t="s">
        <v>517</v>
      </c>
      <c r="B89" s="28"/>
      <c r="C89" s="26"/>
      <c r="D89" s="34" t="str">
        <f>IF($C89="","",IFERROR(IF(INDEX('🎓 Alumnas'!$C$2:$C$1000,MATCH($C89,'🎓 Alumnas'!$B$2:$B$1000,0))="","",INDEX('🎓 Alumnas'!$C$2:$C$1000,MATCH($C89,'🎓 Alumnas'!$B$2:$B$1000,0))),""))</f>
        <v/>
      </c>
      <c r="E89" s="29" t="str">
        <f>IF($C89="","",IFERROR(IF(INDEX('🎓 Alumnas'!$D$2:$D$1000,MATCH($C89,'🎓 Alumnas'!$B$2:$B$1000,0))="","",INDEX('🎓 Alumnas'!$D$2:$D$1000,MATCH($C89,'🎓 Alumnas'!$B$2:$B$1000,0))),""))</f>
        <v/>
      </c>
      <c r="F89" s="29" t="str">
        <f>IF($C89="","",IFERROR(IF(INDEX('🎓 Alumnas'!$E$2:$E$1000,MATCH($C89,'🎓 Alumnas'!$B$2:$B$1000,0))="","",INDEX('🎓 Alumnas'!$E$2:$E$1000,MATCH($C89,'🎓 Alumnas'!$B$2:$B$1000,0))),""))</f>
        <v/>
      </c>
      <c r="G89" s="31" t="str">
        <f>IF($C89="","",IFERROR(IF(INDEX('🎓 Alumnas'!$F$2:$F$1000,MATCH($C89,'🎓 Alumnas'!$B$2:$B$1000,0))="","",INDEX('🎓 Alumnas'!$F$2:$F$1000,MATCH($C89,'🎓 Alumnas'!$B$2:$B$1000,0))),""))</f>
        <v/>
      </c>
      <c r="H89" s="29" t="str">
        <f t="shared" ca="1" si="3"/>
        <v/>
      </c>
      <c r="I89" s="26"/>
      <c r="J89" s="29" t="str">
        <f t="shared" si="4"/>
        <v/>
      </c>
      <c r="K89" s="26"/>
      <c r="L89" s="26"/>
      <c r="M89" s="35"/>
      <c r="N89" s="30" t="str">
        <f t="shared" si="5"/>
        <v/>
      </c>
      <c r="O89" s="36"/>
      <c r="P89" s="26"/>
      <c r="Q89" s="26"/>
      <c r="R89" s="29" t="str">
        <f>IF(C89="","",IF(COUNTIF($C$2:C89,C89)=1,"Nueva","Recurrente"))</f>
        <v/>
      </c>
      <c r="S89" s="29" t="str">
        <f>IF(OR(C89="",J89&lt;&gt;"Paquete"),"",COUNTIFS($C$2:C89,C89,$J$2:J89,"Paquete"))</f>
        <v/>
      </c>
      <c r="T89" s="26"/>
    </row>
    <row r="90" spans="1:20" x14ac:dyDescent="0.35">
      <c r="A90" s="26" t="s">
        <v>518</v>
      </c>
      <c r="B90" s="28"/>
      <c r="C90" s="26"/>
      <c r="D90" s="34" t="str">
        <f>IF($C90="","",IFERROR(IF(INDEX('🎓 Alumnas'!$C$2:$C$1000,MATCH($C90,'🎓 Alumnas'!$B$2:$B$1000,0))="","",INDEX('🎓 Alumnas'!$C$2:$C$1000,MATCH($C90,'🎓 Alumnas'!$B$2:$B$1000,0))),""))</f>
        <v/>
      </c>
      <c r="E90" s="29" t="str">
        <f>IF($C90="","",IFERROR(IF(INDEX('🎓 Alumnas'!$D$2:$D$1000,MATCH($C90,'🎓 Alumnas'!$B$2:$B$1000,0))="","",INDEX('🎓 Alumnas'!$D$2:$D$1000,MATCH($C90,'🎓 Alumnas'!$B$2:$B$1000,0))),""))</f>
        <v/>
      </c>
      <c r="F90" s="29" t="str">
        <f>IF($C90="","",IFERROR(IF(INDEX('🎓 Alumnas'!$E$2:$E$1000,MATCH($C90,'🎓 Alumnas'!$B$2:$B$1000,0))="","",INDEX('🎓 Alumnas'!$E$2:$E$1000,MATCH($C90,'🎓 Alumnas'!$B$2:$B$1000,0))),""))</f>
        <v/>
      </c>
      <c r="G90" s="31" t="str">
        <f>IF($C90="","",IFERROR(IF(INDEX('🎓 Alumnas'!$F$2:$F$1000,MATCH($C90,'🎓 Alumnas'!$B$2:$B$1000,0))="","",INDEX('🎓 Alumnas'!$F$2:$F$1000,MATCH($C90,'🎓 Alumnas'!$B$2:$B$1000,0))),""))</f>
        <v/>
      </c>
      <c r="H90" s="29" t="str">
        <f t="shared" ca="1" si="3"/>
        <v/>
      </c>
      <c r="I90" s="26"/>
      <c r="J90" s="29" t="str">
        <f t="shared" si="4"/>
        <v/>
      </c>
      <c r="K90" s="26"/>
      <c r="L90" s="26"/>
      <c r="M90" s="35"/>
      <c r="N90" s="30" t="str">
        <f t="shared" si="5"/>
        <v/>
      </c>
      <c r="O90" s="36"/>
      <c r="P90" s="26"/>
      <c r="Q90" s="26"/>
      <c r="R90" s="29" t="str">
        <f>IF(C90="","",IF(COUNTIF($C$2:C90,C90)=1,"Nueva","Recurrente"))</f>
        <v/>
      </c>
      <c r="S90" s="29" t="str">
        <f>IF(OR(C90="",J90&lt;&gt;"Paquete"),"",COUNTIFS($C$2:C90,C90,$J$2:J90,"Paquete"))</f>
        <v/>
      </c>
      <c r="T90" s="26"/>
    </row>
    <row r="91" spans="1:20" x14ac:dyDescent="0.35">
      <c r="A91" s="26" t="s">
        <v>519</v>
      </c>
      <c r="B91" s="28"/>
      <c r="C91" s="26"/>
      <c r="D91" s="34" t="str">
        <f>IF($C91="","",IFERROR(IF(INDEX('🎓 Alumnas'!$C$2:$C$1000,MATCH($C91,'🎓 Alumnas'!$B$2:$B$1000,0))="","",INDEX('🎓 Alumnas'!$C$2:$C$1000,MATCH($C91,'🎓 Alumnas'!$B$2:$B$1000,0))),""))</f>
        <v/>
      </c>
      <c r="E91" s="29" t="str">
        <f>IF($C91="","",IFERROR(IF(INDEX('🎓 Alumnas'!$D$2:$D$1000,MATCH($C91,'🎓 Alumnas'!$B$2:$B$1000,0))="","",INDEX('🎓 Alumnas'!$D$2:$D$1000,MATCH($C91,'🎓 Alumnas'!$B$2:$B$1000,0))),""))</f>
        <v/>
      </c>
      <c r="F91" s="29" t="str">
        <f>IF($C91="","",IFERROR(IF(INDEX('🎓 Alumnas'!$E$2:$E$1000,MATCH($C91,'🎓 Alumnas'!$B$2:$B$1000,0))="","",INDEX('🎓 Alumnas'!$E$2:$E$1000,MATCH($C91,'🎓 Alumnas'!$B$2:$B$1000,0))),""))</f>
        <v/>
      </c>
      <c r="G91" s="31" t="str">
        <f>IF($C91="","",IFERROR(IF(INDEX('🎓 Alumnas'!$F$2:$F$1000,MATCH($C91,'🎓 Alumnas'!$B$2:$B$1000,0))="","",INDEX('🎓 Alumnas'!$F$2:$F$1000,MATCH($C91,'🎓 Alumnas'!$B$2:$B$1000,0))),""))</f>
        <v/>
      </c>
      <c r="H91" s="29" t="str">
        <f t="shared" ca="1" si="3"/>
        <v/>
      </c>
      <c r="I91" s="26"/>
      <c r="J91" s="29" t="str">
        <f t="shared" si="4"/>
        <v/>
      </c>
      <c r="K91" s="26"/>
      <c r="L91" s="26"/>
      <c r="M91" s="35"/>
      <c r="N91" s="30" t="str">
        <f t="shared" si="5"/>
        <v/>
      </c>
      <c r="O91" s="36"/>
      <c r="P91" s="26"/>
      <c r="Q91" s="26"/>
      <c r="R91" s="29" t="str">
        <f>IF(C91="","",IF(COUNTIF($C$2:C91,C91)=1,"Nueva","Recurrente"))</f>
        <v/>
      </c>
      <c r="S91" s="29" t="str">
        <f>IF(OR(C91="",J91&lt;&gt;"Paquete"),"",COUNTIFS($C$2:C91,C91,$J$2:J91,"Paquete"))</f>
        <v/>
      </c>
      <c r="T91" s="26"/>
    </row>
    <row r="92" spans="1:20" x14ac:dyDescent="0.35">
      <c r="A92" s="26" t="s">
        <v>520</v>
      </c>
      <c r="B92" s="28"/>
      <c r="C92" s="26"/>
      <c r="D92" s="34" t="str">
        <f>IF($C92="","",IFERROR(IF(INDEX('🎓 Alumnas'!$C$2:$C$1000,MATCH($C92,'🎓 Alumnas'!$B$2:$B$1000,0))="","",INDEX('🎓 Alumnas'!$C$2:$C$1000,MATCH($C92,'🎓 Alumnas'!$B$2:$B$1000,0))),""))</f>
        <v/>
      </c>
      <c r="E92" s="29" t="str">
        <f>IF($C92="","",IFERROR(IF(INDEX('🎓 Alumnas'!$D$2:$D$1000,MATCH($C92,'🎓 Alumnas'!$B$2:$B$1000,0))="","",INDEX('🎓 Alumnas'!$D$2:$D$1000,MATCH($C92,'🎓 Alumnas'!$B$2:$B$1000,0))),""))</f>
        <v/>
      </c>
      <c r="F92" s="29" t="str">
        <f>IF($C92="","",IFERROR(IF(INDEX('🎓 Alumnas'!$E$2:$E$1000,MATCH($C92,'🎓 Alumnas'!$B$2:$B$1000,0))="","",INDEX('🎓 Alumnas'!$E$2:$E$1000,MATCH($C92,'🎓 Alumnas'!$B$2:$B$1000,0))),""))</f>
        <v/>
      </c>
      <c r="G92" s="31" t="str">
        <f>IF($C92="","",IFERROR(IF(INDEX('🎓 Alumnas'!$F$2:$F$1000,MATCH($C92,'🎓 Alumnas'!$B$2:$B$1000,0))="","",INDEX('🎓 Alumnas'!$F$2:$F$1000,MATCH($C92,'🎓 Alumnas'!$B$2:$B$1000,0))),""))</f>
        <v/>
      </c>
      <c r="H92" s="29" t="str">
        <f t="shared" ca="1" si="3"/>
        <v/>
      </c>
      <c r="I92" s="26"/>
      <c r="J92" s="29" t="str">
        <f t="shared" si="4"/>
        <v/>
      </c>
      <c r="K92" s="26"/>
      <c r="L92" s="26"/>
      <c r="M92" s="35"/>
      <c r="N92" s="30" t="str">
        <f t="shared" si="5"/>
        <v/>
      </c>
      <c r="O92" s="36"/>
      <c r="P92" s="26"/>
      <c r="Q92" s="26"/>
      <c r="R92" s="29" t="str">
        <f>IF(C92="","",IF(COUNTIF($C$2:C92,C92)=1,"Nueva","Recurrente"))</f>
        <v/>
      </c>
      <c r="S92" s="29" t="str">
        <f>IF(OR(C92="",J92&lt;&gt;"Paquete"),"",COUNTIFS($C$2:C92,C92,$J$2:J92,"Paquete"))</f>
        <v/>
      </c>
      <c r="T92" s="26"/>
    </row>
    <row r="93" spans="1:20" x14ac:dyDescent="0.35">
      <c r="A93" s="26" t="s">
        <v>521</v>
      </c>
      <c r="B93" s="28"/>
      <c r="C93" s="26"/>
      <c r="D93" s="34" t="str">
        <f>IF($C93="","",IFERROR(IF(INDEX('🎓 Alumnas'!$C$2:$C$1000,MATCH($C93,'🎓 Alumnas'!$B$2:$B$1000,0))="","",INDEX('🎓 Alumnas'!$C$2:$C$1000,MATCH($C93,'🎓 Alumnas'!$B$2:$B$1000,0))),""))</f>
        <v/>
      </c>
      <c r="E93" s="29" t="str">
        <f>IF($C93="","",IFERROR(IF(INDEX('🎓 Alumnas'!$D$2:$D$1000,MATCH($C93,'🎓 Alumnas'!$B$2:$B$1000,0))="","",INDEX('🎓 Alumnas'!$D$2:$D$1000,MATCH($C93,'🎓 Alumnas'!$B$2:$B$1000,0))),""))</f>
        <v/>
      </c>
      <c r="F93" s="29" t="str">
        <f>IF($C93="","",IFERROR(IF(INDEX('🎓 Alumnas'!$E$2:$E$1000,MATCH($C93,'🎓 Alumnas'!$B$2:$B$1000,0))="","",INDEX('🎓 Alumnas'!$E$2:$E$1000,MATCH($C93,'🎓 Alumnas'!$B$2:$B$1000,0))),""))</f>
        <v/>
      </c>
      <c r="G93" s="31" t="str">
        <f>IF($C93="","",IFERROR(IF(INDEX('🎓 Alumnas'!$F$2:$F$1000,MATCH($C93,'🎓 Alumnas'!$B$2:$B$1000,0))="","",INDEX('🎓 Alumnas'!$F$2:$F$1000,MATCH($C93,'🎓 Alumnas'!$B$2:$B$1000,0))),""))</f>
        <v/>
      </c>
      <c r="H93" s="29" t="str">
        <f t="shared" ca="1" si="3"/>
        <v/>
      </c>
      <c r="I93" s="26"/>
      <c r="J93" s="29" t="str">
        <f t="shared" si="4"/>
        <v/>
      </c>
      <c r="K93" s="26"/>
      <c r="L93" s="26"/>
      <c r="M93" s="35"/>
      <c r="N93" s="30" t="str">
        <f t="shared" si="5"/>
        <v/>
      </c>
      <c r="O93" s="36"/>
      <c r="P93" s="26"/>
      <c r="Q93" s="26"/>
      <c r="R93" s="29" t="str">
        <f>IF(C93="","",IF(COUNTIF($C$2:C93,C93)=1,"Nueva","Recurrente"))</f>
        <v/>
      </c>
      <c r="S93" s="29" t="str">
        <f>IF(OR(C93="",J93&lt;&gt;"Paquete"),"",COUNTIFS($C$2:C93,C93,$J$2:J93,"Paquete"))</f>
        <v/>
      </c>
      <c r="T93" s="26"/>
    </row>
    <row r="94" spans="1:20" x14ac:dyDescent="0.35">
      <c r="A94" s="26" t="s">
        <v>522</v>
      </c>
      <c r="B94" s="28"/>
      <c r="C94" s="26"/>
      <c r="D94" s="34" t="str">
        <f>IF($C94="","",IFERROR(IF(INDEX('🎓 Alumnas'!$C$2:$C$1000,MATCH($C94,'🎓 Alumnas'!$B$2:$B$1000,0))="","",INDEX('🎓 Alumnas'!$C$2:$C$1000,MATCH($C94,'🎓 Alumnas'!$B$2:$B$1000,0))),""))</f>
        <v/>
      </c>
      <c r="E94" s="29" t="str">
        <f>IF($C94="","",IFERROR(IF(INDEX('🎓 Alumnas'!$D$2:$D$1000,MATCH($C94,'🎓 Alumnas'!$B$2:$B$1000,0))="","",INDEX('🎓 Alumnas'!$D$2:$D$1000,MATCH($C94,'🎓 Alumnas'!$B$2:$B$1000,0))),""))</f>
        <v/>
      </c>
      <c r="F94" s="29" t="str">
        <f>IF($C94="","",IFERROR(IF(INDEX('🎓 Alumnas'!$E$2:$E$1000,MATCH($C94,'🎓 Alumnas'!$B$2:$B$1000,0))="","",INDEX('🎓 Alumnas'!$E$2:$E$1000,MATCH($C94,'🎓 Alumnas'!$B$2:$B$1000,0))),""))</f>
        <v/>
      </c>
      <c r="G94" s="31" t="str">
        <f>IF($C94="","",IFERROR(IF(INDEX('🎓 Alumnas'!$F$2:$F$1000,MATCH($C94,'🎓 Alumnas'!$B$2:$B$1000,0))="","",INDEX('🎓 Alumnas'!$F$2:$F$1000,MATCH($C94,'🎓 Alumnas'!$B$2:$B$1000,0))),""))</f>
        <v/>
      </c>
      <c r="H94" s="29" t="str">
        <f t="shared" ca="1" si="3"/>
        <v/>
      </c>
      <c r="I94" s="26"/>
      <c r="J94" s="29" t="str">
        <f t="shared" si="4"/>
        <v/>
      </c>
      <c r="K94" s="26"/>
      <c r="L94" s="26"/>
      <c r="M94" s="35"/>
      <c r="N94" s="30" t="str">
        <f t="shared" si="5"/>
        <v/>
      </c>
      <c r="O94" s="36"/>
      <c r="P94" s="26"/>
      <c r="Q94" s="26"/>
      <c r="R94" s="29" t="str">
        <f>IF(C94="","",IF(COUNTIF($C$2:C94,C94)=1,"Nueva","Recurrente"))</f>
        <v/>
      </c>
      <c r="S94" s="29" t="str">
        <f>IF(OR(C94="",J94&lt;&gt;"Paquete"),"",COUNTIFS($C$2:C94,C94,$J$2:J94,"Paquete"))</f>
        <v/>
      </c>
      <c r="T94" s="26"/>
    </row>
    <row r="95" spans="1:20" x14ac:dyDescent="0.35">
      <c r="A95" s="26" t="s">
        <v>523</v>
      </c>
      <c r="B95" s="28"/>
      <c r="C95" s="26"/>
      <c r="D95" s="34" t="str">
        <f>IF($C95="","",IFERROR(IF(INDEX('🎓 Alumnas'!$C$2:$C$1000,MATCH($C95,'🎓 Alumnas'!$B$2:$B$1000,0))="","",INDEX('🎓 Alumnas'!$C$2:$C$1000,MATCH($C95,'🎓 Alumnas'!$B$2:$B$1000,0))),""))</f>
        <v/>
      </c>
      <c r="E95" s="29" t="str">
        <f>IF($C95="","",IFERROR(IF(INDEX('🎓 Alumnas'!$D$2:$D$1000,MATCH($C95,'🎓 Alumnas'!$B$2:$B$1000,0))="","",INDEX('🎓 Alumnas'!$D$2:$D$1000,MATCH($C95,'🎓 Alumnas'!$B$2:$B$1000,0))),""))</f>
        <v/>
      </c>
      <c r="F95" s="29" t="str">
        <f>IF($C95="","",IFERROR(IF(INDEX('🎓 Alumnas'!$E$2:$E$1000,MATCH($C95,'🎓 Alumnas'!$B$2:$B$1000,0))="","",INDEX('🎓 Alumnas'!$E$2:$E$1000,MATCH($C95,'🎓 Alumnas'!$B$2:$B$1000,0))),""))</f>
        <v/>
      </c>
      <c r="G95" s="31" t="str">
        <f>IF($C95="","",IFERROR(IF(INDEX('🎓 Alumnas'!$F$2:$F$1000,MATCH($C95,'🎓 Alumnas'!$B$2:$B$1000,0))="","",INDEX('🎓 Alumnas'!$F$2:$F$1000,MATCH($C95,'🎓 Alumnas'!$B$2:$B$1000,0))),""))</f>
        <v/>
      </c>
      <c r="H95" s="29" t="str">
        <f t="shared" ca="1" si="3"/>
        <v/>
      </c>
      <c r="I95" s="26"/>
      <c r="J95" s="29" t="str">
        <f t="shared" si="4"/>
        <v/>
      </c>
      <c r="K95" s="26"/>
      <c r="L95" s="26"/>
      <c r="M95" s="35"/>
      <c r="N95" s="30" t="str">
        <f t="shared" si="5"/>
        <v/>
      </c>
      <c r="O95" s="36"/>
      <c r="P95" s="26"/>
      <c r="Q95" s="26"/>
      <c r="R95" s="29" t="str">
        <f>IF(C95="","",IF(COUNTIF($C$2:C95,C95)=1,"Nueva","Recurrente"))</f>
        <v/>
      </c>
      <c r="S95" s="29" t="str">
        <f>IF(OR(C95="",J95&lt;&gt;"Paquete"),"",COUNTIFS($C$2:C95,C95,$J$2:J95,"Paquete"))</f>
        <v/>
      </c>
      <c r="T95" s="26"/>
    </row>
    <row r="96" spans="1:20" x14ac:dyDescent="0.35">
      <c r="A96" s="26" t="s">
        <v>524</v>
      </c>
      <c r="B96" s="28"/>
      <c r="C96" s="26"/>
      <c r="D96" s="34" t="str">
        <f>IF($C96="","",IFERROR(IF(INDEX('🎓 Alumnas'!$C$2:$C$1000,MATCH($C96,'🎓 Alumnas'!$B$2:$B$1000,0))="","",INDEX('🎓 Alumnas'!$C$2:$C$1000,MATCH($C96,'🎓 Alumnas'!$B$2:$B$1000,0))),""))</f>
        <v/>
      </c>
      <c r="E96" s="29" t="str">
        <f>IF($C96="","",IFERROR(IF(INDEX('🎓 Alumnas'!$D$2:$D$1000,MATCH($C96,'🎓 Alumnas'!$B$2:$B$1000,0))="","",INDEX('🎓 Alumnas'!$D$2:$D$1000,MATCH($C96,'🎓 Alumnas'!$B$2:$B$1000,0))),""))</f>
        <v/>
      </c>
      <c r="F96" s="29" t="str">
        <f>IF($C96="","",IFERROR(IF(INDEX('🎓 Alumnas'!$E$2:$E$1000,MATCH($C96,'🎓 Alumnas'!$B$2:$B$1000,0))="","",INDEX('🎓 Alumnas'!$E$2:$E$1000,MATCH($C96,'🎓 Alumnas'!$B$2:$B$1000,0))),""))</f>
        <v/>
      </c>
      <c r="G96" s="31" t="str">
        <f>IF($C96="","",IFERROR(IF(INDEX('🎓 Alumnas'!$F$2:$F$1000,MATCH($C96,'🎓 Alumnas'!$B$2:$B$1000,0))="","",INDEX('🎓 Alumnas'!$F$2:$F$1000,MATCH($C96,'🎓 Alumnas'!$B$2:$B$1000,0))),""))</f>
        <v/>
      </c>
      <c r="H96" s="29" t="str">
        <f t="shared" ca="1" si="3"/>
        <v/>
      </c>
      <c r="I96" s="26"/>
      <c r="J96" s="29" t="str">
        <f t="shared" si="4"/>
        <v/>
      </c>
      <c r="K96" s="26"/>
      <c r="L96" s="26"/>
      <c r="M96" s="35"/>
      <c r="N96" s="30" t="str">
        <f t="shared" si="5"/>
        <v/>
      </c>
      <c r="O96" s="36"/>
      <c r="P96" s="26"/>
      <c r="Q96" s="26"/>
      <c r="R96" s="29" t="str">
        <f>IF(C96="","",IF(COUNTIF($C$2:C96,C96)=1,"Nueva","Recurrente"))</f>
        <v/>
      </c>
      <c r="S96" s="29" t="str">
        <f>IF(OR(C96="",J96&lt;&gt;"Paquete"),"",COUNTIFS($C$2:C96,C96,$J$2:J96,"Paquete"))</f>
        <v/>
      </c>
      <c r="T96" s="26"/>
    </row>
    <row r="97" spans="1:20" x14ac:dyDescent="0.35">
      <c r="A97" s="26" t="s">
        <v>525</v>
      </c>
      <c r="B97" s="28"/>
      <c r="C97" s="26"/>
      <c r="D97" s="34" t="str">
        <f>IF($C97="","",IFERROR(IF(INDEX('🎓 Alumnas'!$C$2:$C$1000,MATCH($C97,'🎓 Alumnas'!$B$2:$B$1000,0))="","",INDEX('🎓 Alumnas'!$C$2:$C$1000,MATCH($C97,'🎓 Alumnas'!$B$2:$B$1000,0))),""))</f>
        <v/>
      </c>
      <c r="E97" s="29" t="str">
        <f>IF($C97="","",IFERROR(IF(INDEX('🎓 Alumnas'!$D$2:$D$1000,MATCH($C97,'🎓 Alumnas'!$B$2:$B$1000,0))="","",INDEX('🎓 Alumnas'!$D$2:$D$1000,MATCH($C97,'🎓 Alumnas'!$B$2:$B$1000,0))),""))</f>
        <v/>
      </c>
      <c r="F97" s="29" t="str">
        <f>IF($C97="","",IFERROR(IF(INDEX('🎓 Alumnas'!$E$2:$E$1000,MATCH($C97,'🎓 Alumnas'!$B$2:$B$1000,0))="","",INDEX('🎓 Alumnas'!$E$2:$E$1000,MATCH($C97,'🎓 Alumnas'!$B$2:$B$1000,0))),""))</f>
        <v/>
      </c>
      <c r="G97" s="31" t="str">
        <f>IF($C97="","",IFERROR(IF(INDEX('🎓 Alumnas'!$F$2:$F$1000,MATCH($C97,'🎓 Alumnas'!$B$2:$B$1000,0))="","",INDEX('🎓 Alumnas'!$F$2:$F$1000,MATCH($C97,'🎓 Alumnas'!$B$2:$B$1000,0))),""))</f>
        <v/>
      </c>
      <c r="H97" s="29" t="str">
        <f t="shared" ca="1" si="3"/>
        <v/>
      </c>
      <c r="I97" s="26"/>
      <c r="J97" s="29" t="str">
        <f t="shared" si="4"/>
        <v/>
      </c>
      <c r="K97" s="26"/>
      <c r="L97" s="26"/>
      <c r="M97" s="35"/>
      <c r="N97" s="30" t="str">
        <f t="shared" si="5"/>
        <v/>
      </c>
      <c r="O97" s="36"/>
      <c r="P97" s="26"/>
      <c r="Q97" s="26"/>
      <c r="R97" s="29" t="str">
        <f>IF(C97="","",IF(COUNTIF($C$2:C97,C97)=1,"Nueva","Recurrente"))</f>
        <v/>
      </c>
      <c r="S97" s="29" t="str">
        <f>IF(OR(C97="",J97&lt;&gt;"Paquete"),"",COUNTIFS($C$2:C97,C97,$J$2:J97,"Paquete"))</f>
        <v/>
      </c>
      <c r="T97" s="26"/>
    </row>
    <row r="98" spans="1:20" x14ac:dyDescent="0.35">
      <c r="A98" s="26" t="s">
        <v>526</v>
      </c>
      <c r="B98" s="28"/>
      <c r="C98" s="26"/>
      <c r="D98" s="34" t="str">
        <f>IF($C98="","",IFERROR(IF(INDEX('🎓 Alumnas'!$C$2:$C$1000,MATCH($C98,'🎓 Alumnas'!$B$2:$B$1000,0))="","",INDEX('🎓 Alumnas'!$C$2:$C$1000,MATCH($C98,'🎓 Alumnas'!$B$2:$B$1000,0))),""))</f>
        <v/>
      </c>
      <c r="E98" s="29" t="str">
        <f>IF($C98="","",IFERROR(IF(INDEX('🎓 Alumnas'!$D$2:$D$1000,MATCH($C98,'🎓 Alumnas'!$B$2:$B$1000,0))="","",INDEX('🎓 Alumnas'!$D$2:$D$1000,MATCH($C98,'🎓 Alumnas'!$B$2:$B$1000,0))),""))</f>
        <v/>
      </c>
      <c r="F98" s="29" t="str">
        <f>IF($C98="","",IFERROR(IF(INDEX('🎓 Alumnas'!$E$2:$E$1000,MATCH($C98,'🎓 Alumnas'!$B$2:$B$1000,0))="","",INDEX('🎓 Alumnas'!$E$2:$E$1000,MATCH($C98,'🎓 Alumnas'!$B$2:$B$1000,0))),""))</f>
        <v/>
      </c>
      <c r="G98" s="31" t="str">
        <f>IF($C98="","",IFERROR(IF(INDEX('🎓 Alumnas'!$F$2:$F$1000,MATCH($C98,'🎓 Alumnas'!$B$2:$B$1000,0))="","",INDEX('🎓 Alumnas'!$F$2:$F$1000,MATCH($C98,'🎓 Alumnas'!$B$2:$B$1000,0))),""))</f>
        <v/>
      </c>
      <c r="H98" s="29" t="str">
        <f t="shared" ca="1" si="3"/>
        <v/>
      </c>
      <c r="I98" s="26"/>
      <c r="J98" s="29" t="str">
        <f t="shared" si="4"/>
        <v/>
      </c>
      <c r="K98" s="26"/>
      <c r="L98" s="26"/>
      <c r="M98" s="35"/>
      <c r="N98" s="30" t="str">
        <f t="shared" si="5"/>
        <v/>
      </c>
      <c r="O98" s="36"/>
      <c r="P98" s="26"/>
      <c r="Q98" s="26"/>
      <c r="R98" s="29" t="str">
        <f>IF(C98="","",IF(COUNTIF($C$2:C98,C98)=1,"Nueva","Recurrente"))</f>
        <v/>
      </c>
      <c r="S98" s="29" t="str">
        <f>IF(OR(C98="",J98&lt;&gt;"Paquete"),"",COUNTIFS($C$2:C98,C98,$J$2:J98,"Paquete"))</f>
        <v/>
      </c>
      <c r="T98" s="26"/>
    </row>
    <row r="99" spans="1:20" x14ac:dyDescent="0.35">
      <c r="A99" s="26" t="s">
        <v>527</v>
      </c>
      <c r="B99" s="28"/>
      <c r="C99" s="26"/>
      <c r="D99" s="34" t="str">
        <f>IF($C99="","",IFERROR(IF(INDEX('🎓 Alumnas'!$C$2:$C$1000,MATCH($C99,'🎓 Alumnas'!$B$2:$B$1000,0))="","",INDEX('🎓 Alumnas'!$C$2:$C$1000,MATCH($C99,'🎓 Alumnas'!$B$2:$B$1000,0))),""))</f>
        <v/>
      </c>
      <c r="E99" s="29" t="str">
        <f>IF($C99="","",IFERROR(IF(INDEX('🎓 Alumnas'!$D$2:$D$1000,MATCH($C99,'🎓 Alumnas'!$B$2:$B$1000,0))="","",INDEX('🎓 Alumnas'!$D$2:$D$1000,MATCH($C99,'🎓 Alumnas'!$B$2:$B$1000,0))),""))</f>
        <v/>
      </c>
      <c r="F99" s="29" t="str">
        <f>IF($C99="","",IFERROR(IF(INDEX('🎓 Alumnas'!$E$2:$E$1000,MATCH($C99,'🎓 Alumnas'!$B$2:$B$1000,0))="","",INDEX('🎓 Alumnas'!$E$2:$E$1000,MATCH($C99,'🎓 Alumnas'!$B$2:$B$1000,0))),""))</f>
        <v/>
      </c>
      <c r="G99" s="31" t="str">
        <f>IF($C99="","",IFERROR(IF(INDEX('🎓 Alumnas'!$F$2:$F$1000,MATCH($C99,'🎓 Alumnas'!$B$2:$B$1000,0))="","",INDEX('🎓 Alumnas'!$F$2:$F$1000,MATCH($C99,'🎓 Alumnas'!$B$2:$B$1000,0))),""))</f>
        <v/>
      </c>
      <c r="H99" s="29" t="str">
        <f t="shared" ca="1" si="3"/>
        <v/>
      </c>
      <c r="I99" s="26"/>
      <c r="J99" s="29" t="str">
        <f t="shared" si="4"/>
        <v/>
      </c>
      <c r="K99" s="26"/>
      <c r="L99" s="26"/>
      <c r="M99" s="35"/>
      <c r="N99" s="30" t="str">
        <f t="shared" si="5"/>
        <v/>
      </c>
      <c r="O99" s="36"/>
      <c r="P99" s="26"/>
      <c r="Q99" s="26"/>
      <c r="R99" s="29" t="str">
        <f>IF(C99="","",IF(COUNTIF($C$2:C99,C99)=1,"Nueva","Recurrente"))</f>
        <v/>
      </c>
      <c r="S99" s="29" t="str">
        <f>IF(OR(C99="",J99&lt;&gt;"Paquete"),"",COUNTIFS($C$2:C99,C99,$J$2:J99,"Paquete"))</f>
        <v/>
      </c>
      <c r="T99" s="26"/>
    </row>
    <row r="100" spans="1:20" x14ac:dyDescent="0.35">
      <c r="A100" s="26" t="s">
        <v>528</v>
      </c>
      <c r="B100" s="28"/>
      <c r="C100" s="26"/>
      <c r="D100" s="34" t="str">
        <f>IF($C100="","",IFERROR(IF(INDEX('🎓 Alumnas'!$C$2:$C$1000,MATCH($C100,'🎓 Alumnas'!$B$2:$B$1000,0))="","",INDEX('🎓 Alumnas'!$C$2:$C$1000,MATCH($C100,'🎓 Alumnas'!$B$2:$B$1000,0))),""))</f>
        <v/>
      </c>
      <c r="E100" s="29" t="str">
        <f>IF($C100="","",IFERROR(IF(INDEX('🎓 Alumnas'!$D$2:$D$1000,MATCH($C100,'🎓 Alumnas'!$B$2:$B$1000,0))="","",INDEX('🎓 Alumnas'!$D$2:$D$1000,MATCH($C100,'🎓 Alumnas'!$B$2:$B$1000,0))),""))</f>
        <v/>
      </c>
      <c r="F100" s="29" t="str">
        <f>IF($C100="","",IFERROR(IF(INDEX('🎓 Alumnas'!$E$2:$E$1000,MATCH($C100,'🎓 Alumnas'!$B$2:$B$1000,0))="","",INDEX('🎓 Alumnas'!$E$2:$E$1000,MATCH($C100,'🎓 Alumnas'!$B$2:$B$1000,0))),""))</f>
        <v/>
      </c>
      <c r="G100" s="31" t="str">
        <f>IF($C100="","",IFERROR(IF(INDEX('🎓 Alumnas'!$F$2:$F$1000,MATCH($C100,'🎓 Alumnas'!$B$2:$B$1000,0))="","",INDEX('🎓 Alumnas'!$F$2:$F$1000,MATCH($C100,'🎓 Alumnas'!$B$2:$B$1000,0))),""))</f>
        <v/>
      </c>
      <c r="H100" s="29" t="str">
        <f t="shared" ca="1" si="3"/>
        <v/>
      </c>
      <c r="I100" s="26"/>
      <c r="J100" s="29" t="str">
        <f t="shared" si="4"/>
        <v/>
      </c>
      <c r="K100" s="26"/>
      <c r="L100" s="26"/>
      <c r="M100" s="35"/>
      <c r="N100" s="30" t="str">
        <f t="shared" si="5"/>
        <v/>
      </c>
      <c r="O100" s="36"/>
      <c r="P100" s="26"/>
      <c r="Q100" s="26"/>
      <c r="R100" s="29" t="str">
        <f>IF(C100="","",IF(COUNTIF($C$2:C100,C100)=1,"Nueva","Recurrente"))</f>
        <v/>
      </c>
      <c r="S100" s="29" t="str">
        <f>IF(OR(C100="",J100&lt;&gt;"Paquete"),"",COUNTIFS($C$2:C100,C100,$J$2:J100,"Paquete"))</f>
        <v/>
      </c>
      <c r="T100" s="26"/>
    </row>
    <row r="101" spans="1:20" x14ac:dyDescent="0.35">
      <c r="A101" s="26" t="s">
        <v>529</v>
      </c>
      <c r="B101" s="28"/>
      <c r="C101" s="26"/>
      <c r="D101" s="34" t="str">
        <f>IF($C101="","",IFERROR(IF(INDEX('🎓 Alumnas'!$C$2:$C$1000,MATCH($C101,'🎓 Alumnas'!$B$2:$B$1000,0))="","",INDEX('🎓 Alumnas'!$C$2:$C$1000,MATCH($C101,'🎓 Alumnas'!$B$2:$B$1000,0))),""))</f>
        <v/>
      </c>
      <c r="E101" s="29" t="str">
        <f>IF($C101="","",IFERROR(IF(INDEX('🎓 Alumnas'!$D$2:$D$1000,MATCH($C101,'🎓 Alumnas'!$B$2:$B$1000,0))="","",INDEX('🎓 Alumnas'!$D$2:$D$1000,MATCH($C101,'🎓 Alumnas'!$B$2:$B$1000,0))),""))</f>
        <v/>
      </c>
      <c r="F101" s="29" t="str">
        <f>IF($C101="","",IFERROR(IF(INDEX('🎓 Alumnas'!$E$2:$E$1000,MATCH($C101,'🎓 Alumnas'!$B$2:$B$1000,0))="","",INDEX('🎓 Alumnas'!$E$2:$E$1000,MATCH($C101,'🎓 Alumnas'!$B$2:$B$1000,0))),""))</f>
        <v/>
      </c>
      <c r="G101" s="31" t="str">
        <f>IF($C101="","",IFERROR(IF(INDEX('🎓 Alumnas'!$F$2:$F$1000,MATCH($C101,'🎓 Alumnas'!$B$2:$B$1000,0))="","",INDEX('🎓 Alumnas'!$F$2:$F$1000,MATCH($C101,'🎓 Alumnas'!$B$2:$B$1000,0))),""))</f>
        <v/>
      </c>
      <c r="H101" s="29" t="str">
        <f t="shared" ca="1" si="3"/>
        <v/>
      </c>
      <c r="I101" s="26"/>
      <c r="J101" s="29" t="str">
        <f t="shared" si="4"/>
        <v/>
      </c>
      <c r="K101" s="26"/>
      <c r="L101" s="26"/>
      <c r="M101" s="35"/>
      <c r="N101" s="30" t="str">
        <f t="shared" si="5"/>
        <v/>
      </c>
      <c r="O101" s="36"/>
      <c r="P101" s="26"/>
      <c r="Q101" s="26"/>
      <c r="R101" s="29" t="str">
        <f>IF(C101="","",IF(COUNTIF($C$2:C101,C101)=1,"Nueva","Recurrente"))</f>
        <v/>
      </c>
      <c r="S101" s="29" t="str">
        <f>IF(OR(C101="",J101&lt;&gt;"Paquete"),"",COUNTIFS($C$2:C101,C101,$J$2:J101,"Paquete"))</f>
        <v/>
      </c>
      <c r="T101" s="26"/>
    </row>
    <row r="102" spans="1:20" x14ac:dyDescent="0.35">
      <c r="A102" s="26" t="s">
        <v>530</v>
      </c>
      <c r="B102" s="28"/>
      <c r="C102" s="26"/>
      <c r="D102" s="34" t="str">
        <f>IF($C102="","",IFERROR(IF(INDEX('🎓 Alumnas'!$C$2:$C$1000,MATCH($C102,'🎓 Alumnas'!$B$2:$B$1000,0))="","",INDEX('🎓 Alumnas'!$C$2:$C$1000,MATCH($C102,'🎓 Alumnas'!$B$2:$B$1000,0))),""))</f>
        <v/>
      </c>
      <c r="E102" s="29" t="str">
        <f>IF($C102="","",IFERROR(IF(INDEX('🎓 Alumnas'!$D$2:$D$1000,MATCH($C102,'🎓 Alumnas'!$B$2:$B$1000,0))="","",INDEX('🎓 Alumnas'!$D$2:$D$1000,MATCH($C102,'🎓 Alumnas'!$B$2:$B$1000,0))),""))</f>
        <v/>
      </c>
      <c r="F102" s="29" t="str">
        <f>IF($C102="","",IFERROR(IF(INDEX('🎓 Alumnas'!$E$2:$E$1000,MATCH($C102,'🎓 Alumnas'!$B$2:$B$1000,0))="","",INDEX('🎓 Alumnas'!$E$2:$E$1000,MATCH($C102,'🎓 Alumnas'!$B$2:$B$1000,0))),""))</f>
        <v/>
      </c>
      <c r="G102" s="31" t="str">
        <f>IF($C102="","",IFERROR(IF(INDEX('🎓 Alumnas'!$F$2:$F$1000,MATCH($C102,'🎓 Alumnas'!$B$2:$B$1000,0))="","",INDEX('🎓 Alumnas'!$F$2:$F$1000,MATCH($C102,'🎓 Alumnas'!$B$2:$B$1000,0))),""))</f>
        <v/>
      </c>
      <c r="H102" s="29" t="str">
        <f t="shared" ca="1" si="3"/>
        <v/>
      </c>
      <c r="I102" s="26"/>
      <c r="J102" s="29" t="str">
        <f t="shared" si="4"/>
        <v/>
      </c>
      <c r="K102" s="26"/>
      <c r="L102" s="26"/>
      <c r="M102" s="35"/>
      <c r="N102" s="30" t="str">
        <f t="shared" si="5"/>
        <v/>
      </c>
      <c r="O102" s="36"/>
      <c r="P102" s="26"/>
      <c r="Q102" s="26"/>
      <c r="R102" s="29" t="str">
        <f>IF(C102="","",IF(COUNTIF($C$2:C102,C102)=1,"Nueva","Recurrente"))</f>
        <v/>
      </c>
      <c r="S102" s="29" t="str">
        <f>IF(OR(C102="",J102&lt;&gt;"Paquete"),"",COUNTIFS($C$2:C102,C102,$J$2:J102,"Paquete"))</f>
        <v/>
      </c>
      <c r="T102" s="26"/>
    </row>
    <row r="103" spans="1:20" x14ac:dyDescent="0.35">
      <c r="A103" s="26" t="s">
        <v>531</v>
      </c>
      <c r="B103" s="28"/>
      <c r="C103" s="26"/>
      <c r="D103" s="34" t="str">
        <f>IF($C103="","",IFERROR(IF(INDEX('🎓 Alumnas'!$C$2:$C$1000,MATCH($C103,'🎓 Alumnas'!$B$2:$B$1000,0))="","",INDEX('🎓 Alumnas'!$C$2:$C$1000,MATCH($C103,'🎓 Alumnas'!$B$2:$B$1000,0))),""))</f>
        <v/>
      </c>
      <c r="E103" s="29" t="str">
        <f>IF($C103="","",IFERROR(IF(INDEX('🎓 Alumnas'!$D$2:$D$1000,MATCH($C103,'🎓 Alumnas'!$B$2:$B$1000,0))="","",INDEX('🎓 Alumnas'!$D$2:$D$1000,MATCH($C103,'🎓 Alumnas'!$B$2:$B$1000,0))),""))</f>
        <v/>
      </c>
      <c r="F103" s="29" t="str">
        <f>IF($C103="","",IFERROR(IF(INDEX('🎓 Alumnas'!$E$2:$E$1000,MATCH($C103,'🎓 Alumnas'!$B$2:$B$1000,0))="","",INDEX('🎓 Alumnas'!$E$2:$E$1000,MATCH($C103,'🎓 Alumnas'!$B$2:$B$1000,0))),""))</f>
        <v/>
      </c>
      <c r="G103" s="31" t="str">
        <f>IF($C103="","",IFERROR(IF(INDEX('🎓 Alumnas'!$F$2:$F$1000,MATCH($C103,'🎓 Alumnas'!$B$2:$B$1000,0))="","",INDEX('🎓 Alumnas'!$F$2:$F$1000,MATCH($C103,'🎓 Alumnas'!$B$2:$B$1000,0))),""))</f>
        <v/>
      </c>
      <c r="H103" s="29" t="str">
        <f t="shared" ca="1" si="3"/>
        <v/>
      </c>
      <c r="I103" s="26"/>
      <c r="J103" s="29" t="str">
        <f t="shared" si="4"/>
        <v/>
      </c>
      <c r="K103" s="26"/>
      <c r="L103" s="26"/>
      <c r="M103" s="35"/>
      <c r="N103" s="30" t="str">
        <f t="shared" si="5"/>
        <v/>
      </c>
      <c r="O103" s="36"/>
      <c r="P103" s="26"/>
      <c r="Q103" s="26"/>
      <c r="R103" s="29" t="str">
        <f>IF(C103="","",IF(COUNTIF($C$2:C103,C103)=1,"Nueva","Recurrente"))</f>
        <v/>
      </c>
      <c r="S103" s="29" t="str">
        <f>IF(OR(C103="",J103&lt;&gt;"Paquete"),"",COUNTIFS($C$2:C103,C103,$J$2:J103,"Paquete"))</f>
        <v/>
      </c>
      <c r="T103" s="26"/>
    </row>
    <row r="104" spans="1:20" x14ac:dyDescent="0.35">
      <c r="A104" s="26" t="s">
        <v>532</v>
      </c>
      <c r="B104" s="28"/>
      <c r="C104" s="26"/>
      <c r="D104" s="34" t="str">
        <f>IF($C104="","",IFERROR(IF(INDEX('🎓 Alumnas'!$C$2:$C$1000,MATCH($C104,'🎓 Alumnas'!$B$2:$B$1000,0))="","",INDEX('🎓 Alumnas'!$C$2:$C$1000,MATCH($C104,'🎓 Alumnas'!$B$2:$B$1000,0))),""))</f>
        <v/>
      </c>
      <c r="E104" s="29" t="str">
        <f>IF($C104="","",IFERROR(IF(INDEX('🎓 Alumnas'!$D$2:$D$1000,MATCH($C104,'🎓 Alumnas'!$B$2:$B$1000,0))="","",INDEX('🎓 Alumnas'!$D$2:$D$1000,MATCH($C104,'🎓 Alumnas'!$B$2:$B$1000,0))),""))</f>
        <v/>
      </c>
      <c r="F104" s="29" t="str">
        <f>IF($C104="","",IFERROR(IF(INDEX('🎓 Alumnas'!$E$2:$E$1000,MATCH($C104,'🎓 Alumnas'!$B$2:$B$1000,0))="","",INDEX('🎓 Alumnas'!$E$2:$E$1000,MATCH($C104,'🎓 Alumnas'!$B$2:$B$1000,0))),""))</f>
        <v/>
      </c>
      <c r="G104" s="31" t="str">
        <f>IF($C104="","",IFERROR(IF(INDEX('🎓 Alumnas'!$F$2:$F$1000,MATCH($C104,'🎓 Alumnas'!$B$2:$B$1000,0))="","",INDEX('🎓 Alumnas'!$F$2:$F$1000,MATCH($C104,'🎓 Alumnas'!$B$2:$B$1000,0))),""))</f>
        <v/>
      </c>
      <c r="H104" s="29" t="str">
        <f t="shared" ca="1" si="3"/>
        <v/>
      </c>
      <c r="I104" s="26"/>
      <c r="J104" s="29" t="str">
        <f t="shared" si="4"/>
        <v/>
      </c>
      <c r="K104" s="26"/>
      <c r="L104" s="26"/>
      <c r="M104" s="35"/>
      <c r="N104" s="30" t="str">
        <f t="shared" si="5"/>
        <v/>
      </c>
      <c r="O104" s="36"/>
      <c r="P104" s="26"/>
      <c r="Q104" s="26"/>
      <c r="R104" s="29" t="str">
        <f>IF(C104="","",IF(COUNTIF($C$2:C104,C104)=1,"Nueva","Recurrente"))</f>
        <v/>
      </c>
      <c r="S104" s="29" t="str">
        <f>IF(OR(C104="",J104&lt;&gt;"Paquete"),"",COUNTIFS($C$2:C104,C104,$J$2:J104,"Paquete"))</f>
        <v/>
      </c>
      <c r="T104" s="26"/>
    </row>
    <row r="105" spans="1:20" x14ac:dyDescent="0.35">
      <c r="A105" s="26" t="s">
        <v>533</v>
      </c>
      <c r="B105" s="28"/>
      <c r="C105" s="26"/>
      <c r="D105" s="34" t="str">
        <f>IF($C105="","",IFERROR(IF(INDEX('🎓 Alumnas'!$C$2:$C$1000,MATCH($C105,'🎓 Alumnas'!$B$2:$B$1000,0))="","",INDEX('🎓 Alumnas'!$C$2:$C$1000,MATCH($C105,'🎓 Alumnas'!$B$2:$B$1000,0))),""))</f>
        <v/>
      </c>
      <c r="E105" s="29" t="str">
        <f>IF($C105="","",IFERROR(IF(INDEX('🎓 Alumnas'!$D$2:$D$1000,MATCH($C105,'🎓 Alumnas'!$B$2:$B$1000,0))="","",INDEX('🎓 Alumnas'!$D$2:$D$1000,MATCH($C105,'🎓 Alumnas'!$B$2:$B$1000,0))),""))</f>
        <v/>
      </c>
      <c r="F105" s="29" t="str">
        <f>IF($C105="","",IFERROR(IF(INDEX('🎓 Alumnas'!$E$2:$E$1000,MATCH($C105,'🎓 Alumnas'!$B$2:$B$1000,0))="","",INDEX('🎓 Alumnas'!$E$2:$E$1000,MATCH($C105,'🎓 Alumnas'!$B$2:$B$1000,0))),""))</f>
        <v/>
      </c>
      <c r="G105" s="31" t="str">
        <f>IF($C105="","",IFERROR(IF(INDEX('🎓 Alumnas'!$F$2:$F$1000,MATCH($C105,'🎓 Alumnas'!$B$2:$B$1000,0))="","",INDEX('🎓 Alumnas'!$F$2:$F$1000,MATCH($C105,'🎓 Alumnas'!$B$2:$B$1000,0))),""))</f>
        <v/>
      </c>
      <c r="H105" s="29" t="str">
        <f t="shared" ca="1" si="3"/>
        <v/>
      </c>
      <c r="I105" s="26"/>
      <c r="J105" s="29" t="str">
        <f t="shared" si="4"/>
        <v/>
      </c>
      <c r="K105" s="26"/>
      <c r="L105" s="26"/>
      <c r="M105" s="35"/>
      <c r="N105" s="30" t="str">
        <f t="shared" si="5"/>
        <v/>
      </c>
      <c r="O105" s="36"/>
      <c r="P105" s="26"/>
      <c r="Q105" s="26"/>
      <c r="R105" s="29" t="str">
        <f>IF(C105="","",IF(COUNTIF($C$2:C105,C105)=1,"Nueva","Recurrente"))</f>
        <v/>
      </c>
      <c r="S105" s="29" t="str">
        <f>IF(OR(C105="",J105&lt;&gt;"Paquete"),"",COUNTIFS($C$2:C105,C105,$J$2:J105,"Paquete"))</f>
        <v/>
      </c>
      <c r="T105" s="26"/>
    </row>
    <row r="106" spans="1:20" x14ac:dyDescent="0.35">
      <c r="A106" s="26" t="s">
        <v>534</v>
      </c>
      <c r="B106" s="28"/>
      <c r="C106" s="26"/>
      <c r="D106" s="34" t="str">
        <f>IF($C106="","",IFERROR(IF(INDEX('🎓 Alumnas'!$C$2:$C$1000,MATCH($C106,'🎓 Alumnas'!$B$2:$B$1000,0))="","",INDEX('🎓 Alumnas'!$C$2:$C$1000,MATCH($C106,'🎓 Alumnas'!$B$2:$B$1000,0))),""))</f>
        <v/>
      </c>
      <c r="E106" s="29" t="str">
        <f>IF($C106="","",IFERROR(IF(INDEX('🎓 Alumnas'!$D$2:$D$1000,MATCH($C106,'🎓 Alumnas'!$B$2:$B$1000,0))="","",INDEX('🎓 Alumnas'!$D$2:$D$1000,MATCH($C106,'🎓 Alumnas'!$B$2:$B$1000,0))),""))</f>
        <v/>
      </c>
      <c r="F106" s="29" t="str">
        <f>IF($C106="","",IFERROR(IF(INDEX('🎓 Alumnas'!$E$2:$E$1000,MATCH($C106,'🎓 Alumnas'!$B$2:$B$1000,0))="","",INDEX('🎓 Alumnas'!$E$2:$E$1000,MATCH($C106,'🎓 Alumnas'!$B$2:$B$1000,0))),""))</f>
        <v/>
      </c>
      <c r="G106" s="31" t="str">
        <f>IF($C106="","",IFERROR(IF(INDEX('🎓 Alumnas'!$F$2:$F$1000,MATCH($C106,'🎓 Alumnas'!$B$2:$B$1000,0))="","",INDEX('🎓 Alumnas'!$F$2:$F$1000,MATCH($C106,'🎓 Alumnas'!$B$2:$B$1000,0))),""))</f>
        <v/>
      </c>
      <c r="H106" s="29" t="str">
        <f t="shared" ca="1" si="3"/>
        <v/>
      </c>
      <c r="I106" s="26"/>
      <c r="J106" s="29" t="str">
        <f t="shared" si="4"/>
        <v/>
      </c>
      <c r="K106" s="26"/>
      <c r="L106" s="26"/>
      <c r="M106" s="35"/>
      <c r="N106" s="30" t="str">
        <f t="shared" si="5"/>
        <v/>
      </c>
      <c r="O106" s="36"/>
      <c r="P106" s="26"/>
      <c r="Q106" s="26"/>
      <c r="R106" s="29" t="str">
        <f>IF(C106="","",IF(COUNTIF($C$2:C106,C106)=1,"Nueva","Recurrente"))</f>
        <v/>
      </c>
      <c r="S106" s="29" t="str">
        <f>IF(OR(C106="",J106&lt;&gt;"Paquete"),"",COUNTIFS($C$2:C106,C106,$J$2:J106,"Paquete"))</f>
        <v/>
      </c>
      <c r="T106" s="26"/>
    </row>
    <row r="107" spans="1:20" x14ac:dyDescent="0.35">
      <c r="A107" s="26" t="s">
        <v>535</v>
      </c>
      <c r="B107" s="28"/>
      <c r="C107" s="26"/>
      <c r="D107" s="34" t="str">
        <f>IF($C107="","",IFERROR(IF(INDEX('🎓 Alumnas'!$C$2:$C$1000,MATCH($C107,'🎓 Alumnas'!$B$2:$B$1000,0))="","",INDEX('🎓 Alumnas'!$C$2:$C$1000,MATCH($C107,'🎓 Alumnas'!$B$2:$B$1000,0))),""))</f>
        <v/>
      </c>
      <c r="E107" s="29" t="str">
        <f>IF($C107="","",IFERROR(IF(INDEX('🎓 Alumnas'!$D$2:$D$1000,MATCH($C107,'🎓 Alumnas'!$B$2:$B$1000,0))="","",INDEX('🎓 Alumnas'!$D$2:$D$1000,MATCH($C107,'🎓 Alumnas'!$B$2:$B$1000,0))),""))</f>
        <v/>
      </c>
      <c r="F107" s="29" t="str">
        <f>IF($C107="","",IFERROR(IF(INDEX('🎓 Alumnas'!$E$2:$E$1000,MATCH($C107,'🎓 Alumnas'!$B$2:$B$1000,0))="","",INDEX('🎓 Alumnas'!$E$2:$E$1000,MATCH($C107,'🎓 Alumnas'!$B$2:$B$1000,0))),""))</f>
        <v/>
      </c>
      <c r="G107" s="31" t="str">
        <f>IF($C107="","",IFERROR(IF(INDEX('🎓 Alumnas'!$F$2:$F$1000,MATCH($C107,'🎓 Alumnas'!$B$2:$B$1000,0))="","",INDEX('🎓 Alumnas'!$F$2:$F$1000,MATCH($C107,'🎓 Alumnas'!$B$2:$B$1000,0))),""))</f>
        <v/>
      </c>
      <c r="H107" s="29" t="str">
        <f t="shared" ca="1" si="3"/>
        <v/>
      </c>
      <c r="I107" s="26"/>
      <c r="J107" s="29" t="str">
        <f t="shared" si="4"/>
        <v/>
      </c>
      <c r="K107" s="26"/>
      <c r="L107" s="26"/>
      <c r="M107" s="35"/>
      <c r="N107" s="30" t="str">
        <f t="shared" si="5"/>
        <v/>
      </c>
      <c r="O107" s="36"/>
      <c r="P107" s="26"/>
      <c r="Q107" s="26"/>
      <c r="R107" s="29" t="str">
        <f>IF(C107="","",IF(COUNTIF($C$2:C107,C107)=1,"Nueva","Recurrente"))</f>
        <v/>
      </c>
      <c r="S107" s="29" t="str">
        <f>IF(OR(C107="",J107&lt;&gt;"Paquete"),"",COUNTIFS($C$2:C107,C107,$J$2:J107,"Paquete"))</f>
        <v/>
      </c>
      <c r="T107" s="26"/>
    </row>
    <row r="108" spans="1:20" x14ac:dyDescent="0.35">
      <c r="A108" s="26" t="s">
        <v>536</v>
      </c>
      <c r="B108" s="28"/>
      <c r="C108" s="26"/>
      <c r="D108" s="34" t="str">
        <f>IF($C108="","",IFERROR(IF(INDEX('🎓 Alumnas'!$C$2:$C$1000,MATCH($C108,'🎓 Alumnas'!$B$2:$B$1000,0))="","",INDEX('🎓 Alumnas'!$C$2:$C$1000,MATCH($C108,'🎓 Alumnas'!$B$2:$B$1000,0))),""))</f>
        <v/>
      </c>
      <c r="E108" s="29" t="str">
        <f>IF($C108="","",IFERROR(IF(INDEX('🎓 Alumnas'!$D$2:$D$1000,MATCH($C108,'🎓 Alumnas'!$B$2:$B$1000,0))="","",INDEX('🎓 Alumnas'!$D$2:$D$1000,MATCH($C108,'🎓 Alumnas'!$B$2:$B$1000,0))),""))</f>
        <v/>
      </c>
      <c r="F108" s="29" t="str">
        <f>IF($C108="","",IFERROR(IF(INDEX('🎓 Alumnas'!$E$2:$E$1000,MATCH($C108,'🎓 Alumnas'!$B$2:$B$1000,0))="","",INDEX('🎓 Alumnas'!$E$2:$E$1000,MATCH($C108,'🎓 Alumnas'!$B$2:$B$1000,0))),""))</f>
        <v/>
      </c>
      <c r="G108" s="31" t="str">
        <f>IF($C108="","",IFERROR(IF(INDEX('🎓 Alumnas'!$F$2:$F$1000,MATCH($C108,'🎓 Alumnas'!$B$2:$B$1000,0))="","",INDEX('🎓 Alumnas'!$F$2:$F$1000,MATCH($C108,'🎓 Alumnas'!$B$2:$B$1000,0))),""))</f>
        <v/>
      </c>
      <c r="H108" s="29" t="str">
        <f t="shared" ca="1" si="3"/>
        <v/>
      </c>
      <c r="I108" s="26"/>
      <c r="J108" s="29" t="str">
        <f t="shared" si="4"/>
        <v/>
      </c>
      <c r="K108" s="26"/>
      <c r="L108" s="26"/>
      <c r="M108" s="35"/>
      <c r="N108" s="30" t="str">
        <f t="shared" si="5"/>
        <v/>
      </c>
      <c r="O108" s="36"/>
      <c r="P108" s="26"/>
      <c r="Q108" s="26"/>
      <c r="R108" s="29" t="str">
        <f>IF(C108="","",IF(COUNTIF($C$2:C108,C108)=1,"Nueva","Recurrente"))</f>
        <v/>
      </c>
      <c r="S108" s="29" t="str">
        <f>IF(OR(C108="",J108&lt;&gt;"Paquete"),"",COUNTIFS($C$2:C108,C108,$J$2:J108,"Paquete"))</f>
        <v/>
      </c>
      <c r="T108" s="26"/>
    </row>
    <row r="109" spans="1:20" x14ac:dyDescent="0.35">
      <c r="A109" s="26" t="s">
        <v>537</v>
      </c>
      <c r="B109" s="28"/>
      <c r="C109" s="26"/>
      <c r="D109" s="34" t="str">
        <f>IF($C109="","",IFERROR(IF(INDEX('🎓 Alumnas'!$C$2:$C$1000,MATCH($C109,'🎓 Alumnas'!$B$2:$B$1000,0))="","",INDEX('🎓 Alumnas'!$C$2:$C$1000,MATCH($C109,'🎓 Alumnas'!$B$2:$B$1000,0))),""))</f>
        <v/>
      </c>
      <c r="E109" s="29" t="str">
        <f>IF($C109="","",IFERROR(IF(INDEX('🎓 Alumnas'!$D$2:$D$1000,MATCH($C109,'🎓 Alumnas'!$B$2:$B$1000,0))="","",INDEX('🎓 Alumnas'!$D$2:$D$1000,MATCH($C109,'🎓 Alumnas'!$B$2:$B$1000,0))),""))</f>
        <v/>
      </c>
      <c r="F109" s="29" t="str">
        <f>IF($C109="","",IFERROR(IF(INDEX('🎓 Alumnas'!$E$2:$E$1000,MATCH($C109,'🎓 Alumnas'!$B$2:$B$1000,0))="","",INDEX('🎓 Alumnas'!$E$2:$E$1000,MATCH($C109,'🎓 Alumnas'!$B$2:$B$1000,0))),""))</f>
        <v/>
      </c>
      <c r="G109" s="31" t="str">
        <f>IF($C109="","",IFERROR(IF(INDEX('🎓 Alumnas'!$F$2:$F$1000,MATCH($C109,'🎓 Alumnas'!$B$2:$B$1000,0))="","",INDEX('🎓 Alumnas'!$F$2:$F$1000,MATCH($C109,'🎓 Alumnas'!$B$2:$B$1000,0))),""))</f>
        <v/>
      </c>
      <c r="H109" s="29" t="str">
        <f t="shared" ca="1" si="3"/>
        <v/>
      </c>
      <c r="I109" s="26"/>
      <c r="J109" s="29" t="str">
        <f t="shared" si="4"/>
        <v/>
      </c>
      <c r="K109" s="26"/>
      <c r="L109" s="26"/>
      <c r="M109" s="35"/>
      <c r="N109" s="30" t="str">
        <f t="shared" si="5"/>
        <v/>
      </c>
      <c r="O109" s="36"/>
      <c r="P109" s="26"/>
      <c r="Q109" s="26"/>
      <c r="R109" s="29" t="str">
        <f>IF(C109="","",IF(COUNTIF($C$2:C109,C109)=1,"Nueva","Recurrente"))</f>
        <v/>
      </c>
      <c r="S109" s="29" t="str">
        <f>IF(OR(C109="",J109&lt;&gt;"Paquete"),"",COUNTIFS($C$2:C109,C109,$J$2:J109,"Paquete"))</f>
        <v/>
      </c>
      <c r="T109" s="26"/>
    </row>
    <row r="110" spans="1:20" x14ac:dyDescent="0.35">
      <c r="A110" s="26" t="s">
        <v>538</v>
      </c>
      <c r="B110" s="28"/>
      <c r="C110" s="26"/>
      <c r="D110" s="34" t="str">
        <f>IF($C110="","",IFERROR(IF(INDEX('🎓 Alumnas'!$C$2:$C$1000,MATCH($C110,'🎓 Alumnas'!$B$2:$B$1000,0))="","",INDEX('🎓 Alumnas'!$C$2:$C$1000,MATCH($C110,'🎓 Alumnas'!$B$2:$B$1000,0))),""))</f>
        <v/>
      </c>
      <c r="E110" s="29" t="str">
        <f>IF($C110="","",IFERROR(IF(INDEX('🎓 Alumnas'!$D$2:$D$1000,MATCH($C110,'🎓 Alumnas'!$B$2:$B$1000,0))="","",INDEX('🎓 Alumnas'!$D$2:$D$1000,MATCH($C110,'🎓 Alumnas'!$B$2:$B$1000,0))),""))</f>
        <v/>
      </c>
      <c r="F110" s="29" t="str">
        <f>IF($C110="","",IFERROR(IF(INDEX('🎓 Alumnas'!$E$2:$E$1000,MATCH($C110,'🎓 Alumnas'!$B$2:$B$1000,0))="","",INDEX('🎓 Alumnas'!$E$2:$E$1000,MATCH($C110,'🎓 Alumnas'!$B$2:$B$1000,0))),""))</f>
        <v/>
      </c>
      <c r="G110" s="31" t="str">
        <f>IF($C110="","",IFERROR(IF(INDEX('🎓 Alumnas'!$F$2:$F$1000,MATCH($C110,'🎓 Alumnas'!$B$2:$B$1000,0))="","",INDEX('🎓 Alumnas'!$F$2:$F$1000,MATCH($C110,'🎓 Alumnas'!$B$2:$B$1000,0))),""))</f>
        <v/>
      </c>
      <c r="H110" s="29" t="str">
        <f t="shared" ca="1" si="3"/>
        <v/>
      </c>
      <c r="I110" s="26"/>
      <c r="J110" s="29" t="str">
        <f t="shared" si="4"/>
        <v/>
      </c>
      <c r="K110" s="26"/>
      <c r="L110" s="26"/>
      <c r="M110" s="35"/>
      <c r="N110" s="30" t="str">
        <f t="shared" si="5"/>
        <v/>
      </c>
      <c r="O110" s="36"/>
      <c r="P110" s="26"/>
      <c r="Q110" s="26"/>
      <c r="R110" s="29" t="str">
        <f>IF(C110="","",IF(COUNTIF($C$2:C110,C110)=1,"Nueva","Recurrente"))</f>
        <v/>
      </c>
      <c r="S110" s="29" t="str">
        <f>IF(OR(C110="",J110&lt;&gt;"Paquete"),"",COUNTIFS($C$2:C110,C110,$J$2:J110,"Paquete"))</f>
        <v/>
      </c>
      <c r="T110" s="26"/>
    </row>
    <row r="111" spans="1:20" x14ac:dyDescent="0.35">
      <c r="A111" s="26" t="s">
        <v>539</v>
      </c>
      <c r="B111" s="28"/>
      <c r="C111" s="26"/>
      <c r="D111" s="34" t="str">
        <f>IF($C111="","",IFERROR(IF(INDEX('🎓 Alumnas'!$C$2:$C$1000,MATCH($C111,'🎓 Alumnas'!$B$2:$B$1000,0))="","",INDEX('🎓 Alumnas'!$C$2:$C$1000,MATCH($C111,'🎓 Alumnas'!$B$2:$B$1000,0))),""))</f>
        <v/>
      </c>
      <c r="E111" s="29" t="str">
        <f>IF($C111="","",IFERROR(IF(INDEX('🎓 Alumnas'!$D$2:$D$1000,MATCH($C111,'🎓 Alumnas'!$B$2:$B$1000,0))="","",INDEX('🎓 Alumnas'!$D$2:$D$1000,MATCH($C111,'🎓 Alumnas'!$B$2:$B$1000,0))),""))</f>
        <v/>
      </c>
      <c r="F111" s="29" t="str">
        <f>IF($C111="","",IFERROR(IF(INDEX('🎓 Alumnas'!$E$2:$E$1000,MATCH($C111,'🎓 Alumnas'!$B$2:$B$1000,0))="","",INDEX('🎓 Alumnas'!$E$2:$E$1000,MATCH($C111,'🎓 Alumnas'!$B$2:$B$1000,0))),""))</f>
        <v/>
      </c>
      <c r="G111" s="31" t="str">
        <f>IF($C111="","",IFERROR(IF(INDEX('🎓 Alumnas'!$F$2:$F$1000,MATCH($C111,'🎓 Alumnas'!$B$2:$B$1000,0))="","",INDEX('🎓 Alumnas'!$F$2:$F$1000,MATCH($C111,'🎓 Alumnas'!$B$2:$B$1000,0))),""))</f>
        <v/>
      </c>
      <c r="H111" s="29" t="str">
        <f t="shared" ca="1" si="3"/>
        <v/>
      </c>
      <c r="I111" s="26"/>
      <c r="J111" s="29" t="str">
        <f t="shared" si="4"/>
        <v/>
      </c>
      <c r="K111" s="26"/>
      <c r="L111" s="26"/>
      <c r="M111" s="35"/>
      <c r="N111" s="30" t="str">
        <f t="shared" si="5"/>
        <v/>
      </c>
      <c r="O111" s="36"/>
      <c r="P111" s="26"/>
      <c r="Q111" s="26"/>
      <c r="R111" s="29" t="str">
        <f>IF(C111="","",IF(COUNTIF($C$2:C111,C111)=1,"Nueva","Recurrente"))</f>
        <v/>
      </c>
      <c r="S111" s="29" t="str">
        <f>IF(OR(C111="",J111&lt;&gt;"Paquete"),"",COUNTIFS($C$2:C111,C111,$J$2:J111,"Paquete"))</f>
        <v/>
      </c>
      <c r="T111" s="26"/>
    </row>
    <row r="112" spans="1:20" x14ac:dyDescent="0.35">
      <c r="A112" s="26" t="s">
        <v>540</v>
      </c>
      <c r="B112" s="28"/>
      <c r="C112" s="26"/>
      <c r="D112" s="34" t="str">
        <f>IF($C112="","",IFERROR(IF(INDEX('🎓 Alumnas'!$C$2:$C$1000,MATCH($C112,'🎓 Alumnas'!$B$2:$B$1000,0))="","",INDEX('🎓 Alumnas'!$C$2:$C$1000,MATCH($C112,'🎓 Alumnas'!$B$2:$B$1000,0))),""))</f>
        <v/>
      </c>
      <c r="E112" s="29" t="str">
        <f>IF($C112="","",IFERROR(IF(INDEX('🎓 Alumnas'!$D$2:$D$1000,MATCH($C112,'🎓 Alumnas'!$B$2:$B$1000,0))="","",INDEX('🎓 Alumnas'!$D$2:$D$1000,MATCH($C112,'🎓 Alumnas'!$B$2:$B$1000,0))),""))</f>
        <v/>
      </c>
      <c r="F112" s="29" t="str">
        <f>IF($C112="","",IFERROR(IF(INDEX('🎓 Alumnas'!$E$2:$E$1000,MATCH($C112,'🎓 Alumnas'!$B$2:$B$1000,0))="","",INDEX('🎓 Alumnas'!$E$2:$E$1000,MATCH($C112,'🎓 Alumnas'!$B$2:$B$1000,0))),""))</f>
        <v/>
      </c>
      <c r="G112" s="31" t="str">
        <f>IF($C112="","",IFERROR(IF(INDEX('🎓 Alumnas'!$F$2:$F$1000,MATCH($C112,'🎓 Alumnas'!$B$2:$B$1000,0))="","",INDEX('🎓 Alumnas'!$F$2:$F$1000,MATCH($C112,'🎓 Alumnas'!$B$2:$B$1000,0))),""))</f>
        <v/>
      </c>
      <c r="H112" s="29" t="str">
        <f t="shared" ca="1" si="3"/>
        <v/>
      </c>
      <c r="I112" s="26"/>
      <c r="J112" s="29" t="str">
        <f t="shared" si="4"/>
        <v/>
      </c>
      <c r="K112" s="26"/>
      <c r="L112" s="26"/>
      <c r="M112" s="35"/>
      <c r="N112" s="30" t="str">
        <f t="shared" si="5"/>
        <v/>
      </c>
      <c r="O112" s="36"/>
      <c r="P112" s="26"/>
      <c r="Q112" s="26"/>
      <c r="R112" s="29" t="str">
        <f>IF(C112="","",IF(COUNTIF($C$2:C112,C112)=1,"Nueva","Recurrente"))</f>
        <v/>
      </c>
      <c r="S112" s="29" t="str">
        <f>IF(OR(C112="",J112&lt;&gt;"Paquete"),"",COUNTIFS($C$2:C112,C112,$J$2:J112,"Paquete"))</f>
        <v/>
      </c>
      <c r="T112" s="26"/>
    </row>
    <row r="113" spans="1:20" x14ac:dyDescent="0.35">
      <c r="A113" s="26" t="s">
        <v>541</v>
      </c>
      <c r="B113" s="28"/>
      <c r="C113" s="26"/>
      <c r="D113" s="34" t="str">
        <f>IF($C113="","",IFERROR(IF(INDEX('🎓 Alumnas'!$C$2:$C$1000,MATCH($C113,'🎓 Alumnas'!$B$2:$B$1000,0))="","",INDEX('🎓 Alumnas'!$C$2:$C$1000,MATCH($C113,'🎓 Alumnas'!$B$2:$B$1000,0))),""))</f>
        <v/>
      </c>
      <c r="E113" s="29" t="str">
        <f>IF($C113="","",IFERROR(IF(INDEX('🎓 Alumnas'!$D$2:$D$1000,MATCH($C113,'🎓 Alumnas'!$B$2:$B$1000,0))="","",INDEX('🎓 Alumnas'!$D$2:$D$1000,MATCH($C113,'🎓 Alumnas'!$B$2:$B$1000,0))),""))</f>
        <v/>
      </c>
      <c r="F113" s="29" t="str">
        <f>IF($C113="","",IFERROR(IF(INDEX('🎓 Alumnas'!$E$2:$E$1000,MATCH($C113,'🎓 Alumnas'!$B$2:$B$1000,0))="","",INDEX('🎓 Alumnas'!$E$2:$E$1000,MATCH($C113,'🎓 Alumnas'!$B$2:$B$1000,0))),""))</f>
        <v/>
      </c>
      <c r="G113" s="31" t="str">
        <f>IF($C113="","",IFERROR(IF(INDEX('🎓 Alumnas'!$F$2:$F$1000,MATCH($C113,'🎓 Alumnas'!$B$2:$B$1000,0))="","",INDEX('🎓 Alumnas'!$F$2:$F$1000,MATCH($C113,'🎓 Alumnas'!$B$2:$B$1000,0))),""))</f>
        <v/>
      </c>
      <c r="H113" s="29" t="str">
        <f t="shared" ca="1" si="3"/>
        <v/>
      </c>
      <c r="I113" s="26"/>
      <c r="J113" s="29" t="str">
        <f t="shared" si="4"/>
        <v/>
      </c>
      <c r="K113" s="26"/>
      <c r="L113" s="26"/>
      <c r="M113" s="35"/>
      <c r="N113" s="30" t="str">
        <f t="shared" si="5"/>
        <v/>
      </c>
      <c r="O113" s="36"/>
      <c r="P113" s="26"/>
      <c r="Q113" s="26"/>
      <c r="R113" s="29" t="str">
        <f>IF(C113="","",IF(COUNTIF($C$2:C113,C113)=1,"Nueva","Recurrente"))</f>
        <v/>
      </c>
      <c r="S113" s="29" t="str">
        <f>IF(OR(C113="",J113&lt;&gt;"Paquete"),"",COUNTIFS($C$2:C113,C113,$J$2:J113,"Paquete"))</f>
        <v/>
      </c>
      <c r="T113" s="26"/>
    </row>
    <row r="114" spans="1:20" x14ac:dyDescent="0.35">
      <c r="A114" s="26" t="s">
        <v>542</v>
      </c>
      <c r="B114" s="28"/>
      <c r="C114" s="26"/>
      <c r="D114" s="34" t="str">
        <f>IF($C114="","",IFERROR(IF(INDEX('🎓 Alumnas'!$C$2:$C$1000,MATCH($C114,'🎓 Alumnas'!$B$2:$B$1000,0))="","",INDEX('🎓 Alumnas'!$C$2:$C$1000,MATCH($C114,'🎓 Alumnas'!$B$2:$B$1000,0))),""))</f>
        <v/>
      </c>
      <c r="E114" s="29" t="str">
        <f>IF($C114="","",IFERROR(IF(INDEX('🎓 Alumnas'!$D$2:$D$1000,MATCH($C114,'🎓 Alumnas'!$B$2:$B$1000,0))="","",INDEX('🎓 Alumnas'!$D$2:$D$1000,MATCH($C114,'🎓 Alumnas'!$B$2:$B$1000,0))),""))</f>
        <v/>
      </c>
      <c r="F114" s="29" t="str">
        <f>IF($C114="","",IFERROR(IF(INDEX('🎓 Alumnas'!$E$2:$E$1000,MATCH($C114,'🎓 Alumnas'!$B$2:$B$1000,0))="","",INDEX('🎓 Alumnas'!$E$2:$E$1000,MATCH($C114,'🎓 Alumnas'!$B$2:$B$1000,0))),""))</f>
        <v/>
      </c>
      <c r="G114" s="31" t="str">
        <f>IF($C114="","",IFERROR(IF(INDEX('🎓 Alumnas'!$F$2:$F$1000,MATCH($C114,'🎓 Alumnas'!$B$2:$B$1000,0))="","",INDEX('🎓 Alumnas'!$F$2:$F$1000,MATCH($C114,'🎓 Alumnas'!$B$2:$B$1000,0))),""))</f>
        <v/>
      </c>
      <c r="H114" s="29" t="str">
        <f t="shared" ca="1" si="3"/>
        <v/>
      </c>
      <c r="I114" s="26"/>
      <c r="J114" s="29" t="str">
        <f t="shared" si="4"/>
        <v/>
      </c>
      <c r="K114" s="26"/>
      <c r="L114" s="26"/>
      <c r="M114" s="35"/>
      <c r="N114" s="30" t="str">
        <f t="shared" si="5"/>
        <v/>
      </c>
      <c r="O114" s="36"/>
      <c r="P114" s="26"/>
      <c r="Q114" s="26"/>
      <c r="R114" s="29" t="str">
        <f>IF(C114="","",IF(COUNTIF($C$2:C114,C114)=1,"Nueva","Recurrente"))</f>
        <v/>
      </c>
      <c r="S114" s="29" t="str">
        <f>IF(OR(C114="",J114&lt;&gt;"Paquete"),"",COUNTIFS($C$2:C114,C114,$J$2:J114,"Paquete"))</f>
        <v/>
      </c>
      <c r="T114" s="26"/>
    </row>
    <row r="115" spans="1:20" x14ac:dyDescent="0.35">
      <c r="A115" s="26" t="s">
        <v>543</v>
      </c>
      <c r="B115" s="28"/>
      <c r="C115" s="26"/>
      <c r="D115" s="34" t="str">
        <f>IF($C115="","",IFERROR(IF(INDEX('🎓 Alumnas'!$C$2:$C$1000,MATCH($C115,'🎓 Alumnas'!$B$2:$B$1000,0))="","",INDEX('🎓 Alumnas'!$C$2:$C$1000,MATCH($C115,'🎓 Alumnas'!$B$2:$B$1000,0))),""))</f>
        <v/>
      </c>
      <c r="E115" s="29" t="str">
        <f>IF($C115="","",IFERROR(IF(INDEX('🎓 Alumnas'!$D$2:$D$1000,MATCH($C115,'🎓 Alumnas'!$B$2:$B$1000,0))="","",INDEX('🎓 Alumnas'!$D$2:$D$1000,MATCH($C115,'🎓 Alumnas'!$B$2:$B$1000,0))),""))</f>
        <v/>
      </c>
      <c r="F115" s="29" t="str">
        <f>IF($C115="","",IFERROR(IF(INDEX('🎓 Alumnas'!$E$2:$E$1000,MATCH($C115,'🎓 Alumnas'!$B$2:$B$1000,0))="","",INDEX('🎓 Alumnas'!$E$2:$E$1000,MATCH($C115,'🎓 Alumnas'!$B$2:$B$1000,0))),""))</f>
        <v/>
      </c>
      <c r="G115" s="31" t="str">
        <f>IF($C115="","",IFERROR(IF(INDEX('🎓 Alumnas'!$F$2:$F$1000,MATCH($C115,'🎓 Alumnas'!$B$2:$B$1000,0))="","",INDEX('🎓 Alumnas'!$F$2:$F$1000,MATCH($C115,'🎓 Alumnas'!$B$2:$B$1000,0))),""))</f>
        <v/>
      </c>
      <c r="H115" s="29" t="str">
        <f t="shared" ca="1" si="3"/>
        <v/>
      </c>
      <c r="I115" s="26"/>
      <c r="J115" s="29" t="str">
        <f t="shared" si="4"/>
        <v/>
      </c>
      <c r="K115" s="26"/>
      <c r="L115" s="26"/>
      <c r="M115" s="35"/>
      <c r="N115" s="30" t="str">
        <f t="shared" si="5"/>
        <v/>
      </c>
      <c r="O115" s="36"/>
      <c r="P115" s="26"/>
      <c r="Q115" s="26"/>
      <c r="R115" s="29" t="str">
        <f>IF(C115="","",IF(COUNTIF($C$2:C115,C115)=1,"Nueva","Recurrente"))</f>
        <v/>
      </c>
      <c r="S115" s="29" t="str">
        <f>IF(OR(C115="",J115&lt;&gt;"Paquete"),"",COUNTIFS($C$2:C115,C115,$J$2:J115,"Paquete"))</f>
        <v/>
      </c>
      <c r="T115" s="26"/>
    </row>
    <row r="116" spans="1:20" x14ac:dyDescent="0.35">
      <c r="A116" s="26" t="s">
        <v>544</v>
      </c>
      <c r="B116" s="28"/>
      <c r="C116" s="26"/>
      <c r="D116" s="34" t="str">
        <f>IF($C116="","",IFERROR(IF(INDEX('🎓 Alumnas'!$C$2:$C$1000,MATCH($C116,'🎓 Alumnas'!$B$2:$B$1000,0))="","",INDEX('🎓 Alumnas'!$C$2:$C$1000,MATCH($C116,'🎓 Alumnas'!$B$2:$B$1000,0))),""))</f>
        <v/>
      </c>
      <c r="E116" s="29" t="str">
        <f>IF($C116="","",IFERROR(IF(INDEX('🎓 Alumnas'!$D$2:$D$1000,MATCH($C116,'🎓 Alumnas'!$B$2:$B$1000,0))="","",INDEX('🎓 Alumnas'!$D$2:$D$1000,MATCH($C116,'🎓 Alumnas'!$B$2:$B$1000,0))),""))</f>
        <v/>
      </c>
      <c r="F116" s="29" t="str">
        <f>IF($C116="","",IFERROR(IF(INDEX('🎓 Alumnas'!$E$2:$E$1000,MATCH($C116,'🎓 Alumnas'!$B$2:$B$1000,0))="","",INDEX('🎓 Alumnas'!$E$2:$E$1000,MATCH($C116,'🎓 Alumnas'!$B$2:$B$1000,0))),""))</f>
        <v/>
      </c>
      <c r="G116" s="31" t="str">
        <f>IF($C116="","",IFERROR(IF(INDEX('🎓 Alumnas'!$F$2:$F$1000,MATCH($C116,'🎓 Alumnas'!$B$2:$B$1000,0))="","",INDEX('🎓 Alumnas'!$F$2:$F$1000,MATCH($C116,'🎓 Alumnas'!$B$2:$B$1000,0))),""))</f>
        <v/>
      </c>
      <c r="H116" s="29" t="str">
        <f t="shared" ca="1" si="3"/>
        <v/>
      </c>
      <c r="I116" s="26"/>
      <c r="J116" s="29" t="str">
        <f t="shared" si="4"/>
        <v/>
      </c>
      <c r="K116" s="26"/>
      <c r="L116" s="26"/>
      <c r="M116" s="35"/>
      <c r="N116" s="30" t="str">
        <f t="shared" si="5"/>
        <v/>
      </c>
      <c r="O116" s="36"/>
      <c r="P116" s="26"/>
      <c r="Q116" s="26"/>
      <c r="R116" s="29" t="str">
        <f>IF(C116="","",IF(COUNTIF($C$2:C116,C116)=1,"Nueva","Recurrente"))</f>
        <v/>
      </c>
      <c r="S116" s="29" t="str">
        <f>IF(OR(C116="",J116&lt;&gt;"Paquete"),"",COUNTIFS($C$2:C116,C116,$J$2:J116,"Paquete"))</f>
        <v/>
      </c>
      <c r="T116" s="26"/>
    </row>
    <row r="117" spans="1:20" x14ac:dyDescent="0.35">
      <c r="A117" s="26" t="s">
        <v>545</v>
      </c>
      <c r="B117" s="28"/>
      <c r="C117" s="26"/>
      <c r="D117" s="34" t="str">
        <f>IF($C117="","",IFERROR(IF(INDEX('🎓 Alumnas'!$C$2:$C$1000,MATCH($C117,'🎓 Alumnas'!$B$2:$B$1000,0))="","",INDEX('🎓 Alumnas'!$C$2:$C$1000,MATCH($C117,'🎓 Alumnas'!$B$2:$B$1000,0))),""))</f>
        <v/>
      </c>
      <c r="E117" s="29" t="str">
        <f>IF($C117="","",IFERROR(IF(INDEX('🎓 Alumnas'!$D$2:$D$1000,MATCH($C117,'🎓 Alumnas'!$B$2:$B$1000,0))="","",INDEX('🎓 Alumnas'!$D$2:$D$1000,MATCH($C117,'🎓 Alumnas'!$B$2:$B$1000,0))),""))</f>
        <v/>
      </c>
      <c r="F117" s="29" t="str">
        <f>IF($C117="","",IFERROR(IF(INDEX('🎓 Alumnas'!$E$2:$E$1000,MATCH($C117,'🎓 Alumnas'!$B$2:$B$1000,0))="","",INDEX('🎓 Alumnas'!$E$2:$E$1000,MATCH($C117,'🎓 Alumnas'!$B$2:$B$1000,0))),""))</f>
        <v/>
      </c>
      <c r="G117" s="31" t="str">
        <f>IF($C117="","",IFERROR(IF(INDEX('🎓 Alumnas'!$F$2:$F$1000,MATCH($C117,'🎓 Alumnas'!$B$2:$B$1000,0))="","",INDEX('🎓 Alumnas'!$F$2:$F$1000,MATCH($C117,'🎓 Alumnas'!$B$2:$B$1000,0))),""))</f>
        <v/>
      </c>
      <c r="H117" s="29" t="str">
        <f t="shared" ca="1" si="3"/>
        <v/>
      </c>
      <c r="I117" s="26"/>
      <c r="J117" s="29" t="str">
        <f t="shared" si="4"/>
        <v/>
      </c>
      <c r="K117" s="26"/>
      <c r="L117" s="26"/>
      <c r="M117" s="35"/>
      <c r="N117" s="30" t="str">
        <f t="shared" si="5"/>
        <v/>
      </c>
      <c r="O117" s="36"/>
      <c r="P117" s="26"/>
      <c r="Q117" s="26"/>
      <c r="R117" s="29" t="str">
        <f>IF(C117="","",IF(COUNTIF($C$2:C117,C117)=1,"Nueva","Recurrente"))</f>
        <v/>
      </c>
      <c r="S117" s="29" t="str">
        <f>IF(OR(C117="",J117&lt;&gt;"Paquete"),"",COUNTIFS($C$2:C117,C117,$J$2:J117,"Paquete"))</f>
        <v/>
      </c>
      <c r="T117" s="26"/>
    </row>
    <row r="118" spans="1:20" x14ac:dyDescent="0.35">
      <c r="A118" s="26" t="s">
        <v>546</v>
      </c>
      <c r="B118" s="28"/>
      <c r="C118" s="26"/>
      <c r="D118" s="34" t="str">
        <f>IF($C118="","",IFERROR(IF(INDEX('🎓 Alumnas'!$C$2:$C$1000,MATCH($C118,'🎓 Alumnas'!$B$2:$B$1000,0))="","",INDEX('🎓 Alumnas'!$C$2:$C$1000,MATCH($C118,'🎓 Alumnas'!$B$2:$B$1000,0))),""))</f>
        <v/>
      </c>
      <c r="E118" s="29" t="str">
        <f>IF($C118="","",IFERROR(IF(INDEX('🎓 Alumnas'!$D$2:$D$1000,MATCH($C118,'🎓 Alumnas'!$B$2:$B$1000,0))="","",INDEX('🎓 Alumnas'!$D$2:$D$1000,MATCH($C118,'🎓 Alumnas'!$B$2:$B$1000,0))),""))</f>
        <v/>
      </c>
      <c r="F118" s="29" t="str">
        <f>IF($C118="","",IFERROR(IF(INDEX('🎓 Alumnas'!$E$2:$E$1000,MATCH($C118,'🎓 Alumnas'!$B$2:$B$1000,0))="","",INDEX('🎓 Alumnas'!$E$2:$E$1000,MATCH($C118,'🎓 Alumnas'!$B$2:$B$1000,0))),""))</f>
        <v/>
      </c>
      <c r="G118" s="31" t="str">
        <f>IF($C118="","",IFERROR(IF(INDEX('🎓 Alumnas'!$F$2:$F$1000,MATCH($C118,'🎓 Alumnas'!$B$2:$B$1000,0))="","",INDEX('🎓 Alumnas'!$F$2:$F$1000,MATCH($C118,'🎓 Alumnas'!$B$2:$B$1000,0))),""))</f>
        <v/>
      </c>
      <c r="H118" s="29" t="str">
        <f t="shared" ca="1" si="3"/>
        <v/>
      </c>
      <c r="I118" s="26"/>
      <c r="J118" s="29" t="str">
        <f t="shared" si="4"/>
        <v/>
      </c>
      <c r="K118" s="26"/>
      <c r="L118" s="26"/>
      <c r="M118" s="35"/>
      <c r="N118" s="30" t="str">
        <f t="shared" si="5"/>
        <v/>
      </c>
      <c r="O118" s="36"/>
      <c r="P118" s="26"/>
      <c r="Q118" s="26"/>
      <c r="R118" s="29" t="str">
        <f>IF(C118="","",IF(COUNTIF($C$2:C118,C118)=1,"Nueva","Recurrente"))</f>
        <v/>
      </c>
      <c r="S118" s="29" t="str">
        <f>IF(OR(C118="",J118&lt;&gt;"Paquete"),"",COUNTIFS($C$2:C118,C118,$J$2:J118,"Paquete"))</f>
        <v/>
      </c>
      <c r="T118" s="26"/>
    </row>
    <row r="119" spans="1:20" x14ac:dyDescent="0.35">
      <c r="A119" s="26" t="s">
        <v>547</v>
      </c>
      <c r="B119" s="28"/>
      <c r="C119" s="26"/>
      <c r="D119" s="34" t="str">
        <f>IF($C119="","",IFERROR(IF(INDEX('🎓 Alumnas'!$C$2:$C$1000,MATCH($C119,'🎓 Alumnas'!$B$2:$B$1000,0))="","",INDEX('🎓 Alumnas'!$C$2:$C$1000,MATCH($C119,'🎓 Alumnas'!$B$2:$B$1000,0))),""))</f>
        <v/>
      </c>
      <c r="E119" s="29" t="str">
        <f>IF($C119="","",IFERROR(IF(INDEX('🎓 Alumnas'!$D$2:$D$1000,MATCH($C119,'🎓 Alumnas'!$B$2:$B$1000,0))="","",INDEX('🎓 Alumnas'!$D$2:$D$1000,MATCH($C119,'🎓 Alumnas'!$B$2:$B$1000,0))),""))</f>
        <v/>
      </c>
      <c r="F119" s="29" t="str">
        <f>IF($C119="","",IFERROR(IF(INDEX('🎓 Alumnas'!$E$2:$E$1000,MATCH($C119,'🎓 Alumnas'!$B$2:$B$1000,0))="","",INDEX('🎓 Alumnas'!$E$2:$E$1000,MATCH($C119,'🎓 Alumnas'!$B$2:$B$1000,0))),""))</f>
        <v/>
      </c>
      <c r="G119" s="31" t="str">
        <f>IF($C119="","",IFERROR(IF(INDEX('🎓 Alumnas'!$F$2:$F$1000,MATCH($C119,'🎓 Alumnas'!$B$2:$B$1000,0))="","",INDEX('🎓 Alumnas'!$F$2:$F$1000,MATCH($C119,'🎓 Alumnas'!$B$2:$B$1000,0))),""))</f>
        <v/>
      </c>
      <c r="H119" s="29" t="str">
        <f t="shared" ca="1" si="3"/>
        <v/>
      </c>
      <c r="I119" s="26"/>
      <c r="J119" s="29" t="str">
        <f t="shared" si="4"/>
        <v/>
      </c>
      <c r="K119" s="26"/>
      <c r="L119" s="26"/>
      <c r="M119" s="35"/>
      <c r="N119" s="30" t="str">
        <f t="shared" si="5"/>
        <v/>
      </c>
      <c r="O119" s="36"/>
      <c r="P119" s="26"/>
      <c r="Q119" s="26"/>
      <c r="R119" s="29" t="str">
        <f>IF(C119="","",IF(COUNTIF($C$2:C119,C119)=1,"Nueva","Recurrente"))</f>
        <v/>
      </c>
      <c r="S119" s="29" t="str">
        <f>IF(OR(C119="",J119&lt;&gt;"Paquete"),"",COUNTIFS($C$2:C119,C119,$J$2:J119,"Paquete"))</f>
        <v/>
      </c>
      <c r="T119" s="26"/>
    </row>
    <row r="120" spans="1:20" x14ac:dyDescent="0.35">
      <c r="A120" s="26" t="s">
        <v>548</v>
      </c>
      <c r="B120" s="28"/>
      <c r="C120" s="26"/>
      <c r="D120" s="34" t="str">
        <f>IF($C120="","",IFERROR(IF(INDEX('🎓 Alumnas'!$C$2:$C$1000,MATCH($C120,'🎓 Alumnas'!$B$2:$B$1000,0))="","",INDEX('🎓 Alumnas'!$C$2:$C$1000,MATCH($C120,'🎓 Alumnas'!$B$2:$B$1000,0))),""))</f>
        <v/>
      </c>
      <c r="E120" s="29" t="str">
        <f>IF($C120="","",IFERROR(IF(INDEX('🎓 Alumnas'!$D$2:$D$1000,MATCH($C120,'🎓 Alumnas'!$B$2:$B$1000,0))="","",INDEX('🎓 Alumnas'!$D$2:$D$1000,MATCH($C120,'🎓 Alumnas'!$B$2:$B$1000,0))),""))</f>
        <v/>
      </c>
      <c r="F120" s="29" t="str">
        <f>IF($C120="","",IFERROR(IF(INDEX('🎓 Alumnas'!$E$2:$E$1000,MATCH($C120,'🎓 Alumnas'!$B$2:$B$1000,0))="","",INDEX('🎓 Alumnas'!$E$2:$E$1000,MATCH($C120,'🎓 Alumnas'!$B$2:$B$1000,0))),""))</f>
        <v/>
      </c>
      <c r="G120" s="31" t="str">
        <f>IF($C120="","",IFERROR(IF(INDEX('🎓 Alumnas'!$F$2:$F$1000,MATCH($C120,'🎓 Alumnas'!$B$2:$B$1000,0))="","",INDEX('🎓 Alumnas'!$F$2:$F$1000,MATCH($C120,'🎓 Alumnas'!$B$2:$B$1000,0))),""))</f>
        <v/>
      </c>
      <c r="H120" s="29" t="str">
        <f t="shared" ca="1" si="3"/>
        <v/>
      </c>
      <c r="I120" s="26"/>
      <c r="J120" s="29" t="str">
        <f t="shared" si="4"/>
        <v/>
      </c>
      <c r="K120" s="26"/>
      <c r="L120" s="26"/>
      <c r="M120" s="35"/>
      <c r="N120" s="30" t="str">
        <f t="shared" si="5"/>
        <v/>
      </c>
      <c r="O120" s="36"/>
      <c r="P120" s="26"/>
      <c r="Q120" s="26"/>
      <c r="R120" s="29" t="str">
        <f>IF(C120="","",IF(COUNTIF($C$2:C120,C120)=1,"Nueva","Recurrente"))</f>
        <v/>
      </c>
      <c r="S120" s="29" t="str">
        <f>IF(OR(C120="",J120&lt;&gt;"Paquete"),"",COUNTIFS($C$2:C120,C120,$J$2:J120,"Paquete"))</f>
        <v/>
      </c>
      <c r="T120" s="26"/>
    </row>
    <row r="121" spans="1:20" x14ac:dyDescent="0.35">
      <c r="A121" s="26" t="s">
        <v>549</v>
      </c>
      <c r="B121" s="28"/>
      <c r="C121" s="26"/>
      <c r="D121" s="34" t="str">
        <f>IF($C121="","",IFERROR(IF(INDEX('🎓 Alumnas'!$C$2:$C$1000,MATCH($C121,'🎓 Alumnas'!$B$2:$B$1000,0))="","",INDEX('🎓 Alumnas'!$C$2:$C$1000,MATCH($C121,'🎓 Alumnas'!$B$2:$B$1000,0))),""))</f>
        <v/>
      </c>
      <c r="E121" s="29" t="str">
        <f>IF($C121="","",IFERROR(IF(INDEX('🎓 Alumnas'!$D$2:$D$1000,MATCH($C121,'🎓 Alumnas'!$B$2:$B$1000,0))="","",INDEX('🎓 Alumnas'!$D$2:$D$1000,MATCH($C121,'🎓 Alumnas'!$B$2:$B$1000,0))),""))</f>
        <v/>
      </c>
      <c r="F121" s="29" t="str">
        <f>IF($C121="","",IFERROR(IF(INDEX('🎓 Alumnas'!$E$2:$E$1000,MATCH($C121,'🎓 Alumnas'!$B$2:$B$1000,0))="","",INDEX('🎓 Alumnas'!$E$2:$E$1000,MATCH($C121,'🎓 Alumnas'!$B$2:$B$1000,0))),""))</f>
        <v/>
      </c>
      <c r="G121" s="31" t="str">
        <f>IF($C121="","",IFERROR(IF(INDEX('🎓 Alumnas'!$F$2:$F$1000,MATCH($C121,'🎓 Alumnas'!$B$2:$B$1000,0))="","",INDEX('🎓 Alumnas'!$F$2:$F$1000,MATCH($C121,'🎓 Alumnas'!$B$2:$B$1000,0))),""))</f>
        <v/>
      </c>
      <c r="H121" s="29" t="str">
        <f t="shared" ca="1" si="3"/>
        <v/>
      </c>
      <c r="I121" s="26"/>
      <c r="J121" s="29" t="str">
        <f t="shared" si="4"/>
        <v/>
      </c>
      <c r="K121" s="26"/>
      <c r="L121" s="26"/>
      <c r="M121" s="35"/>
      <c r="N121" s="30" t="str">
        <f t="shared" si="5"/>
        <v/>
      </c>
      <c r="O121" s="36"/>
      <c r="P121" s="26"/>
      <c r="Q121" s="26"/>
      <c r="R121" s="29" t="str">
        <f>IF(C121="","",IF(COUNTIF($C$2:C121,C121)=1,"Nueva","Recurrente"))</f>
        <v/>
      </c>
      <c r="S121" s="29" t="str">
        <f>IF(OR(C121="",J121&lt;&gt;"Paquete"),"",COUNTIFS($C$2:C121,C121,$J$2:J121,"Paquete"))</f>
        <v/>
      </c>
      <c r="T121" s="26"/>
    </row>
    <row r="122" spans="1:20" x14ac:dyDescent="0.35">
      <c r="A122" s="26" t="s">
        <v>550</v>
      </c>
      <c r="B122" s="28"/>
      <c r="C122" s="26"/>
      <c r="D122" s="34" t="str">
        <f>IF($C122="","",IFERROR(IF(INDEX('🎓 Alumnas'!$C$2:$C$1000,MATCH($C122,'🎓 Alumnas'!$B$2:$B$1000,0))="","",INDEX('🎓 Alumnas'!$C$2:$C$1000,MATCH($C122,'🎓 Alumnas'!$B$2:$B$1000,0))),""))</f>
        <v/>
      </c>
      <c r="E122" s="29" t="str">
        <f>IF($C122="","",IFERROR(IF(INDEX('🎓 Alumnas'!$D$2:$D$1000,MATCH($C122,'🎓 Alumnas'!$B$2:$B$1000,0))="","",INDEX('🎓 Alumnas'!$D$2:$D$1000,MATCH($C122,'🎓 Alumnas'!$B$2:$B$1000,0))),""))</f>
        <v/>
      </c>
      <c r="F122" s="29" t="str">
        <f>IF($C122="","",IFERROR(IF(INDEX('🎓 Alumnas'!$E$2:$E$1000,MATCH($C122,'🎓 Alumnas'!$B$2:$B$1000,0))="","",INDEX('🎓 Alumnas'!$E$2:$E$1000,MATCH($C122,'🎓 Alumnas'!$B$2:$B$1000,0))),""))</f>
        <v/>
      </c>
      <c r="G122" s="31" t="str">
        <f>IF($C122="","",IFERROR(IF(INDEX('🎓 Alumnas'!$F$2:$F$1000,MATCH($C122,'🎓 Alumnas'!$B$2:$B$1000,0))="","",INDEX('🎓 Alumnas'!$F$2:$F$1000,MATCH($C122,'🎓 Alumnas'!$B$2:$B$1000,0))),""))</f>
        <v/>
      </c>
      <c r="H122" s="29" t="str">
        <f t="shared" ca="1" si="3"/>
        <v/>
      </c>
      <c r="I122" s="26"/>
      <c r="J122" s="29" t="str">
        <f t="shared" si="4"/>
        <v/>
      </c>
      <c r="K122" s="26"/>
      <c r="L122" s="26"/>
      <c r="M122" s="35"/>
      <c r="N122" s="30" t="str">
        <f t="shared" si="5"/>
        <v/>
      </c>
      <c r="O122" s="36"/>
      <c r="P122" s="26"/>
      <c r="Q122" s="26"/>
      <c r="R122" s="29" t="str">
        <f>IF(C122="","",IF(COUNTIF($C$2:C122,C122)=1,"Nueva","Recurrente"))</f>
        <v/>
      </c>
      <c r="S122" s="29" t="str">
        <f>IF(OR(C122="",J122&lt;&gt;"Paquete"),"",COUNTIFS($C$2:C122,C122,$J$2:J122,"Paquete"))</f>
        <v/>
      </c>
      <c r="T122" s="26"/>
    </row>
    <row r="123" spans="1:20" x14ac:dyDescent="0.35">
      <c r="A123" s="26" t="s">
        <v>551</v>
      </c>
      <c r="B123" s="28"/>
      <c r="C123" s="26"/>
      <c r="D123" s="34" t="str">
        <f>IF($C123="","",IFERROR(IF(INDEX('🎓 Alumnas'!$C$2:$C$1000,MATCH($C123,'🎓 Alumnas'!$B$2:$B$1000,0))="","",INDEX('🎓 Alumnas'!$C$2:$C$1000,MATCH($C123,'🎓 Alumnas'!$B$2:$B$1000,0))),""))</f>
        <v/>
      </c>
      <c r="E123" s="29" t="str">
        <f>IF($C123="","",IFERROR(IF(INDEX('🎓 Alumnas'!$D$2:$D$1000,MATCH($C123,'🎓 Alumnas'!$B$2:$B$1000,0))="","",INDEX('🎓 Alumnas'!$D$2:$D$1000,MATCH($C123,'🎓 Alumnas'!$B$2:$B$1000,0))),""))</f>
        <v/>
      </c>
      <c r="F123" s="29" t="str">
        <f>IF($C123="","",IFERROR(IF(INDEX('🎓 Alumnas'!$E$2:$E$1000,MATCH($C123,'🎓 Alumnas'!$B$2:$B$1000,0))="","",INDEX('🎓 Alumnas'!$E$2:$E$1000,MATCH($C123,'🎓 Alumnas'!$B$2:$B$1000,0))),""))</f>
        <v/>
      </c>
      <c r="G123" s="31" t="str">
        <f>IF($C123="","",IFERROR(IF(INDEX('🎓 Alumnas'!$F$2:$F$1000,MATCH($C123,'🎓 Alumnas'!$B$2:$B$1000,0))="","",INDEX('🎓 Alumnas'!$F$2:$F$1000,MATCH($C123,'🎓 Alumnas'!$B$2:$B$1000,0))),""))</f>
        <v/>
      </c>
      <c r="H123" s="29" t="str">
        <f t="shared" ca="1" si="3"/>
        <v/>
      </c>
      <c r="I123" s="26"/>
      <c r="J123" s="29" t="str">
        <f t="shared" si="4"/>
        <v/>
      </c>
      <c r="K123" s="26"/>
      <c r="L123" s="26"/>
      <c r="M123" s="35"/>
      <c r="N123" s="30" t="str">
        <f t="shared" si="5"/>
        <v/>
      </c>
      <c r="O123" s="36"/>
      <c r="P123" s="26"/>
      <c r="Q123" s="26"/>
      <c r="R123" s="29" t="str">
        <f>IF(C123="","",IF(COUNTIF($C$2:C123,C123)=1,"Nueva","Recurrente"))</f>
        <v/>
      </c>
      <c r="S123" s="29" t="str">
        <f>IF(OR(C123="",J123&lt;&gt;"Paquete"),"",COUNTIFS($C$2:C123,C123,$J$2:J123,"Paquete"))</f>
        <v/>
      </c>
      <c r="T123" s="26"/>
    </row>
    <row r="124" spans="1:20" x14ac:dyDescent="0.35">
      <c r="A124" s="26" t="s">
        <v>552</v>
      </c>
      <c r="B124" s="28"/>
      <c r="C124" s="26"/>
      <c r="D124" s="34" t="str">
        <f>IF($C124="","",IFERROR(IF(INDEX('🎓 Alumnas'!$C$2:$C$1000,MATCH($C124,'🎓 Alumnas'!$B$2:$B$1000,0))="","",INDEX('🎓 Alumnas'!$C$2:$C$1000,MATCH($C124,'🎓 Alumnas'!$B$2:$B$1000,0))),""))</f>
        <v/>
      </c>
      <c r="E124" s="29" t="str">
        <f>IF($C124="","",IFERROR(IF(INDEX('🎓 Alumnas'!$D$2:$D$1000,MATCH($C124,'🎓 Alumnas'!$B$2:$B$1000,0))="","",INDEX('🎓 Alumnas'!$D$2:$D$1000,MATCH($C124,'🎓 Alumnas'!$B$2:$B$1000,0))),""))</f>
        <v/>
      </c>
      <c r="F124" s="29" t="str">
        <f>IF($C124="","",IFERROR(IF(INDEX('🎓 Alumnas'!$E$2:$E$1000,MATCH($C124,'🎓 Alumnas'!$B$2:$B$1000,0))="","",INDEX('🎓 Alumnas'!$E$2:$E$1000,MATCH($C124,'🎓 Alumnas'!$B$2:$B$1000,0))),""))</f>
        <v/>
      </c>
      <c r="G124" s="31" t="str">
        <f>IF($C124="","",IFERROR(IF(INDEX('🎓 Alumnas'!$F$2:$F$1000,MATCH($C124,'🎓 Alumnas'!$B$2:$B$1000,0))="","",INDEX('🎓 Alumnas'!$F$2:$F$1000,MATCH($C124,'🎓 Alumnas'!$B$2:$B$1000,0))),""))</f>
        <v/>
      </c>
      <c r="H124" s="29" t="str">
        <f t="shared" ca="1" si="3"/>
        <v/>
      </c>
      <c r="I124" s="26"/>
      <c r="J124" s="29" t="str">
        <f t="shared" si="4"/>
        <v/>
      </c>
      <c r="K124" s="26"/>
      <c r="L124" s="26"/>
      <c r="M124" s="35"/>
      <c r="N124" s="30" t="str">
        <f t="shared" si="5"/>
        <v/>
      </c>
      <c r="O124" s="36"/>
      <c r="P124" s="26"/>
      <c r="Q124" s="26"/>
      <c r="R124" s="29" t="str">
        <f>IF(C124="","",IF(COUNTIF($C$2:C124,C124)=1,"Nueva","Recurrente"))</f>
        <v/>
      </c>
      <c r="S124" s="29" t="str">
        <f>IF(OR(C124="",J124&lt;&gt;"Paquete"),"",COUNTIFS($C$2:C124,C124,$J$2:J124,"Paquete"))</f>
        <v/>
      </c>
      <c r="T124" s="26"/>
    </row>
    <row r="125" spans="1:20" x14ac:dyDescent="0.35">
      <c r="A125" s="26" t="s">
        <v>553</v>
      </c>
      <c r="B125" s="28"/>
      <c r="C125" s="26"/>
      <c r="D125" s="34" t="str">
        <f>IF($C125="","",IFERROR(IF(INDEX('🎓 Alumnas'!$C$2:$C$1000,MATCH($C125,'🎓 Alumnas'!$B$2:$B$1000,0))="","",INDEX('🎓 Alumnas'!$C$2:$C$1000,MATCH($C125,'🎓 Alumnas'!$B$2:$B$1000,0))),""))</f>
        <v/>
      </c>
      <c r="E125" s="29" t="str">
        <f>IF($C125="","",IFERROR(IF(INDEX('🎓 Alumnas'!$D$2:$D$1000,MATCH($C125,'🎓 Alumnas'!$B$2:$B$1000,0))="","",INDEX('🎓 Alumnas'!$D$2:$D$1000,MATCH($C125,'🎓 Alumnas'!$B$2:$B$1000,0))),""))</f>
        <v/>
      </c>
      <c r="F125" s="29" t="str">
        <f>IF($C125="","",IFERROR(IF(INDEX('🎓 Alumnas'!$E$2:$E$1000,MATCH($C125,'🎓 Alumnas'!$B$2:$B$1000,0))="","",INDEX('🎓 Alumnas'!$E$2:$E$1000,MATCH($C125,'🎓 Alumnas'!$B$2:$B$1000,0))),""))</f>
        <v/>
      </c>
      <c r="G125" s="31" t="str">
        <f>IF($C125="","",IFERROR(IF(INDEX('🎓 Alumnas'!$F$2:$F$1000,MATCH($C125,'🎓 Alumnas'!$B$2:$B$1000,0))="","",INDEX('🎓 Alumnas'!$F$2:$F$1000,MATCH($C125,'🎓 Alumnas'!$B$2:$B$1000,0))),""))</f>
        <v/>
      </c>
      <c r="H125" s="29" t="str">
        <f t="shared" ca="1" si="3"/>
        <v/>
      </c>
      <c r="I125" s="26"/>
      <c r="J125" s="29" t="str">
        <f t="shared" si="4"/>
        <v/>
      </c>
      <c r="K125" s="26"/>
      <c r="L125" s="26"/>
      <c r="M125" s="35"/>
      <c r="N125" s="30" t="str">
        <f t="shared" si="5"/>
        <v/>
      </c>
      <c r="O125" s="36"/>
      <c r="P125" s="26"/>
      <c r="Q125" s="26"/>
      <c r="R125" s="29" t="str">
        <f>IF(C125="","",IF(COUNTIF($C$2:C125,C125)=1,"Nueva","Recurrente"))</f>
        <v/>
      </c>
      <c r="S125" s="29" t="str">
        <f>IF(OR(C125="",J125&lt;&gt;"Paquete"),"",COUNTIFS($C$2:C125,C125,$J$2:J125,"Paquete"))</f>
        <v/>
      </c>
      <c r="T125" s="26"/>
    </row>
    <row r="126" spans="1:20" x14ac:dyDescent="0.35">
      <c r="A126" s="26" t="s">
        <v>554</v>
      </c>
      <c r="B126" s="28"/>
      <c r="C126" s="26"/>
      <c r="D126" s="34" t="str">
        <f>IF($C126="","",IFERROR(IF(INDEX('🎓 Alumnas'!$C$2:$C$1000,MATCH($C126,'🎓 Alumnas'!$B$2:$B$1000,0))="","",INDEX('🎓 Alumnas'!$C$2:$C$1000,MATCH($C126,'🎓 Alumnas'!$B$2:$B$1000,0))),""))</f>
        <v/>
      </c>
      <c r="E126" s="29" t="str">
        <f>IF($C126="","",IFERROR(IF(INDEX('🎓 Alumnas'!$D$2:$D$1000,MATCH($C126,'🎓 Alumnas'!$B$2:$B$1000,0))="","",INDEX('🎓 Alumnas'!$D$2:$D$1000,MATCH($C126,'🎓 Alumnas'!$B$2:$B$1000,0))),""))</f>
        <v/>
      </c>
      <c r="F126" s="29" t="str">
        <f>IF($C126="","",IFERROR(IF(INDEX('🎓 Alumnas'!$E$2:$E$1000,MATCH($C126,'🎓 Alumnas'!$B$2:$B$1000,0))="","",INDEX('🎓 Alumnas'!$E$2:$E$1000,MATCH($C126,'🎓 Alumnas'!$B$2:$B$1000,0))),""))</f>
        <v/>
      </c>
      <c r="G126" s="31" t="str">
        <f>IF($C126="","",IFERROR(IF(INDEX('🎓 Alumnas'!$F$2:$F$1000,MATCH($C126,'🎓 Alumnas'!$B$2:$B$1000,0))="","",INDEX('🎓 Alumnas'!$F$2:$F$1000,MATCH($C126,'🎓 Alumnas'!$B$2:$B$1000,0))),""))</f>
        <v/>
      </c>
      <c r="H126" s="29" t="str">
        <f t="shared" ca="1" si="3"/>
        <v/>
      </c>
      <c r="I126" s="26"/>
      <c r="J126" s="29" t="str">
        <f t="shared" si="4"/>
        <v/>
      </c>
      <c r="K126" s="26"/>
      <c r="L126" s="26"/>
      <c r="M126" s="35"/>
      <c r="N126" s="30" t="str">
        <f t="shared" si="5"/>
        <v/>
      </c>
      <c r="O126" s="36"/>
      <c r="P126" s="26"/>
      <c r="Q126" s="26"/>
      <c r="R126" s="29" t="str">
        <f>IF(C126="","",IF(COUNTIF($C$2:C126,C126)=1,"Nueva","Recurrente"))</f>
        <v/>
      </c>
      <c r="S126" s="29" t="str">
        <f>IF(OR(C126="",J126&lt;&gt;"Paquete"),"",COUNTIFS($C$2:C126,C126,$J$2:J126,"Paquete"))</f>
        <v/>
      </c>
      <c r="T126" s="26"/>
    </row>
    <row r="127" spans="1:20" x14ac:dyDescent="0.35">
      <c r="A127" s="26" t="s">
        <v>555</v>
      </c>
      <c r="B127" s="28"/>
      <c r="C127" s="26"/>
      <c r="D127" s="34" t="str">
        <f>IF($C127="","",IFERROR(IF(INDEX('🎓 Alumnas'!$C$2:$C$1000,MATCH($C127,'🎓 Alumnas'!$B$2:$B$1000,0))="","",INDEX('🎓 Alumnas'!$C$2:$C$1000,MATCH($C127,'🎓 Alumnas'!$B$2:$B$1000,0))),""))</f>
        <v/>
      </c>
      <c r="E127" s="29" t="str">
        <f>IF($C127="","",IFERROR(IF(INDEX('🎓 Alumnas'!$D$2:$D$1000,MATCH($C127,'🎓 Alumnas'!$B$2:$B$1000,0))="","",INDEX('🎓 Alumnas'!$D$2:$D$1000,MATCH($C127,'🎓 Alumnas'!$B$2:$B$1000,0))),""))</f>
        <v/>
      </c>
      <c r="F127" s="29" t="str">
        <f>IF($C127="","",IFERROR(IF(INDEX('🎓 Alumnas'!$E$2:$E$1000,MATCH($C127,'🎓 Alumnas'!$B$2:$B$1000,0))="","",INDEX('🎓 Alumnas'!$E$2:$E$1000,MATCH($C127,'🎓 Alumnas'!$B$2:$B$1000,0))),""))</f>
        <v/>
      </c>
      <c r="G127" s="31" t="str">
        <f>IF($C127="","",IFERROR(IF(INDEX('🎓 Alumnas'!$F$2:$F$1000,MATCH($C127,'🎓 Alumnas'!$B$2:$B$1000,0))="","",INDEX('🎓 Alumnas'!$F$2:$F$1000,MATCH($C127,'🎓 Alumnas'!$B$2:$B$1000,0))),""))</f>
        <v/>
      </c>
      <c r="H127" s="29" t="str">
        <f t="shared" ca="1" si="3"/>
        <v/>
      </c>
      <c r="I127" s="26"/>
      <c r="J127" s="29" t="str">
        <f t="shared" si="4"/>
        <v/>
      </c>
      <c r="K127" s="26"/>
      <c r="L127" s="26"/>
      <c r="M127" s="35"/>
      <c r="N127" s="30" t="str">
        <f t="shared" si="5"/>
        <v/>
      </c>
      <c r="O127" s="36"/>
      <c r="P127" s="26"/>
      <c r="Q127" s="26"/>
      <c r="R127" s="29" t="str">
        <f>IF(C127="","",IF(COUNTIF($C$2:C127,C127)=1,"Nueva","Recurrente"))</f>
        <v/>
      </c>
      <c r="S127" s="29" t="str">
        <f>IF(OR(C127="",J127&lt;&gt;"Paquete"),"",COUNTIFS($C$2:C127,C127,$J$2:J127,"Paquete"))</f>
        <v/>
      </c>
      <c r="T127" s="26"/>
    </row>
    <row r="128" spans="1:20" x14ac:dyDescent="0.35">
      <c r="A128" s="26" t="s">
        <v>556</v>
      </c>
      <c r="B128" s="28"/>
      <c r="C128" s="26"/>
      <c r="D128" s="34" t="str">
        <f>IF($C128="","",IFERROR(IF(INDEX('🎓 Alumnas'!$C$2:$C$1000,MATCH($C128,'🎓 Alumnas'!$B$2:$B$1000,0))="","",INDEX('🎓 Alumnas'!$C$2:$C$1000,MATCH($C128,'🎓 Alumnas'!$B$2:$B$1000,0))),""))</f>
        <v/>
      </c>
      <c r="E128" s="29" t="str">
        <f>IF($C128="","",IFERROR(IF(INDEX('🎓 Alumnas'!$D$2:$D$1000,MATCH($C128,'🎓 Alumnas'!$B$2:$B$1000,0))="","",INDEX('🎓 Alumnas'!$D$2:$D$1000,MATCH($C128,'🎓 Alumnas'!$B$2:$B$1000,0))),""))</f>
        <v/>
      </c>
      <c r="F128" s="29" t="str">
        <f>IF($C128="","",IFERROR(IF(INDEX('🎓 Alumnas'!$E$2:$E$1000,MATCH($C128,'🎓 Alumnas'!$B$2:$B$1000,0))="","",INDEX('🎓 Alumnas'!$E$2:$E$1000,MATCH($C128,'🎓 Alumnas'!$B$2:$B$1000,0))),""))</f>
        <v/>
      </c>
      <c r="G128" s="31" t="str">
        <f>IF($C128="","",IFERROR(IF(INDEX('🎓 Alumnas'!$F$2:$F$1000,MATCH($C128,'🎓 Alumnas'!$B$2:$B$1000,0))="","",INDEX('🎓 Alumnas'!$F$2:$F$1000,MATCH($C128,'🎓 Alumnas'!$B$2:$B$1000,0))),""))</f>
        <v/>
      </c>
      <c r="H128" s="29" t="str">
        <f t="shared" ca="1" si="3"/>
        <v/>
      </c>
      <c r="I128" s="26"/>
      <c r="J128" s="29" t="str">
        <f t="shared" si="4"/>
        <v/>
      </c>
      <c r="K128" s="26"/>
      <c r="L128" s="26"/>
      <c r="M128" s="35"/>
      <c r="N128" s="30" t="str">
        <f t="shared" si="5"/>
        <v/>
      </c>
      <c r="O128" s="36"/>
      <c r="P128" s="26"/>
      <c r="Q128" s="26"/>
      <c r="R128" s="29" t="str">
        <f>IF(C128="","",IF(COUNTIF($C$2:C128,C128)=1,"Nueva","Recurrente"))</f>
        <v/>
      </c>
      <c r="S128" s="29" t="str">
        <f>IF(OR(C128="",J128&lt;&gt;"Paquete"),"",COUNTIFS($C$2:C128,C128,$J$2:J128,"Paquete"))</f>
        <v/>
      </c>
      <c r="T128" s="26"/>
    </row>
    <row r="129" spans="1:20" x14ac:dyDescent="0.35">
      <c r="A129" s="26" t="s">
        <v>557</v>
      </c>
      <c r="B129" s="28"/>
      <c r="C129" s="26"/>
      <c r="D129" s="34" t="str">
        <f>IF($C129="","",IFERROR(IF(INDEX('🎓 Alumnas'!$C$2:$C$1000,MATCH($C129,'🎓 Alumnas'!$B$2:$B$1000,0))="","",INDEX('🎓 Alumnas'!$C$2:$C$1000,MATCH($C129,'🎓 Alumnas'!$B$2:$B$1000,0))),""))</f>
        <v/>
      </c>
      <c r="E129" s="29" t="str">
        <f>IF($C129="","",IFERROR(IF(INDEX('🎓 Alumnas'!$D$2:$D$1000,MATCH($C129,'🎓 Alumnas'!$B$2:$B$1000,0))="","",INDEX('🎓 Alumnas'!$D$2:$D$1000,MATCH($C129,'🎓 Alumnas'!$B$2:$B$1000,0))),""))</f>
        <v/>
      </c>
      <c r="F129" s="29" t="str">
        <f>IF($C129="","",IFERROR(IF(INDEX('🎓 Alumnas'!$E$2:$E$1000,MATCH($C129,'🎓 Alumnas'!$B$2:$B$1000,0))="","",INDEX('🎓 Alumnas'!$E$2:$E$1000,MATCH($C129,'🎓 Alumnas'!$B$2:$B$1000,0))),""))</f>
        <v/>
      </c>
      <c r="G129" s="31" t="str">
        <f>IF($C129="","",IFERROR(IF(INDEX('🎓 Alumnas'!$F$2:$F$1000,MATCH($C129,'🎓 Alumnas'!$B$2:$B$1000,0))="","",INDEX('🎓 Alumnas'!$F$2:$F$1000,MATCH($C129,'🎓 Alumnas'!$B$2:$B$1000,0))),""))</f>
        <v/>
      </c>
      <c r="H129" s="29" t="str">
        <f t="shared" ca="1" si="3"/>
        <v/>
      </c>
      <c r="I129" s="26"/>
      <c r="J129" s="29" t="str">
        <f t="shared" si="4"/>
        <v/>
      </c>
      <c r="K129" s="26"/>
      <c r="L129" s="26"/>
      <c r="M129" s="35"/>
      <c r="N129" s="30" t="str">
        <f t="shared" si="5"/>
        <v/>
      </c>
      <c r="O129" s="36"/>
      <c r="P129" s="26"/>
      <c r="Q129" s="26"/>
      <c r="R129" s="29" t="str">
        <f>IF(C129="","",IF(COUNTIF($C$2:C129,C129)=1,"Nueva","Recurrente"))</f>
        <v/>
      </c>
      <c r="S129" s="29" t="str">
        <f>IF(OR(C129="",J129&lt;&gt;"Paquete"),"",COUNTIFS($C$2:C129,C129,$J$2:J129,"Paquete"))</f>
        <v/>
      </c>
      <c r="T129" s="26"/>
    </row>
    <row r="130" spans="1:20" x14ac:dyDescent="0.35">
      <c r="A130" s="26" t="s">
        <v>558</v>
      </c>
      <c r="B130" s="28"/>
      <c r="C130" s="26"/>
      <c r="D130" s="34" t="str">
        <f>IF($C130="","",IFERROR(IF(INDEX('🎓 Alumnas'!$C$2:$C$1000,MATCH($C130,'🎓 Alumnas'!$B$2:$B$1000,0))="","",INDEX('🎓 Alumnas'!$C$2:$C$1000,MATCH($C130,'🎓 Alumnas'!$B$2:$B$1000,0))),""))</f>
        <v/>
      </c>
      <c r="E130" s="29" t="str">
        <f>IF($C130="","",IFERROR(IF(INDEX('🎓 Alumnas'!$D$2:$D$1000,MATCH($C130,'🎓 Alumnas'!$B$2:$B$1000,0))="","",INDEX('🎓 Alumnas'!$D$2:$D$1000,MATCH($C130,'🎓 Alumnas'!$B$2:$B$1000,0))),""))</f>
        <v/>
      </c>
      <c r="F130" s="29" t="str">
        <f>IF($C130="","",IFERROR(IF(INDEX('🎓 Alumnas'!$E$2:$E$1000,MATCH($C130,'🎓 Alumnas'!$B$2:$B$1000,0))="","",INDEX('🎓 Alumnas'!$E$2:$E$1000,MATCH($C130,'🎓 Alumnas'!$B$2:$B$1000,0))),""))</f>
        <v/>
      </c>
      <c r="G130" s="31" t="str">
        <f>IF($C130="","",IFERROR(IF(INDEX('🎓 Alumnas'!$F$2:$F$1000,MATCH($C130,'🎓 Alumnas'!$B$2:$B$1000,0))="","",INDEX('🎓 Alumnas'!$F$2:$F$1000,MATCH($C130,'🎓 Alumnas'!$B$2:$B$1000,0))),""))</f>
        <v/>
      </c>
      <c r="H130" s="29" t="str">
        <f t="shared" ref="H130:H193" ca="1" si="6">IF(G130="","",DATEDIF(G130,TODAY(),"Y"))</f>
        <v/>
      </c>
      <c r="I130" s="26"/>
      <c r="J130" s="29" t="str">
        <f t="shared" ref="J130:J193" si="7">IF(I130="","",IF(LEFT(I130,6)="1 Pole","Alquiler",IF(LEFT(I130,7)="1 Clase","Clase suelta","Paquete")))</f>
        <v/>
      </c>
      <c r="K130" s="26"/>
      <c r="L130" s="26"/>
      <c r="M130" s="35"/>
      <c r="N130" s="30" t="str">
        <f t="shared" ref="N130:N193" si="8">IF(M130="","",L130*M130)</f>
        <v/>
      </c>
      <c r="O130" s="36"/>
      <c r="P130" s="26"/>
      <c r="Q130" s="26"/>
      <c r="R130" s="29" t="str">
        <f>IF(C130="","",IF(COUNTIF($C$2:C130,C130)=1,"Nueva","Recurrente"))</f>
        <v/>
      </c>
      <c r="S130" s="29" t="str">
        <f>IF(OR(C130="",J130&lt;&gt;"Paquete"),"",COUNTIFS($C$2:C130,C130,$J$2:J130,"Paquete"))</f>
        <v/>
      </c>
      <c r="T130" s="26"/>
    </row>
    <row r="131" spans="1:20" x14ac:dyDescent="0.35">
      <c r="A131" s="26" t="s">
        <v>559</v>
      </c>
      <c r="B131" s="28"/>
      <c r="C131" s="26"/>
      <c r="D131" s="34" t="str">
        <f>IF($C131="","",IFERROR(IF(INDEX('🎓 Alumnas'!$C$2:$C$1000,MATCH($C131,'🎓 Alumnas'!$B$2:$B$1000,0))="","",INDEX('🎓 Alumnas'!$C$2:$C$1000,MATCH($C131,'🎓 Alumnas'!$B$2:$B$1000,0))),""))</f>
        <v/>
      </c>
      <c r="E131" s="29" t="str">
        <f>IF($C131="","",IFERROR(IF(INDEX('🎓 Alumnas'!$D$2:$D$1000,MATCH($C131,'🎓 Alumnas'!$B$2:$B$1000,0))="","",INDEX('🎓 Alumnas'!$D$2:$D$1000,MATCH($C131,'🎓 Alumnas'!$B$2:$B$1000,0))),""))</f>
        <v/>
      </c>
      <c r="F131" s="29" t="str">
        <f>IF($C131="","",IFERROR(IF(INDEX('🎓 Alumnas'!$E$2:$E$1000,MATCH($C131,'🎓 Alumnas'!$B$2:$B$1000,0))="","",INDEX('🎓 Alumnas'!$E$2:$E$1000,MATCH($C131,'🎓 Alumnas'!$B$2:$B$1000,0))),""))</f>
        <v/>
      </c>
      <c r="G131" s="31" t="str">
        <f>IF($C131="","",IFERROR(IF(INDEX('🎓 Alumnas'!$F$2:$F$1000,MATCH($C131,'🎓 Alumnas'!$B$2:$B$1000,0))="","",INDEX('🎓 Alumnas'!$F$2:$F$1000,MATCH($C131,'🎓 Alumnas'!$B$2:$B$1000,0))),""))</f>
        <v/>
      </c>
      <c r="H131" s="29" t="str">
        <f t="shared" ca="1" si="6"/>
        <v/>
      </c>
      <c r="I131" s="26"/>
      <c r="J131" s="29" t="str">
        <f t="shared" si="7"/>
        <v/>
      </c>
      <c r="K131" s="26"/>
      <c r="L131" s="26"/>
      <c r="M131" s="35"/>
      <c r="N131" s="30" t="str">
        <f t="shared" si="8"/>
        <v/>
      </c>
      <c r="O131" s="36"/>
      <c r="P131" s="26"/>
      <c r="Q131" s="26"/>
      <c r="R131" s="29" t="str">
        <f>IF(C131="","",IF(COUNTIF($C$2:C131,C131)=1,"Nueva","Recurrente"))</f>
        <v/>
      </c>
      <c r="S131" s="29" t="str">
        <f>IF(OR(C131="",J131&lt;&gt;"Paquete"),"",COUNTIFS($C$2:C131,C131,$J$2:J131,"Paquete"))</f>
        <v/>
      </c>
      <c r="T131" s="26"/>
    </row>
    <row r="132" spans="1:20" x14ac:dyDescent="0.35">
      <c r="A132" s="26" t="s">
        <v>560</v>
      </c>
      <c r="B132" s="28"/>
      <c r="C132" s="26"/>
      <c r="D132" s="34" t="str">
        <f>IF($C132="","",IFERROR(IF(INDEX('🎓 Alumnas'!$C$2:$C$1000,MATCH($C132,'🎓 Alumnas'!$B$2:$B$1000,0))="","",INDEX('🎓 Alumnas'!$C$2:$C$1000,MATCH($C132,'🎓 Alumnas'!$B$2:$B$1000,0))),""))</f>
        <v/>
      </c>
      <c r="E132" s="29" t="str">
        <f>IF($C132="","",IFERROR(IF(INDEX('🎓 Alumnas'!$D$2:$D$1000,MATCH($C132,'🎓 Alumnas'!$B$2:$B$1000,0))="","",INDEX('🎓 Alumnas'!$D$2:$D$1000,MATCH($C132,'🎓 Alumnas'!$B$2:$B$1000,0))),""))</f>
        <v/>
      </c>
      <c r="F132" s="29" t="str">
        <f>IF($C132="","",IFERROR(IF(INDEX('🎓 Alumnas'!$E$2:$E$1000,MATCH($C132,'🎓 Alumnas'!$B$2:$B$1000,0))="","",INDEX('🎓 Alumnas'!$E$2:$E$1000,MATCH($C132,'🎓 Alumnas'!$B$2:$B$1000,0))),""))</f>
        <v/>
      </c>
      <c r="G132" s="31" t="str">
        <f>IF($C132="","",IFERROR(IF(INDEX('🎓 Alumnas'!$F$2:$F$1000,MATCH($C132,'🎓 Alumnas'!$B$2:$B$1000,0))="","",INDEX('🎓 Alumnas'!$F$2:$F$1000,MATCH($C132,'🎓 Alumnas'!$B$2:$B$1000,0))),""))</f>
        <v/>
      </c>
      <c r="H132" s="29" t="str">
        <f t="shared" ca="1" si="6"/>
        <v/>
      </c>
      <c r="I132" s="26"/>
      <c r="J132" s="29" t="str">
        <f t="shared" si="7"/>
        <v/>
      </c>
      <c r="K132" s="26"/>
      <c r="L132" s="26"/>
      <c r="M132" s="35"/>
      <c r="N132" s="30" t="str">
        <f t="shared" si="8"/>
        <v/>
      </c>
      <c r="O132" s="36"/>
      <c r="P132" s="26"/>
      <c r="Q132" s="26"/>
      <c r="R132" s="29" t="str">
        <f>IF(C132="","",IF(COUNTIF($C$2:C132,C132)=1,"Nueva","Recurrente"))</f>
        <v/>
      </c>
      <c r="S132" s="29" t="str">
        <f>IF(OR(C132="",J132&lt;&gt;"Paquete"),"",COUNTIFS($C$2:C132,C132,$J$2:J132,"Paquete"))</f>
        <v/>
      </c>
      <c r="T132" s="26"/>
    </row>
    <row r="133" spans="1:20" x14ac:dyDescent="0.35">
      <c r="A133" s="26" t="s">
        <v>561</v>
      </c>
      <c r="B133" s="28"/>
      <c r="C133" s="26"/>
      <c r="D133" s="34" t="str">
        <f>IF($C133="","",IFERROR(IF(INDEX('🎓 Alumnas'!$C$2:$C$1000,MATCH($C133,'🎓 Alumnas'!$B$2:$B$1000,0))="","",INDEX('🎓 Alumnas'!$C$2:$C$1000,MATCH($C133,'🎓 Alumnas'!$B$2:$B$1000,0))),""))</f>
        <v/>
      </c>
      <c r="E133" s="29" t="str">
        <f>IF($C133="","",IFERROR(IF(INDEX('🎓 Alumnas'!$D$2:$D$1000,MATCH($C133,'🎓 Alumnas'!$B$2:$B$1000,0))="","",INDEX('🎓 Alumnas'!$D$2:$D$1000,MATCH($C133,'🎓 Alumnas'!$B$2:$B$1000,0))),""))</f>
        <v/>
      </c>
      <c r="F133" s="29" t="str">
        <f>IF($C133="","",IFERROR(IF(INDEX('🎓 Alumnas'!$E$2:$E$1000,MATCH($C133,'🎓 Alumnas'!$B$2:$B$1000,0))="","",INDEX('🎓 Alumnas'!$E$2:$E$1000,MATCH($C133,'🎓 Alumnas'!$B$2:$B$1000,0))),""))</f>
        <v/>
      </c>
      <c r="G133" s="31" t="str">
        <f>IF($C133="","",IFERROR(IF(INDEX('🎓 Alumnas'!$F$2:$F$1000,MATCH($C133,'🎓 Alumnas'!$B$2:$B$1000,0))="","",INDEX('🎓 Alumnas'!$F$2:$F$1000,MATCH($C133,'🎓 Alumnas'!$B$2:$B$1000,0))),""))</f>
        <v/>
      </c>
      <c r="H133" s="29" t="str">
        <f t="shared" ca="1" si="6"/>
        <v/>
      </c>
      <c r="I133" s="26"/>
      <c r="J133" s="29" t="str">
        <f t="shared" si="7"/>
        <v/>
      </c>
      <c r="K133" s="26"/>
      <c r="L133" s="26"/>
      <c r="M133" s="35"/>
      <c r="N133" s="30" t="str">
        <f t="shared" si="8"/>
        <v/>
      </c>
      <c r="O133" s="36"/>
      <c r="P133" s="26"/>
      <c r="Q133" s="26"/>
      <c r="R133" s="29" t="str">
        <f>IF(C133="","",IF(COUNTIF($C$2:C133,C133)=1,"Nueva","Recurrente"))</f>
        <v/>
      </c>
      <c r="S133" s="29" t="str">
        <f>IF(OR(C133="",J133&lt;&gt;"Paquete"),"",COUNTIFS($C$2:C133,C133,$J$2:J133,"Paquete"))</f>
        <v/>
      </c>
      <c r="T133" s="26"/>
    </row>
    <row r="134" spans="1:20" x14ac:dyDescent="0.35">
      <c r="A134" s="26" t="s">
        <v>562</v>
      </c>
      <c r="B134" s="28"/>
      <c r="C134" s="26"/>
      <c r="D134" s="34" t="str">
        <f>IF($C134="","",IFERROR(IF(INDEX('🎓 Alumnas'!$C$2:$C$1000,MATCH($C134,'🎓 Alumnas'!$B$2:$B$1000,0))="","",INDEX('🎓 Alumnas'!$C$2:$C$1000,MATCH($C134,'🎓 Alumnas'!$B$2:$B$1000,0))),""))</f>
        <v/>
      </c>
      <c r="E134" s="29" t="str">
        <f>IF($C134="","",IFERROR(IF(INDEX('🎓 Alumnas'!$D$2:$D$1000,MATCH($C134,'🎓 Alumnas'!$B$2:$B$1000,0))="","",INDEX('🎓 Alumnas'!$D$2:$D$1000,MATCH($C134,'🎓 Alumnas'!$B$2:$B$1000,0))),""))</f>
        <v/>
      </c>
      <c r="F134" s="29" t="str">
        <f>IF($C134="","",IFERROR(IF(INDEX('🎓 Alumnas'!$E$2:$E$1000,MATCH($C134,'🎓 Alumnas'!$B$2:$B$1000,0))="","",INDEX('🎓 Alumnas'!$E$2:$E$1000,MATCH($C134,'🎓 Alumnas'!$B$2:$B$1000,0))),""))</f>
        <v/>
      </c>
      <c r="G134" s="31" t="str">
        <f>IF($C134="","",IFERROR(IF(INDEX('🎓 Alumnas'!$F$2:$F$1000,MATCH($C134,'🎓 Alumnas'!$B$2:$B$1000,0))="","",INDEX('🎓 Alumnas'!$F$2:$F$1000,MATCH($C134,'🎓 Alumnas'!$B$2:$B$1000,0))),""))</f>
        <v/>
      </c>
      <c r="H134" s="29" t="str">
        <f t="shared" ca="1" si="6"/>
        <v/>
      </c>
      <c r="I134" s="26"/>
      <c r="J134" s="29" t="str">
        <f t="shared" si="7"/>
        <v/>
      </c>
      <c r="K134" s="26"/>
      <c r="L134" s="26"/>
      <c r="M134" s="35"/>
      <c r="N134" s="30" t="str">
        <f t="shared" si="8"/>
        <v/>
      </c>
      <c r="O134" s="36"/>
      <c r="P134" s="26"/>
      <c r="Q134" s="26"/>
      <c r="R134" s="29" t="str">
        <f>IF(C134="","",IF(COUNTIF($C$2:C134,C134)=1,"Nueva","Recurrente"))</f>
        <v/>
      </c>
      <c r="S134" s="29" t="str">
        <f>IF(OR(C134="",J134&lt;&gt;"Paquete"),"",COUNTIFS($C$2:C134,C134,$J$2:J134,"Paquete"))</f>
        <v/>
      </c>
      <c r="T134" s="26"/>
    </row>
    <row r="135" spans="1:20" x14ac:dyDescent="0.35">
      <c r="A135" s="26" t="s">
        <v>563</v>
      </c>
      <c r="B135" s="28"/>
      <c r="C135" s="26"/>
      <c r="D135" s="34" t="str">
        <f>IF($C135="","",IFERROR(IF(INDEX('🎓 Alumnas'!$C$2:$C$1000,MATCH($C135,'🎓 Alumnas'!$B$2:$B$1000,0))="","",INDEX('🎓 Alumnas'!$C$2:$C$1000,MATCH($C135,'🎓 Alumnas'!$B$2:$B$1000,0))),""))</f>
        <v/>
      </c>
      <c r="E135" s="29" t="str">
        <f>IF($C135="","",IFERROR(IF(INDEX('🎓 Alumnas'!$D$2:$D$1000,MATCH($C135,'🎓 Alumnas'!$B$2:$B$1000,0))="","",INDEX('🎓 Alumnas'!$D$2:$D$1000,MATCH($C135,'🎓 Alumnas'!$B$2:$B$1000,0))),""))</f>
        <v/>
      </c>
      <c r="F135" s="29" t="str">
        <f>IF($C135="","",IFERROR(IF(INDEX('🎓 Alumnas'!$E$2:$E$1000,MATCH($C135,'🎓 Alumnas'!$B$2:$B$1000,0))="","",INDEX('🎓 Alumnas'!$E$2:$E$1000,MATCH($C135,'🎓 Alumnas'!$B$2:$B$1000,0))),""))</f>
        <v/>
      </c>
      <c r="G135" s="31" t="str">
        <f>IF($C135="","",IFERROR(IF(INDEX('🎓 Alumnas'!$F$2:$F$1000,MATCH($C135,'🎓 Alumnas'!$B$2:$B$1000,0))="","",INDEX('🎓 Alumnas'!$F$2:$F$1000,MATCH($C135,'🎓 Alumnas'!$B$2:$B$1000,0))),""))</f>
        <v/>
      </c>
      <c r="H135" s="29" t="str">
        <f t="shared" ca="1" si="6"/>
        <v/>
      </c>
      <c r="I135" s="26"/>
      <c r="J135" s="29" t="str">
        <f t="shared" si="7"/>
        <v/>
      </c>
      <c r="K135" s="26"/>
      <c r="L135" s="26"/>
      <c r="M135" s="35"/>
      <c r="N135" s="30" t="str">
        <f t="shared" si="8"/>
        <v/>
      </c>
      <c r="O135" s="36"/>
      <c r="P135" s="26"/>
      <c r="Q135" s="26"/>
      <c r="R135" s="29" t="str">
        <f>IF(C135="","",IF(COUNTIF($C$2:C135,C135)=1,"Nueva","Recurrente"))</f>
        <v/>
      </c>
      <c r="S135" s="29" t="str">
        <f>IF(OR(C135="",J135&lt;&gt;"Paquete"),"",COUNTIFS($C$2:C135,C135,$J$2:J135,"Paquete"))</f>
        <v/>
      </c>
      <c r="T135" s="26"/>
    </row>
    <row r="136" spans="1:20" x14ac:dyDescent="0.35">
      <c r="A136" s="26" t="s">
        <v>564</v>
      </c>
      <c r="B136" s="28"/>
      <c r="C136" s="26"/>
      <c r="D136" s="34" t="str">
        <f>IF($C136="","",IFERROR(IF(INDEX('🎓 Alumnas'!$C$2:$C$1000,MATCH($C136,'🎓 Alumnas'!$B$2:$B$1000,0))="","",INDEX('🎓 Alumnas'!$C$2:$C$1000,MATCH($C136,'🎓 Alumnas'!$B$2:$B$1000,0))),""))</f>
        <v/>
      </c>
      <c r="E136" s="29" t="str">
        <f>IF($C136="","",IFERROR(IF(INDEX('🎓 Alumnas'!$D$2:$D$1000,MATCH($C136,'🎓 Alumnas'!$B$2:$B$1000,0))="","",INDEX('🎓 Alumnas'!$D$2:$D$1000,MATCH($C136,'🎓 Alumnas'!$B$2:$B$1000,0))),""))</f>
        <v/>
      </c>
      <c r="F136" s="29" t="str">
        <f>IF($C136="","",IFERROR(IF(INDEX('🎓 Alumnas'!$E$2:$E$1000,MATCH($C136,'🎓 Alumnas'!$B$2:$B$1000,0))="","",INDEX('🎓 Alumnas'!$E$2:$E$1000,MATCH($C136,'🎓 Alumnas'!$B$2:$B$1000,0))),""))</f>
        <v/>
      </c>
      <c r="G136" s="31" t="str">
        <f>IF($C136="","",IFERROR(IF(INDEX('🎓 Alumnas'!$F$2:$F$1000,MATCH($C136,'🎓 Alumnas'!$B$2:$B$1000,0))="","",INDEX('🎓 Alumnas'!$F$2:$F$1000,MATCH($C136,'🎓 Alumnas'!$B$2:$B$1000,0))),""))</f>
        <v/>
      </c>
      <c r="H136" s="29" t="str">
        <f t="shared" ca="1" si="6"/>
        <v/>
      </c>
      <c r="I136" s="26"/>
      <c r="J136" s="29" t="str">
        <f t="shared" si="7"/>
        <v/>
      </c>
      <c r="K136" s="26"/>
      <c r="L136" s="26"/>
      <c r="M136" s="35"/>
      <c r="N136" s="30" t="str">
        <f t="shared" si="8"/>
        <v/>
      </c>
      <c r="O136" s="36"/>
      <c r="P136" s="26"/>
      <c r="Q136" s="26"/>
      <c r="R136" s="29" t="str">
        <f>IF(C136="","",IF(COUNTIF($C$2:C136,C136)=1,"Nueva","Recurrente"))</f>
        <v/>
      </c>
      <c r="S136" s="29" t="str">
        <f>IF(OR(C136="",J136&lt;&gt;"Paquete"),"",COUNTIFS($C$2:C136,C136,$J$2:J136,"Paquete"))</f>
        <v/>
      </c>
      <c r="T136" s="26"/>
    </row>
    <row r="137" spans="1:20" x14ac:dyDescent="0.35">
      <c r="A137" s="26" t="s">
        <v>565</v>
      </c>
      <c r="B137" s="28"/>
      <c r="C137" s="26"/>
      <c r="D137" s="34" t="str">
        <f>IF($C137="","",IFERROR(IF(INDEX('🎓 Alumnas'!$C$2:$C$1000,MATCH($C137,'🎓 Alumnas'!$B$2:$B$1000,0))="","",INDEX('🎓 Alumnas'!$C$2:$C$1000,MATCH($C137,'🎓 Alumnas'!$B$2:$B$1000,0))),""))</f>
        <v/>
      </c>
      <c r="E137" s="29" t="str">
        <f>IF($C137="","",IFERROR(IF(INDEX('🎓 Alumnas'!$D$2:$D$1000,MATCH($C137,'🎓 Alumnas'!$B$2:$B$1000,0))="","",INDEX('🎓 Alumnas'!$D$2:$D$1000,MATCH($C137,'🎓 Alumnas'!$B$2:$B$1000,0))),""))</f>
        <v/>
      </c>
      <c r="F137" s="29" t="str">
        <f>IF($C137="","",IFERROR(IF(INDEX('🎓 Alumnas'!$E$2:$E$1000,MATCH($C137,'🎓 Alumnas'!$B$2:$B$1000,0))="","",INDEX('🎓 Alumnas'!$E$2:$E$1000,MATCH($C137,'🎓 Alumnas'!$B$2:$B$1000,0))),""))</f>
        <v/>
      </c>
      <c r="G137" s="31" t="str">
        <f>IF($C137="","",IFERROR(IF(INDEX('🎓 Alumnas'!$F$2:$F$1000,MATCH($C137,'🎓 Alumnas'!$B$2:$B$1000,0))="","",INDEX('🎓 Alumnas'!$F$2:$F$1000,MATCH($C137,'🎓 Alumnas'!$B$2:$B$1000,0))),""))</f>
        <v/>
      </c>
      <c r="H137" s="29" t="str">
        <f t="shared" ca="1" si="6"/>
        <v/>
      </c>
      <c r="I137" s="26"/>
      <c r="J137" s="29" t="str">
        <f t="shared" si="7"/>
        <v/>
      </c>
      <c r="K137" s="26"/>
      <c r="L137" s="26"/>
      <c r="M137" s="35"/>
      <c r="N137" s="30" t="str">
        <f t="shared" si="8"/>
        <v/>
      </c>
      <c r="O137" s="36"/>
      <c r="P137" s="26"/>
      <c r="Q137" s="26"/>
      <c r="R137" s="29" t="str">
        <f>IF(C137="","",IF(COUNTIF($C$2:C137,C137)=1,"Nueva","Recurrente"))</f>
        <v/>
      </c>
      <c r="S137" s="29" t="str">
        <f>IF(OR(C137="",J137&lt;&gt;"Paquete"),"",COUNTIFS($C$2:C137,C137,$J$2:J137,"Paquete"))</f>
        <v/>
      </c>
      <c r="T137" s="26"/>
    </row>
    <row r="138" spans="1:20" x14ac:dyDescent="0.35">
      <c r="A138" s="26" t="s">
        <v>566</v>
      </c>
      <c r="B138" s="28"/>
      <c r="C138" s="26"/>
      <c r="D138" s="34" t="str">
        <f>IF($C138="","",IFERROR(IF(INDEX('🎓 Alumnas'!$C$2:$C$1000,MATCH($C138,'🎓 Alumnas'!$B$2:$B$1000,0))="","",INDEX('🎓 Alumnas'!$C$2:$C$1000,MATCH($C138,'🎓 Alumnas'!$B$2:$B$1000,0))),""))</f>
        <v/>
      </c>
      <c r="E138" s="29" t="str">
        <f>IF($C138="","",IFERROR(IF(INDEX('🎓 Alumnas'!$D$2:$D$1000,MATCH($C138,'🎓 Alumnas'!$B$2:$B$1000,0))="","",INDEX('🎓 Alumnas'!$D$2:$D$1000,MATCH($C138,'🎓 Alumnas'!$B$2:$B$1000,0))),""))</f>
        <v/>
      </c>
      <c r="F138" s="29" t="str">
        <f>IF($C138="","",IFERROR(IF(INDEX('🎓 Alumnas'!$E$2:$E$1000,MATCH($C138,'🎓 Alumnas'!$B$2:$B$1000,0))="","",INDEX('🎓 Alumnas'!$E$2:$E$1000,MATCH($C138,'🎓 Alumnas'!$B$2:$B$1000,0))),""))</f>
        <v/>
      </c>
      <c r="G138" s="31" t="str">
        <f>IF($C138="","",IFERROR(IF(INDEX('🎓 Alumnas'!$F$2:$F$1000,MATCH($C138,'🎓 Alumnas'!$B$2:$B$1000,0))="","",INDEX('🎓 Alumnas'!$F$2:$F$1000,MATCH($C138,'🎓 Alumnas'!$B$2:$B$1000,0))),""))</f>
        <v/>
      </c>
      <c r="H138" s="29" t="str">
        <f t="shared" ca="1" si="6"/>
        <v/>
      </c>
      <c r="I138" s="26"/>
      <c r="J138" s="29" t="str">
        <f t="shared" si="7"/>
        <v/>
      </c>
      <c r="K138" s="26"/>
      <c r="L138" s="26"/>
      <c r="M138" s="35"/>
      <c r="N138" s="30" t="str">
        <f t="shared" si="8"/>
        <v/>
      </c>
      <c r="O138" s="36"/>
      <c r="P138" s="26"/>
      <c r="Q138" s="26"/>
      <c r="R138" s="29" t="str">
        <f>IF(C138="","",IF(COUNTIF($C$2:C138,C138)=1,"Nueva","Recurrente"))</f>
        <v/>
      </c>
      <c r="S138" s="29" t="str">
        <f>IF(OR(C138="",J138&lt;&gt;"Paquete"),"",COUNTIFS($C$2:C138,C138,$J$2:J138,"Paquete"))</f>
        <v/>
      </c>
      <c r="T138" s="26"/>
    </row>
    <row r="139" spans="1:20" x14ac:dyDescent="0.35">
      <c r="A139" s="26" t="s">
        <v>567</v>
      </c>
      <c r="B139" s="28"/>
      <c r="C139" s="26"/>
      <c r="D139" s="34" t="str">
        <f>IF($C139="","",IFERROR(IF(INDEX('🎓 Alumnas'!$C$2:$C$1000,MATCH($C139,'🎓 Alumnas'!$B$2:$B$1000,0))="","",INDEX('🎓 Alumnas'!$C$2:$C$1000,MATCH($C139,'🎓 Alumnas'!$B$2:$B$1000,0))),""))</f>
        <v/>
      </c>
      <c r="E139" s="29" t="str">
        <f>IF($C139="","",IFERROR(IF(INDEX('🎓 Alumnas'!$D$2:$D$1000,MATCH($C139,'🎓 Alumnas'!$B$2:$B$1000,0))="","",INDEX('🎓 Alumnas'!$D$2:$D$1000,MATCH($C139,'🎓 Alumnas'!$B$2:$B$1000,0))),""))</f>
        <v/>
      </c>
      <c r="F139" s="29" t="str">
        <f>IF($C139="","",IFERROR(IF(INDEX('🎓 Alumnas'!$E$2:$E$1000,MATCH($C139,'🎓 Alumnas'!$B$2:$B$1000,0))="","",INDEX('🎓 Alumnas'!$E$2:$E$1000,MATCH($C139,'🎓 Alumnas'!$B$2:$B$1000,0))),""))</f>
        <v/>
      </c>
      <c r="G139" s="31" t="str">
        <f>IF($C139="","",IFERROR(IF(INDEX('🎓 Alumnas'!$F$2:$F$1000,MATCH($C139,'🎓 Alumnas'!$B$2:$B$1000,0))="","",INDEX('🎓 Alumnas'!$F$2:$F$1000,MATCH($C139,'🎓 Alumnas'!$B$2:$B$1000,0))),""))</f>
        <v/>
      </c>
      <c r="H139" s="29" t="str">
        <f t="shared" ca="1" si="6"/>
        <v/>
      </c>
      <c r="I139" s="26"/>
      <c r="J139" s="29" t="str">
        <f t="shared" si="7"/>
        <v/>
      </c>
      <c r="K139" s="26"/>
      <c r="L139" s="26"/>
      <c r="M139" s="35"/>
      <c r="N139" s="30" t="str">
        <f t="shared" si="8"/>
        <v/>
      </c>
      <c r="O139" s="36"/>
      <c r="P139" s="26"/>
      <c r="Q139" s="26"/>
      <c r="R139" s="29" t="str">
        <f>IF(C139="","",IF(COUNTIF($C$2:C139,C139)=1,"Nueva","Recurrente"))</f>
        <v/>
      </c>
      <c r="S139" s="29" t="str">
        <f>IF(OR(C139="",J139&lt;&gt;"Paquete"),"",COUNTIFS($C$2:C139,C139,$J$2:J139,"Paquete"))</f>
        <v/>
      </c>
      <c r="T139" s="26"/>
    </row>
    <row r="140" spans="1:20" x14ac:dyDescent="0.35">
      <c r="A140" s="26" t="s">
        <v>568</v>
      </c>
      <c r="B140" s="28"/>
      <c r="C140" s="26"/>
      <c r="D140" s="34" t="str">
        <f>IF($C140="","",IFERROR(IF(INDEX('🎓 Alumnas'!$C$2:$C$1000,MATCH($C140,'🎓 Alumnas'!$B$2:$B$1000,0))="","",INDEX('🎓 Alumnas'!$C$2:$C$1000,MATCH($C140,'🎓 Alumnas'!$B$2:$B$1000,0))),""))</f>
        <v/>
      </c>
      <c r="E140" s="29" t="str">
        <f>IF($C140="","",IFERROR(IF(INDEX('🎓 Alumnas'!$D$2:$D$1000,MATCH($C140,'🎓 Alumnas'!$B$2:$B$1000,0))="","",INDEX('🎓 Alumnas'!$D$2:$D$1000,MATCH($C140,'🎓 Alumnas'!$B$2:$B$1000,0))),""))</f>
        <v/>
      </c>
      <c r="F140" s="29" t="str">
        <f>IF($C140="","",IFERROR(IF(INDEX('🎓 Alumnas'!$E$2:$E$1000,MATCH($C140,'🎓 Alumnas'!$B$2:$B$1000,0))="","",INDEX('🎓 Alumnas'!$E$2:$E$1000,MATCH($C140,'🎓 Alumnas'!$B$2:$B$1000,0))),""))</f>
        <v/>
      </c>
      <c r="G140" s="31" t="str">
        <f>IF($C140="","",IFERROR(IF(INDEX('🎓 Alumnas'!$F$2:$F$1000,MATCH($C140,'🎓 Alumnas'!$B$2:$B$1000,0))="","",INDEX('🎓 Alumnas'!$F$2:$F$1000,MATCH($C140,'🎓 Alumnas'!$B$2:$B$1000,0))),""))</f>
        <v/>
      </c>
      <c r="H140" s="29" t="str">
        <f t="shared" ca="1" si="6"/>
        <v/>
      </c>
      <c r="I140" s="26"/>
      <c r="J140" s="29" t="str">
        <f t="shared" si="7"/>
        <v/>
      </c>
      <c r="K140" s="26"/>
      <c r="L140" s="26"/>
      <c r="M140" s="35"/>
      <c r="N140" s="30" t="str">
        <f t="shared" si="8"/>
        <v/>
      </c>
      <c r="O140" s="36"/>
      <c r="P140" s="26"/>
      <c r="Q140" s="26"/>
      <c r="R140" s="29" t="str">
        <f>IF(C140="","",IF(COUNTIF($C$2:C140,C140)=1,"Nueva","Recurrente"))</f>
        <v/>
      </c>
      <c r="S140" s="29" t="str">
        <f>IF(OR(C140="",J140&lt;&gt;"Paquete"),"",COUNTIFS($C$2:C140,C140,$J$2:J140,"Paquete"))</f>
        <v/>
      </c>
      <c r="T140" s="26"/>
    </row>
    <row r="141" spans="1:20" x14ac:dyDescent="0.35">
      <c r="A141" s="26" t="s">
        <v>569</v>
      </c>
      <c r="B141" s="28"/>
      <c r="C141" s="26"/>
      <c r="D141" s="34" t="str">
        <f>IF($C141="","",IFERROR(IF(INDEX('🎓 Alumnas'!$C$2:$C$1000,MATCH($C141,'🎓 Alumnas'!$B$2:$B$1000,0))="","",INDEX('🎓 Alumnas'!$C$2:$C$1000,MATCH($C141,'🎓 Alumnas'!$B$2:$B$1000,0))),""))</f>
        <v/>
      </c>
      <c r="E141" s="29" t="str">
        <f>IF($C141="","",IFERROR(IF(INDEX('🎓 Alumnas'!$D$2:$D$1000,MATCH($C141,'🎓 Alumnas'!$B$2:$B$1000,0))="","",INDEX('🎓 Alumnas'!$D$2:$D$1000,MATCH($C141,'🎓 Alumnas'!$B$2:$B$1000,0))),""))</f>
        <v/>
      </c>
      <c r="F141" s="29" t="str">
        <f>IF($C141="","",IFERROR(IF(INDEX('🎓 Alumnas'!$E$2:$E$1000,MATCH($C141,'🎓 Alumnas'!$B$2:$B$1000,0))="","",INDEX('🎓 Alumnas'!$E$2:$E$1000,MATCH($C141,'🎓 Alumnas'!$B$2:$B$1000,0))),""))</f>
        <v/>
      </c>
      <c r="G141" s="31" t="str">
        <f>IF($C141="","",IFERROR(IF(INDEX('🎓 Alumnas'!$F$2:$F$1000,MATCH($C141,'🎓 Alumnas'!$B$2:$B$1000,0))="","",INDEX('🎓 Alumnas'!$F$2:$F$1000,MATCH($C141,'🎓 Alumnas'!$B$2:$B$1000,0))),""))</f>
        <v/>
      </c>
      <c r="H141" s="29" t="str">
        <f t="shared" ca="1" si="6"/>
        <v/>
      </c>
      <c r="I141" s="26"/>
      <c r="J141" s="29" t="str">
        <f t="shared" si="7"/>
        <v/>
      </c>
      <c r="K141" s="26"/>
      <c r="L141" s="26"/>
      <c r="M141" s="35"/>
      <c r="N141" s="30" t="str">
        <f t="shared" si="8"/>
        <v/>
      </c>
      <c r="O141" s="36"/>
      <c r="P141" s="26"/>
      <c r="Q141" s="26"/>
      <c r="R141" s="29" t="str">
        <f>IF(C141="","",IF(COUNTIF($C$2:C141,C141)=1,"Nueva","Recurrente"))</f>
        <v/>
      </c>
      <c r="S141" s="29" t="str">
        <f>IF(OR(C141="",J141&lt;&gt;"Paquete"),"",COUNTIFS($C$2:C141,C141,$J$2:J141,"Paquete"))</f>
        <v/>
      </c>
      <c r="T141" s="26"/>
    </row>
    <row r="142" spans="1:20" x14ac:dyDescent="0.35">
      <c r="A142" s="26" t="s">
        <v>570</v>
      </c>
      <c r="B142" s="28"/>
      <c r="C142" s="26"/>
      <c r="D142" s="34" t="str">
        <f>IF($C142="","",IFERROR(IF(INDEX('🎓 Alumnas'!$C$2:$C$1000,MATCH($C142,'🎓 Alumnas'!$B$2:$B$1000,0))="","",INDEX('🎓 Alumnas'!$C$2:$C$1000,MATCH($C142,'🎓 Alumnas'!$B$2:$B$1000,0))),""))</f>
        <v/>
      </c>
      <c r="E142" s="29" t="str">
        <f>IF($C142="","",IFERROR(IF(INDEX('🎓 Alumnas'!$D$2:$D$1000,MATCH($C142,'🎓 Alumnas'!$B$2:$B$1000,0))="","",INDEX('🎓 Alumnas'!$D$2:$D$1000,MATCH($C142,'🎓 Alumnas'!$B$2:$B$1000,0))),""))</f>
        <v/>
      </c>
      <c r="F142" s="29" t="str">
        <f>IF($C142="","",IFERROR(IF(INDEX('🎓 Alumnas'!$E$2:$E$1000,MATCH($C142,'🎓 Alumnas'!$B$2:$B$1000,0))="","",INDEX('🎓 Alumnas'!$E$2:$E$1000,MATCH($C142,'🎓 Alumnas'!$B$2:$B$1000,0))),""))</f>
        <v/>
      </c>
      <c r="G142" s="31" t="str">
        <f>IF($C142="","",IFERROR(IF(INDEX('🎓 Alumnas'!$F$2:$F$1000,MATCH($C142,'🎓 Alumnas'!$B$2:$B$1000,0))="","",INDEX('🎓 Alumnas'!$F$2:$F$1000,MATCH($C142,'🎓 Alumnas'!$B$2:$B$1000,0))),""))</f>
        <v/>
      </c>
      <c r="H142" s="29" t="str">
        <f t="shared" ca="1" si="6"/>
        <v/>
      </c>
      <c r="I142" s="26"/>
      <c r="J142" s="29" t="str">
        <f t="shared" si="7"/>
        <v/>
      </c>
      <c r="K142" s="26"/>
      <c r="L142" s="26"/>
      <c r="M142" s="35"/>
      <c r="N142" s="30" t="str">
        <f t="shared" si="8"/>
        <v/>
      </c>
      <c r="O142" s="36"/>
      <c r="P142" s="26"/>
      <c r="Q142" s="26"/>
      <c r="R142" s="29" t="str">
        <f>IF(C142="","",IF(COUNTIF($C$2:C142,C142)=1,"Nueva","Recurrente"))</f>
        <v/>
      </c>
      <c r="S142" s="29" t="str">
        <f>IF(OR(C142="",J142&lt;&gt;"Paquete"),"",COUNTIFS($C$2:C142,C142,$J$2:J142,"Paquete"))</f>
        <v/>
      </c>
      <c r="T142" s="26"/>
    </row>
    <row r="143" spans="1:20" x14ac:dyDescent="0.35">
      <c r="A143" s="26" t="s">
        <v>571</v>
      </c>
      <c r="B143" s="28"/>
      <c r="C143" s="26"/>
      <c r="D143" s="34" t="str">
        <f>IF($C143="","",IFERROR(IF(INDEX('🎓 Alumnas'!$C$2:$C$1000,MATCH($C143,'🎓 Alumnas'!$B$2:$B$1000,0))="","",INDEX('🎓 Alumnas'!$C$2:$C$1000,MATCH($C143,'🎓 Alumnas'!$B$2:$B$1000,0))),""))</f>
        <v/>
      </c>
      <c r="E143" s="29" t="str">
        <f>IF($C143="","",IFERROR(IF(INDEX('🎓 Alumnas'!$D$2:$D$1000,MATCH($C143,'🎓 Alumnas'!$B$2:$B$1000,0))="","",INDEX('🎓 Alumnas'!$D$2:$D$1000,MATCH($C143,'🎓 Alumnas'!$B$2:$B$1000,0))),""))</f>
        <v/>
      </c>
      <c r="F143" s="29" t="str">
        <f>IF($C143="","",IFERROR(IF(INDEX('🎓 Alumnas'!$E$2:$E$1000,MATCH($C143,'🎓 Alumnas'!$B$2:$B$1000,0))="","",INDEX('🎓 Alumnas'!$E$2:$E$1000,MATCH($C143,'🎓 Alumnas'!$B$2:$B$1000,0))),""))</f>
        <v/>
      </c>
      <c r="G143" s="31" t="str">
        <f>IF($C143="","",IFERROR(IF(INDEX('🎓 Alumnas'!$F$2:$F$1000,MATCH($C143,'🎓 Alumnas'!$B$2:$B$1000,0))="","",INDEX('🎓 Alumnas'!$F$2:$F$1000,MATCH($C143,'🎓 Alumnas'!$B$2:$B$1000,0))),""))</f>
        <v/>
      </c>
      <c r="H143" s="29" t="str">
        <f t="shared" ca="1" si="6"/>
        <v/>
      </c>
      <c r="I143" s="26"/>
      <c r="J143" s="29" t="str">
        <f t="shared" si="7"/>
        <v/>
      </c>
      <c r="K143" s="26"/>
      <c r="L143" s="26"/>
      <c r="M143" s="35"/>
      <c r="N143" s="30" t="str">
        <f t="shared" si="8"/>
        <v/>
      </c>
      <c r="O143" s="36"/>
      <c r="P143" s="26"/>
      <c r="Q143" s="26"/>
      <c r="R143" s="29" t="str">
        <f>IF(C143="","",IF(COUNTIF($C$2:C143,C143)=1,"Nueva","Recurrente"))</f>
        <v/>
      </c>
      <c r="S143" s="29" t="str">
        <f>IF(OR(C143="",J143&lt;&gt;"Paquete"),"",COUNTIFS($C$2:C143,C143,$J$2:J143,"Paquete"))</f>
        <v/>
      </c>
      <c r="T143" s="26"/>
    </row>
    <row r="144" spans="1:20" x14ac:dyDescent="0.35">
      <c r="A144" s="26" t="s">
        <v>572</v>
      </c>
      <c r="B144" s="28"/>
      <c r="C144" s="26"/>
      <c r="D144" s="34" t="str">
        <f>IF($C144="","",IFERROR(IF(INDEX('🎓 Alumnas'!$C$2:$C$1000,MATCH($C144,'🎓 Alumnas'!$B$2:$B$1000,0))="","",INDEX('🎓 Alumnas'!$C$2:$C$1000,MATCH($C144,'🎓 Alumnas'!$B$2:$B$1000,0))),""))</f>
        <v/>
      </c>
      <c r="E144" s="29" t="str">
        <f>IF($C144="","",IFERROR(IF(INDEX('🎓 Alumnas'!$D$2:$D$1000,MATCH($C144,'🎓 Alumnas'!$B$2:$B$1000,0))="","",INDEX('🎓 Alumnas'!$D$2:$D$1000,MATCH($C144,'🎓 Alumnas'!$B$2:$B$1000,0))),""))</f>
        <v/>
      </c>
      <c r="F144" s="29" t="str">
        <f>IF($C144="","",IFERROR(IF(INDEX('🎓 Alumnas'!$E$2:$E$1000,MATCH($C144,'🎓 Alumnas'!$B$2:$B$1000,0))="","",INDEX('🎓 Alumnas'!$E$2:$E$1000,MATCH($C144,'🎓 Alumnas'!$B$2:$B$1000,0))),""))</f>
        <v/>
      </c>
      <c r="G144" s="31" t="str">
        <f>IF($C144="","",IFERROR(IF(INDEX('🎓 Alumnas'!$F$2:$F$1000,MATCH($C144,'🎓 Alumnas'!$B$2:$B$1000,0))="","",INDEX('🎓 Alumnas'!$F$2:$F$1000,MATCH($C144,'🎓 Alumnas'!$B$2:$B$1000,0))),""))</f>
        <v/>
      </c>
      <c r="H144" s="29" t="str">
        <f t="shared" ca="1" si="6"/>
        <v/>
      </c>
      <c r="I144" s="26"/>
      <c r="J144" s="29" t="str">
        <f t="shared" si="7"/>
        <v/>
      </c>
      <c r="K144" s="26"/>
      <c r="L144" s="26"/>
      <c r="M144" s="35"/>
      <c r="N144" s="30" t="str">
        <f t="shared" si="8"/>
        <v/>
      </c>
      <c r="O144" s="36"/>
      <c r="P144" s="26"/>
      <c r="Q144" s="26"/>
      <c r="R144" s="29" t="str">
        <f>IF(C144="","",IF(COUNTIF($C$2:C144,C144)=1,"Nueva","Recurrente"))</f>
        <v/>
      </c>
      <c r="S144" s="29" t="str">
        <f>IF(OR(C144="",J144&lt;&gt;"Paquete"),"",COUNTIFS($C$2:C144,C144,$J$2:J144,"Paquete"))</f>
        <v/>
      </c>
      <c r="T144" s="26"/>
    </row>
    <row r="145" spans="1:20" x14ac:dyDescent="0.35">
      <c r="A145" s="26" t="s">
        <v>573</v>
      </c>
      <c r="B145" s="28"/>
      <c r="C145" s="26"/>
      <c r="D145" s="34" t="str">
        <f>IF($C145="","",IFERROR(IF(INDEX('🎓 Alumnas'!$C$2:$C$1000,MATCH($C145,'🎓 Alumnas'!$B$2:$B$1000,0))="","",INDEX('🎓 Alumnas'!$C$2:$C$1000,MATCH($C145,'🎓 Alumnas'!$B$2:$B$1000,0))),""))</f>
        <v/>
      </c>
      <c r="E145" s="29" t="str">
        <f>IF($C145="","",IFERROR(IF(INDEX('🎓 Alumnas'!$D$2:$D$1000,MATCH($C145,'🎓 Alumnas'!$B$2:$B$1000,0))="","",INDEX('🎓 Alumnas'!$D$2:$D$1000,MATCH($C145,'🎓 Alumnas'!$B$2:$B$1000,0))),""))</f>
        <v/>
      </c>
      <c r="F145" s="29" t="str">
        <f>IF($C145="","",IFERROR(IF(INDEX('🎓 Alumnas'!$E$2:$E$1000,MATCH($C145,'🎓 Alumnas'!$B$2:$B$1000,0))="","",INDEX('🎓 Alumnas'!$E$2:$E$1000,MATCH($C145,'🎓 Alumnas'!$B$2:$B$1000,0))),""))</f>
        <v/>
      </c>
      <c r="G145" s="31" t="str">
        <f>IF($C145="","",IFERROR(IF(INDEX('🎓 Alumnas'!$F$2:$F$1000,MATCH($C145,'🎓 Alumnas'!$B$2:$B$1000,0))="","",INDEX('🎓 Alumnas'!$F$2:$F$1000,MATCH($C145,'🎓 Alumnas'!$B$2:$B$1000,0))),""))</f>
        <v/>
      </c>
      <c r="H145" s="29" t="str">
        <f t="shared" ca="1" si="6"/>
        <v/>
      </c>
      <c r="I145" s="26"/>
      <c r="J145" s="29" t="str">
        <f t="shared" si="7"/>
        <v/>
      </c>
      <c r="K145" s="26"/>
      <c r="L145" s="26"/>
      <c r="M145" s="35"/>
      <c r="N145" s="30" t="str">
        <f t="shared" si="8"/>
        <v/>
      </c>
      <c r="O145" s="36"/>
      <c r="P145" s="26"/>
      <c r="Q145" s="26"/>
      <c r="R145" s="29" t="str">
        <f>IF(C145="","",IF(COUNTIF($C$2:C145,C145)=1,"Nueva","Recurrente"))</f>
        <v/>
      </c>
      <c r="S145" s="29" t="str">
        <f>IF(OR(C145="",J145&lt;&gt;"Paquete"),"",COUNTIFS($C$2:C145,C145,$J$2:J145,"Paquete"))</f>
        <v/>
      </c>
      <c r="T145" s="26"/>
    </row>
    <row r="146" spans="1:20" x14ac:dyDescent="0.35">
      <c r="A146" s="26" t="s">
        <v>574</v>
      </c>
      <c r="B146" s="28"/>
      <c r="C146" s="26"/>
      <c r="D146" s="34" t="str">
        <f>IF($C146="","",IFERROR(IF(INDEX('🎓 Alumnas'!$C$2:$C$1000,MATCH($C146,'🎓 Alumnas'!$B$2:$B$1000,0))="","",INDEX('🎓 Alumnas'!$C$2:$C$1000,MATCH($C146,'🎓 Alumnas'!$B$2:$B$1000,0))),""))</f>
        <v/>
      </c>
      <c r="E146" s="29" t="str">
        <f>IF($C146="","",IFERROR(IF(INDEX('🎓 Alumnas'!$D$2:$D$1000,MATCH($C146,'🎓 Alumnas'!$B$2:$B$1000,0))="","",INDEX('🎓 Alumnas'!$D$2:$D$1000,MATCH($C146,'🎓 Alumnas'!$B$2:$B$1000,0))),""))</f>
        <v/>
      </c>
      <c r="F146" s="29" t="str">
        <f>IF($C146="","",IFERROR(IF(INDEX('🎓 Alumnas'!$E$2:$E$1000,MATCH($C146,'🎓 Alumnas'!$B$2:$B$1000,0))="","",INDEX('🎓 Alumnas'!$E$2:$E$1000,MATCH($C146,'🎓 Alumnas'!$B$2:$B$1000,0))),""))</f>
        <v/>
      </c>
      <c r="G146" s="31" t="str">
        <f>IF($C146="","",IFERROR(IF(INDEX('🎓 Alumnas'!$F$2:$F$1000,MATCH($C146,'🎓 Alumnas'!$B$2:$B$1000,0))="","",INDEX('🎓 Alumnas'!$F$2:$F$1000,MATCH($C146,'🎓 Alumnas'!$B$2:$B$1000,0))),""))</f>
        <v/>
      </c>
      <c r="H146" s="29" t="str">
        <f t="shared" ca="1" si="6"/>
        <v/>
      </c>
      <c r="I146" s="26"/>
      <c r="J146" s="29" t="str">
        <f t="shared" si="7"/>
        <v/>
      </c>
      <c r="K146" s="26"/>
      <c r="L146" s="26"/>
      <c r="M146" s="35"/>
      <c r="N146" s="30" t="str">
        <f t="shared" si="8"/>
        <v/>
      </c>
      <c r="O146" s="36"/>
      <c r="P146" s="26"/>
      <c r="Q146" s="26"/>
      <c r="R146" s="29" t="str">
        <f>IF(C146="","",IF(COUNTIF($C$2:C146,C146)=1,"Nueva","Recurrente"))</f>
        <v/>
      </c>
      <c r="S146" s="29" t="str">
        <f>IF(OR(C146="",J146&lt;&gt;"Paquete"),"",COUNTIFS($C$2:C146,C146,$J$2:J146,"Paquete"))</f>
        <v/>
      </c>
      <c r="T146" s="26"/>
    </row>
    <row r="147" spans="1:20" x14ac:dyDescent="0.35">
      <c r="A147" s="26" t="s">
        <v>575</v>
      </c>
      <c r="B147" s="28"/>
      <c r="C147" s="26"/>
      <c r="D147" s="34" t="str">
        <f>IF($C147="","",IFERROR(IF(INDEX('🎓 Alumnas'!$C$2:$C$1000,MATCH($C147,'🎓 Alumnas'!$B$2:$B$1000,0))="","",INDEX('🎓 Alumnas'!$C$2:$C$1000,MATCH($C147,'🎓 Alumnas'!$B$2:$B$1000,0))),""))</f>
        <v/>
      </c>
      <c r="E147" s="29" t="str">
        <f>IF($C147="","",IFERROR(IF(INDEX('🎓 Alumnas'!$D$2:$D$1000,MATCH($C147,'🎓 Alumnas'!$B$2:$B$1000,0))="","",INDEX('🎓 Alumnas'!$D$2:$D$1000,MATCH($C147,'🎓 Alumnas'!$B$2:$B$1000,0))),""))</f>
        <v/>
      </c>
      <c r="F147" s="29" t="str">
        <f>IF($C147="","",IFERROR(IF(INDEX('🎓 Alumnas'!$E$2:$E$1000,MATCH($C147,'🎓 Alumnas'!$B$2:$B$1000,0))="","",INDEX('🎓 Alumnas'!$E$2:$E$1000,MATCH($C147,'🎓 Alumnas'!$B$2:$B$1000,0))),""))</f>
        <v/>
      </c>
      <c r="G147" s="31" t="str">
        <f>IF($C147="","",IFERROR(IF(INDEX('🎓 Alumnas'!$F$2:$F$1000,MATCH($C147,'🎓 Alumnas'!$B$2:$B$1000,0))="","",INDEX('🎓 Alumnas'!$F$2:$F$1000,MATCH($C147,'🎓 Alumnas'!$B$2:$B$1000,0))),""))</f>
        <v/>
      </c>
      <c r="H147" s="29" t="str">
        <f t="shared" ca="1" si="6"/>
        <v/>
      </c>
      <c r="I147" s="26"/>
      <c r="J147" s="29" t="str">
        <f t="shared" si="7"/>
        <v/>
      </c>
      <c r="K147" s="26"/>
      <c r="L147" s="26"/>
      <c r="M147" s="35"/>
      <c r="N147" s="30" t="str">
        <f t="shared" si="8"/>
        <v/>
      </c>
      <c r="O147" s="36"/>
      <c r="P147" s="26"/>
      <c r="Q147" s="26"/>
      <c r="R147" s="29" t="str">
        <f>IF(C147="","",IF(COUNTIF($C$2:C147,C147)=1,"Nueva","Recurrente"))</f>
        <v/>
      </c>
      <c r="S147" s="29" t="str">
        <f>IF(OR(C147="",J147&lt;&gt;"Paquete"),"",COUNTIFS($C$2:C147,C147,$J$2:J147,"Paquete"))</f>
        <v/>
      </c>
      <c r="T147" s="26"/>
    </row>
    <row r="148" spans="1:20" x14ac:dyDescent="0.35">
      <c r="A148" s="26" t="s">
        <v>576</v>
      </c>
      <c r="B148" s="28"/>
      <c r="C148" s="26"/>
      <c r="D148" s="34" t="str">
        <f>IF($C148="","",IFERROR(IF(INDEX('🎓 Alumnas'!$C$2:$C$1000,MATCH($C148,'🎓 Alumnas'!$B$2:$B$1000,0))="","",INDEX('🎓 Alumnas'!$C$2:$C$1000,MATCH($C148,'🎓 Alumnas'!$B$2:$B$1000,0))),""))</f>
        <v/>
      </c>
      <c r="E148" s="29" t="str">
        <f>IF($C148="","",IFERROR(IF(INDEX('🎓 Alumnas'!$D$2:$D$1000,MATCH($C148,'🎓 Alumnas'!$B$2:$B$1000,0))="","",INDEX('🎓 Alumnas'!$D$2:$D$1000,MATCH($C148,'🎓 Alumnas'!$B$2:$B$1000,0))),""))</f>
        <v/>
      </c>
      <c r="F148" s="29" t="str">
        <f>IF($C148="","",IFERROR(IF(INDEX('🎓 Alumnas'!$E$2:$E$1000,MATCH($C148,'🎓 Alumnas'!$B$2:$B$1000,0))="","",INDEX('🎓 Alumnas'!$E$2:$E$1000,MATCH($C148,'🎓 Alumnas'!$B$2:$B$1000,0))),""))</f>
        <v/>
      </c>
      <c r="G148" s="31" t="str">
        <f>IF($C148="","",IFERROR(IF(INDEX('🎓 Alumnas'!$F$2:$F$1000,MATCH($C148,'🎓 Alumnas'!$B$2:$B$1000,0))="","",INDEX('🎓 Alumnas'!$F$2:$F$1000,MATCH($C148,'🎓 Alumnas'!$B$2:$B$1000,0))),""))</f>
        <v/>
      </c>
      <c r="H148" s="29" t="str">
        <f t="shared" ca="1" si="6"/>
        <v/>
      </c>
      <c r="I148" s="26"/>
      <c r="J148" s="29" t="str">
        <f t="shared" si="7"/>
        <v/>
      </c>
      <c r="K148" s="26"/>
      <c r="L148" s="26"/>
      <c r="M148" s="35"/>
      <c r="N148" s="30" t="str">
        <f t="shared" si="8"/>
        <v/>
      </c>
      <c r="O148" s="36"/>
      <c r="P148" s="26"/>
      <c r="Q148" s="26"/>
      <c r="R148" s="29" t="str">
        <f>IF(C148="","",IF(COUNTIF($C$2:C148,C148)=1,"Nueva","Recurrente"))</f>
        <v/>
      </c>
      <c r="S148" s="29" t="str">
        <f>IF(OR(C148="",J148&lt;&gt;"Paquete"),"",COUNTIFS($C$2:C148,C148,$J$2:J148,"Paquete"))</f>
        <v/>
      </c>
      <c r="T148" s="26"/>
    </row>
    <row r="149" spans="1:20" x14ac:dyDescent="0.35">
      <c r="A149" s="26" t="s">
        <v>577</v>
      </c>
      <c r="B149" s="28"/>
      <c r="C149" s="26"/>
      <c r="D149" s="34" t="str">
        <f>IF($C149="","",IFERROR(IF(INDEX('🎓 Alumnas'!$C$2:$C$1000,MATCH($C149,'🎓 Alumnas'!$B$2:$B$1000,0))="","",INDEX('🎓 Alumnas'!$C$2:$C$1000,MATCH($C149,'🎓 Alumnas'!$B$2:$B$1000,0))),""))</f>
        <v/>
      </c>
      <c r="E149" s="29" t="str">
        <f>IF($C149="","",IFERROR(IF(INDEX('🎓 Alumnas'!$D$2:$D$1000,MATCH($C149,'🎓 Alumnas'!$B$2:$B$1000,0))="","",INDEX('🎓 Alumnas'!$D$2:$D$1000,MATCH($C149,'🎓 Alumnas'!$B$2:$B$1000,0))),""))</f>
        <v/>
      </c>
      <c r="F149" s="29" t="str">
        <f>IF($C149="","",IFERROR(IF(INDEX('🎓 Alumnas'!$E$2:$E$1000,MATCH($C149,'🎓 Alumnas'!$B$2:$B$1000,0))="","",INDEX('🎓 Alumnas'!$E$2:$E$1000,MATCH($C149,'🎓 Alumnas'!$B$2:$B$1000,0))),""))</f>
        <v/>
      </c>
      <c r="G149" s="31" t="str">
        <f>IF($C149="","",IFERROR(IF(INDEX('🎓 Alumnas'!$F$2:$F$1000,MATCH($C149,'🎓 Alumnas'!$B$2:$B$1000,0))="","",INDEX('🎓 Alumnas'!$F$2:$F$1000,MATCH($C149,'🎓 Alumnas'!$B$2:$B$1000,0))),""))</f>
        <v/>
      </c>
      <c r="H149" s="29" t="str">
        <f t="shared" ca="1" si="6"/>
        <v/>
      </c>
      <c r="I149" s="26"/>
      <c r="J149" s="29" t="str">
        <f t="shared" si="7"/>
        <v/>
      </c>
      <c r="K149" s="26"/>
      <c r="L149" s="26"/>
      <c r="M149" s="35"/>
      <c r="N149" s="30" t="str">
        <f t="shared" si="8"/>
        <v/>
      </c>
      <c r="O149" s="36"/>
      <c r="P149" s="26"/>
      <c r="Q149" s="26"/>
      <c r="R149" s="29" t="str">
        <f>IF(C149="","",IF(COUNTIF($C$2:C149,C149)=1,"Nueva","Recurrente"))</f>
        <v/>
      </c>
      <c r="S149" s="29" t="str">
        <f>IF(OR(C149="",J149&lt;&gt;"Paquete"),"",COUNTIFS($C$2:C149,C149,$J$2:J149,"Paquete"))</f>
        <v/>
      </c>
      <c r="T149" s="26"/>
    </row>
    <row r="150" spans="1:20" x14ac:dyDescent="0.35">
      <c r="A150" s="26" t="s">
        <v>578</v>
      </c>
      <c r="B150" s="28"/>
      <c r="C150" s="26"/>
      <c r="D150" s="34" t="str">
        <f>IF($C150="","",IFERROR(IF(INDEX('🎓 Alumnas'!$C$2:$C$1000,MATCH($C150,'🎓 Alumnas'!$B$2:$B$1000,0))="","",INDEX('🎓 Alumnas'!$C$2:$C$1000,MATCH($C150,'🎓 Alumnas'!$B$2:$B$1000,0))),""))</f>
        <v/>
      </c>
      <c r="E150" s="29" t="str">
        <f>IF($C150="","",IFERROR(IF(INDEX('🎓 Alumnas'!$D$2:$D$1000,MATCH($C150,'🎓 Alumnas'!$B$2:$B$1000,0))="","",INDEX('🎓 Alumnas'!$D$2:$D$1000,MATCH($C150,'🎓 Alumnas'!$B$2:$B$1000,0))),""))</f>
        <v/>
      </c>
      <c r="F150" s="29" t="str">
        <f>IF($C150="","",IFERROR(IF(INDEX('🎓 Alumnas'!$E$2:$E$1000,MATCH($C150,'🎓 Alumnas'!$B$2:$B$1000,0))="","",INDEX('🎓 Alumnas'!$E$2:$E$1000,MATCH($C150,'🎓 Alumnas'!$B$2:$B$1000,0))),""))</f>
        <v/>
      </c>
      <c r="G150" s="31" t="str">
        <f>IF($C150="","",IFERROR(IF(INDEX('🎓 Alumnas'!$F$2:$F$1000,MATCH($C150,'🎓 Alumnas'!$B$2:$B$1000,0))="","",INDEX('🎓 Alumnas'!$F$2:$F$1000,MATCH($C150,'🎓 Alumnas'!$B$2:$B$1000,0))),""))</f>
        <v/>
      </c>
      <c r="H150" s="29" t="str">
        <f t="shared" ca="1" si="6"/>
        <v/>
      </c>
      <c r="I150" s="26"/>
      <c r="J150" s="29" t="str">
        <f t="shared" si="7"/>
        <v/>
      </c>
      <c r="K150" s="26"/>
      <c r="L150" s="26"/>
      <c r="M150" s="35"/>
      <c r="N150" s="30" t="str">
        <f t="shared" si="8"/>
        <v/>
      </c>
      <c r="O150" s="36"/>
      <c r="P150" s="26"/>
      <c r="Q150" s="26"/>
      <c r="R150" s="29" t="str">
        <f>IF(C150="","",IF(COUNTIF($C$2:C150,C150)=1,"Nueva","Recurrente"))</f>
        <v/>
      </c>
      <c r="S150" s="29" t="str">
        <f>IF(OR(C150="",J150&lt;&gt;"Paquete"),"",COUNTIFS($C$2:C150,C150,$J$2:J150,"Paquete"))</f>
        <v/>
      </c>
      <c r="T150" s="26"/>
    </row>
    <row r="151" spans="1:20" x14ac:dyDescent="0.35">
      <c r="A151" s="26" t="s">
        <v>579</v>
      </c>
      <c r="B151" s="28"/>
      <c r="C151" s="26"/>
      <c r="D151" s="34" t="str">
        <f>IF($C151="","",IFERROR(IF(INDEX('🎓 Alumnas'!$C$2:$C$1000,MATCH($C151,'🎓 Alumnas'!$B$2:$B$1000,0))="","",INDEX('🎓 Alumnas'!$C$2:$C$1000,MATCH($C151,'🎓 Alumnas'!$B$2:$B$1000,0))),""))</f>
        <v/>
      </c>
      <c r="E151" s="29" t="str">
        <f>IF($C151="","",IFERROR(IF(INDEX('🎓 Alumnas'!$D$2:$D$1000,MATCH($C151,'🎓 Alumnas'!$B$2:$B$1000,0))="","",INDEX('🎓 Alumnas'!$D$2:$D$1000,MATCH($C151,'🎓 Alumnas'!$B$2:$B$1000,0))),""))</f>
        <v/>
      </c>
      <c r="F151" s="29" t="str">
        <f>IF($C151="","",IFERROR(IF(INDEX('🎓 Alumnas'!$E$2:$E$1000,MATCH($C151,'🎓 Alumnas'!$B$2:$B$1000,0))="","",INDEX('🎓 Alumnas'!$E$2:$E$1000,MATCH($C151,'🎓 Alumnas'!$B$2:$B$1000,0))),""))</f>
        <v/>
      </c>
      <c r="G151" s="31" t="str">
        <f>IF($C151="","",IFERROR(IF(INDEX('🎓 Alumnas'!$F$2:$F$1000,MATCH($C151,'🎓 Alumnas'!$B$2:$B$1000,0))="","",INDEX('🎓 Alumnas'!$F$2:$F$1000,MATCH($C151,'🎓 Alumnas'!$B$2:$B$1000,0))),""))</f>
        <v/>
      </c>
      <c r="H151" s="29" t="str">
        <f t="shared" ca="1" si="6"/>
        <v/>
      </c>
      <c r="I151" s="26"/>
      <c r="J151" s="29" t="str">
        <f t="shared" si="7"/>
        <v/>
      </c>
      <c r="K151" s="26"/>
      <c r="L151" s="26"/>
      <c r="M151" s="35"/>
      <c r="N151" s="30" t="str">
        <f t="shared" si="8"/>
        <v/>
      </c>
      <c r="O151" s="36"/>
      <c r="P151" s="26"/>
      <c r="Q151" s="26"/>
      <c r="R151" s="29" t="str">
        <f>IF(C151="","",IF(COUNTIF($C$2:C151,C151)=1,"Nueva","Recurrente"))</f>
        <v/>
      </c>
      <c r="S151" s="29" t="str">
        <f>IF(OR(C151="",J151&lt;&gt;"Paquete"),"",COUNTIFS($C$2:C151,C151,$J$2:J151,"Paquete"))</f>
        <v/>
      </c>
      <c r="T151" s="26"/>
    </row>
    <row r="152" spans="1:20" x14ac:dyDescent="0.35">
      <c r="A152" s="26" t="s">
        <v>580</v>
      </c>
      <c r="B152" s="28"/>
      <c r="C152" s="26"/>
      <c r="D152" s="34" t="str">
        <f>IF($C152="","",IFERROR(IF(INDEX('🎓 Alumnas'!$C$2:$C$1000,MATCH($C152,'🎓 Alumnas'!$B$2:$B$1000,0))="","",INDEX('🎓 Alumnas'!$C$2:$C$1000,MATCH($C152,'🎓 Alumnas'!$B$2:$B$1000,0))),""))</f>
        <v/>
      </c>
      <c r="E152" s="29" t="str">
        <f>IF($C152="","",IFERROR(IF(INDEX('🎓 Alumnas'!$D$2:$D$1000,MATCH($C152,'🎓 Alumnas'!$B$2:$B$1000,0))="","",INDEX('🎓 Alumnas'!$D$2:$D$1000,MATCH($C152,'🎓 Alumnas'!$B$2:$B$1000,0))),""))</f>
        <v/>
      </c>
      <c r="F152" s="29" t="str">
        <f>IF($C152="","",IFERROR(IF(INDEX('🎓 Alumnas'!$E$2:$E$1000,MATCH($C152,'🎓 Alumnas'!$B$2:$B$1000,0))="","",INDEX('🎓 Alumnas'!$E$2:$E$1000,MATCH($C152,'🎓 Alumnas'!$B$2:$B$1000,0))),""))</f>
        <v/>
      </c>
      <c r="G152" s="31" t="str">
        <f>IF($C152="","",IFERROR(IF(INDEX('🎓 Alumnas'!$F$2:$F$1000,MATCH($C152,'🎓 Alumnas'!$B$2:$B$1000,0))="","",INDEX('🎓 Alumnas'!$F$2:$F$1000,MATCH($C152,'🎓 Alumnas'!$B$2:$B$1000,0))),""))</f>
        <v/>
      </c>
      <c r="H152" s="29" t="str">
        <f t="shared" ca="1" si="6"/>
        <v/>
      </c>
      <c r="I152" s="26"/>
      <c r="J152" s="29" t="str">
        <f t="shared" si="7"/>
        <v/>
      </c>
      <c r="K152" s="26"/>
      <c r="L152" s="26"/>
      <c r="M152" s="35"/>
      <c r="N152" s="30" t="str">
        <f t="shared" si="8"/>
        <v/>
      </c>
      <c r="O152" s="36"/>
      <c r="P152" s="26"/>
      <c r="Q152" s="26"/>
      <c r="R152" s="29" t="str">
        <f>IF(C152="","",IF(COUNTIF($C$2:C152,C152)=1,"Nueva","Recurrente"))</f>
        <v/>
      </c>
      <c r="S152" s="29" t="str">
        <f>IF(OR(C152="",J152&lt;&gt;"Paquete"),"",COUNTIFS($C$2:C152,C152,$J$2:J152,"Paquete"))</f>
        <v/>
      </c>
      <c r="T152" s="26"/>
    </row>
    <row r="153" spans="1:20" x14ac:dyDescent="0.35">
      <c r="A153" s="26" t="s">
        <v>581</v>
      </c>
      <c r="B153" s="28"/>
      <c r="C153" s="26"/>
      <c r="D153" s="34" t="str">
        <f>IF($C153="","",IFERROR(IF(INDEX('🎓 Alumnas'!$C$2:$C$1000,MATCH($C153,'🎓 Alumnas'!$B$2:$B$1000,0))="","",INDEX('🎓 Alumnas'!$C$2:$C$1000,MATCH($C153,'🎓 Alumnas'!$B$2:$B$1000,0))),""))</f>
        <v/>
      </c>
      <c r="E153" s="29" t="str">
        <f>IF($C153="","",IFERROR(IF(INDEX('🎓 Alumnas'!$D$2:$D$1000,MATCH($C153,'🎓 Alumnas'!$B$2:$B$1000,0))="","",INDEX('🎓 Alumnas'!$D$2:$D$1000,MATCH($C153,'🎓 Alumnas'!$B$2:$B$1000,0))),""))</f>
        <v/>
      </c>
      <c r="F153" s="29" t="str">
        <f>IF($C153="","",IFERROR(IF(INDEX('🎓 Alumnas'!$E$2:$E$1000,MATCH($C153,'🎓 Alumnas'!$B$2:$B$1000,0))="","",INDEX('🎓 Alumnas'!$E$2:$E$1000,MATCH($C153,'🎓 Alumnas'!$B$2:$B$1000,0))),""))</f>
        <v/>
      </c>
      <c r="G153" s="31" t="str">
        <f>IF($C153="","",IFERROR(IF(INDEX('🎓 Alumnas'!$F$2:$F$1000,MATCH($C153,'🎓 Alumnas'!$B$2:$B$1000,0))="","",INDEX('🎓 Alumnas'!$F$2:$F$1000,MATCH($C153,'🎓 Alumnas'!$B$2:$B$1000,0))),""))</f>
        <v/>
      </c>
      <c r="H153" s="29" t="str">
        <f t="shared" ca="1" si="6"/>
        <v/>
      </c>
      <c r="I153" s="26"/>
      <c r="J153" s="29" t="str">
        <f t="shared" si="7"/>
        <v/>
      </c>
      <c r="K153" s="26"/>
      <c r="L153" s="26"/>
      <c r="M153" s="35"/>
      <c r="N153" s="30" t="str">
        <f t="shared" si="8"/>
        <v/>
      </c>
      <c r="O153" s="36"/>
      <c r="P153" s="26"/>
      <c r="Q153" s="26"/>
      <c r="R153" s="29" t="str">
        <f>IF(C153="","",IF(COUNTIF($C$2:C153,C153)=1,"Nueva","Recurrente"))</f>
        <v/>
      </c>
      <c r="S153" s="29" t="str">
        <f>IF(OR(C153="",J153&lt;&gt;"Paquete"),"",COUNTIFS($C$2:C153,C153,$J$2:J153,"Paquete"))</f>
        <v/>
      </c>
      <c r="T153" s="26"/>
    </row>
    <row r="154" spans="1:20" x14ac:dyDescent="0.35">
      <c r="A154" s="26" t="s">
        <v>582</v>
      </c>
      <c r="B154" s="28"/>
      <c r="C154" s="26"/>
      <c r="D154" s="34" t="str">
        <f>IF($C154="","",IFERROR(IF(INDEX('🎓 Alumnas'!$C$2:$C$1000,MATCH($C154,'🎓 Alumnas'!$B$2:$B$1000,0))="","",INDEX('🎓 Alumnas'!$C$2:$C$1000,MATCH($C154,'🎓 Alumnas'!$B$2:$B$1000,0))),""))</f>
        <v/>
      </c>
      <c r="E154" s="29" t="str">
        <f>IF($C154="","",IFERROR(IF(INDEX('🎓 Alumnas'!$D$2:$D$1000,MATCH($C154,'🎓 Alumnas'!$B$2:$B$1000,0))="","",INDEX('🎓 Alumnas'!$D$2:$D$1000,MATCH($C154,'🎓 Alumnas'!$B$2:$B$1000,0))),""))</f>
        <v/>
      </c>
      <c r="F154" s="29" t="str">
        <f>IF($C154="","",IFERROR(IF(INDEX('🎓 Alumnas'!$E$2:$E$1000,MATCH($C154,'🎓 Alumnas'!$B$2:$B$1000,0))="","",INDEX('🎓 Alumnas'!$E$2:$E$1000,MATCH($C154,'🎓 Alumnas'!$B$2:$B$1000,0))),""))</f>
        <v/>
      </c>
      <c r="G154" s="31" t="str">
        <f>IF($C154="","",IFERROR(IF(INDEX('🎓 Alumnas'!$F$2:$F$1000,MATCH($C154,'🎓 Alumnas'!$B$2:$B$1000,0))="","",INDEX('🎓 Alumnas'!$F$2:$F$1000,MATCH($C154,'🎓 Alumnas'!$B$2:$B$1000,0))),""))</f>
        <v/>
      </c>
      <c r="H154" s="29" t="str">
        <f t="shared" ca="1" si="6"/>
        <v/>
      </c>
      <c r="I154" s="26"/>
      <c r="J154" s="29" t="str">
        <f t="shared" si="7"/>
        <v/>
      </c>
      <c r="K154" s="26"/>
      <c r="L154" s="26"/>
      <c r="M154" s="35"/>
      <c r="N154" s="30" t="str">
        <f t="shared" si="8"/>
        <v/>
      </c>
      <c r="O154" s="36"/>
      <c r="P154" s="26"/>
      <c r="Q154" s="26"/>
      <c r="R154" s="29" t="str">
        <f>IF(C154="","",IF(COUNTIF($C$2:C154,C154)=1,"Nueva","Recurrente"))</f>
        <v/>
      </c>
      <c r="S154" s="29" t="str">
        <f>IF(OR(C154="",J154&lt;&gt;"Paquete"),"",COUNTIFS($C$2:C154,C154,$J$2:J154,"Paquete"))</f>
        <v/>
      </c>
      <c r="T154" s="26"/>
    </row>
    <row r="155" spans="1:20" x14ac:dyDescent="0.35">
      <c r="A155" s="26" t="s">
        <v>583</v>
      </c>
      <c r="B155" s="28"/>
      <c r="C155" s="26"/>
      <c r="D155" s="34" t="str">
        <f>IF($C155="","",IFERROR(IF(INDEX('🎓 Alumnas'!$C$2:$C$1000,MATCH($C155,'🎓 Alumnas'!$B$2:$B$1000,0))="","",INDEX('🎓 Alumnas'!$C$2:$C$1000,MATCH($C155,'🎓 Alumnas'!$B$2:$B$1000,0))),""))</f>
        <v/>
      </c>
      <c r="E155" s="29" t="str">
        <f>IF($C155="","",IFERROR(IF(INDEX('🎓 Alumnas'!$D$2:$D$1000,MATCH($C155,'🎓 Alumnas'!$B$2:$B$1000,0))="","",INDEX('🎓 Alumnas'!$D$2:$D$1000,MATCH($C155,'🎓 Alumnas'!$B$2:$B$1000,0))),""))</f>
        <v/>
      </c>
      <c r="F155" s="29" t="str">
        <f>IF($C155="","",IFERROR(IF(INDEX('🎓 Alumnas'!$E$2:$E$1000,MATCH($C155,'🎓 Alumnas'!$B$2:$B$1000,0))="","",INDEX('🎓 Alumnas'!$E$2:$E$1000,MATCH($C155,'🎓 Alumnas'!$B$2:$B$1000,0))),""))</f>
        <v/>
      </c>
      <c r="G155" s="31" t="str">
        <f>IF($C155="","",IFERROR(IF(INDEX('🎓 Alumnas'!$F$2:$F$1000,MATCH($C155,'🎓 Alumnas'!$B$2:$B$1000,0))="","",INDEX('🎓 Alumnas'!$F$2:$F$1000,MATCH($C155,'🎓 Alumnas'!$B$2:$B$1000,0))),""))</f>
        <v/>
      </c>
      <c r="H155" s="29" t="str">
        <f t="shared" ca="1" si="6"/>
        <v/>
      </c>
      <c r="I155" s="26"/>
      <c r="J155" s="29" t="str">
        <f t="shared" si="7"/>
        <v/>
      </c>
      <c r="K155" s="26"/>
      <c r="L155" s="26"/>
      <c r="M155" s="35"/>
      <c r="N155" s="30" t="str">
        <f t="shared" si="8"/>
        <v/>
      </c>
      <c r="O155" s="36"/>
      <c r="P155" s="26"/>
      <c r="Q155" s="26"/>
      <c r="R155" s="29" t="str">
        <f>IF(C155="","",IF(COUNTIF($C$2:C155,C155)=1,"Nueva","Recurrente"))</f>
        <v/>
      </c>
      <c r="S155" s="29" t="str">
        <f>IF(OR(C155="",J155&lt;&gt;"Paquete"),"",COUNTIFS($C$2:C155,C155,$J$2:J155,"Paquete"))</f>
        <v/>
      </c>
      <c r="T155" s="26"/>
    </row>
    <row r="156" spans="1:20" x14ac:dyDescent="0.35">
      <c r="A156" s="26" t="s">
        <v>584</v>
      </c>
      <c r="B156" s="28"/>
      <c r="C156" s="26"/>
      <c r="D156" s="34" t="str">
        <f>IF($C156="","",IFERROR(IF(INDEX('🎓 Alumnas'!$C$2:$C$1000,MATCH($C156,'🎓 Alumnas'!$B$2:$B$1000,0))="","",INDEX('🎓 Alumnas'!$C$2:$C$1000,MATCH($C156,'🎓 Alumnas'!$B$2:$B$1000,0))),""))</f>
        <v/>
      </c>
      <c r="E156" s="29" t="str">
        <f>IF($C156="","",IFERROR(IF(INDEX('🎓 Alumnas'!$D$2:$D$1000,MATCH($C156,'🎓 Alumnas'!$B$2:$B$1000,0))="","",INDEX('🎓 Alumnas'!$D$2:$D$1000,MATCH($C156,'🎓 Alumnas'!$B$2:$B$1000,0))),""))</f>
        <v/>
      </c>
      <c r="F156" s="29" t="str">
        <f>IF($C156="","",IFERROR(IF(INDEX('🎓 Alumnas'!$E$2:$E$1000,MATCH($C156,'🎓 Alumnas'!$B$2:$B$1000,0))="","",INDEX('🎓 Alumnas'!$E$2:$E$1000,MATCH($C156,'🎓 Alumnas'!$B$2:$B$1000,0))),""))</f>
        <v/>
      </c>
      <c r="G156" s="31" t="str">
        <f>IF($C156="","",IFERROR(IF(INDEX('🎓 Alumnas'!$F$2:$F$1000,MATCH($C156,'🎓 Alumnas'!$B$2:$B$1000,0))="","",INDEX('🎓 Alumnas'!$F$2:$F$1000,MATCH($C156,'🎓 Alumnas'!$B$2:$B$1000,0))),""))</f>
        <v/>
      </c>
      <c r="H156" s="29" t="str">
        <f t="shared" ca="1" si="6"/>
        <v/>
      </c>
      <c r="I156" s="26"/>
      <c r="J156" s="29" t="str">
        <f t="shared" si="7"/>
        <v/>
      </c>
      <c r="K156" s="26"/>
      <c r="L156" s="26"/>
      <c r="M156" s="35"/>
      <c r="N156" s="30" t="str">
        <f t="shared" si="8"/>
        <v/>
      </c>
      <c r="O156" s="36"/>
      <c r="P156" s="26"/>
      <c r="Q156" s="26"/>
      <c r="R156" s="29" t="str">
        <f>IF(C156="","",IF(COUNTIF($C$2:C156,C156)=1,"Nueva","Recurrente"))</f>
        <v/>
      </c>
      <c r="S156" s="29" t="str">
        <f>IF(OR(C156="",J156&lt;&gt;"Paquete"),"",COUNTIFS($C$2:C156,C156,$J$2:J156,"Paquete"))</f>
        <v/>
      </c>
      <c r="T156" s="26"/>
    </row>
    <row r="157" spans="1:20" x14ac:dyDescent="0.35">
      <c r="A157" s="26" t="s">
        <v>585</v>
      </c>
      <c r="B157" s="28"/>
      <c r="C157" s="26"/>
      <c r="D157" s="34" t="str">
        <f>IF($C157="","",IFERROR(IF(INDEX('🎓 Alumnas'!$C$2:$C$1000,MATCH($C157,'🎓 Alumnas'!$B$2:$B$1000,0))="","",INDEX('🎓 Alumnas'!$C$2:$C$1000,MATCH($C157,'🎓 Alumnas'!$B$2:$B$1000,0))),""))</f>
        <v/>
      </c>
      <c r="E157" s="29" t="str">
        <f>IF($C157="","",IFERROR(IF(INDEX('🎓 Alumnas'!$D$2:$D$1000,MATCH($C157,'🎓 Alumnas'!$B$2:$B$1000,0))="","",INDEX('🎓 Alumnas'!$D$2:$D$1000,MATCH($C157,'🎓 Alumnas'!$B$2:$B$1000,0))),""))</f>
        <v/>
      </c>
      <c r="F157" s="29" t="str">
        <f>IF($C157="","",IFERROR(IF(INDEX('🎓 Alumnas'!$E$2:$E$1000,MATCH($C157,'🎓 Alumnas'!$B$2:$B$1000,0))="","",INDEX('🎓 Alumnas'!$E$2:$E$1000,MATCH($C157,'🎓 Alumnas'!$B$2:$B$1000,0))),""))</f>
        <v/>
      </c>
      <c r="G157" s="31" t="str">
        <f>IF($C157="","",IFERROR(IF(INDEX('🎓 Alumnas'!$F$2:$F$1000,MATCH($C157,'🎓 Alumnas'!$B$2:$B$1000,0))="","",INDEX('🎓 Alumnas'!$F$2:$F$1000,MATCH($C157,'🎓 Alumnas'!$B$2:$B$1000,0))),""))</f>
        <v/>
      </c>
      <c r="H157" s="29" t="str">
        <f t="shared" ca="1" si="6"/>
        <v/>
      </c>
      <c r="I157" s="26"/>
      <c r="J157" s="29" t="str">
        <f t="shared" si="7"/>
        <v/>
      </c>
      <c r="K157" s="26"/>
      <c r="L157" s="26"/>
      <c r="M157" s="35"/>
      <c r="N157" s="30" t="str">
        <f t="shared" si="8"/>
        <v/>
      </c>
      <c r="O157" s="36"/>
      <c r="P157" s="26"/>
      <c r="Q157" s="26"/>
      <c r="R157" s="29" t="str">
        <f>IF(C157="","",IF(COUNTIF($C$2:C157,C157)=1,"Nueva","Recurrente"))</f>
        <v/>
      </c>
      <c r="S157" s="29" t="str">
        <f>IF(OR(C157="",J157&lt;&gt;"Paquete"),"",COUNTIFS($C$2:C157,C157,$J$2:J157,"Paquete"))</f>
        <v/>
      </c>
      <c r="T157" s="26"/>
    </row>
    <row r="158" spans="1:20" x14ac:dyDescent="0.35">
      <c r="A158" s="26" t="s">
        <v>586</v>
      </c>
      <c r="B158" s="28"/>
      <c r="C158" s="26"/>
      <c r="D158" s="34" t="str">
        <f>IF($C158="","",IFERROR(IF(INDEX('🎓 Alumnas'!$C$2:$C$1000,MATCH($C158,'🎓 Alumnas'!$B$2:$B$1000,0))="","",INDEX('🎓 Alumnas'!$C$2:$C$1000,MATCH($C158,'🎓 Alumnas'!$B$2:$B$1000,0))),""))</f>
        <v/>
      </c>
      <c r="E158" s="29" t="str">
        <f>IF($C158="","",IFERROR(IF(INDEX('🎓 Alumnas'!$D$2:$D$1000,MATCH($C158,'🎓 Alumnas'!$B$2:$B$1000,0))="","",INDEX('🎓 Alumnas'!$D$2:$D$1000,MATCH($C158,'🎓 Alumnas'!$B$2:$B$1000,0))),""))</f>
        <v/>
      </c>
      <c r="F158" s="29" t="str">
        <f>IF($C158="","",IFERROR(IF(INDEX('🎓 Alumnas'!$E$2:$E$1000,MATCH($C158,'🎓 Alumnas'!$B$2:$B$1000,0))="","",INDEX('🎓 Alumnas'!$E$2:$E$1000,MATCH($C158,'🎓 Alumnas'!$B$2:$B$1000,0))),""))</f>
        <v/>
      </c>
      <c r="G158" s="31" t="str">
        <f>IF($C158="","",IFERROR(IF(INDEX('🎓 Alumnas'!$F$2:$F$1000,MATCH($C158,'🎓 Alumnas'!$B$2:$B$1000,0))="","",INDEX('🎓 Alumnas'!$F$2:$F$1000,MATCH($C158,'🎓 Alumnas'!$B$2:$B$1000,0))),""))</f>
        <v/>
      </c>
      <c r="H158" s="29" t="str">
        <f t="shared" ca="1" si="6"/>
        <v/>
      </c>
      <c r="I158" s="26"/>
      <c r="J158" s="29" t="str">
        <f t="shared" si="7"/>
        <v/>
      </c>
      <c r="K158" s="26"/>
      <c r="L158" s="26"/>
      <c r="M158" s="35"/>
      <c r="N158" s="30" t="str">
        <f t="shared" si="8"/>
        <v/>
      </c>
      <c r="O158" s="36"/>
      <c r="P158" s="26"/>
      <c r="Q158" s="26"/>
      <c r="R158" s="29" t="str">
        <f>IF(C158="","",IF(COUNTIF($C$2:C158,C158)=1,"Nueva","Recurrente"))</f>
        <v/>
      </c>
      <c r="S158" s="29" t="str">
        <f>IF(OR(C158="",J158&lt;&gt;"Paquete"),"",COUNTIFS($C$2:C158,C158,$J$2:J158,"Paquete"))</f>
        <v/>
      </c>
      <c r="T158" s="26"/>
    </row>
    <row r="159" spans="1:20" x14ac:dyDescent="0.35">
      <c r="A159" s="26" t="s">
        <v>587</v>
      </c>
      <c r="B159" s="28"/>
      <c r="C159" s="26"/>
      <c r="D159" s="34" t="str">
        <f>IF($C159="","",IFERROR(IF(INDEX('🎓 Alumnas'!$C$2:$C$1000,MATCH($C159,'🎓 Alumnas'!$B$2:$B$1000,0))="","",INDEX('🎓 Alumnas'!$C$2:$C$1000,MATCH($C159,'🎓 Alumnas'!$B$2:$B$1000,0))),""))</f>
        <v/>
      </c>
      <c r="E159" s="29" t="str">
        <f>IF($C159="","",IFERROR(IF(INDEX('🎓 Alumnas'!$D$2:$D$1000,MATCH($C159,'🎓 Alumnas'!$B$2:$B$1000,0))="","",INDEX('🎓 Alumnas'!$D$2:$D$1000,MATCH($C159,'🎓 Alumnas'!$B$2:$B$1000,0))),""))</f>
        <v/>
      </c>
      <c r="F159" s="29" t="str">
        <f>IF($C159="","",IFERROR(IF(INDEX('🎓 Alumnas'!$E$2:$E$1000,MATCH($C159,'🎓 Alumnas'!$B$2:$B$1000,0))="","",INDEX('🎓 Alumnas'!$E$2:$E$1000,MATCH($C159,'🎓 Alumnas'!$B$2:$B$1000,0))),""))</f>
        <v/>
      </c>
      <c r="G159" s="31" t="str">
        <f>IF($C159="","",IFERROR(IF(INDEX('🎓 Alumnas'!$F$2:$F$1000,MATCH($C159,'🎓 Alumnas'!$B$2:$B$1000,0))="","",INDEX('🎓 Alumnas'!$F$2:$F$1000,MATCH($C159,'🎓 Alumnas'!$B$2:$B$1000,0))),""))</f>
        <v/>
      </c>
      <c r="H159" s="29" t="str">
        <f t="shared" ca="1" si="6"/>
        <v/>
      </c>
      <c r="I159" s="26"/>
      <c r="J159" s="29" t="str">
        <f t="shared" si="7"/>
        <v/>
      </c>
      <c r="K159" s="26"/>
      <c r="L159" s="26"/>
      <c r="M159" s="35"/>
      <c r="N159" s="30" t="str">
        <f t="shared" si="8"/>
        <v/>
      </c>
      <c r="O159" s="36"/>
      <c r="P159" s="26"/>
      <c r="Q159" s="26"/>
      <c r="R159" s="29" t="str">
        <f>IF(C159="","",IF(COUNTIF($C$2:C159,C159)=1,"Nueva","Recurrente"))</f>
        <v/>
      </c>
      <c r="S159" s="29" t="str">
        <f>IF(OR(C159="",J159&lt;&gt;"Paquete"),"",COUNTIFS($C$2:C159,C159,$J$2:J159,"Paquete"))</f>
        <v/>
      </c>
      <c r="T159" s="26"/>
    </row>
    <row r="160" spans="1:20" x14ac:dyDescent="0.35">
      <c r="A160" s="26" t="s">
        <v>588</v>
      </c>
      <c r="B160" s="28"/>
      <c r="C160" s="26"/>
      <c r="D160" s="34" t="str">
        <f>IF($C160="","",IFERROR(IF(INDEX('🎓 Alumnas'!$C$2:$C$1000,MATCH($C160,'🎓 Alumnas'!$B$2:$B$1000,0))="","",INDEX('🎓 Alumnas'!$C$2:$C$1000,MATCH($C160,'🎓 Alumnas'!$B$2:$B$1000,0))),""))</f>
        <v/>
      </c>
      <c r="E160" s="29" t="str">
        <f>IF($C160="","",IFERROR(IF(INDEX('🎓 Alumnas'!$D$2:$D$1000,MATCH($C160,'🎓 Alumnas'!$B$2:$B$1000,0))="","",INDEX('🎓 Alumnas'!$D$2:$D$1000,MATCH($C160,'🎓 Alumnas'!$B$2:$B$1000,0))),""))</f>
        <v/>
      </c>
      <c r="F160" s="29" t="str">
        <f>IF($C160="","",IFERROR(IF(INDEX('🎓 Alumnas'!$E$2:$E$1000,MATCH($C160,'🎓 Alumnas'!$B$2:$B$1000,0))="","",INDEX('🎓 Alumnas'!$E$2:$E$1000,MATCH($C160,'🎓 Alumnas'!$B$2:$B$1000,0))),""))</f>
        <v/>
      </c>
      <c r="G160" s="31" t="str">
        <f>IF($C160="","",IFERROR(IF(INDEX('🎓 Alumnas'!$F$2:$F$1000,MATCH($C160,'🎓 Alumnas'!$B$2:$B$1000,0))="","",INDEX('🎓 Alumnas'!$F$2:$F$1000,MATCH($C160,'🎓 Alumnas'!$B$2:$B$1000,0))),""))</f>
        <v/>
      </c>
      <c r="H160" s="29" t="str">
        <f t="shared" ca="1" si="6"/>
        <v/>
      </c>
      <c r="I160" s="26"/>
      <c r="J160" s="29" t="str">
        <f t="shared" si="7"/>
        <v/>
      </c>
      <c r="K160" s="26"/>
      <c r="L160" s="26"/>
      <c r="M160" s="35"/>
      <c r="N160" s="30" t="str">
        <f t="shared" si="8"/>
        <v/>
      </c>
      <c r="O160" s="36"/>
      <c r="P160" s="26"/>
      <c r="Q160" s="26"/>
      <c r="R160" s="29" t="str">
        <f>IF(C160="","",IF(COUNTIF($C$2:C160,C160)=1,"Nueva","Recurrente"))</f>
        <v/>
      </c>
      <c r="S160" s="29" t="str">
        <f>IF(OR(C160="",J160&lt;&gt;"Paquete"),"",COUNTIFS($C$2:C160,C160,$J$2:J160,"Paquete"))</f>
        <v/>
      </c>
      <c r="T160" s="26"/>
    </row>
    <row r="161" spans="1:20" x14ac:dyDescent="0.35">
      <c r="A161" s="26" t="s">
        <v>589</v>
      </c>
      <c r="B161" s="28"/>
      <c r="C161" s="26"/>
      <c r="D161" s="34" t="str">
        <f>IF($C161="","",IFERROR(IF(INDEX('🎓 Alumnas'!$C$2:$C$1000,MATCH($C161,'🎓 Alumnas'!$B$2:$B$1000,0))="","",INDEX('🎓 Alumnas'!$C$2:$C$1000,MATCH($C161,'🎓 Alumnas'!$B$2:$B$1000,0))),""))</f>
        <v/>
      </c>
      <c r="E161" s="29" t="str">
        <f>IF($C161="","",IFERROR(IF(INDEX('🎓 Alumnas'!$D$2:$D$1000,MATCH($C161,'🎓 Alumnas'!$B$2:$B$1000,0))="","",INDEX('🎓 Alumnas'!$D$2:$D$1000,MATCH($C161,'🎓 Alumnas'!$B$2:$B$1000,0))),""))</f>
        <v/>
      </c>
      <c r="F161" s="29" t="str">
        <f>IF($C161="","",IFERROR(IF(INDEX('🎓 Alumnas'!$E$2:$E$1000,MATCH($C161,'🎓 Alumnas'!$B$2:$B$1000,0))="","",INDEX('🎓 Alumnas'!$E$2:$E$1000,MATCH($C161,'🎓 Alumnas'!$B$2:$B$1000,0))),""))</f>
        <v/>
      </c>
      <c r="G161" s="31" t="str">
        <f>IF($C161="","",IFERROR(IF(INDEX('🎓 Alumnas'!$F$2:$F$1000,MATCH($C161,'🎓 Alumnas'!$B$2:$B$1000,0))="","",INDEX('🎓 Alumnas'!$F$2:$F$1000,MATCH($C161,'🎓 Alumnas'!$B$2:$B$1000,0))),""))</f>
        <v/>
      </c>
      <c r="H161" s="29" t="str">
        <f t="shared" ca="1" si="6"/>
        <v/>
      </c>
      <c r="I161" s="26"/>
      <c r="J161" s="29" t="str">
        <f t="shared" si="7"/>
        <v/>
      </c>
      <c r="K161" s="26"/>
      <c r="L161" s="26"/>
      <c r="M161" s="35"/>
      <c r="N161" s="30" t="str">
        <f t="shared" si="8"/>
        <v/>
      </c>
      <c r="O161" s="36"/>
      <c r="P161" s="26"/>
      <c r="Q161" s="26"/>
      <c r="R161" s="29" t="str">
        <f>IF(C161="","",IF(COUNTIF($C$2:C161,C161)=1,"Nueva","Recurrente"))</f>
        <v/>
      </c>
      <c r="S161" s="29" t="str">
        <f>IF(OR(C161="",J161&lt;&gt;"Paquete"),"",COUNTIFS($C$2:C161,C161,$J$2:J161,"Paquete"))</f>
        <v/>
      </c>
      <c r="T161" s="26"/>
    </row>
    <row r="162" spans="1:20" x14ac:dyDescent="0.35">
      <c r="A162" s="26" t="s">
        <v>590</v>
      </c>
      <c r="B162" s="28"/>
      <c r="C162" s="26"/>
      <c r="D162" s="34" t="str">
        <f>IF($C162="","",IFERROR(IF(INDEX('🎓 Alumnas'!$C$2:$C$1000,MATCH($C162,'🎓 Alumnas'!$B$2:$B$1000,0))="","",INDEX('🎓 Alumnas'!$C$2:$C$1000,MATCH($C162,'🎓 Alumnas'!$B$2:$B$1000,0))),""))</f>
        <v/>
      </c>
      <c r="E162" s="29" t="str">
        <f>IF($C162="","",IFERROR(IF(INDEX('🎓 Alumnas'!$D$2:$D$1000,MATCH($C162,'🎓 Alumnas'!$B$2:$B$1000,0))="","",INDEX('🎓 Alumnas'!$D$2:$D$1000,MATCH($C162,'🎓 Alumnas'!$B$2:$B$1000,0))),""))</f>
        <v/>
      </c>
      <c r="F162" s="29" t="str">
        <f>IF($C162="","",IFERROR(IF(INDEX('🎓 Alumnas'!$E$2:$E$1000,MATCH($C162,'🎓 Alumnas'!$B$2:$B$1000,0))="","",INDEX('🎓 Alumnas'!$E$2:$E$1000,MATCH($C162,'🎓 Alumnas'!$B$2:$B$1000,0))),""))</f>
        <v/>
      </c>
      <c r="G162" s="31" t="str">
        <f>IF($C162="","",IFERROR(IF(INDEX('🎓 Alumnas'!$F$2:$F$1000,MATCH($C162,'🎓 Alumnas'!$B$2:$B$1000,0))="","",INDEX('🎓 Alumnas'!$F$2:$F$1000,MATCH($C162,'🎓 Alumnas'!$B$2:$B$1000,0))),""))</f>
        <v/>
      </c>
      <c r="H162" s="29" t="str">
        <f t="shared" ca="1" si="6"/>
        <v/>
      </c>
      <c r="I162" s="26"/>
      <c r="J162" s="29" t="str">
        <f t="shared" si="7"/>
        <v/>
      </c>
      <c r="K162" s="26"/>
      <c r="L162" s="26"/>
      <c r="M162" s="35"/>
      <c r="N162" s="30" t="str">
        <f t="shared" si="8"/>
        <v/>
      </c>
      <c r="O162" s="36"/>
      <c r="P162" s="26"/>
      <c r="Q162" s="26"/>
      <c r="R162" s="29" t="str">
        <f>IF(C162="","",IF(COUNTIF($C$2:C162,C162)=1,"Nueva","Recurrente"))</f>
        <v/>
      </c>
      <c r="S162" s="29" t="str">
        <f>IF(OR(C162="",J162&lt;&gt;"Paquete"),"",COUNTIFS($C$2:C162,C162,$J$2:J162,"Paquete"))</f>
        <v/>
      </c>
      <c r="T162" s="26"/>
    </row>
    <row r="163" spans="1:20" x14ac:dyDescent="0.35">
      <c r="A163" s="26" t="s">
        <v>591</v>
      </c>
      <c r="B163" s="28"/>
      <c r="C163" s="26"/>
      <c r="D163" s="34" t="str">
        <f>IF($C163="","",IFERROR(IF(INDEX('🎓 Alumnas'!$C$2:$C$1000,MATCH($C163,'🎓 Alumnas'!$B$2:$B$1000,0))="","",INDEX('🎓 Alumnas'!$C$2:$C$1000,MATCH($C163,'🎓 Alumnas'!$B$2:$B$1000,0))),""))</f>
        <v/>
      </c>
      <c r="E163" s="29" t="str">
        <f>IF($C163="","",IFERROR(IF(INDEX('🎓 Alumnas'!$D$2:$D$1000,MATCH($C163,'🎓 Alumnas'!$B$2:$B$1000,0))="","",INDEX('🎓 Alumnas'!$D$2:$D$1000,MATCH($C163,'🎓 Alumnas'!$B$2:$B$1000,0))),""))</f>
        <v/>
      </c>
      <c r="F163" s="29" t="str">
        <f>IF($C163="","",IFERROR(IF(INDEX('🎓 Alumnas'!$E$2:$E$1000,MATCH($C163,'🎓 Alumnas'!$B$2:$B$1000,0))="","",INDEX('🎓 Alumnas'!$E$2:$E$1000,MATCH($C163,'🎓 Alumnas'!$B$2:$B$1000,0))),""))</f>
        <v/>
      </c>
      <c r="G163" s="31" t="str">
        <f>IF($C163="","",IFERROR(IF(INDEX('🎓 Alumnas'!$F$2:$F$1000,MATCH($C163,'🎓 Alumnas'!$B$2:$B$1000,0))="","",INDEX('🎓 Alumnas'!$F$2:$F$1000,MATCH($C163,'🎓 Alumnas'!$B$2:$B$1000,0))),""))</f>
        <v/>
      </c>
      <c r="H163" s="29" t="str">
        <f t="shared" ca="1" si="6"/>
        <v/>
      </c>
      <c r="I163" s="26"/>
      <c r="J163" s="29" t="str">
        <f t="shared" si="7"/>
        <v/>
      </c>
      <c r="K163" s="26"/>
      <c r="L163" s="26"/>
      <c r="M163" s="35"/>
      <c r="N163" s="30" t="str">
        <f t="shared" si="8"/>
        <v/>
      </c>
      <c r="O163" s="36"/>
      <c r="P163" s="26"/>
      <c r="Q163" s="26"/>
      <c r="R163" s="29" t="str">
        <f>IF(C163="","",IF(COUNTIF($C$2:C163,C163)=1,"Nueva","Recurrente"))</f>
        <v/>
      </c>
      <c r="S163" s="29" t="str">
        <f>IF(OR(C163="",J163&lt;&gt;"Paquete"),"",COUNTIFS($C$2:C163,C163,$J$2:J163,"Paquete"))</f>
        <v/>
      </c>
      <c r="T163" s="26"/>
    </row>
    <row r="164" spans="1:20" x14ac:dyDescent="0.35">
      <c r="A164" s="26" t="s">
        <v>592</v>
      </c>
      <c r="B164" s="28"/>
      <c r="C164" s="26"/>
      <c r="D164" s="34" t="str">
        <f>IF($C164="","",IFERROR(IF(INDEX('🎓 Alumnas'!$C$2:$C$1000,MATCH($C164,'🎓 Alumnas'!$B$2:$B$1000,0))="","",INDEX('🎓 Alumnas'!$C$2:$C$1000,MATCH($C164,'🎓 Alumnas'!$B$2:$B$1000,0))),""))</f>
        <v/>
      </c>
      <c r="E164" s="29" t="str">
        <f>IF($C164="","",IFERROR(IF(INDEX('🎓 Alumnas'!$D$2:$D$1000,MATCH($C164,'🎓 Alumnas'!$B$2:$B$1000,0))="","",INDEX('🎓 Alumnas'!$D$2:$D$1000,MATCH($C164,'🎓 Alumnas'!$B$2:$B$1000,0))),""))</f>
        <v/>
      </c>
      <c r="F164" s="29" t="str">
        <f>IF($C164="","",IFERROR(IF(INDEX('🎓 Alumnas'!$E$2:$E$1000,MATCH($C164,'🎓 Alumnas'!$B$2:$B$1000,0))="","",INDEX('🎓 Alumnas'!$E$2:$E$1000,MATCH($C164,'🎓 Alumnas'!$B$2:$B$1000,0))),""))</f>
        <v/>
      </c>
      <c r="G164" s="31" t="str">
        <f>IF($C164="","",IFERROR(IF(INDEX('🎓 Alumnas'!$F$2:$F$1000,MATCH($C164,'🎓 Alumnas'!$B$2:$B$1000,0))="","",INDEX('🎓 Alumnas'!$F$2:$F$1000,MATCH($C164,'🎓 Alumnas'!$B$2:$B$1000,0))),""))</f>
        <v/>
      </c>
      <c r="H164" s="29" t="str">
        <f t="shared" ca="1" si="6"/>
        <v/>
      </c>
      <c r="I164" s="26"/>
      <c r="J164" s="29" t="str">
        <f t="shared" si="7"/>
        <v/>
      </c>
      <c r="K164" s="26"/>
      <c r="L164" s="26"/>
      <c r="M164" s="35"/>
      <c r="N164" s="30" t="str">
        <f t="shared" si="8"/>
        <v/>
      </c>
      <c r="O164" s="36"/>
      <c r="P164" s="26"/>
      <c r="Q164" s="26"/>
      <c r="R164" s="29" t="str">
        <f>IF(C164="","",IF(COUNTIF($C$2:C164,C164)=1,"Nueva","Recurrente"))</f>
        <v/>
      </c>
      <c r="S164" s="29" t="str">
        <f>IF(OR(C164="",J164&lt;&gt;"Paquete"),"",COUNTIFS($C$2:C164,C164,$J$2:J164,"Paquete"))</f>
        <v/>
      </c>
      <c r="T164" s="26"/>
    </row>
    <row r="165" spans="1:20" x14ac:dyDescent="0.35">
      <c r="A165" s="26" t="s">
        <v>593</v>
      </c>
      <c r="B165" s="28"/>
      <c r="C165" s="26"/>
      <c r="D165" s="34" t="str">
        <f>IF($C165="","",IFERROR(IF(INDEX('🎓 Alumnas'!$C$2:$C$1000,MATCH($C165,'🎓 Alumnas'!$B$2:$B$1000,0))="","",INDEX('🎓 Alumnas'!$C$2:$C$1000,MATCH($C165,'🎓 Alumnas'!$B$2:$B$1000,0))),""))</f>
        <v/>
      </c>
      <c r="E165" s="29" t="str">
        <f>IF($C165="","",IFERROR(IF(INDEX('🎓 Alumnas'!$D$2:$D$1000,MATCH($C165,'🎓 Alumnas'!$B$2:$B$1000,0))="","",INDEX('🎓 Alumnas'!$D$2:$D$1000,MATCH($C165,'🎓 Alumnas'!$B$2:$B$1000,0))),""))</f>
        <v/>
      </c>
      <c r="F165" s="29" t="str">
        <f>IF($C165="","",IFERROR(IF(INDEX('🎓 Alumnas'!$E$2:$E$1000,MATCH($C165,'🎓 Alumnas'!$B$2:$B$1000,0))="","",INDEX('🎓 Alumnas'!$E$2:$E$1000,MATCH($C165,'🎓 Alumnas'!$B$2:$B$1000,0))),""))</f>
        <v/>
      </c>
      <c r="G165" s="31" t="str">
        <f>IF($C165="","",IFERROR(IF(INDEX('🎓 Alumnas'!$F$2:$F$1000,MATCH($C165,'🎓 Alumnas'!$B$2:$B$1000,0))="","",INDEX('🎓 Alumnas'!$F$2:$F$1000,MATCH($C165,'🎓 Alumnas'!$B$2:$B$1000,0))),""))</f>
        <v/>
      </c>
      <c r="H165" s="29" t="str">
        <f t="shared" ca="1" si="6"/>
        <v/>
      </c>
      <c r="I165" s="26"/>
      <c r="J165" s="29" t="str">
        <f t="shared" si="7"/>
        <v/>
      </c>
      <c r="K165" s="26"/>
      <c r="L165" s="26"/>
      <c r="M165" s="35"/>
      <c r="N165" s="30" t="str">
        <f t="shared" si="8"/>
        <v/>
      </c>
      <c r="O165" s="36"/>
      <c r="P165" s="26"/>
      <c r="Q165" s="26"/>
      <c r="R165" s="29" t="str">
        <f>IF(C165="","",IF(COUNTIF($C$2:C165,C165)=1,"Nueva","Recurrente"))</f>
        <v/>
      </c>
      <c r="S165" s="29" t="str">
        <f>IF(OR(C165="",J165&lt;&gt;"Paquete"),"",COUNTIFS($C$2:C165,C165,$J$2:J165,"Paquete"))</f>
        <v/>
      </c>
      <c r="T165" s="26"/>
    </row>
    <row r="166" spans="1:20" x14ac:dyDescent="0.35">
      <c r="A166" s="26" t="s">
        <v>594</v>
      </c>
      <c r="B166" s="28"/>
      <c r="C166" s="26"/>
      <c r="D166" s="34" t="str">
        <f>IF($C166="","",IFERROR(IF(INDEX('🎓 Alumnas'!$C$2:$C$1000,MATCH($C166,'🎓 Alumnas'!$B$2:$B$1000,0))="","",INDEX('🎓 Alumnas'!$C$2:$C$1000,MATCH($C166,'🎓 Alumnas'!$B$2:$B$1000,0))),""))</f>
        <v/>
      </c>
      <c r="E166" s="29" t="str">
        <f>IF($C166="","",IFERROR(IF(INDEX('🎓 Alumnas'!$D$2:$D$1000,MATCH($C166,'🎓 Alumnas'!$B$2:$B$1000,0))="","",INDEX('🎓 Alumnas'!$D$2:$D$1000,MATCH($C166,'🎓 Alumnas'!$B$2:$B$1000,0))),""))</f>
        <v/>
      </c>
      <c r="F166" s="29" t="str">
        <f>IF($C166="","",IFERROR(IF(INDEX('🎓 Alumnas'!$E$2:$E$1000,MATCH($C166,'🎓 Alumnas'!$B$2:$B$1000,0))="","",INDEX('🎓 Alumnas'!$E$2:$E$1000,MATCH($C166,'🎓 Alumnas'!$B$2:$B$1000,0))),""))</f>
        <v/>
      </c>
      <c r="G166" s="31" t="str">
        <f>IF($C166="","",IFERROR(IF(INDEX('🎓 Alumnas'!$F$2:$F$1000,MATCH($C166,'🎓 Alumnas'!$B$2:$B$1000,0))="","",INDEX('🎓 Alumnas'!$F$2:$F$1000,MATCH($C166,'🎓 Alumnas'!$B$2:$B$1000,0))),""))</f>
        <v/>
      </c>
      <c r="H166" s="29" t="str">
        <f t="shared" ca="1" si="6"/>
        <v/>
      </c>
      <c r="I166" s="26"/>
      <c r="J166" s="29" t="str">
        <f t="shared" si="7"/>
        <v/>
      </c>
      <c r="K166" s="26"/>
      <c r="L166" s="26"/>
      <c r="M166" s="35"/>
      <c r="N166" s="30" t="str">
        <f t="shared" si="8"/>
        <v/>
      </c>
      <c r="O166" s="36"/>
      <c r="P166" s="26"/>
      <c r="Q166" s="26"/>
      <c r="R166" s="29" t="str">
        <f>IF(C166="","",IF(COUNTIF($C$2:C166,C166)=1,"Nueva","Recurrente"))</f>
        <v/>
      </c>
      <c r="S166" s="29" t="str">
        <f>IF(OR(C166="",J166&lt;&gt;"Paquete"),"",COUNTIFS($C$2:C166,C166,$J$2:J166,"Paquete"))</f>
        <v/>
      </c>
      <c r="T166" s="26"/>
    </row>
    <row r="167" spans="1:20" x14ac:dyDescent="0.35">
      <c r="A167" s="26" t="s">
        <v>595</v>
      </c>
      <c r="B167" s="28"/>
      <c r="C167" s="26"/>
      <c r="D167" s="34" t="str">
        <f>IF($C167="","",IFERROR(IF(INDEX('🎓 Alumnas'!$C$2:$C$1000,MATCH($C167,'🎓 Alumnas'!$B$2:$B$1000,0))="","",INDEX('🎓 Alumnas'!$C$2:$C$1000,MATCH($C167,'🎓 Alumnas'!$B$2:$B$1000,0))),""))</f>
        <v/>
      </c>
      <c r="E167" s="29" t="str">
        <f>IF($C167="","",IFERROR(IF(INDEX('🎓 Alumnas'!$D$2:$D$1000,MATCH($C167,'🎓 Alumnas'!$B$2:$B$1000,0))="","",INDEX('🎓 Alumnas'!$D$2:$D$1000,MATCH($C167,'🎓 Alumnas'!$B$2:$B$1000,0))),""))</f>
        <v/>
      </c>
      <c r="F167" s="29" t="str">
        <f>IF($C167="","",IFERROR(IF(INDEX('🎓 Alumnas'!$E$2:$E$1000,MATCH($C167,'🎓 Alumnas'!$B$2:$B$1000,0))="","",INDEX('🎓 Alumnas'!$E$2:$E$1000,MATCH($C167,'🎓 Alumnas'!$B$2:$B$1000,0))),""))</f>
        <v/>
      </c>
      <c r="G167" s="31" t="str">
        <f>IF($C167="","",IFERROR(IF(INDEX('🎓 Alumnas'!$F$2:$F$1000,MATCH($C167,'🎓 Alumnas'!$B$2:$B$1000,0))="","",INDEX('🎓 Alumnas'!$F$2:$F$1000,MATCH($C167,'🎓 Alumnas'!$B$2:$B$1000,0))),""))</f>
        <v/>
      </c>
      <c r="H167" s="29" t="str">
        <f t="shared" ca="1" si="6"/>
        <v/>
      </c>
      <c r="I167" s="26"/>
      <c r="J167" s="29" t="str">
        <f t="shared" si="7"/>
        <v/>
      </c>
      <c r="K167" s="26"/>
      <c r="L167" s="26"/>
      <c r="M167" s="35"/>
      <c r="N167" s="30" t="str">
        <f t="shared" si="8"/>
        <v/>
      </c>
      <c r="O167" s="36"/>
      <c r="P167" s="26"/>
      <c r="Q167" s="26"/>
      <c r="R167" s="29" t="str">
        <f>IF(C167="","",IF(COUNTIF($C$2:C167,C167)=1,"Nueva","Recurrente"))</f>
        <v/>
      </c>
      <c r="S167" s="29" t="str">
        <f>IF(OR(C167="",J167&lt;&gt;"Paquete"),"",COUNTIFS($C$2:C167,C167,$J$2:J167,"Paquete"))</f>
        <v/>
      </c>
      <c r="T167" s="26"/>
    </row>
    <row r="168" spans="1:20" x14ac:dyDescent="0.35">
      <c r="A168" s="26" t="s">
        <v>596</v>
      </c>
      <c r="B168" s="28"/>
      <c r="C168" s="26"/>
      <c r="D168" s="34" t="str">
        <f>IF($C168="","",IFERROR(IF(INDEX('🎓 Alumnas'!$C$2:$C$1000,MATCH($C168,'🎓 Alumnas'!$B$2:$B$1000,0))="","",INDEX('🎓 Alumnas'!$C$2:$C$1000,MATCH($C168,'🎓 Alumnas'!$B$2:$B$1000,0))),""))</f>
        <v/>
      </c>
      <c r="E168" s="29" t="str">
        <f>IF($C168="","",IFERROR(IF(INDEX('🎓 Alumnas'!$D$2:$D$1000,MATCH($C168,'🎓 Alumnas'!$B$2:$B$1000,0))="","",INDEX('🎓 Alumnas'!$D$2:$D$1000,MATCH($C168,'🎓 Alumnas'!$B$2:$B$1000,0))),""))</f>
        <v/>
      </c>
      <c r="F168" s="29" t="str">
        <f>IF($C168="","",IFERROR(IF(INDEX('🎓 Alumnas'!$E$2:$E$1000,MATCH($C168,'🎓 Alumnas'!$B$2:$B$1000,0))="","",INDEX('🎓 Alumnas'!$E$2:$E$1000,MATCH($C168,'🎓 Alumnas'!$B$2:$B$1000,0))),""))</f>
        <v/>
      </c>
      <c r="G168" s="31" t="str">
        <f>IF($C168="","",IFERROR(IF(INDEX('🎓 Alumnas'!$F$2:$F$1000,MATCH($C168,'🎓 Alumnas'!$B$2:$B$1000,0))="","",INDEX('🎓 Alumnas'!$F$2:$F$1000,MATCH($C168,'🎓 Alumnas'!$B$2:$B$1000,0))),""))</f>
        <v/>
      </c>
      <c r="H168" s="29" t="str">
        <f t="shared" ca="1" si="6"/>
        <v/>
      </c>
      <c r="I168" s="26"/>
      <c r="J168" s="29" t="str">
        <f t="shared" si="7"/>
        <v/>
      </c>
      <c r="K168" s="26"/>
      <c r="L168" s="26"/>
      <c r="M168" s="35"/>
      <c r="N168" s="30" t="str">
        <f t="shared" si="8"/>
        <v/>
      </c>
      <c r="O168" s="36"/>
      <c r="P168" s="26"/>
      <c r="Q168" s="26"/>
      <c r="R168" s="29" t="str">
        <f>IF(C168="","",IF(COUNTIF($C$2:C168,C168)=1,"Nueva","Recurrente"))</f>
        <v/>
      </c>
      <c r="S168" s="29" t="str">
        <f>IF(OR(C168="",J168&lt;&gt;"Paquete"),"",COUNTIFS($C$2:C168,C168,$J$2:J168,"Paquete"))</f>
        <v/>
      </c>
      <c r="T168" s="26"/>
    </row>
    <row r="169" spans="1:20" x14ac:dyDescent="0.35">
      <c r="A169" s="26" t="s">
        <v>597</v>
      </c>
      <c r="B169" s="28"/>
      <c r="C169" s="26"/>
      <c r="D169" s="34" t="str">
        <f>IF($C169="","",IFERROR(IF(INDEX('🎓 Alumnas'!$C$2:$C$1000,MATCH($C169,'🎓 Alumnas'!$B$2:$B$1000,0))="","",INDEX('🎓 Alumnas'!$C$2:$C$1000,MATCH($C169,'🎓 Alumnas'!$B$2:$B$1000,0))),""))</f>
        <v/>
      </c>
      <c r="E169" s="29" t="str">
        <f>IF($C169="","",IFERROR(IF(INDEX('🎓 Alumnas'!$D$2:$D$1000,MATCH($C169,'🎓 Alumnas'!$B$2:$B$1000,0))="","",INDEX('🎓 Alumnas'!$D$2:$D$1000,MATCH($C169,'🎓 Alumnas'!$B$2:$B$1000,0))),""))</f>
        <v/>
      </c>
      <c r="F169" s="29" t="str">
        <f>IF($C169="","",IFERROR(IF(INDEX('🎓 Alumnas'!$E$2:$E$1000,MATCH($C169,'🎓 Alumnas'!$B$2:$B$1000,0))="","",INDEX('🎓 Alumnas'!$E$2:$E$1000,MATCH($C169,'🎓 Alumnas'!$B$2:$B$1000,0))),""))</f>
        <v/>
      </c>
      <c r="G169" s="31" t="str">
        <f>IF($C169="","",IFERROR(IF(INDEX('🎓 Alumnas'!$F$2:$F$1000,MATCH($C169,'🎓 Alumnas'!$B$2:$B$1000,0))="","",INDEX('🎓 Alumnas'!$F$2:$F$1000,MATCH($C169,'🎓 Alumnas'!$B$2:$B$1000,0))),""))</f>
        <v/>
      </c>
      <c r="H169" s="29" t="str">
        <f t="shared" ca="1" si="6"/>
        <v/>
      </c>
      <c r="I169" s="26"/>
      <c r="J169" s="29" t="str">
        <f t="shared" si="7"/>
        <v/>
      </c>
      <c r="K169" s="26"/>
      <c r="L169" s="26"/>
      <c r="M169" s="35"/>
      <c r="N169" s="30" t="str">
        <f t="shared" si="8"/>
        <v/>
      </c>
      <c r="O169" s="36"/>
      <c r="P169" s="26"/>
      <c r="Q169" s="26"/>
      <c r="R169" s="29" t="str">
        <f>IF(C169="","",IF(COUNTIF($C$2:C169,C169)=1,"Nueva","Recurrente"))</f>
        <v/>
      </c>
      <c r="S169" s="29" t="str">
        <f>IF(OR(C169="",J169&lt;&gt;"Paquete"),"",COUNTIFS($C$2:C169,C169,$J$2:J169,"Paquete"))</f>
        <v/>
      </c>
      <c r="T169" s="26"/>
    </row>
    <row r="170" spans="1:20" x14ac:dyDescent="0.35">
      <c r="A170" s="26" t="s">
        <v>598</v>
      </c>
      <c r="B170" s="28"/>
      <c r="C170" s="26"/>
      <c r="D170" s="34" t="str">
        <f>IF($C170="","",IFERROR(IF(INDEX('🎓 Alumnas'!$C$2:$C$1000,MATCH($C170,'🎓 Alumnas'!$B$2:$B$1000,0))="","",INDEX('🎓 Alumnas'!$C$2:$C$1000,MATCH($C170,'🎓 Alumnas'!$B$2:$B$1000,0))),""))</f>
        <v/>
      </c>
      <c r="E170" s="29" t="str">
        <f>IF($C170="","",IFERROR(IF(INDEX('🎓 Alumnas'!$D$2:$D$1000,MATCH($C170,'🎓 Alumnas'!$B$2:$B$1000,0))="","",INDEX('🎓 Alumnas'!$D$2:$D$1000,MATCH($C170,'🎓 Alumnas'!$B$2:$B$1000,0))),""))</f>
        <v/>
      </c>
      <c r="F170" s="29" t="str">
        <f>IF($C170="","",IFERROR(IF(INDEX('🎓 Alumnas'!$E$2:$E$1000,MATCH($C170,'🎓 Alumnas'!$B$2:$B$1000,0))="","",INDEX('🎓 Alumnas'!$E$2:$E$1000,MATCH($C170,'🎓 Alumnas'!$B$2:$B$1000,0))),""))</f>
        <v/>
      </c>
      <c r="G170" s="31" t="str">
        <f>IF($C170="","",IFERROR(IF(INDEX('🎓 Alumnas'!$F$2:$F$1000,MATCH($C170,'🎓 Alumnas'!$B$2:$B$1000,0))="","",INDEX('🎓 Alumnas'!$F$2:$F$1000,MATCH($C170,'🎓 Alumnas'!$B$2:$B$1000,0))),""))</f>
        <v/>
      </c>
      <c r="H170" s="29" t="str">
        <f t="shared" ca="1" si="6"/>
        <v/>
      </c>
      <c r="I170" s="26"/>
      <c r="J170" s="29" t="str">
        <f t="shared" si="7"/>
        <v/>
      </c>
      <c r="K170" s="26"/>
      <c r="L170" s="26"/>
      <c r="M170" s="35"/>
      <c r="N170" s="30" t="str">
        <f t="shared" si="8"/>
        <v/>
      </c>
      <c r="O170" s="36"/>
      <c r="P170" s="26"/>
      <c r="Q170" s="26"/>
      <c r="R170" s="29" t="str">
        <f>IF(C170="","",IF(COUNTIF($C$2:C170,C170)=1,"Nueva","Recurrente"))</f>
        <v/>
      </c>
      <c r="S170" s="29" t="str">
        <f>IF(OR(C170="",J170&lt;&gt;"Paquete"),"",COUNTIFS($C$2:C170,C170,$J$2:J170,"Paquete"))</f>
        <v/>
      </c>
      <c r="T170" s="26"/>
    </row>
    <row r="171" spans="1:20" x14ac:dyDescent="0.35">
      <c r="A171" s="26" t="s">
        <v>599</v>
      </c>
      <c r="B171" s="28"/>
      <c r="C171" s="26"/>
      <c r="D171" s="34" t="str">
        <f>IF($C171="","",IFERROR(IF(INDEX('🎓 Alumnas'!$C$2:$C$1000,MATCH($C171,'🎓 Alumnas'!$B$2:$B$1000,0))="","",INDEX('🎓 Alumnas'!$C$2:$C$1000,MATCH($C171,'🎓 Alumnas'!$B$2:$B$1000,0))),""))</f>
        <v/>
      </c>
      <c r="E171" s="29" t="str">
        <f>IF($C171="","",IFERROR(IF(INDEX('🎓 Alumnas'!$D$2:$D$1000,MATCH($C171,'🎓 Alumnas'!$B$2:$B$1000,0))="","",INDEX('🎓 Alumnas'!$D$2:$D$1000,MATCH($C171,'🎓 Alumnas'!$B$2:$B$1000,0))),""))</f>
        <v/>
      </c>
      <c r="F171" s="29" t="str">
        <f>IF($C171="","",IFERROR(IF(INDEX('🎓 Alumnas'!$E$2:$E$1000,MATCH($C171,'🎓 Alumnas'!$B$2:$B$1000,0))="","",INDEX('🎓 Alumnas'!$E$2:$E$1000,MATCH($C171,'🎓 Alumnas'!$B$2:$B$1000,0))),""))</f>
        <v/>
      </c>
      <c r="G171" s="31" t="str">
        <f>IF($C171="","",IFERROR(IF(INDEX('🎓 Alumnas'!$F$2:$F$1000,MATCH($C171,'🎓 Alumnas'!$B$2:$B$1000,0))="","",INDEX('🎓 Alumnas'!$F$2:$F$1000,MATCH($C171,'🎓 Alumnas'!$B$2:$B$1000,0))),""))</f>
        <v/>
      </c>
      <c r="H171" s="29" t="str">
        <f t="shared" ca="1" si="6"/>
        <v/>
      </c>
      <c r="I171" s="26"/>
      <c r="J171" s="29" t="str">
        <f t="shared" si="7"/>
        <v/>
      </c>
      <c r="K171" s="26"/>
      <c r="L171" s="26"/>
      <c r="M171" s="35"/>
      <c r="N171" s="30" t="str">
        <f t="shared" si="8"/>
        <v/>
      </c>
      <c r="O171" s="36"/>
      <c r="P171" s="26"/>
      <c r="Q171" s="26"/>
      <c r="R171" s="29" t="str">
        <f>IF(C171="","",IF(COUNTIF($C$2:C171,C171)=1,"Nueva","Recurrente"))</f>
        <v/>
      </c>
      <c r="S171" s="29" t="str">
        <f>IF(OR(C171="",J171&lt;&gt;"Paquete"),"",COUNTIFS($C$2:C171,C171,$J$2:J171,"Paquete"))</f>
        <v/>
      </c>
      <c r="T171" s="26"/>
    </row>
    <row r="172" spans="1:20" x14ac:dyDescent="0.35">
      <c r="A172" s="26" t="s">
        <v>600</v>
      </c>
      <c r="B172" s="28"/>
      <c r="C172" s="26"/>
      <c r="D172" s="34" t="str">
        <f>IF($C172="","",IFERROR(IF(INDEX('🎓 Alumnas'!$C$2:$C$1000,MATCH($C172,'🎓 Alumnas'!$B$2:$B$1000,0))="","",INDEX('🎓 Alumnas'!$C$2:$C$1000,MATCH($C172,'🎓 Alumnas'!$B$2:$B$1000,0))),""))</f>
        <v/>
      </c>
      <c r="E172" s="29" t="str">
        <f>IF($C172="","",IFERROR(IF(INDEX('🎓 Alumnas'!$D$2:$D$1000,MATCH($C172,'🎓 Alumnas'!$B$2:$B$1000,0))="","",INDEX('🎓 Alumnas'!$D$2:$D$1000,MATCH($C172,'🎓 Alumnas'!$B$2:$B$1000,0))),""))</f>
        <v/>
      </c>
      <c r="F172" s="29" t="str">
        <f>IF($C172="","",IFERROR(IF(INDEX('🎓 Alumnas'!$E$2:$E$1000,MATCH($C172,'🎓 Alumnas'!$B$2:$B$1000,0))="","",INDEX('🎓 Alumnas'!$E$2:$E$1000,MATCH($C172,'🎓 Alumnas'!$B$2:$B$1000,0))),""))</f>
        <v/>
      </c>
      <c r="G172" s="31" t="str">
        <f>IF($C172="","",IFERROR(IF(INDEX('🎓 Alumnas'!$F$2:$F$1000,MATCH($C172,'🎓 Alumnas'!$B$2:$B$1000,0))="","",INDEX('🎓 Alumnas'!$F$2:$F$1000,MATCH($C172,'🎓 Alumnas'!$B$2:$B$1000,0))),""))</f>
        <v/>
      </c>
      <c r="H172" s="29" t="str">
        <f t="shared" ca="1" si="6"/>
        <v/>
      </c>
      <c r="I172" s="26"/>
      <c r="J172" s="29" t="str">
        <f t="shared" si="7"/>
        <v/>
      </c>
      <c r="K172" s="26"/>
      <c r="L172" s="26"/>
      <c r="M172" s="35"/>
      <c r="N172" s="30" t="str">
        <f t="shared" si="8"/>
        <v/>
      </c>
      <c r="O172" s="36"/>
      <c r="P172" s="26"/>
      <c r="Q172" s="26"/>
      <c r="R172" s="29" t="str">
        <f>IF(C172="","",IF(COUNTIF($C$2:C172,C172)=1,"Nueva","Recurrente"))</f>
        <v/>
      </c>
      <c r="S172" s="29" t="str">
        <f>IF(OR(C172="",J172&lt;&gt;"Paquete"),"",COUNTIFS($C$2:C172,C172,$J$2:J172,"Paquete"))</f>
        <v/>
      </c>
      <c r="T172" s="26"/>
    </row>
    <row r="173" spans="1:20" x14ac:dyDescent="0.35">
      <c r="A173" s="26" t="s">
        <v>601</v>
      </c>
      <c r="B173" s="28"/>
      <c r="C173" s="26"/>
      <c r="D173" s="34" t="str">
        <f>IF($C173="","",IFERROR(IF(INDEX('🎓 Alumnas'!$C$2:$C$1000,MATCH($C173,'🎓 Alumnas'!$B$2:$B$1000,0))="","",INDEX('🎓 Alumnas'!$C$2:$C$1000,MATCH($C173,'🎓 Alumnas'!$B$2:$B$1000,0))),""))</f>
        <v/>
      </c>
      <c r="E173" s="29" t="str">
        <f>IF($C173="","",IFERROR(IF(INDEX('🎓 Alumnas'!$D$2:$D$1000,MATCH($C173,'🎓 Alumnas'!$B$2:$B$1000,0))="","",INDEX('🎓 Alumnas'!$D$2:$D$1000,MATCH($C173,'🎓 Alumnas'!$B$2:$B$1000,0))),""))</f>
        <v/>
      </c>
      <c r="F173" s="29" t="str">
        <f>IF($C173="","",IFERROR(IF(INDEX('🎓 Alumnas'!$E$2:$E$1000,MATCH($C173,'🎓 Alumnas'!$B$2:$B$1000,0))="","",INDEX('🎓 Alumnas'!$E$2:$E$1000,MATCH($C173,'🎓 Alumnas'!$B$2:$B$1000,0))),""))</f>
        <v/>
      </c>
      <c r="G173" s="31" t="str">
        <f>IF($C173="","",IFERROR(IF(INDEX('🎓 Alumnas'!$F$2:$F$1000,MATCH($C173,'🎓 Alumnas'!$B$2:$B$1000,0))="","",INDEX('🎓 Alumnas'!$F$2:$F$1000,MATCH($C173,'🎓 Alumnas'!$B$2:$B$1000,0))),""))</f>
        <v/>
      </c>
      <c r="H173" s="29" t="str">
        <f t="shared" ca="1" si="6"/>
        <v/>
      </c>
      <c r="I173" s="26"/>
      <c r="J173" s="29" t="str">
        <f t="shared" si="7"/>
        <v/>
      </c>
      <c r="K173" s="26"/>
      <c r="L173" s="26"/>
      <c r="M173" s="35"/>
      <c r="N173" s="30" t="str">
        <f t="shared" si="8"/>
        <v/>
      </c>
      <c r="O173" s="36"/>
      <c r="P173" s="26"/>
      <c r="Q173" s="26"/>
      <c r="R173" s="29" t="str">
        <f>IF(C173="","",IF(COUNTIF($C$2:C173,C173)=1,"Nueva","Recurrente"))</f>
        <v/>
      </c>
      <c r="S173" s="29" t="str">
        <f>IF(OR(C173="",J173&lt;&gt;"Paquete"),"",COUNTIFS($C$2:C173,C173,$J$2:J173,"Paquete"))</f>
        <v/>
      </c>
      <c r="T173" s="26"/>
    </row>
    <row r="174" spans="1:20" x14ac:dyDescent="0.35">
      <c r="A174" s="26" t="s">
        <v>602</v>
      </c>
      <c r="B174" s="28"/>
      <c r="C174" s="26"/>
      <c r="D174" s="34" t="str">
        <f>IF($C174="","",IFERROR(IF(INDEX('🎓 Alumnas'!$C$2:$C$1000,MATCH($C174,'🎓 Alumnas'!$B$2:$B$1000,0))="","",INDEX('🎓 Alumnas'!$C$2:$C$1000,MATCH($C174,'🎓 Alumnas'!$B$2:$B$1000,0))),""))</f>
        <v/>
      </c>
      <c r="E174" s="29" t="str">
        <f>IF($C174="","",IFERROR(IF(INDEX('🎓 Alumnas'!$D$2:$D$1000,MATCH($C174,'🎓 Alumnas'!$B$2:$B$1000,0))="","",INDEX('🎓 Alumnas'!$D$2:$D$1000,MATCH($C174,'🎓 Alumnas'!$B$2:$B$1000,0))),""))</f>
        <v/>
      </c>
      <c r="F174" s="29" t="str">
        <f>IF($C174="","",IFERROR(IF(INDEX('🎓 Alumnas'!$E$2:$E$1000,MATCH($C174,'🎓 Alumnas'!$B$2:$B$1000,0))="","",INDEX('🎓 Alumnas'!$E$2:$E$1000,MATCH($C174,'🎓 Alumnas'!$B$2:$B$1000,0))),""))</f>
        <v/>
      </c>
      <c r="G174" s="31" t="str">
        <f>IF($C174="","",IFERROR(IF(INDEX('🎓 Alumnas'!$F$2:$F$1000,MATCH($C174,'🎓 Alumnas'!$B$2:$B$1000,0))="","",INDEX('🎓 Alumnas'!$F$2:$F$1000,MATCH($C174,'🎓 Alumnas'!$B$2:$B$1000,0))),""))</f>
        <v/>
      </c>
      <c r="H174" s="29" t="str">
        <f t="shared" ca="1" si="6"/>
        <v/>
      </c>
      <c r="I174" s="26"/>
      <c r="J174" s="29" t="str">
        <f t="shared" si="7"/>
        <v/>
      </c>
      <c r="K174" s="26"/>
      <c r="L174" s="26"/>
      <c r="M174" s="35"/>
      <c r="N174" s="30" t="str">
        <f t="shared" si="8"/>
        <v/>
      </c>
      <c r="O174" s="36"/>
      <c r="P174" s="26"/>
      <c r="Q174" s="26"/>
      <c r="R174" s="29" t="str">
        <f>IF(C174="","",IF(COUNTIF($C$2:C174,C174)=1,"Nueva","Recurrente"))</f>
        <v/>
      </c>
      <c r="S174" s="29" t="str">
        <f>IF(OR(C174="",J174&lt;&gt;"Paquete"),"",COUNTIFS($C$2:C174,C174,$J$2:J174,"Paquete"))</f>
        <v/>
      </c>
      <c r="T174" s="26"/>
    </row>
    <row r="175" spans="1:20" x14ac:dyDescent="0.35">
      <c r="A175" s="26" t="s">
        <v>603</v>
      </c>
      <c r="B175" s="28"/>
      <c r="C175" s="26"/>
      <c r="D175" s="34" t="str">
        <f>IF($C175="","",IFERROR(IF(INDEX('🎓 Alumnas'!$C$2:$C$1000,MATCH($C175,'🎓 Alumnas'!$B$2:$B$1000,0))="","",INDEX('🎓 Alumnas'!$C$2:$C$1000,MATCH($C175,'🎓 Alumnas'!$B$2:$B$1000,0))),""))</f>
        <v/>
      </c>
      <c r="E175" s="29" t="str">
        <f>IF($C175="","",IFERROR(IF(INDEX('🎓 Alumnas'!$D$2:$D$1000,MATCH($C175,'🎓 Alumnas'!$B$2:$B$1000,0))="","",INDEX('🎓 Alumnas'!$D$2:$D$1000,MATCH($C175,'🎓 Alumnas'!$B$2:$B$1000,0))),""))</f>
        <v/>
      </c>
      <c r="F175" s="29" t="str">
        <f>IF($C175="","",IFERROR(IF(INDEX('🎓 Alumnas'!$E$2:$E$1000,MATCH($C175,'🎓 Alumnas'!$B$2:$B$1000,0))="","",INDEX('🎓 Alumnas'!$E$2:$E$1000,MATCH($C175,'🎓 Alumnas'!$B$2:$B$1000,0))),""))</f>
        <v/>
      </c>
      <c r="G175" s="31" t="str">
        <f>IF($C175="","",IFERROR(IF(INDEX('🎓 Alumnas'!$F$2:$F$1000,MATCH($C175,'🎓 Alumnas'!$B$2:$B$1000,0))="","",INDEX('🎓 Alumnas'!$F$2:$F$1000,MATCH($C175,'🎓 Alumnas'!$B$2:$B$1000,0))),""))</f>
        <v/>
      </c>
      <c r="H175" s="29" t="str">
        <f t="shared" ca="1" si="6"/>
        <v/>
      </c>
      <c r="I175" s="26"/>
      <c r="J175" s="29" t="str">
        <f t="shared" si="7"/>
        <v/>
      </c>
      <c r="K175" s="26"/>
      <c r="L175" s="26"/>
      <c r="M175" s="35"/>
      <c r="N175" s="30" t="str">
        <f t="shared" si="8"/>
        <v/>
      </c>
      <c r="O175" s="36"/>
      <c r="P175" s="26"/>
      <c r="Q175" s="26"/>
      <c r="R175" s="29" t="str">
        <f>IF(C175="","",IF(COUNTIF($C$2:C175,C175)=1,"Nueva","Recurrente"))</f>
        <v/>
      </c>
      <c r="S175" s="29" t="str">
        <f>IF(OR(C175="",J175&lt;&gt;"Paquete"),"",COUNTIFS($C$2:C175,C175,$J$2:J175,"Paquete"))</f>
        <v/>
      </c>
      <c r="T175" s="26"/>
    </row>
    <row r="176" spans="1:20" x14ac:dyDescent="0.35">
      <c r="A176" s="26" t="s">
        <v>604</v>
      </c>
      <c r="B176" s="28"/>
      <c r="C176" s="26"/>
      <c r="D176" s="34" t="str">
        <f>IF($C176="","",IFERROR(IF(INDEX('🎓 Alumnas'!$C$2:$C$1000,MATCH($C176,'🎓 Alumnas'!$B$2:$B$1000,0))="","",INDEX('🎓 Alumnas'!$C$2:$C$1000,MATCH($C176,'🎓 Alumnas'!$B$2:$B$1000,0))),""))</f>
        <v/>
      </c>
      <c r="E176" s="29" t="str">
        <f>IF($C176="","",IFERROR(IF(INDEX('🎓 Alumnas'!$D$2:$D$1000,MATCH($C176,'🎓 Alumnas'!$B$2:$B$1000,0))="","",INDEX('🎓 Alumnas'!$D$2:$D$1000,MATCH($C176,'🎓 Alumnas'!$B$2:$B$1000,0))),""))</f>
        <v/>
      </c>
      <c r="F176" s="29" t="str">
        <f>IF($C176="","",IFERROR(IF(INDEX('🎓 Alumnas'!$E$2:$E$1000,MATCH($C176,'🎓 Alumnas'!$B$2:$B$1000,0))="","",INDEX('🎓 Alumnas'!$E$2:$E$1000,MATCH($C176,'🎓 Alumnas'!$B$2:$B$1000,0))),""))</f>
        <v/>
      </c>
      <c r="G176" s="31" t="str">
        <f>IF($C176="","",IFERROR(IF(INDEX('🎓 Alumnas'!$F$2:$F$1000,MATCH($C176,'🎓 Alumnas'!$B$2:$B$1000,0))="","",INDEX('🎓 Alumnas'!$F$2:$F$1000,MATCH($C176,'🎓 Alumnas'!$B$2:$B$1000,0))),""))</f>
        <v/>
      </c>
      <c r="H176" s="29" t="str">
        <f t="shared" ca="1" si="6"/>
        <v/>
      </c>
      <c r="I176" s="26"/>
      <c r="J176" s="29" t="str">
        <f t="shared" si="7"/>
        <v/>
      </c>
      <c r="K176" s="26"/>
      <c r="L176" s="26"/>
      <c r="M176" s="35"/>
      <c r="N176" s="30" t="str">
        <f t="shared" si="8"/>
        <v/>
      </c>
      <c r="O176" s="36"/>
      <c r="P176" s="26"/>
      <c r="Q176" s="26"/>
      <c r="R176" s="29" t="str">
        <f>IF(C176="","",IF(COUNTIF($C$2:C176,C176)=1,"Nueva","Recurrente"))</f>
        <v/>
      </c>
      <c r="S176" s="29" t="str">
        <f>IF(OR(C176="",J176&lt;&gt;"Paquete"),"",COUNTIFS($C$2:C176,C176,$J$2:J176,"Paquete"))</f>
        <v/>
      </c>
      <c r="T176" s="26"/>
    </row>
    <row r="177" spans="1:20" x14ac:dyDescent="0.35">
      <c r="A177" s="26" t="s">
        <v>605</v>
      </c>
      <c r="B177" s="28"/>
      <c r="C177" s="26"/>
      <c r="D177" s="34" t="str">
        <f>IF($C177="","",IFERROR(IF(INDEX('🎓 Alumnas'!$C$2:$C$1000,MATCH($C177,'🎓 Alumnas'!$B$2:$B$1000,0))="","",INDEX('🎓 Alumnas'!$C$2:$C$1000,MATCH($C177,'🎓 Alumnas'!$B$2:$B$1000,0))),""))</f>
        <v/>
      </c>
      <c r="E177" s="29" t="str">
        <f>IF($C177="","",IFERROR(IF(INDEX('🎓 Alumnas'!$D$2:$D$1000,MATCH($C177,'🎓 Alumnas'!$B$2:$B$1000,0))="","",INDEX('🎓 Alumnas'!$D$2:$D$1000,MATCH($C177,'🎓 Alumnas'!$B$2:$B$1000,0))),""))</f>
        <v/>
      </c>
      <c r="F177" s="29" t="str">
        <f>IF($C177="","",IFERROR(IF(INDEX('🎓 Alumnas'!$E$2:$E$1000,MATCH($C177,'🎓 Alumnas'!$B$2:$B$1000,0))="","",INDEX('🎓 Alumnas'!$E$2:$E$1000,MATCH($C177,'🎓 Alumnas'!$B$2:$B$1000,0))),""))</f>
        <v/>
      </c>
      <c r="G177" s="31" t="str">
        <f>IF($C177="","",IFERROR(IF(INDEX('🎓 Alumnas'!$F$2:$F$1000,MATCH($C177,'🎓 Alumnas'!$B$2:$B$1000,0))="","",INDEX('🎓 Alumnas'!$F$2:$F$1000,MATCH($C177,'🎓 Alumnas'!$B$2:$B$1000,0))),""))</f>
        <v/>
      </c>
      <c r="H177" s="29" t="str">
        <f t="shared" ca="1" si="6"/>
        <v/>
      </c>
      <c r="I177" s="26"/>
      <c r="J177" s="29" t="str">
        <f t="shared" si="7"/>
        <v/>
      </c>
      <c r="K177" s="26"/>
      <c r="L177" s="26"/>
      <c r="M177" s="35"/>
      <c r="N177" s="30" t="str">
        <f t="shared" si="8"/>
        <v/>
      </c>
      <c r="O177" s="36"/>
      <c r="P177" s="26"/>
      <c r="Q177" s="26"/>
      <c r="R177" s="29" t="str">
        <f>IF(C177="","",IF(COUNTIF($C$2:C177,C177)=1,"Nueva","Recurrente"))</f>
        <v/>
      </c>
      <c r="S177" s="29" t="str">
        <f>IF(OR(C177="",J177&lt;&gt;"Paquete"),"",COUNTIFS($C$2:C177,C177,$J$2:J177,"Paquete"))</f>
        <v/>
      </c>
      <c r="T177" s="26"/>
    </row>
    <row r="178" spans="1:20" x14ac:dyDescent="0.35">
      <c r="A178" s="26" t="s">
        <v>606</v>
      </c>
      <c r="B178" s="28"/>
      <c r="C178" s="26"/>
      <c r="D178" s="34" t="str">
        <f>IF($C178="","",IFERROR(IF(INDEX('🎓 Alumnas'!$C$2:$C$1000,MATCH($C178,'🎓 Alumnas'!$B$2:$B$1000,0))="","",INDEX('🎓 Alumnas'!$C$2:$C$1000,MATCH($C178,'🎓 Alumnas'!$B$2:$B$1000,0))),""))</f>
        <v/>
      </c>
      <c r="E178" s="29" t="str">
        <f>IF($C178="","",IFERROR(IF(INDEX('🎓 Alumnas'!$D$2:$D$1000,MATCH($C178,'🎓 Alumnas'!$B$2:$B$1000,0))="","",INDEX('🎓 Alumnas'!$D$2:$D$1000,MATCH($C178,'🎓 Alumnas'!$B$2:$B$1000,0))),""))</f>
        <v/>
      </c>
      <c r="F178" s="29" t="str">
        <f>IF($C178="","",IFERROR(IF(INDEX('🎓 Alumnas'!$E$2:$E$1000,MATCH($C178,'🎓 Alumnas'!$B$2:$B$1000,0))="","",INDEX('🎓 Alumnas'!$E$2:$E$1000,MATCH($C178,'🎓 Alumnas'!$B$2:$B$1000,0))),""))</f>
        <v/>
      </c>
      <c r="G178" s="31" t="str">
        <f>IF($C178="","",IFERROR(IF(INDEX('🎓 Alumnas'!$F$2:$F$1000,MATCH($C178,'🎓 Alumnas'!$B$2:$B$1000,0))="","",INDEX('🎓 Alumnas'!$F$2:$F$1000,MATCH($C178,'🎓 Alumnas'!$B$2:$B$1000,0))),""))</f>
        <v/>
      </c>
      <c r="H178" s="29" t="str">
        <f t="shared" ca="1" si="6"/>
        <v/>
      </c>
      <c r="I178" s="26"/>
      <c r="J178" s="29" t="str">
        <f t="shared" si="7"/>
        <v/>
      </c>
      <c r="K178" s="26"/>
      <c r="L178" s="26"/>
      <c r="M178" s="35"/>
      <c r="N178" s="30" t="str">
        <f t="shared" si="8"/>
        <v/>
      </c>
      <c r="O178" s="36"/>
      <c r="P178" s="26"/>
      <c r="Q178" s="26"/>
      <c r="R178" s="29" t="str">
        <f>IF(C178="","",IF(COUNTIF($C$2:C178,C178)=1,"Nueva","Recurrente"))</f>
        <v/>
      </c>
      <c r="S178" s="29" t="str">
        <f>IF(OR(C178="",J178&lt;&gt;"Paquete"),"",COUNTIFS($C$2:C178,C178,$J$2:J178,"Paquete"))</f>
        <v/>
      </c>
      <c r="T178" s="26"/>
    </row>
    <row r="179" spans="1:20" x14ac:dyDescent="0.35">
      <c r="A179" s="26" t="s">
        <v>607</v>
      </c>
      <c r="B179" s="28"/>
      <c r="C179" s="26"/>
      <c r="D179" s="34" t="str">
        <f>IF($C179="","",IFERROR(IF(INDEX('🎓 Alumnas'!$C$2:$C$1000,MATCH($C179,'🎓 Alumnas'!$B$2:$B$1000,0))="","",INDEX('🎓 Alumnas'!$C$2:$C$1000,MATCH($C179,'🎓 Alumnas'!$B$2:$B$1000,0))),""))</f>
        <v/>
      </c>
      <c r="E179" s="29" t="str">
        <f>IF($C179="","",IFERROR(IF(INDEX('🎓 Alumnas'!$D$2:$D$1000,MATCH($C179,'🎓 Alumnas'!$B$2:$B$1000,0))="","",INDEX('🎓 Alumnas'!$D$2:$D$1000,MATCH($C179,'🎓 Alumnas'!$B$2:$B$1000,0))),""))</f>
        <v/>
      </c>
      <c r="F179" s="29" t="str">
        <f>IF($C179="","",IFERROR(IF(INDEX('🎓 Alumnas'!$E$2:$E$1000,MATCH($C179,'🎓 Alumnas'!$B$2:$B$1000,0))="","",INDEX('🎓 Alumnas'!$E$2:$E$1000,MATCH($C179,'🎓 Alumnas'!$B$2:$B$1000,0))),""))</f>
        <v/>
      </c>
      <c r="G179" s="31" t="str">
        <f>IF($C179="","",IFERROR(IF(INDEX('🎓 Alumnas'!$F$2:$F$1000,MATCH($C179,'🎓 Alumnas'!$B$2:$B$1000,0))="","",INDEX('🎓 Alumnas'!$F$2:$F$1000,MATCH($C179,'🎓 Alumnas'!$B$2:$B$1000,0))),""))</f>
        <v/>
      </c>
      <c r="H179" s="29" t="str">
        <f t="shared" ca="1" si="6"/>
        <v/>
      </c>
      <c r="I179" s="26"/>
      <c r="J179" s="29" t="str">
        <f t="shared" si="7"/>
        <v/>
      </c>
      <c r="K179" s="26"/>
      <c r="L179" s="26"/>
      <c r="M179" s="35"/>
      <c r="N179" s="30" t="str">
        <f t="shared" si="8"/>
        <v/>
      </c>
      <c r="O179" s="36"/>
      <c r="P179" s="26"/>
      <c r="Q179" s="26"/>
      <c r="R179" s="29" t="str">
        <f>IF(C179="","",IF(COUNTIF($C$2:C179,C179)=1,"Nueva","Recurrente"))</f>
        <v/>
      </c>
      <c r="S179" s="29" t="str">
        <f>IF(OR(C179="",J179&lt;&gt;"Paquete"),"",COUNTIFS($C$2:C179,C179,$J$2:J179,"Paquete"))</f>
        <v/>
      </c>
      <c r="T179" s="26"/>
    </row>
    <row r="180" spans="1:20" x14ac:dyDescent="0.35">
      <c r="A180" s="26" t="s">
        <v>608</v>
      </c>
      <c r="B180" s="28"/>
      <c r="C180" s="26"/>
      <c r="D180" s="34" t="str">
        <f>IF($C180="","",IFERROR(IF(INDEX('🎓 Alumnas'!$C$2:$C$1000,MATCH($C180,'🎓 Alumnas'!$B$2:$B$1000,0))="","",INDEX('🎓 Alumnas'!$C$2:$C$1000,MATCH($C180,'🎓 Alumnas'!$B$2:$B$1000,0))),""))</f>
        <v/>
      </c>
      <c r="E180" s="29" t="str">
        <f>IF($C180="","",IFERROR(IF(INDEX('🎓 Alumnas'!$D$2:$D$1000,MATCH($C180,'🎓 Alumnas'!$B$2:$B$1000,0))="","",INDEX('🎓 Alumnas'!$D$2:$D$1000,MATCH($C180,'🎓 Alumnas'!$B$2:$B$1000,0))),""))</f>
        <v/>
      </c>
      <c r="F180" s="29" t="str">
        <f>IF($C180="","",IFERROR(IF(INDEX('🎓 Alumnas'!$E$2:$E$1000,MATCH($C180,'🎓 Alumnas'!$B$2:$B$1000,0))="","",INDEX('🎓 Alumnas'!$E$2:$E$1000,MATCH($C180,'🎓 Alumnas'!$B$2:$B$1000,0))),""))</f>
        <v/>
      </c>
      <c r="G180" s="31" t="str">
        <f>IF($C180="","",IFERROR(IF(INDEX('🎓 Alumnas'!$F$2:$F$1000,MATCH($C180,'🎓 Alumnas'!$B$2:$B$1000,0))="","",INDEX('🎓 Alumnas'!$F$2:$F$1000,MATCH($C180,'🎓 Alumnas'!$B$2:$B$1000,0))),""))</f>
        <v/>
      </c>
      <c r="H180" s="29" t="str">
        <f t="shared" ca="1" si="6"/>
        <v/>
      </c>
      <c r="I180" s="26"/>
      <c r="J180" s="29" t="str">
        <f t="shared" si="7"/>
        <v/>
      </c>
      <c r="K180" s="26"/>
      <c r="L180" s="26"/>
      <c r="M180" s="35"/>
      <c r="N180" s="30" t="str">
        <f t="shared" si="8"/>
        <v/>
      </c>
      <c r="O180" s="36"/>
      <c r="P180" s="26"/>
      <c r="Q180" s="26"/>
      <c r="R180" s="29" t="str">
        <f>IF(C180="","",IF(COUNTIF($C$2:C180,C180)=1,"Nueva","Recurrente"))</f>
        <v/>
      </c>
      <c r="S180" s="29" t="str">
        <f>IF(OR(C180="",J180&lt;&gt;"Paquete"),"",COUNTIFS($C$2:C180,C180,$J$2:J180,"Paquete"))</f>
        <v/>
      </c>
      <c r="T180" s="26"/>
    </row>
    <row r="181" spans="1:20" x14ac:dyDescent="0.35">
      <c r="A181" s="26" t="s">
        <v>609</v>
      </c>
      <c r="B181" s="28"/>
      <c r="C181" s="26"/>
      <c r="D181" s="34" t="str">
        <f>IF($C181="","",IFERROR(IF(INDEX('🎓 Alumnas'!$C$2:$C$1000,MATCH($C181,'🎓 Alumnas'!$B$2:$B$1000,0))="","",INDEX('🎓 Alumnas'!$C$2:$C$1000,MATCH($C181,'🎓 Alumnas'!$B$2:$B$1000,0))),""))</f>
        <v/>
      </c>
      <c r="E181" s="29" t="str">
        <f>IF($C181="","",IFERROR(IF(INDEX('🎓 Alumnas'!$D$2:$D$1000,MATCH($C181,'🎓 Alumnas'!$B$2:$B$1000,0))="","",INDEX('🎓 Alumnas'!$D$2:$D$1000,MATCH($C181,'🎓 Alumnas'!$B$2:$B$1000,0))),""))</f>
        <v/>
      </c>
      <c r="F181" s="29" t="str">
        <f>IF($C181="","",IFERROR(IF(INDEX('🎓 Alumnas'!$E$2:$E$1000,MATCH($C181,'🎓 Alumnas'!$B$2:$B$1000,0))="","",INDEX('🎓 Alumnas'!$E$2:$E$1000,MATCH($C181,'🎓 Alumnas'!$B$2:$B$1000,0))),""))</f>
        <v/>
      </c>
      <c r="G181" s="31" t="str">
        <f>IF($C181="","",IFERROR(IF(INDEX('🎓 Alumnas'!$F$2:$F$1000,MATCH($C181,'🎓 Alumnas'!$B$2:$B$1000,0))="","",INDEX('🎓 Alumnas'!$F$2:$F$1000,MATCH($C181,'🎓 Alumnas'!$B$2:$B$1000,0))),""))</f>
        <v/>
      </c>
      <c r="H181" s="29" t="str">
        <f t="shared" ca="1" si="6"/>
        <v/>
      </c>
      <c r="I181" s="26"/>
      <c r="J181" s="29" t="str">
        <f t="shared" si="7"/>
        <v/>
      </c>
      <c r="K181" s="26"/>
      <c r="L181" s="26"/>
      <c r="M181" s="35"/>
      <c r="N181" s="30" t="str">
        <f t="shared" si="8"/>
        <v/>
      </c>
      <c r="O181" s="36"/>
      <c r="P181" s="26"/>
      <c r="Q181" s="26"/>
      <c r="R181" s="29" t="str">
        <f>IF(C181="","",IF(COUNTIF($C$2:C181,C181)=1,"Nueva","Recurrente"))</f>
        <v/>
      </c>
      <c r="S181" s="29" t="str">
        <f>IF(OR(C181="",J181&lt;&gt;"Paquete"),"",COUNTIFS($C$2:C181,C181,$J$2:J181,"Paquete"))</f>
        <v/>
      </c>
      <c r="T181" s="26"/>
    </row>
    <row r="182" spans="1:20" x14ac:dyDescent="0.35">
      <c r="A182" s="26" t="s">
        <v>610</v>
      </c>
      <c r="B182" s="28"/>
      <c r="C182" s="26"/>
      <c r="D182" s="34" t="str">
        <f>IF($C182="","",IFERROR(IF(INDEX('🎓 Alumnas'!$C$2:$C$1000,MATCH($C182,'🎓 Alumnas'!$B$2:$B$1000,0))="","",INDEX('🎓 Alumnas'!$C$2:$C$1000,MATCH($C182,'🎓 Alumnas'!$B$2:$B$1000,0))),""))</f>
        <v/>
      </c>
      <c r="E182" s="29" t="str">
        <f>IF($C182="","",IFERROR(IF(INDEX('🎓 Alumnas'!$D$2:$D$1000,MATCH($C182,'🎓 Alumnas'!$B$2:$B$1000,0))="","",INDEX('🎓 Alumnas'!$D$2:$D$1000,MATCH($C182,'🎓 Alumnas'!$B$2:$B$1000,0))),""))</f>
        <v/>
      </c>
      <c r="F182" s="29" t="str">
        <f>IF($C182="","",IFERROR(IF(INDEX('🎓 Alumnas'!$E$2:$E$1000,MATCH($C182,'🎓 Alumnas'!$B$2:$B$1000,0))="","",INDEX('🎓 Alumnas'!$E$2:$E$1000,MATCH($C182,'🎓 Alumnas'!$B$2:$B$1000,0))),""))</f>
        <v/>
      </c>
      <c r="G182" s="31" t="str">
        <f>IF($C182="","",IFERROR(IF(INDEX('🎓 Alumnas'!$F$2:$F$1000,MATCH($C182,'🎓 Alumnas'!$B$2:$B$1000,0))="","",INDEX('🎓 Alumnas'!$F$2:$F$1000,MATCH($C182,'🎓 Alumnas'!$B$2:$B$1000,0))),""))</f>
        <v/>
      </c>
      <c r="H182" s="29" t="str">
        <f t="shared" ca="1" si="6"/>
        <v/>
      </c>
      <c r="I182" s="26"/>
      <c r="J182" s="29" t="str">
        <f t="shared" si="7"/>
        <v/>
      </c>
      <c r="K182" s="26"/>
      <c r="L182" s="26"/>
      <c r="M182" s="35"/>
      <c r="N182" s="30" t="str">
        <f t="shared" si="8"/>
        <v/>
      </c>
      <c r="O182" s="36"/>
      <c r="P182" s="26"/>
      <c r="Q182" s="26"/>
      <c r="R182" s="29" t="str">
        <f>IF(C182="","",IF(COUNTIF($C$2:C182,C182)=1,"Nueva","Recurrente"))</f>
        <v/>
      </c>
      <c r="S182" s="29" t="str">
        <f>IF(OR(C182="",J182&lt;&gt;"Paquete"),"",COUNTIFS($C$2:C182,C182,$J$2:J182,"Paquete"))</f>
        <v/>
      </c>
      <c r="T182" s="26"/>
    </row>
    <row r="183" spans="1:20" x14ac:dyDescent="0.35">
      <c r="A183" s="26" t="s">
        <v>611</v>
      </c>
      <c r="B183" s="28"/>
      <c r="C183" s="26"/>
      <c r="D183" s="34" t="str">
        <f>IF($C183="","",IFERROR(IF(INDEX('🎓 Alumnas'!$C$2:$C$1000,MATCH($C183,'🎓 Alumnas'!$B$2:$B$1000,0))="","",INDEX('🎓 Alumnas'!$C$2:$C$1000,MATCH($C183,'🎓 Alumnas'!$B$2:$B$1000,0))),""))</f>
        <v/>
      </c>
      <c r="E183" s="29" t="str">
        <f>IF($C183="","",IFERROR(IF(INDEX('🎓 Alumnas'!$D$2:$D$1000,MATCH($C183,'🎓 Alumnas'!$B$2:$B$1000,0))="","",INDEX('🎓 Alumnas'!$D$2:$D$1000,MATCH($C183,'🎓 Alumnas'!$B$2:$B$1000,0))),""))</f>
        <v/>
      </c>
      <c r="F183" s="29" t="str">
        <f>IF($C183="","",IFERROR(IF(INDEX('🎓 Alumnas'!$E$2:$E$1000,MATCH($C183,'🎓 Alumnas'!$B$2:$B$1000,0))="","",INDEX('🎓 Alumnas'!$E$2:$E$1000,MATCH($C183,'🎓 Alumnas'!$B$2:$B$1000,0))),""))</f>
        <v/>
      </c>
      <c r="G183" s="31" t="str">
        <f>IF($C183="","",IFERROR(IF(INDEX('🎓 Alumnas'!$F$2:$F$1000,MATCH($C183,'🎓 Alumnas'!$B$2:$B$1000,0))="","",INDEX('🎓 Alumnas'!$F$2:$F$1000,MATCH($C183,'🎓 Alumnas'!$B$2:$B$1000,0))),""))</f>
        <v/>
      </c>
      <c r="H183" s="29" t="str">
        <f t="shared" ca="1" si="6"/>
        <v/>
      </c>
      <c r="I183" s="26"/>
      <c r="J183" s="29" t="str">
        <f t="shared" si="7"/>
        <v/>
      </c>
      <c r="K183" s="26"/>
      <c r="L183" s="26"/>
      <c r="M183" s="35"/>
      <c r="N183" s="30" t="str">
        <f t="shared" si="8"/>
        <v/>
      </c>
      <c r="O183" s="36"/>
      <c r="P183" s="26"/>
      <c r="Q183" s="26"/>
      <c r="R183" s="29" t="str">
        <f>IF(C183="","",IF(COUNTIF($C$2:C183,C183)=1,"Nueva","Recurrente"))</f>
        <v/>
      </c>
      <c r="S183" s="29" t="str">
        <f>IF(OR(C183="",J183&lt;&gt;"Paquete"),"",COUNTIFS($C$2:C183,C183,$J$2:J183,"Paquete"))</f>
        <v/>
      </c>
      <c r="T183" s="26"/>
    </row>
    <row r="184" spans="1:20" x14ac:dyDescent="0.35">
      <c r="A184" s="26" t="s">
        <v>612</v>
      </c>
      <c r="B184" s="28"/>
      <c r="C184" s="26"/>
      <c r="D184" s="34" t="str">
        <f>IF($C184="","",IFERROR(IF(INDEX('🎓 Alumnas'!$C$2:$C$1000,MATCH($C184,'🎓 Alumnas'!$B$2:$B$1000,0))="","",INDEX('🎓 Alumnas'!$C$2:$C$1000,MATCH($C184,'🎓 Alumnas'!$B$2:$B$1000,0))),""))</f>
        <v/>
      </c>
      <c r="E184" s="29" t="str">
        <f>IF($C184="","",IFERROR(IF(INDEX('🎓 Alumnas'!$D$2:$D$1000,MATCH($C184,'🎓 Alumnas'!$B$2:$B$1000,0))="","",INDEX('🎓 Alumnas'!$D$2:$D$1000,MATCH($C184,'🎓 Alumnas'!$B$2:$B$1000,0))),""))</f>
        <v/>
      </c>
      <c r="F184" s="29" t="str">
        <f>IF($C184="","",IFERROR(IF(INDEX('🎓 Alumnas'!$E$2:$E$1000,MATCH($C184,'🎓 Alumnas'!$B$2:$B$1000,0))="","",INDEX('🎓 Alumnas'!$E$2:$E$1000,MATCH($C184,'🎓 Alumnas'!$B$2:$B$1000,0))),""))</f>
        <v/>
      </c>
      <c r="G184" s="31" t="str">
        <f>IF($C184="","",IFERROR(IF(INDEX('🎓 Alumnas'!$F$2:$F$1000,MATCH($C184,'🎓 Alumnas'!$B$2:$B$1000,0))="","",INDEX('🎓 Alumnas'!$F$2:$F$1000,MATCH($C184,'🎓 Alumnas'!$B$2:$B$1000,0))),""))</f>
        <v/>
      </c>
      <c r="H184" s="29" t="str">
        <f t="shared" ca="1" si="6"/>
        <v/>
      </c>
      <c r="I184" s="26"/>
      <c r="J184" s="29" t="str">
        <f t="shared" si="7"/>
        <v/>
      </c>
      <c r="K184" s="26"/>
      <c r="L184" s="26"/>
      <c r="M184" s="35"/>
      <c r="N184" s="30" t="str">
        <f t="shared" si="8"/>
        <v/>
      </c>
      <c r="O184" s="36"/>
      <c r="P184" s="26"/>
      <c r="Q184" s="26"/>
      <c r="R184" s="29" t="str">
        <f>IF(C184="","",IF(COUNTIF($C$2:C184,C184)=1,"Nueva","Recurrente"))</f>
        <v/>
      </c>
      <c r="S184" s="29" t="str">
        <f>IF(OR(C184="",J184&lt;&gt;"Paquete"),"",COUNTIFS($C$2:C184,C184,$J$2:J184,"Paquete"))</f>
        <v/>
      </c>
      <c r="T184" s="26"/>
    </row>
    <row r="185" spans="1:20" x14ac:dyDescent="0.35">
      <c r="A185" s="26" t="s">
        <v>613</v>
      </c>
      <c r="B185" s="28"/>
      <c r="C185" s="26"/>
      <c r="D185" s="34" t="str">
        <f>IF($C185="","",IFERROR(IF(INDEX('🎓 Alumnas'!$C$2:$C$1000,MATCH($C185,'🎓 Alumnas'!$B$2:$B$1000,0))="","",INDEX('🎓 Alumnas'!$C$2:$C$1000,MATCH($C185,'🎓 Alumnas'!$B$2:$B$1000,0))),""))</f>
        <v/>
      </c>
      <c r="E185" s="29" t="str">
        <f>IF($C185="","",IFERROR(IF(INDEX('🎓 Alumnas'!$D$2:$D$1000,MATCH($C185,'🎓 Alumnas'!$B$2:$B$1000,0))="","",INDEX('🎓 Alumnas'!$D$2:$D$1000,MATCH($C185,'🎓 Alumnas'!$B$2:$B$1000,0))),""))</f>
        <v/>
      </c>
      <c r="F185" s="29" t="str">
        <f>IF($C185="","",IFERROR(IF(INDEX('🎓 Alumnas'!$E$2:$E$1000,MATCH($C185,'🎓 Alumnas'!$B$2:$B$1000,0))="","",INDEX('🎓 Alumnas'!$E$2:$E$1000,MATCH($C185,'🎓 Alumnas'!$B$2:$B$1000,0))),""))</f>
        <v/>
      </c>
      <c r="G185" s="31" t="str">
        <f>IF($C185="","",IFERROR(IF(INDEX('🎓 Alumnas'!$F$2:$F$1000,MATCH($C185,'🎓 Alumnas'!$B$2:$B$1000,0))="","",INDEX('🎓 Alumnas'!$F$2:$F$1000,MATCH($C185,'🎓 Alumnas'!$B$2:$B$1000,0))),""))</f>
        <v/>
      </c>
      <c r="H185" s="29" t="str">
        <f t="shared" ca="1" si="6"/>
        <v/>
      </c>
      <c r="I185" s="26"/>
      <c r="J185" s="29" t="str">
        <f t="shared" si="7"/>
        <v/>
      </c>
      <c r="K185" s="26"/>
      <c r="L185" s="26"/>
      <c r="M185" s="35"/>
      <c r="N185" s="30" t="str">
        <f t="shared" si="8"/>
        <v/>
      </c>
      <c r="O185" s="36"/>
      <c r="P185" s="26"/>
      <c r="Q185" s="26"/>
      <c r="R185" s="29" t="str">
        <f>IF(C185="","",IF(COUNTIF($C$2:C185,C185)=1,"Nueva","Recurrente"))</f>
        <v/>
      </c>
      <c r="S185" s="29" t="str">
        <f>IF(OR(C185="",J185&lt;&gt;"Paquete"),"",COUNTIFS($C$2:C185,C185,$J$2:J185,"Paquete"))</f>
        <v/>
      </c>
      <c r="T185" s="26"/>
    </row>
    <row r="186" spans="1:20" x14ac:dyDescent="0.35">
      <c r="A186" s="26" t="s">
        <v>614</v>
      </c>
      <c r="B186" s="28"/>
      <c r="C186" s="26"/>
      <c r="D186" s="34" t="str">
        <f>IF($C186="","",IFERROR(IF(INDEX('🎓 Alumnas'!$C$2:$C$1000,MATCH($C186,'🎓 Alumnas'!$B$2:$B$1000,0))="","",INDEX('🎓 Alumnas'!$C$2:$C$1000,MATCH($C186,'🎓 Alumnas'!$B$2:$B$1000,0))),""))</f>
        <v/>
      </c>
      <c r="E186" s="29" t="str">
        <f>IF($C186="","",IFERROR(IF(INDEX('🎓 Alumnas'!$D$2:$D$1000,MATCH($C186,'🎓 Alumnas'!$B$2:$B$1000,0))="","",INDEX('🎓 Alumnas'!$D$2:$D$1000,MATCH($C186,'🎓 Alumnas'!$B$2:$B$1000,0))),""))</f>
        <v/>
      </c>
      <c r="F186" s="29" t="str">
        <f>IF($C186="","",IFERROR(IF(INDEX('🎓 Alumnas'!$E$2:$E$1000,MATCH($C186,'🎓 Alumnas'!$B$2:$B$1000,0))="","",INDEX('🎓 Alumnas'!$E$2:$E$1000,MATCH($C186,'🎓 Alumnas'!$B$2:$B$1000,0))),""))</f>
        <v/>
      </c>
      <c r="G186" s="31" t="str">
        <f>IF($C186="","",IFERROR(IF(INDEX('🎓 Alumnas'!$F$2:$F$1000,MATCH($C186,'🎓 Alumnas'!$B$2:$B$1000,0))="","",INDEX('🎓 Alumnas'!$F$2:$F$1000,MATCH($C186,'🎓 Alumnas'!$B$2:$B$1000,0))),""))</f>
        <v/>
      </c>
      <c r="H186" s="29" t="str">
        <f t="shared" ca="1" si="6"/>
        <v/>
      </c>
      <c r="I186" s="26"/>
      <c r="J186" s="29" t="str">
        <f t="shared" si="7"/>
        <v/>
      </c>
      <c r="K186" s="26"/>
      <c r="L186" s="26"/>
      <c r="M186" s="35"/>
      <c r="N186" s="30" t="str">
        <f t="shared" si="8"/>
        <v/>
      </c>
      <c r="O186" s="36"/>
      <c r="P186" s="26"/>
      <c r="Q186" s="26"/>
      <c r="R186" s="29" t="str">
        <f>IF(C186="","",IF(COUNTIF($C$2:C186,C186)=1,"Nueva","Recurrente"))</f>
        <v/>
      </c>
      <c r="S186" s="29" t="str">
        <f>IF(OR(C186="",J186&lt;&gt;"Paquete"),"",COUNTIFS($C$2:C186,C186,$J$2:J186,"Paquete"))</f>
        <v/>
      </c>
      <c r="T186" s="26"/>
    </row>
    <row r="187" spans="1:20" x14ac:dyDescent="0.35">
      <c r="A187" s="26" t="s">
        <v>615</v>
      </c>
      <c r="B187" s="28"/>
      <c r="C187" s="26"/>
      <c r="D187" s="34" t="str">
        <f>IF($C187="","",IFERROR(IF(INDEX('🎓 Alumnas'!$C$2:$C$1000,MATCH($C187,'🎓 Alumnas'!$B$2:$B$1000,0))="","",INDEX('🎓 Alumnas'!$C$2:$C$1000,MATCH($C187,'🎓 Alumnas'!$B$2:$B$1000,0))),""))</f>
        <v/>
      </c>
      <c r="E187" s="29" t="str">
        <f>IF($C187="","",IFERROR(IF(INDEX('🎓 Alumnas'!$D$2:$D$1000,MATCH($C187,'🎓 Alumnas'!$B$2:$B$1000,0))="","",INDEX('🎓 Alumnas'!$D$2:$D$1000,MATCH($C187,'🎓 Alumnas'!$B$2:$B$1000,0))),""))</f>
        <v/>
      </c>
      <c r="F187" s="29" t="str">
        <f>IF($C187="","",IFERROR(IF(INDEX('🎓 Alumnas'!$E$2:$E$1000,MATCH($C187,'🎓 Alumnas'!$B$2:$B$1000,0))="","",INDEX('🎓 Alumnas'!$E$2:$E$1000,MATCH($C187,'🎓 Alumnas'!$B$2:$B$1000,0))),""))</f>
        <v/>
      </c>
      <c r="G187" s="31" t="str">
        <f>IF($C187="","",IFERROR(IF(INDEX('🎓 Alumnas'!$F$2:$F$1000,MATCH($C187,'🎓 Alumnas'!$B$2:$B$1000,0))="","",INDEX('🎓 Alumnas'!$F$2:$F$1000,MATCH($C187,'🎓 Alumnas'!$B$2:$B$1000,0))),""))</f>
        <v/>
      </c>
      <c r="H187" s="29" t="str">
        <f t="shared" ca="1" si="6"/>
        <v/>
      </c>
      <c r="I187" s="26"/>
      <c r="J187" s="29" t="str">
        <f t="shared" si="7"/>
        <v/>
      </c>
      <c r="K187" s="26"/>
      <c r="L187" s="26"/>
      <c r="M187" s="35"/>
      <c r="N187" s="30" t="str">
        <f t="shared" si="8"/>
        <v/>
      </c>
      <c r="O187" s="36"/>
      <c r="P187" s="26"/>
      <c r="Q187" s="26"/>
      <c r="R187" s="29" t="str">
        <f>IF(C187="","",IF(COUNTIF($C$2:C187,C187)=1,"Nueva","Recurrente"))</f>
        <v/>
      </c>
      <c r="S187" s="29" t="str">
        <f>IF(OR(C187="",J187&lt;&gt;"Paquete"),"",COUNTIFS($C$2:C187,C187,$J$2:J187,"Paquete"))</f>
        <v/>
      </c>
      <c r="T187" s="26"/>
    </row>
    <row r="188" spans="1:20" x14ac:dyDescent="0.35">
      <c r="A188" s="26" t="s">
        <v>616</v>
      </c>
      <c r="B188" s="28"/>
      <c r="C188" s="26"/>
      <c r="D188" s="34" t="str">
        <f>IF($C188="","",IFERROR(IF(INDEX('🎓 Alumnas'!$C$2:$C$1000,MATCH($C188,'🎓 Alumnas'!$B$2:$B$1000,0))="","",INDEX('🎓 Alumnas'!$C$2:$C$1000,MATCH($C188,'🎓 Alumnas'!$B$2:$B$1000,0))),""))</f>
        <v/>
      </c>
      <c r="E188" s="29" t="str">
        <f>IF($C188="","",IFERROR(IF(INDEX('🎓 Alumnas'!$D$2:$D$1000,MATCH($C188,'🎓 Alumnas'!$B$2:$B$1000,0))="","",INDEX('🎓 Alumnas'!$D$2:$D$1000,MATCH($C188,'🎓 Alumnas'!$B$2:$B$1000,0))),""))</f>
        <v/>
      </c>
      <c r="F188" s="29" t="str">
        <f>IF($C188="","",IFERROR(IF(INDEX('🎓 Alumnas'!$E$2:$E$1000,MATCH($C188,'🎓 Alumnas'!$B$2:$B$1000,0))="","",INDEX('🎓 Alumnas'!$E$2:$E$1000,MATCH($C188,'🎓 Alumnas'!$B$2:$B$1000,0))),""))</f>
        <v/>
      </c>
      <c r="G188" s="31" t="str">
        <f>IF($C188="","",IFERROR(IF(INDEX('🎓 Alumnas'!$F$2:$F$1000,MATCH($C188,'🎓 Alumnas'!$B$2:$B$1000,0))="","",INDEX('🎓 Alumnas'!$F$2:$F$1000,MATCH($C188,'🎓 Alumnas'!$B$2:$B$1000,0))),""))</f>
        <v/>
      </c>
      <c r="H188" s="29" t="str">
        <f t="shared" ca="1" si="6"/>
        <v/>
      </c>
      <c r="I188" s="26"/>
      <c r="J188" s="29" t="str">
        <f t="shared" si="7"/>
        <v/>
      </c>
      <c r="K188" s="26"/>
      <c r="L188" s="26"/>
      <c r="M188" s="35"/>
      <c r="N188" s="30" t="str">
        <f t="shared" si="8"/>
        <v/>
      </c>
      <c r="O188" s="36"/>
      <c r="P188" s="26"/>
      <c r="Q188" s="26"/>
      <c r="R188" s="29" t="str">
        <f>IF(C188="","",IF(COUNTIF($C$2:C188,C188)=1,"Nueva","Recurrente"))</f>
        <v/>
      </c>
      <c r="S188" s="29" t="str">
        <f>IF(OR(C188="",J188&lt;&gt;"Paquete"),"",COUNTIFS($C$2:C188,C188,$J$2:J188,"Paquete"))</f>
        <v/>
      </c>
      <c r="T188" s="26"/>
    </row>
    <row r="189" spans="1:20" x14ac:dyDescent="0.35">
      <c r="A189" s="26" t="s">
        <v>617</v>
      </c>
      <c r="B189" s="28"/>
      <c r="C189" s="26"/>
      <c r="D189" s="34" t="str">
        <f>IF($C189="","",IFERROR(IF(INDEX('🎓 Alumnas'!$C$2:$C$1000,MATCH($C189,'🎓 Alumnas'!$B$2:$B$1000,0))="","",INDEX('🎓 Alumnas'!$C$2:$C$1000,MATCH($C189,'🎓 Alumnas'!$B$2:$B$1000,0))),""))</f>
        <v/>
      </c>
      <c r="E189" s="29" t="str">
        <f>IF($C189="","",IFERROR(IF(INDEX('🎓 Alumnas'!$D$2:$D$1000,MATCH($C189,'🎓 Alumnas'!$B$2:$B$1000,0))="","",INDEX('🎓 Alumnas'!$D$2:$D$1000,MATCH($C189,'🎓 Alumnas'!$B$2:$B$1000,0))),""))</f>
        <v/>
      </c>
      <c r="F189" s="29" t="str">
        <f>IF($C189="","",IFERROR(IF(INDEX('🎓 Alumnas'!$E$2:$E$1000,MATCH($C189,'🎓 Alumnas'!$B$2:$B$1000,0))="","",INDEX('🎓 Alumnas'!$E$2:$E$1000,MATCH($C189,'🎓 Alumnas'!$B$2:$B$1000,0))),""))</f>
        <v/>
      </c>
      <c r="G189" s="31" t="str">
        <f>IF($C189="","",IFERROR(IF(INDEX('🎓 Alumnas'!$F$2:$F$1000,MATCH($C189,'🎓 Alumnas'!$B$2:$B$1000,0))="","",INDEX('🎓 Alumnas'!$F$2:$F$1000,MATCH($C189,'🎓 Alumnas'!$B$2:$B$1000,0))),""))</f>
        <v/>
      </c>
      <c r="H189" s="29" t="str">
        <f t="shared" ca="1" si="6"/>
        <v/>
      </c>
      <c r="I189" s="26"/>
      <c r="J189" s="29" t="str">
        <f t="shared" si="7"/>
        <v/>
      </c>
      <c r="K189" s="26"/>
      <c r="L189" s="26"/>
      <c r="M189" s="35"/>
      <c r="N189" s="30" t="str">
        <f t="shared" si="8"/>
        <v/>
      </c>
      <c r="O189" s="36"/>
      <c r="P189" s="26"/>
      <c r="Q189" s="26"/>
      <c r="R189" s="29" t="str">
        <f>IF(C189="","",IF(COUNTIF($C$2:C189,C189)=1,"Nueva","Recurrente"))</f>
        <v/>
      </c>
      <c r="S189" s="29" t="str">
        <f>IF(OR(C189="",J189&lt;&gt;"Paquete"),"",COUNTIFS($C$2:C189,C189,$J$2:J189,"Paquete"))</f>
        <v/>
      </c>
      <c r="T189" s="26"/>
    </row>
    <row r="190" spans="1:20" x14ac:dyDescent="0.35">
      <c r="A190" s="26" t="s">
        <v>618</v>
      </c>
      <c r="B190" s="28"/>
      <c r="C190" s="26"/>
      <c r="D190" s="34" t="str">
        <f>IF($C190="","",IFERROR(IF(INDEX('🎓 Alumnas'!$C$2:$C$1000,MATCH($C190,'🎓 Alumnas'!$B$2:$B$1000,0))="","",INDEX('🎓 Alumnas'!$C$2:$C$1000,MATCH($C190,'🎓 Alumnas'!$B$2:$B$1000,0))),""))</f>
        <v/>
      </c>
      <c r="E190" s="29" t="str">
        <f>IF($C190="","",IFERROR(IF(INDEX('🎓 Alumnas'!$D$2:$D$1000,MATCH($C190,'🎓 Alumnas'!$B$2:$B$1000,0))="","",INDEX('🎓 Alumnas'!$D$2:$D$1000,MATCH($C190,'🎓 Alumnas'!$B$2:$B$1000,0))),""))</f>
        <v/>
      </c>
      <c r="F190" s="29" t="str">
        <f>IF($C190="","",IFERROR(IF(INDEX('🎓 Alumnas'!$E$2:$E$1000,MATCH($C190,'🎓 Alumnas'!$B$2:$B$1000,0))="","",INDEX('🎓 Alumnas'!$E$2:$E$1000,MATCH($C190,'🎓 Alumnas'!$B$2:$B$1000,0))),""))</f>
        <v/>
      </c>
      <c r="G190" s="31" t="str">
        <f>IF($C190="","",IFERROR(IF(INDEX('🎓 Alumnas'!$F$2:$F$1000,MATCH($C190,'🎓 Alumnas'!$B$2:$B$1000,0))="","",INDEX('🎓 Alumnas'!$F$2:$F$1000,MATCH($C190,'🎓 Alumnas'!$B$2:$B$1000,0))),""))</f>
        <v/>
      </c>
      <c r="H190" s="29" t="str">
        <f t="shared" ca="1" si="6"/>
        <v/>
      </c>
      <c r="I190" s="26"/>
      <c r="J190" s="29" t="str">
        <f t="shared" si="7"/>
        <v/>
      </c>
      <c r="K190" s="26"/>
      <c r="L190" s="26"/>
      <c r="M190" s="35"/>
      <c r="N190" s="30" t="str">
        <f t="shared" si="8"/>
        <v/>
      </c>
      <c r="O190" s="36"/>
      <c r="P190" s="26"/>
      <c r="Q190" s="26"/>
      <c r="R190" s="29" t="str">
        <f>IF(C190="","",IF(COUNTIF($C$2:C190,C190)=1,"Nueva","Recurrente"))</f>
        <v/>
      </c>
      <c r="S190" s="29" t="str">
        <f>IF(OR(C190="",J190&lt;&gt;"Paquete"),"",COUNTIFS($C$2:C190,C190,$J$2:J190,"Paquete"))</f>
        <v/>
      </c>
      <c r="T190" s="26"/>
    </row>
    <row r="191" spans="1:20" x14ac:dyDescent="0.35">
      <c r="A191" s="26" t="s">
        <v>619</v>
      </c>
      <c r="B191" s="28"/>
      <c r="C191" s="26"/>
      <c r="D191" s="34" t="str">
        <f>IF($C191="","",IFERROR(IF(INDEX('🎓 Alumnas'!$C$2:$C$1000,MATCH($C191,'🎓 Alumnas'!$B$2:$B$1000,0))="","",INDEX('🎓 Alumnas'!$C$2:$C$1000,MATCH($C191,'🎓 Alumnas'!$B$2:$B$1000,0))),""))</f>
        <v/>
      </c>
      <c r="E191" s="29" t="str">
        <f>IF($C191="","",IFERROR(IF(INDEX('🎓 Alumnas'!$D$2:$D$1000,MATCH($C191,'🎓 Alumnas'!$B$2:$B$1000,0))="","",INDEX('🎓 Alumnas'!$D$2:$D$1000,MATCH($C191,'🎓 Alumnas'!$B$2:$B$1000,0))),""))</f>
        <v/>
      </c>
      <c r="F191" s="29" t="str">
        <f>IF($C191="","",IFERROR(IF(INDEX('🎓 Alumnas'!$E$2:$E$1000,MATCH($C191,'🎓 Alumnas'!$B$2:$B$1000,0))="","",INDEX('🎓 Alumnas'!$E$2:$E$1000,MATCH($C191,'🎓 Alumnas'!$B$2:$B$1000,0))),""))</f>
        <v/>
      </c>
      <c r="G191" s="31" t="str">
        <f>IF($C191="","",IFERROR(IF(INDEX('🎓 Alumnas'!$F$2:$F$1000,MATCH($C191,'🎓 Alumnas'!$B$2:$B$1000,0))="","",INDEX('🎓 Alumnas'!$F$2:$F$1000,MATCH($C191,'🎓 Alumnas'!$B$2:$B$1000,0))),""))</f>
        <v/>
      </c>
      <c r="H191" s="29" t="str">
        <f t="shared" ca="1" si="6"/>
        <v/>
      </c>
      <c r="I191" s="26"/>
      <c r="J191" s="29" t="str">
        <f t="shared" si="7"/>
        <v/>
      </c>
      <c r="K191" s="26"/>
      <c r="L191" s="26"/>
      <c r="M191" s="35"/>
      <c r="N191" s="30" t="str">
        <f t="shared" si="8"/>
        <v/>
      </c>
      <c r="O191" s="36"/>
      <c r="P191" s="26"/>
      <c r="Q191" s="26"/>
      <c r="R191" s="29" t="str">
        <f>IF(C191="","",IF(COUNTIF($C$2:C191,C191)=1,"Nueva","Recurrente"))</f>
        <v/>
      </c>
      <c r="S191" s="29" t="str">
        <f>IF(OR(C191="",J191&lt;&gt;"Paquete"),"",COUNTIFS($C$2:C191,C191,$J$2:J191,"Paquete"))</f>
        <v/>
      </c>
      <c r="T191" s="26"/>
    </row>
    <row r="192" spans="1:20" x14ac:dyDescent="0.35">
      <c r="A192" s="26" t="s">
        <v>620</v>
      </c>
      <c r="B192" s="28"/>
      <c r="C192" s="26"/>
      <c r="D192" s="34" t="str">
        <f>IF($C192="","",IFERROR(IF(INDEX('🎓 Alumnas'!$C$2:$C$1000,MATCH($C192,'🎓 Alumnas'!$B$2:$B$1000,0))="","",INDEX('🎓 Alumnas'!$C$2:$C$1000,MATCH($C192,'🎓 Alumnas'!$B$2:$B$1000,0))),""))</f>
        <v/>
      </c>
      <c r="E192" s="29" t="str">
        <f>IF($C192="","",IFERROR(IF(INDEX('🎓 Alumnas'!$D$2:$D$1000,MATCH($C192,'🎓 Alumnas'!$B$2:$B$1000,0))="","",INDEX('🎓 Alumnas'!$D$2:$D$1000,MATCH($C192,'🎓 Alumnas'!$B$2:$B$1000,0))),""))</f>
        <v/>
      </c>
      <c r="F192" s="29" t="str">
        <f>IF($C192="","",IFERROR(IF(INDEX('🎓 Alumnas'!$E$2:$E$1000,MATCH($C192,'🎓 Alumnas'!$B$2:$B$1000,0))="","",INDEX('🎓 Alumnas'!$E$2:$E$1000,MATCH($C192,'🎓 Alumnas'!$B$2:$B$1000,0))),""))</f>
        <v/>
      </c>
      <c r="G192" s="31" t="str">
        <f>IF($C192="","",IFERROR(IF(INDEX('🎓 Alumnas'!$F$2:$F$1000,MATCH($C192,'🎓 Alumnas'!$B$2:$B$1000,0))="","",INDEX('🎓 Alumnas'!$F$2:$F$1000,MATCH($C192,'🎓 Alumnas'!$B$2:$B$1000,0))),""))</f>
        <v/>
      </c>
      <c r="H192" s="29" t="str">
        <f t="shared" ca="1" si="6"/>
        <v/>
      </c>
      <c r="I192" s="26"/>
      <c r="J192" s="29" t="str">
        <f t="shared" si="7"/>
        <v/>
      </c>
      <c r="K192" s="26"/>
      <c r="L192" s="26"/>
      <c r="M192" s="35"/>
      <c r="N192" s="30" t="str">
        <f t="shared" si="8"/>
        <v/>
      </c>
      <c r="O192" s="36"/>
      <c r="P192" s="26"/>
      <c r="Q192" s="26"/>
      <c r="R192" s="29" t="str">
        <f>IF(C192="","",IF(COUNTIF($C$2:C192,C192)=1,"Nueva","Recurrente"))</f>
        <v/>
      </c>
      <c r="S192" s="29" t="str">
        <f>IF(OR(C192="",J192&lt;&gt;"Paquete"),"",COUNTIFS($C$2:C192,C192,$J$2:J192,"Paquete"))</f>
        <v/>
      </c>
      <c r="T192" s="26"/>
    </row>
    <row r="193" spans="1:20" x14ac:dyDescent="0.35">
      <c r="A193" s="26" t="s">
        <v>621</v>
      </c>
      <c r="B193" s="28"/>
      <c r="C193" s="26"/>
      <c r="D193" s="34" t="str">
        <f>IF($C193="","",IFERROR(IF(INDEX('🎓 Alumnas'!$C$2:$C$1000,MATCH($C193,'🎓 Alumnas'!$B$2:$B$1000,0))="","",INDEX('🎓 Alumnas'!$C$2:$C$1000,MATCH($C193,'🎓 Alumnas'!$B$2:$B$1000,0))),""))</f>
        <v/>
      </c>
      <c r="E193" s="29" t="str">
        <f>IF($C193="","",IFERROR(IF(INDEX('🎓 Alumnas'!$D$2:$D$1000,MATCH($C193,'🎓 Alumnas'!$B$2:$B$1000,0))="","",INDEX('🎓 Alumnas'!$D$2:$D$1000,MATCH($C193,'🎓 Alumnas'!$B$2:$B$1000,0))),""))</f>
        <v/>
      </c>
      <c r="F193" s="29" t="str">
        <f>IF($C193="","",IFERROR(IF(INDEX('🎓 Alumnas'!$E$2:$E$1000,MATCH($C193,'🎓 Alumnas'!$B$2:$B$1000,0))="","",INDEX('🎓 Alumnas'!$E$2:$E$1000,MATCH($C193,'🎓 Alumnas'!$B$2:$B$1000,0))),""))</f>
        <v/>
      </c>
      <c r="G193" s="31" t="str">
        <f>IF($C193="","",IFERROR(IF(INDEX('🎓 Alumnas'!$F$2:$F$1000,MATCH($C193,'🎓 Alumnas'!$B$2:$B$1000,0))="","",INDEX('🎓 Alumnas'!$F$2:$F$1000,MATCH($C193,'🎓 Alumnas'!$B$2:$B$1000,0))),""))</f>
        <v/>
      </c>
      <c r="H193" s="29" t="str">
        <f t="shared" ca="1" si="6"/>
        <v/>
      </c>
      <c r="I193" s="26"/>
      <c r="J193" s="29" t="str">
        <f t="shared" si="7"/>
        <v/>
      </c>
      <c r="K193" s="26"/>
      <c r="L193" s="26"/>
      <c r="M193" s="35"/>
      <c r="N193" s="30" t="str">
        <f t="shared" si="8"/>
        <v/>
      </c>
      <c r="O193" s="36"/>
      <c r="P193" s="26"/>
      <c r="Q193" s="26"/>
      <c r="R193" s="29" t="str">
        <f>IF(C193="","",IF(COUNTIF($C$2:C193,C193)=1,"Nueva","Recurrente"))</f>
        <v/>
      </c>
      <c r="S193" s="29" t="str">
        <f>IF(OR(C193="",J193&lt;&gt;"Paquete"),"",COUNTIFS($C$2:C193,C193,$J$2:J193,"Paquete"))</f>
        <v/>
      </c>
      <c r="T193" s="26"/>
    </row>
    <row r="194" spans="1:20" x14ac:dyDescent="0.35">
      <c r="A194" s="26" t="s">
        <v>622</v>
      </c>
      <c r="B194" s="28"/>
      <c r="C194" s="26"/>
      <c r="D194" s="34" t="str">
        <f>IF($C194="","",IFERROR(IF(INDEX('🎓 Alumnas'!$C$2:$C$1000,MATCH($C194,'🎓 Alumnas'!$B$2:$B$1000,0))="","",INDEX('🎓 Alumnas'!$C$2:$C$1000,MATCH($C194,'🎓 Alumnas'!$B$2:$B$1000,0))),""))</f>
        <v/>
      </c>
      <c r="E194" s="29" t="str">
        <f>IF($C194="","",IFERROR(IF(INDEX('🎓 Alumnas'!$D$2:$D$1000,MATCH($C194,'🎓 Alumnas'!$B$2:$B$1000,0))="","",INDEX('🎓 Alumnas'!$D$2:$D$1000,MATCH($C194,'🎓 Alumnas'!$B$2:$B$1000,0))),""))</f>
        <v/>
      </c>
      <c r="F194" s="29" t="str">
        <f>IF($C194="","",IFERROR(IF(INDEX('🎓 Alumnas'!$E$2:$E$1000,MATCH($C194,'🎓 Alumnas'!$B$2:$B$1000,0))="","",INDEX('🎓 Alumnas'!$E$2:$E$1000,MATCH($C194,'🎓 Alumnas'!$B$2:$B$1000,0))),""))</f>
        <v/>
      </c>
      <c r="G194" s="31" t="str">
        <f>IF($C194="","",IFERROR(IF(INDEX('🎓 Alumnas'!$F$2:$F$1000,MATCH($C194,'🎓 Alumnas'!$B$2:$B$1000,0))="","",INDEX('🎓 Alumnas'!$F$2:$F$1000,MATCH($C194,'🎓 Alumnas'!$B$2:$B$1000,0))),""))</f>
        <v/>
      </c>
      <c r="H194" s="29" t="str">
        <f t="shared" ref="H194:H257" ca="1" si="9">IF(G194="","",DATEDIF(G194,TODAY(),"Y"))</f>
        <v/>
      </c>
      <c r="I194" s="26"/>
      <c r="J194" s="29" t="str">
        <f t="shared" ref="J194:J257" si="10">IF(I194="","",IF(LEFT(I194,6)="1 Pole","Alquiler",IF(LEFT(I194,7)="1 Clase","Clase suelta","Paquete")))</f>
        <v/>
      </c>
      <c r="K194" s="26"/>
      <c r="L194" s="26"/>
      <c r="M194" s="35"/>
      <c r="N194" s="30" t="str">
        <f t="shared" ref="N194:N257" si="11">IF(M194="","",L194*M194)</f>
        <v/>
      </c>
      <c r="O194" s="36"/>
      <c r="P194" s="26"/>
      <c r="Q194" s="26"/>
      <c r="R194" s="29" t="str">
        <f>IF(C194="","",IF(COUNTIF($C$2:C194,C194)=1,"Nueva","Recurrente"))</f>
        <v/>
      </c>
      <c r="S194" s="29" t="str">
        <f>IF(OR(C194="",J194&lt;&gt;"Paquete"),"",COUNTIFS($C$2:C194,C194,$J$2:J194,"Paquete"))</f>
        <v/>
      </c>
      <c r="T194" s="26"/>
    </row>
    <row r="195" spans="1:20" x14ac:dyDescent="0.35">
      <c r="A195" s="26" t="s">
        <v>623</v>
      </c>
      <c r="B195" s="28"/>
      <c r="C195" s="26"/>
      <c r="D195" s="34" t="str">
        <f>IF($C195="","",IFERROR(IF(INDEX('🎓 Alumnas'!$C$2:$C$1000,MATCH($C195,'🎓 Alumnas'!$B$2:$B$1000,0))="","",INDEX('🎓 Alumnas'!$C$2:$C$1000,MATCH($C195,'🎓 Alumnas'!$B$2:$B$1000,0))),""))</f>
        <v/>
      </c>
      <c r="E195" s="29" t="str">
        <f>IF($C195="","",IFERROR(IF(INDEX('🎓 Alumnas'!$D$2:$D$1000,MATCH($C195,'🎓 Alumnas'!$B$2:$B$1000,0))="","",INDEX('🎓 Alumnas'!$D$2:$D$1000,MATCH($C195,'🎓 Alumnas'!$B$2:$B$1000,0))),""))</f>
        <v/>
      </c>
      <c r="F195" s="29" t="str">
        <f>IF($C195="","",IFERROR(IF(INDEX('🎓 Alumnas'!$E$2:$E$1000,MATCH($C195,'🎓 Alumnas'!$B$2:$B$1000,0))="","",INDEX('🎓 Alumnas'!$E$2:$E$1000,MATCH($C195,'🎓 Alumnas'!$B$2:$B$1000,0))),""))</f>
        <v/>
      </c>
      <c r="G195" s="31" t="str">
        <f>IF($C195="","",IFERROR(IF(INDEX('🎓 Alumnas'!$F$2:$F$1000,MATCH($C195,'🎓 Alumnas'!$B$2:$B$1000,0))="","",INDEX('🎓 Alumnas'!$F$2:$F$1000,MATCH($C195,'🎓 Alumnas'!$B$2:$B$1000,0))),""))</f>
        <v/>
      </c>
      <c r="H195" s="29" t="str">
        <f t="shared" ca="1" si="9"/>
        <v/>
      </c>
      <c r="I195" s="26"/>
      <c r="J195" s="29" t="str">
        <f t="shared" si="10"/>
        <v/>
      </c>
      <c r="K195" s="26"/>
      <c r="L195" s="26"/>
      <c r="M195" s="35"/>
      <c r="N195" s="30" t="str">
        <f t="shared" si="11"/>
        <v/>
      </c>
      <c r="O195" s="36"/>
      <c r="P195" s="26"/>
      <c r="Q195" s="26"/>
      <c r="R195" s="29" t="str">
        <f>IF(C195="","",IF(COUNTIF($C$2:C195,C195)=1,"Nueva","Recurrente"))</f>
        <v/>
      </c>
      <c r="S195" s="29" t="str">
        <f>IF(OR(C195="",J195&lt;&gt;"Paquete"),"",COUNTIFS($C$2:C195,C195,$J$2:J195,"Paquete"))</f>
        <v/>
      </c>
      <c r="T195" s="26"/>
    </row>
    <row r="196" spans="1:20" x14ac:dyDescent="0.35">
      <c r="A196" s="26" t="s">
        <v>624</v>
      </c>
      <c r="B196" s="28"/>
      <c r="C196" s="26"/>
      <c r="D196" s="34" t="str">
        <f>IF($C196="","",IFERROR(IF(INDEX('🎓 Alumnas'!$C$2:$C$1000,MATCH($C196,'🎓 Alumnas'!$B$2:$B$1000,0))="","",INDEX('🎓 Alumnas'!$C$2:$C$1000,MATCH($C196,'🎓 Alumnas'!$B$2:$B$1000,0))),""))</f>
        <v/>
      </c>
      <c r="E196" s="29" t="str">
        <f>IF($C196="","",IFERROR(IF(INDEX('🎓 Alumnas'!$D$2:$D$1000,MATCH($C196,'🎓 Alumnas'!$B$2:$B$1000,0))="","",INDEX('🎓 Alumnas'!$D$2:$D$1000,MATCH($C196,'🎓 Alumnas'!$B$2:$B$1000,0))),""))</f>
        <v/>
      </c>
      <c r="F196" s="29" t="str">
        <f>IF($C196="","",IFERROR(IF(INDEX('🎓 Alumnas'!$E$2:$E$1000,MATCH($C196,'🎓 Alumnas'!$B$2:$B$1000,0))="","",INDEX('🎓 Alumnas'!$E$2:$E$1000,MATCH($C196,'🎓 Alumnas'!$B$2:$B$1000,0))),""))</f>
        <v/>
      </c>
      <c r="G196" s="31" t="str">
        <f>IF($C196="","",IFERROR(IF(INDEX('🎓 Alumnas'!$F$2:$F$1000,MATCH($C196,'🎓 Alumnas'!$B$2:$B$1000,0))="","",INDEX('🎓 Alumnas'!$F$2:$F$1000,MATCH($C196,'🎓 Alumnas'!$B$2:$B$1000,0))),""))</f>
        <v/>
      </c>
      <c r="H196" s="29" t="str">
        <f t="shared" ca="1" si="9"/>
        <v/>
      </c>
      <c r="I196" s="26"/>
      <c r="J196" s="29" t="str">
        <f t="shared" si="10"/>
        <v/>
      </c>
      <c r="K196" s="26"/>
      <c r="L196" s="26"/>
      <c r="M196" s="35"/>
      <c r="N196" s="30" t="str">
        <f t="shared" si="11"/>
        <v/>
      </c>
      <c r="O196" s="36"/>
      <c r="P196" s="26"/>
      <c r="Q196" s="26"/>
      <c r="R196" s="29" t="str">
        <f>IF(C196="","",IF(COUNTIF($C$2:C196,C196)=1,"Nueva","Recurrente"))</f>
        <v/>
      </c>
      <c r="S196" s="29" t="str">
        <f>IF(OR(C196="",J196&lt;&gt;"Paquete"),"",COUNTIFS($C$2:C196,C196,$J$2:J196,"Paquete"))</f>
        <v/>
      </c>
      <c r="T196" s="26"/>
    </row>
    <row r="197" spans="1:20" x14ac:dyDescent="0.35">
      <c r="A197" s="26" t="s">
        <v>625</v>
      </c>
      <c r="B197" s="28"/>
      <c r="C197" s="26"/>
      <c r="D197" s="34" t="str">
        <f>IF($C197="","",IFERROR(IF(INDEX('🎓 Alumnas'!$C$2:$C$1000,MATCH($C197,'🎓 Alumnas'!$B$2:$B$1000,0))="","",INDEX('🎓 Alumnas'!$C$2:$C$1000,MATCH($C197,'🎓 Alumnas'!$B$2:$B$1000,0))),""))</f>
        <v/>
      </c>
      <c r="E197" s="29" t="str">
        <f>IF($C197="","",IFERROR(IF(INDEX('🎓 Alumnas'!$D$2:$D$1000,MATCH($C197,'🎓 Alumnas'!$B$2:$B$1000,0))="","",INDEX('🎓 Alumnas'!$D$2:$D$1000,MATCH($C197,'🎓 Alumnas'!$B$2:$B$1000,0))),""))</f>
        <v/>
      </c>
      <c r="F197" s="29" t="str">
        <f>IF($C197="","",IFERROR(IF(INDEX('🎓 Alumnas'!$E$2:$E$1000,MATCH($C197,'🎓 Alumnas'!$B$2:$B$1000,0))="","",INDEX('🎓 Alumnas'!$E$2:$E$1000,MATCH($C197,'🎓 Alumnas'!$B$2:$B$1000,0))),""))</f>
        <v/>
      </c>
      <c r="G197" s="31" t="str">
        <f>IF($C197="","",IFERROR(IF(INDEX('🎓 Alumnas'!$F$2:$F$1000,MATCH($C197,'🎓 Alumnas'!$B$2:$B$1000,0))="","",INDEX('🎓 Alumnas'!$F$2:$F$1000,MATCH($C197,'🎓 Alumnas'!$B$2:$B$1000,0))),""))</f>
        <v/>
      </c>
      <c r="H197" s="29" t="str">
        <f t="shared" ca="1" si="9"/>
        <v/>
      </c>
      <c r="I197" s="26"/>
      <c r="J197" s="29" t="str">
        <f t="shared" si="10"/>
        <v/>
      </c>
      <c r="K197" s="26"/>
      <c r="L197" s="26"/>
      <c r="M197" s="35"/>
      <c r="N197" s="30" t="str">
        <f t="shared" si="11"/>
        <v/>
      </c>
      <c r="O197" s="36"/>
      <c r="P197" s="26"/>
      <c r="Q197" s="26"/>
      <c r="R197" s="29" t="str">
        <f>IF(C197="","",IF(COUNTIF($C$2:C197,C197)=1,"Nueva","Recurrente"))</f>
        <v/>
      </c>
      <c r="S197" s="29" t="str">
        <f>IF(OR(C197="",J197&lt;&gt;"Paquete"),"",COUNTIFS($C$2:C197,C197,$J$2:J197,"Paquete"))</f>
        <v/>
      </c>
      <c r="T197" s="26"/>
    </row>
    <row r="198" spans="1:20" x14ac:dyDescent="0.35">
      <c r="A198" s="26" t="s">
        <v>626</v>
      </c>
      <c r="B198" s="28"/>
      <c r="C198" s="26"/>
      <c r="D198" s="34" t="str">
        <f>IF($C198="","",IFERROR(IF(INDEX('🎓 Alumnas'!$C$2:$C$1000,MATCH($C198,'🎓 Alumnas'!$B$2:$B$1000,0))="","",INDEX('🎓 Alumnas'!$C$2:$C$1000,MATCH($C198,'🎓 Alumnas'!$B$2:$B$1000,0))),""))</f>
        <v/>
      </c>
      <c r="E198" s="29" t="str">
        <f>IF($C198="","",IFERROR(IF(INDEX('🎓 Alumnas'!$D$2:$D$1000,MATCH($C198,'🎓 Alumnas'!$B$2:$B$1000,0))="","",INDEX('🎓 Alumnas'!$D$2:$D$1000,MATCH($C198,'🎓 Alumnas'!$B$2:$B$1000,0))),""))</f>
        <v/>
      </c>
      <c r="F198" s="29" t="str">
        <f>IF($C198="","",IFERROR(IF(INDEX('🎓 Alumnas'!$E$2:$E$1000,MATCH($C198,'🎓 Alumnas'!$B$2:$B$1000,0))="","",INDEX('🎓 Alumnas'!$E$2:$E$1000,MATCH($C198,'🎓 Alumnas'!$B$2:$B$1000,0))),""))</f>
        <v/>
      </c>
      <c r="G198" s="31" t="str">
        <f>IF($C198="","",IFERROR(IF(INDEX('🎓 Alumnas'!$F$2:$F$1000,MATCH($C198,'🎓 Alumnas'!$B$2:$B$1000,0))="","",INDEX('🎓 Alumnas'!$F$2:$F$1000,MATCH($C198,'🎓 Alumnas'!$B$2:$B$1000,0))),""))</f>
        <v/>
      </c>
      <c r="H198" s="29" t="str">
        <f t="shared" ca="1" si="9"/>
        <v/>
      </c>
      <c r="I198" s="26"/>
      <c r="J198" s="29" t="str">
        <f t="shared" si="10"/>
        <v/>
      </c>
      <c r="K198" s="26"/>
      <c r="L198" s="26"/>
      <c r="M198" s="35"/>
      <c r="N198" s="30" t="str">
        <f t="shared" si="11"/>
        <v/>
      </c>
      <c r="O198" s="36"/>
      <c r="P198" s="26"/>
      <c r="Q198" s="26"/>
      <c r="R198" s="29" t="str">
        <f>IF(C198="","",IF(COUNTIF($C$2:C198,C198)=1,"Nueva","Recurrente"))</f>
        <v/>
      </c>
      <c r="S198" s="29" t="str">
        <f>IF(OR(C198="",J198&lt;&gt;"Paquete"),"",COUNTIFS($C$2:C198,C198,$J$2:J198,"Paquete"))</f>
        <v/>
      </c>
      <c r="T198" s="26"/>
    </row>
    <row r="199" spans="1:20" x14ac:dyDescent="0.35">
      <c r="A199" s="26" t="s">
        <v>627</v>
      </c>
      <c r="B199" s="28"/>
      <c r="C199" s="26"/>
      <c r="D199" s="34" t="str">
        <f>IF($C199="","",IFERROR(IF(INDEX('🎓 Alumnas'!$C$2:$C$1000,MATCH($C199,'🎓 Alumnas'!$B$2:$B$1000,0))="","",INDEX('🎓 Alumnas'!$C$2:$C$1000,MATCH($C199,'🎓 Alumnas'!$B$2:$B$1000,0))),""))</f>
        <v/>
      </c>
      <c r="E199" s="29" t="str">
        <f>IF($C199="","",IFERROR(IF(INDEX('🎓 Alumnas'!$D$2:$D$1000,MATCH($C199,'🎓 Alumnas'!$B$2:$B$1000,0))="","",INDEX('🎓 Alumnas'!$D$2:$D$1000,MATCH($C199,'🎓 Alumnas'!$B$2:$B$1000,0))),""))</f>
        <v/>
      </c>
      <c r="F199" s="29" t="str">
        <f>IF($C199="","",IFERROR(IF(INDEX('🎓 Alumnas'!$E$2:$E$1000,MATCH($C199,'🎓 Alumnas'!$B$2:$B$1000,0))="","",INDEX('🎓 Alumnas'!$E$2:$E$1000,MATCH($C199,'🎓 Alumnas'!$B$2:$B$1000,0))),""))</f>
        <v/>
      </c>
      <c r="G199" s="31" t="str">
        <f>IF($C199="","",IFERROR(IF(INDEX('🎓 Alumnas'!$F$2:$F$1000,MATCH($C199,'🎓 Alumnas'!$B$2:$B$1000,0))="","",INDEX('🎓 Alumnas'!$F$2:$F$1000,MATCH($C199,'🎓 Alumnas'!$B$2:$B$1000,0))),""))</f>
        <v/>
      </c>
      <c r="H199" s="29" t="str">
        <f t="shared" ca="1" si="9"/>
        <v/>
      </c>
      <c r="I199" s="26"/>
      <c r="J199" s="29" t="str">
        <f t="shared" si="10"/>
        <v/>
      </c>
      <c r="K199" s="26"/>
      <c r="L199" s="26"/>
      <c r="M199" s="35"/>
      <c r="N199" s="30" t="str">
        <f t="shared" si="11"/>
        <v/>
      </c>
      <c r="O199" s="36"/>
      <c r="P199" s="26"/>
      <c r="Q199" s="26"/>
      <c r="R199" s="29" t="str">
        <f>IF(C199="","",IF(COUNTIF($C$2:C199,C199)=1,"Nueva","Recurrente"))</f>
        <v/>
      </c>
      <c r="S199" s="29" t="str">
        <f>IF(OR(C199="",J199&lt;&gt;"Paquete"),"",COUNTIFS($C$2:C199,C199,$J$2:J199,"Paquete"))</f>
        <v/>
      </c>
      <c r="T199" s="26"/>
    </row>
    <row r="200" spans="1:20" x14ac:dyDescent="0.35">
      <c r="A200" s="26" t="s">
        <v>628</v>
      </c>
      <c r="B200" s="28"/>
      <c r="C200" s="26"/>
      <c r="D200" s="34" t="str">
        <f>IF($C200="","",IFERROR(IF(INDEX('🎓 Alumnas'!$C$2:$C$1000,MATCH($C200,'🎓 Alumnas'!$B$2:$B$1000,0))="","",INDEX('🎓 Alumnas'!$C$2:$C$1000,MATCH($C200,'🎓 Alumnas'!$B$2:$B$1000,0))),""))</f>
        <v/>
      </c>
      <c r="E200" s="29" t="str">
        <f>IF($C200="","",IFERROR(IF(INDEX('🎓 Alumnas'!$D$2:$D$1000,MATCH($C200,'🎓 Alumnas'!$B$2:$B$1000,0))="","",INDEX('🎓 Alumnas'!$D$2:$D$1000,MATCH($C200,'🎓 Alumnas'!$B$2:$B$1000,0))),""))</f>
        <v/>
      </c>
      <c r="F200" s="29" t="str">
        <f>IF($C200="","",IFERROR(IF(INDEX('🎓 Alumnas'!$E$2:$E$1000,MATCH($C200,'🎓 Alumnas'!$B$2:$B$1000,0))="","",INDEX('🎓 Alumnas'!$E$2:$E$1000,MATCH($C200,'🎓 Alumnas'!$B$2:$B$1000,0))),""))</f>
        <v/>
      </c>
      <c r="G200" s="31" t="str">
        <f>IF($C200="","",IFERROR(IF(INDEX('🎓 Alumnas'!$F$2:$F$1000,MATCH($C200,'🎓 Alumnas'!$B$2:$B$1000,0))="","",INDEX('🎓 Alumnas'!$F$2:$F$1000,MATCH($C200,'🎓 Alumnas'!$B$2:$B$1000,0))),""))</f>
        <v/>
      </c>
      <c r="H200" s="29" t="str">
        <f t="shared" ca="1" si="9"/>
        <v/>
      </c>
      <c r="I200" s="26"/>
      <c r="J200" s="29" t="str">
        <f t="shared" si="10"/>
        <v/>
      </c>
      <c r="K200" s="26"/>
      <c r="L200" s="26"/>
      <c r="M200" s="35"/>
      <c r="N200" s="30" t="str">
        <f t="shared" si="11"/>
        <v/>
      </c>
      <c r="O200" s="36"/>
      <c r="P200" s="26"/>
      <c r="Q200" s="26"/>
      <c r="R200" s="29" t="str">
        <f>IF(C200="","",IF(COUNTIF($C$2:C200,C200)=1,"Nueva","Recurrente"))</f>
        <v/>
      </c>
      <c r="S200" s="29" t="str">
        <f>IF(OR(C200="",J200&lt;&gt;"Paquete"),"",COUNTIFS($C$2:C200,C200,$J$2:J200,"Paquete"))</f>
        <v/>
      </c>
      <c r="T200" s="26"/>
    </row>
    <row r="201" spans="1:20" x14ac:dyDescent="0.35">
      <c r="A201" s="26" t="s">
        <v>629</v>
      </c>
      <c r="B201" s="28"/>
      <c r="C201" s="26"/>
      <c r="D201" s="34" t="str">
        <f>IF($C201="","",IFERROR(IF(INDEX('🎓 Alumnas'!$C$2:$C$1000,MATCH($C201,'🎓 Alumnas'!$B$2:$B$1000,0))="","",INDEX('🎓 Alumnas'!$C$2:$C$1000,MATCH($C201,'🎓 Alumnas'!$B$2:$B$1000,0))),""))</f>
        <v/>
      </c>
      <c r="E201" s="29" t="str">
        <f>IF($C201="","",IFERROR(IF(INDEX('🎓 Alumnas'!$D$2:$D$1000,MATCH($C201,'🎓 Alumnas'!$B$2:$B$1000,0))="","",INDEX('🎓 Alumnas'!$D$2:$D$1000,MATCH($C201,'🎓 Alumnas'!$B$2:$B$1000,0))),""))</f>
        <v/>
      </c>
      <c r="F201" s="29" t="str">
        <f>IF($C201="","",IFERROR(IF(INDEX('🎓 Alumnas'!$E$2:$E$1000,MATCH($C201,'🎓 Alumnas'!$B$2:$B$1000,0))="","",INDEX('🎓 Alumnas'!$E$2:$E$1000,MATCH($C201,'🎓 Alumnas'!$B$2:$B$1000,0))),""))</f>
        <v/>
      </c>
      <c r="G201" s="31" t="str">
        <f>IF($C201="","",IFERROR(IF(INDEX('🎓 Alumnas'!$F$2:$F$1000,MATCH($C201,'🎓 Alumnas'!$B$2:$B$1000,0))="","",INDEX('🎓 Alumnas'!$F$2:$F$1000,MATCH($C201,'🎓 Alumnas'!$B$2:$B$1000,0))),""))</f>
        <v/>
      </c>
      <c r="H201" s="29" t="str">
        <f t="shared" ca="1" si="9"/>
        <v/>
      </c>
      <c r="I201" s="26"/>
      <c r="J201" s="29" t="str">
        <f t="shared" si="10"/>
        <v/>
      </c>
      <c r="K201" s="26"/>
      <c r="L201" s="26"/>
      <c r="M201" s="35"/>
      <c r="N201" s="30" t="str">
        <f t="shared" si="11"/>
        <v/>
      </c>
      <c r="O201" s="36"/>
      <c r="P201" s="26"/>
      <c r="Q201" s="26"/>
      <c r="R201" s="29" t="str">
        <f>IF(C201="","",IF(COUNTIF($C$2:C201,C201)=1,"Nueva","Recurrente"))</f>
        <v/>
      </c>
      <c r="S201" s="29" t="str">
        <f>IF(OR(C201="",J201&lt;&gt;"Paquete"),"",COUNTIFS($C$2:C201,C201,$J$2:J201,"Paquete"))</f>
        <v/>
      </c>
      <c r="T201" s="26"/>
    </row>
    <row r="202" spans="1:20" x14ac:dyDescent="0.35">
      <c r="A202" s="26" t="s">
        <v>630</v>
      </c>
      <c r="B202" s="28"/>
      <c r="C202" s="26"/>
      <c r="D202" s="34" t="str">
        <f>IF($C202="","",IFERROR(IF(INDEX('🎓 Alumnas'!$C$2:$C$1000,MATCH($C202,'🎓 Alumnas'!$B$2:$B$1000,0))="","",INDEX('🎓 Alumnas'!$C$2:$C$1000,MATCH($C202,'🎓 Alumnas'!$B$2:$B$1000,0))),""))</f>
        <v/>
      </c>
      <c r="E202" s="29" t="str">
        <f>IF($C202="","",IFERROR(IF(INDEX('🎓 Alumnas'!$D$2:$D$1000,MATCH($C202,'🎓 Alumnas'!$B$2:$B$1000,0))="","",INDEX('🎓 Alumnas'!$D$2:$D$1000,MATCH($C202,'🎓 Alumnas'!$B$2:$B$1000,0))),""))</f>
        <v/>
      </c>
      <c r="F202" s="29" t="str">
        <f>IF($C202="","",IFERROR(IF(INDEX('🎓 Alumnas'!$E$2:$E$1000,MATCH($C202,'🎓 Alumnas'!$B$2:$B$1000,0))="","",INDEX('🎓 Alumnas'!$E$2:$E$1000,MATCH($C202,'🎓 Alumnas'!$B$2:$B$1000,0))),""))</f>
        <v/>
      </c>
      <c r="G202" s="31" t="str">
        <f>IF($C202="","",IFERROR(IF(INDEX('🎓 Alumnas'!$F$2:$F$1000,MATCH($C202,'🎓 Alumnas'!$B$2:$B$1000,0))="","",INDEX('🎓 Alumnas'!$F$2:$F$1000,MATCH($C202,'🎓 Alumnas'!$B$2:$B$1000,0))),""))</f>
        <v/>
      </c>
      <c r="H202" s="29" t="str">
        <f t="shared" ca="1" si="9"/>
        <v/>
      </c>
      <c r="I202" s="26"/>
      <c r="J202" s="29" t="str">
        <f t="shared" si="10"/>
        <v/>
      </c>
      <c r="K202" s="26"/>
      <c r="L202" s="26"/>
      <c r="M202" s="35"/>
      <c r="N202" s="30" t="str">
        <f t="shared" si="11"/>
        <v/>
      </c>
      <c r="O202" s="36"/>
      <c r="P202" s="26"/>
      <c r="Q202" s="26"/>
      <c r="R202" s="29" t="str">
        <f>IF(C202="","",IF(COUNTIF($C$2:C202,C202)=1,"Nueva","Recurrente"))</f>
        <v/>
      </c>
      <c r="S202" s="29" t="str">
        <f>IF(OR(C202="",J202&lt;&gt;"Paquete"),"",COUNTIFS($C$2:C202,C202,$J$2:J202,"Paquete"))</f>
        <v/>
      </c>
      <c r="T202" s="26"/>
    </row>
    <row r="203" spans="1:20" x14ac:dyDescent="0.35">
      <c r="A203" s="26" t="s">
        <v>631</v>
      </c>
      <c r="B203" s="28"/>
      <c r="C203" s="26"/>
      <c r="D203" s="34" t="str">
        <f>IF($C203="","",IFERROR(IF(INDEX('🎓 Alumnas'!$C$2:$C$1000,MATCH($C203,'🎓 Alumnas'!$B$2:$B$1000,0))="","",INDEX('🎓 Alumnas'!$C$2:$C$1000,MATCH($C203,'🎓 Alumnas'!$B$2:$B$1000,0))),""))</f>
        <v/>
      </c>
      <c r="E203" s="29" t="str">
        <f>IF($C203="","",IFERROR(IF(INDEX('🎓 Alumnas'!$D$2:$D$1000,MATCH($C203,'🎓 Alumnas'!$B$2:$B$1000,0))="","",INDEX('🎓 Alumnas'!$D$2:$D$1000,MATCH($C203,'🎓 Alumnas'!$B$2:$B$1000,0))),""))</f>
        <v/>
      </c>
      <c r="F203" s="29" t="str">
        <f>IF($C203="","",IFERROR(IF(INDEX('🎓 Alumnas'!$E$2:$E$1000,MATCH($C203,'🎓 Alumnas'!$B$2:$B$1000,0))="","",INDEX('🎓 Alumnas'!$E$2:$E$1000,MATCH($C203,'🎓 Alumnas'!$B$2:$B$1000,0))),""))</f>
        <v/>
      </c>
      <c r="G203" s="31" t="str">
        <f>IF($C203="","",IFERROR(IF(INDEX('🎓 Alumnas'!$F$2:$F$1000,MATCH($C203,'🎓 Alumnas'!$B$2:$B$1000,0))="","",INDEX('🎓 Alumnas'!$F$2:$F$1000,MATCH($C203,'🎓 Alumnas'!$B$2:$B$1000,0))),""))</f>
        <v/>
      </c>
      <c r="H203" s="29" t="str">
        <f t="shared" ca="1" si="9"/>
        <v/>
      </c>
      <c r="I203" s="26"/>
      <c r="J203" s="29" t="str">
        <f t="shared" si="10"/>
        <v/>
      </c>
      <c r="K203" s="26"/>
      <c r="L203" s="26"/>
      <c r="M203" s="35"/>
      <c r="N203" s="30" t="str">
        <f t="shared" si="11"/>
        <v/>
      </c>
      <c r="O203" s="36"/>
      <c r="P203" s="26"/>
      <c r="Q203" s="26"/>
      <c r="R203" s="29" t="str">
        <f>IF(C203="","",IF(COUNTIF($C$2:C203,C203)=1,"Nueva","Recurrente"))</f>
        <v/>
      </c>
      <c r="S203" s="29" t="str">
        <f>IF(OR(C203="",J203&lt;&gt;"Paquete"),"",COUNTIFS($C$2:C203,C203,$J$2:J203,"Paquete"))</f>
        <v/>
      </c>
      <c r="T203" s="26"/>
    </row>
    <row r="204" spans="1:20" x14ac:dyDescent="0.35">
      <c r="A204" s="26" t="s">
        <v>632</v>
      </c>
      <c r="B204" s="28"/>
      <c r="C204" s="26"/>
      <c r="D204" s="34" t="str">
        <f>IF($C204="","",IFERROR(IF(INDEX('🎓 Alumnas'!$C$2:$C$1000,MATCH($C204,'🎓 Alumnas'!$B$2:$B$1000,0))="","",INDEX('🎓 Alumnas'!$C$2:$C$1000,MATCH($C204,'🎓 Alumnas'!$B$2:$B$1000,0))),""))</f>
        <v/>
      </c>
      <c r="E204" s="29" t="str">
        <f>IF($C204="","",IFERROR(IF(INDEX('🎓 Alumnas'!$D$2:$D$1000,MATCH($C204,'🎓 Alumnas'!$B$2:$B$1000,0))="","",INDEX('🎓 Alumnas'!$D$2:$D$1000,MATCH($C204,'🎓 Alumnas'!$B$2:$B$1000,0))),""))</f>
        <v/>
      </c>
      <c r="F204" s="29" t="str">
        <f>IF($C204="","",IFERROR(IF(INDEX('🎓 Alumnas'!$E$2:$E$1000,MATCH($C204,'🎓 Alumnas'!$B$2:$B$1000,0))="","",INDEX('🎓 Alumnas'!$E$2:$E$1000,MATCH($C204,'🎓 Alumnas'!$B$2:$B$1000,0))),""))</f>
        <v/>
      </c>
      <c r="G204" s="31" t="str">
        <f>IF($C204="","",IFERROR(IF(INDEX('🎓 Alumnas'!$F$2:$F$1000,MATCH($C204,'🎓 Alumnas'!$B$2:$B$1000,0))="","",INDEX('🎓 Alumnas'!$F$2:$F$1000,MATCH($C204,'🎓 Alumnas'!$B$2:$B$1000,0))),""))</f>
        <v/>
      </c>
      <c r="H204" s="29" t="str">
        <f t="shared" ca="1" si="9"/>
        <v/>
      </c>
      <c r="I204" s="26"/>
      <c r="J204" s="29" t="str">
        <f t="shared" si="10"/>
        <v/>
      </c>
      <c r="K204" s="26"/>
      <c r="L204" s="26"/>
      <c r="M204" s="35"/>
      <c r="N204" s="30" t="str">
        <f t="shared" si="11"/>
        <v/>
      </c>
      <c r="O204" s="36"/>
      <c r="P204" s="26"/>
      <c r="Q204" s="26"/>
      <c r="R204" s="29" t="str">
        <f>IF(C204="","",IF(COUNTIF($C$2:C204,C204)=1,"Nueva","Recurrente"))</f>
        <v/>
      </c>
      <c r="S204" s="29" t="str">
        <f>IF(OR(C204="",J204&lt;&gt;"Paquete"),"",COUNTIFS($C$2:C204,C204,$J$2:J204,"Paquete"))</f>
        <v/>
      </c>
      <c r="T204" s="26"/>
    </row>
    <row r="205" spans="1:20" x14ac:dyDescent="0.35">
      <c r="A205" s="26" t="s">
        <v>633</v>
      </c>
      <c r="B205" s="28"/>
      <c r="C205" s="26"/>
      <c r="D205" s="34" t="str">
        <f>IF($C205="","",IFERROR(IF(INDEX('🎓 Alumnas'!$C$2:$C$1000,MATCH($C205,'🎓 Alumnas'!$B$2:$B$1000,0))="","",INDEX('🎓 Alumnas'!$C$2:$C$1000,MATCH($C205,'🎓 Alumnas'!$B$2:$B$1000,0))),""))</f>
        <v/>
      </c>
      <c r="E205" s="29" t="str">
        <f>IF($C205="","",IFERROR(IF(INDEX('🎓 Alumnas'!$D$2:$D$1000,MATCH($C205,'🎓 Alumnas'!$B$2:$B$1000,0))="","",INDEX('🎓 Alumnas'!$D$2:$D$1000,MATCH($C205,'🎓 Alumnas'!$B$2:$B$1000,0))),""))</f>
        <v/>
      </c>
      <c r="F205" s="29" t="str">
        <f>IF($C205="","",IFERROR(IF(INDEX('🎓 Alumnas'!$E$2:$E$1000,MATCH($C205,'🎓 Alumnas'!$B$2:$B$1000,0))="","",INDEX('🎓 Alumnas'!$E$2:$E$1000,MATCH($C205,'🎓 Alumnas'!$B$2:$B$1000,0))),""))</f>
        <v/>
      </c>
      <c r="G205" s="31" t="str">
        <f>IF($C205="","",IFERROR(IF(INDEX('🎓 Alumnas'!$F$2:$F$1000,MATCH($C205,'🎓 Alumnas'!$B$2:$B$1000,0))="","",INDEX('🎓 Alumnas'!$F$2:$F$1000,MATCH($C205,'🎓 Alumnas'!$B$2:$B$1000,0))),""))</f>
        <v/>
      </c>
      <c r="H205" s="29" t="str">
        <f t="shared" ca="1" si="9"/>
        <v/>
      </c>
      <c r="I205" s="26"/>
      <c r="J205" s="29" t="str">
        <f t="shared" si="10"/>
        <v/>
      </c>
      <c r="K205" s="26"/>
      <c r="L205" s="26"/>
      <c r="M205" s="35"/>
      <c r="N205" s="30" t="str">
        <f t="shared" si="11"/>
        <v/>
      </c>
      <c r="O205" s="36"/>
      <c r="P205" s="26"/>
      <c r="Q205" s="26"/>
      <c r="R205" s="29" t="str">
        <f>IF(C205="","",IF(COUNTIF($C$2:C205,C205)=1,"Nueva","Recurrente"))</f>
        <v/>
      </c>
      <c r="S205" s="29" t="str">
        <f>IF(OR(C205="",J205&lt;&gt;"Paquete"),"",COUNTIFS($C$2:C205,C205,$J$2:J205,"Paquete"))</f>
        <v/>
      </c>
      <c r="T205" s="26"/>
    </row>
    <row r="206" spans="1:20" x14ac:dyDescent="0.35">
      <c r="A206" s="26" t="s">
        <v>634</v>
      </c>
      <c r="B206" s="28"/>
      <c r="C206" s="26"/>
      <c r="D206" s="34" t="str">
        <f>IF($C206="","",IFERROR(IF(INDEX('🎓 Alumnas'!$C$2:$C$1000,MATCH($C206,'🎓 Alumnas'!$B$2:$B$1000,0))="","",INDEX('🎓 Alumnas'!$C$2:$C$1000,MATCH($C206,'🎓 Alumnas'!$B$2:$B$1000,0))),""))</f>
        <v/>
      </c>
      <c r="E206" s="29" t="str">
        <f>IF($C206="","",IFERROR(IF(INDEX('🎓 Alumnas'!$D$2:$D$1000,MATCH($C206,'🎓 Alumnas'!$B$2:$B$1000,0))="","",INDEX('🎓 Alumnas'!$D$2:$D$1000,MATCH($C206,'🎓 Alumnas'!$B$2:$B$1000,0))),""))</f>
        <v/>
      </c>
      <c r="F206" s="29" t="str">
        <f>IF($C206="","",IFERROR(IF(INDEX('🎓 Alumnas'!$E$2:$E$1000,MATCH($C206,'🎓 Alumnas'!$B$2:$B$1000,0))="","",INDEX('🎓 Alumnas'!$E$2:$E$1000,MATCH($C206,'🎓 Alumnas'!$B$2:$B$1000,0))),""))</f>
        <v/>
      </c>
      <c r="G206" s="31" t="str">
        <f>IF($C206="","",IFERROR(IF(INDEX('🎓 Alumnas'!$F$2:$F$1000,MATCH($C206,'🎓 Alumnas'!$B$2:$B$1000,0))="","",INDEX('🎓 Alumnas'!$F$2:$F$1000,MATCH($C206,'🎓 Alumnas'!$B$2:$B$1000,0))),""))</f>
        <v/>
      </c>
      <c r="H206" s="29" t="str">
        <f t="shared" ca="1" si="9"/>
        <v/>
      </c>
      <c r="I206" s="26"/>
      <c r="J206" s="29" t="str">
        <f t="shared" si="10"/>
        <v/>
      </c>
      <c r="K206" s="26"/>
      <c r="L206" s="26"/>
      <c r="M206" s="35"/>
      <c r="N206" s="30" t="str">
        <f t="shared" si="11"/>
        <v/>
      </c>
      <c r="O206" s="36"/>
      <c r="P206" s="26"/>
      <c r="Q206" s="26"/>
      <c r="R206" s="29" t="str">
        <f>IF(C206="","",IF(COUNTIF($C$2:C206,C206)=1,"Nueva","Recurrente"))</f>
        <v/>
      </c>
      <c r="S206" s="29" t="str">
        <f>IF(OR(C206="",J206&lt;&gt;"Paquete"),"",COUNTIFS($C$2:C206,C206,$J$2:J206,"Paquete"))</f>
        <v/>
      </c>
      <c r="T206" s="26"/>
    </row>
    <row r="207" spans="1:20" x14ac:dyDescent="0.35">
      <c r="A207" s="26" t="s">
        <v>635</v>
      </c>
      <c r="B207" s="28"/>
      <c r="C207" s="26"/>
      <c r="D207" s="34" t="str">
        <f>IF($C207="","",IFERROR(IF(INDEX('🎓 Alumnas'!$C$2:$C$1000,MATCH($C207,'🎓 Alumnas'!$B$2:$B$1000,0))="","",INDEX('🎓 Alumnas'!$C$2:$C$1000,MATCH($C207,'🎓 Alumnas'!$B$2:$B$1000,0))),""))</f>
        <v/>
      </c>
      <c r="E207" s="29" t="str">
        <f>IF($C207="","",IFERROR(IF(INDEX('🎓 Alumnas'!$D$2:$D$1000,MATCH($C207,'🎓 Alumnas'!$B$2:$B$1000,0))="","",INDEX('🎓 Alumnas'!$D$2:$D$1000,MATCH($C207,'🎓 Alumnas'!$B$2:$B$1000,0))),""))</f>
        <v/>
      </c>
      <c r="F207" s="29" t="str">
        <f>IF($C207="","",IFERROR(IF(INDEX('🎓 Alumnas'!$E$2:$E$1000,MATCH($C207,'🎓 Alumnas'!$B$2:$B$1000,0))="","",INDEX('🎓 Alumnas'!$E$2:$E$1000,MATCH($C207,'🎓 Alumnas'!$B$2:$B$1000,0))),""))</f>
        <v/>
      </c>
      <c r="G207" s="31" t="str">
        <f>IF($C207="","",IFERROR(IF(INDEX('🎓 Alumnas'!$F$2:$F$1000,MATCH($C207,'🎓 Alumnas'!$B$2:$B$1000,0))="","",INDEX('🎓 Alumnas'!$F$2:$F$1000,MATCH($C207,'🎓 Alumnas'!$B$2:$B$1000,0))),""))</f>
        <v/>
      </c>
      <c r="H207" s="29" t="str">
        <f t="shared" ca="1" si="9"/>
        <v/>
      </c>
      <c r="I207" s="26"/>
      <c r="J207" s="29" t="str">
        <f t="shared" si="10"/>
        <v/>
      </c>
      <c r="K207" s="26"/>
      <c r="L207" s="26"/>
      <c r="M207" s="35"/>
      <c r="N207" s="30" t="str">
        <f t="shared" si="11"/>
        <v/>
      </c>
      <c r="O207" s="36"/>
      <c r="P207" s="26"/>
      <c r="Q207" s="26"/>
      <c r="R207" s="29" t="str">
        <f>IF(C207="","",IF(COUNTIF($C$2:C207,C207)=1,"Nueva","Recurrente"))</f>
        <v/>
      </c>
      <c r="S207" s="29" t="str">
        <f>IF(OR(C207="",J207&lt;&gt;"Paquete"),"",COUNTIFS($C$2:C207,C207,$J$2:J207,"Paquete"))</f>
        <v/>
      </c>
      <c r="T207" s="26"/>
    </row>
    <row r="208" spans="1:20" x14ac:dyDescent="0.35">
      <c r="A208" s="26" t="s">
        <v>636</v>
      </c>
      <c r="B208" s="28"/>
      <c r="C208" s="26"/>
      <c r="D208" s="34" t="str">
        <f>IF($C208="","",IFERROR(IF(INDEX('🎓 Alumnas'!$C$2:$C$1000,MATCH($C208,'🎓 Alumnas'!$B$2:$B$1000,0))="","",INDEX('🎓 Alumnas'!$C$2:$C$1000,MATCH($C208,'🎓 Alumnas'!$B$2:$B$1000,0))),""))</f>
        <v/>
      </c>
      <c r="E208" s="29" t="str">
        <f>IF($C208="","",IFERROR(IF(INDEX('🎓 Alumnas'!$D$2:$D$1000,MATCH($C208,'🎓 Alumnas'!$B$2:$B$1000,0))="","",INDEX('🎓 Alumnas'!$D$2:$D$1000,MATCH($C208,'🎓 Alumnas'!$B$2:$B$1000,0))),""))</f>
        <v/>
      </c>
      <c r="F208" s="29" t="str">
        <f>IF($C208="","",IFERROR(IF(INDEX('🎓 Alumnas'!$E$2:$E$1000,MATCH($C208,'🎓 Alumnas'!$B$2:$B$1000,0))="","",INDEX('🎓 Alumnas'!$E$2:$E$1000,MATCH($C208,'🎓 Alumnas'!$B$2:$B$1000,0))),""))</f>
        <v/>
      </c>
      <c r="G208" s="31" t="str">
        <f>IF($C208="","",IFERROR(IF(INDEX('🎓 Alumnas'!$F$2:$F$1000,MATCH($C208,'🎓 Alumnas'!$B$2:$B$1000,0))="","",INDEX('🎓 Alumnas'!$F$2:$F$1000,MATCH($C208,'🎓 Alumnas'!$B$2:$B$1000,0))),""))</f>
        <v/>
      </c>
      <c r="H208" s="29" t="str">
        <f t="shared" ca="1" si="9"/>
        <v/>
      </c>
      <c r="I208" s="26"/>
      <c r="J208" s="29" t="str">
        <f t="shared" si="10"/>
        <v/>
      </c>
      <c r="K208" s="26"/>
      <c r="L208" s="26"/>
      <c r="M208" s="35"/>
      <c r="N208" s="30" t="str">
        <f t="shared" si="11"/>
        <v/>
      </c>
      <c r="O208" s="36"/>
      <c r="P208" s="26"/>
      <c r="Q208" s="26"/>
      <c r="R208" s="29" t="str">
        <f>IF(C208="","",IF(COUNTIF($C$2:C208,C208)=1,"Nueva","Recurrente"))</f>
        <v/>
      </c>
      <c r="S208" s="29" t="str">
        <f>IF(OR(C208="",J208&lt;&gt;"Paquete"),"",COUNTIFS($C$2:C208,C208,$J$2:J208,"Paquete"))</f>
        <v/>
      </c>
      <c r="T208" s="26"/>
    </row>
    <row r="209" spans="1:20" x14ac:dyDescent="0.35">
      <c r="A209" s="26" t="s">
        <v>637</v>
      </c>
      <c r="B209" s="28"/>
      <c r="C209" s="26"/>
      <c r="D209" s="34" t="str">
        <f>IF($C209="","",IFERROR(IF(INDEX('🎓 Alumnas'!$C$2:$C$1000,MATCH($C209,'🎓 Alumnas'!$B$2:$B$1000,0))="","",INDEX('🎓 Alumnas'!$C$2:$C$1000,MATCH($C209,'🎓 Alumnas'!$B$2:$B$1000,0))),""))</f>
        <v/>
      </c>
      <c r="E209" s="29" t="str">
        <f>IF($C209="","",IFERROR(IF(INDEX('🎓 Alumnas'!$D$2:$D$1000,MATCH($C209,'🎓 Alumnas'!$B$2:$B$1000,0))="","",INDEX('🎓 Alumnas'!$D$2:$D$1000,MATCH($C209,'🎓 Alumnas'!$B$2:$B$1000,0))),""))</f>
        <v/>
      </c>
      <c r="F209" s="29" t="str">
        <f>IF($C209="","",IFERROR(IF(INDEX('🎓 Alumnas'!$E$2:$E$1000,MATCH($C209,'🎓 Alumnas'!$B$2:$B$1000,0))="","",INDEX('🎓 Alumnas'!$E$2:$E$1000,MATCH($C209,'🎓 Alumnas'!$B$2:$B$1000,0))),""))</f>
        <v/>
      </c>
      <c r="G209" s="31" t="str">
        <f>IF($C209="","",IFERROR(IF(INDEX('🎓 Alumnas'!$F$2:$F$1000,MATCH($C209,'🎓 Alumnas'!$B$2:$B$1000,0))="","",INDEX('🎓 Alumnas'!$F$2:$F$1000,MATCH($C209,'🎓 Alumnas'!$B$2:$B$1000,0))),""))</f>
        <v/>
      </c>
      <c r="H209" s="29" t="str">
        <f t="shared" ca="1" si="9"/>
        <v/>
      </c>
      <c r="I209" s="26"/>
      <c r="J209" s="29" t="str">
        <f t="shared" si="10"/>
        <v/>
      </c>
      <c r="K209" s="26"/>
      <c r="L209" s="26"/>
      <c r="M209" s="35"/>
      <c r="N209" s="30" t="str">
        <f t="shared" si="11"/>
        <v/>
      </c>
      <c r="O209" s="36"/>
      <c r="P209" s="26"/>
      <c r="Q209" s="26"/>
      <c r="R209" s="29" t="str">
        <f>IF(C209="","",IF(COUNTIF($C$2:C209,C209)=1,"Nueva","Recurrente"))</f>
        <v/>
      </c>
      <c r="S209" s="29" t="str">
        <f>IF(OR(C209="",J209&lt;&gt;"Paquete"),"",COUNTIFS($C$2:C209,C209,$J$2:J209,"Paquete"))</f>
        <v/>
      </c>
      <c r="T209" s="26"/>
    </row>
    <row r="210" spans="1:20" x14ac:dyDescent="0.35">
      <c r="A210" s="26" t="s">
        <v>638</v>
      </c>
      <c r="B210" s="28"/>
      <c r="C210" s="26"/>
      <c r="D210" s="34" t="str">
        <f>IF($C210="","",IFERROR(IF(INDEX('🎓 Alumnas'!$C$2:$C$1000,MATCH($C210,'🎓 Alumnas'!$B$2:$B$1000,0))="","",INDEX('🎓 Alumnas'!$C$2:$C$1000,MATCH($C210,'🎓 Alumnas'!$B$2:$B$1000,0))),""))</f>
        <v/>
      </c>
      <c r="E210" s="29" t="str">
        <f>IF($C210="","",IFERROR(IF(INDEX('🎓 Alumnas'!$D$2:$D$1000,MATCH($C210,'🎓 Alumnas'!$B$2:$B$1000,0))="","",INDEX('🎓 Alumnas'!$D$2:$D$1000,MATCH($C210,'🎓 Alumnas'!$B$2:$B$1000,0))),""))</f>
        <v/>
      </c>
      <c r="F210" s="29" t="str">
        <f>IF($C210="","",IFERROR(IF(INDEX('🎓 Alumnas'!$E$2:$E$1000,MATCH($C210,'🎓 Alumnas'!$B$2:$B$1000,0))="","",INDEX('🎓 Alumnas'!$E$2:$E$1000,MATCH($C210,'🎓 Alumnas'!$B$2:$B$1000,0))),""))</f>
        <v/>
      </c>
      <c r="G210" s="31" t="str">
        <f>IF($C210="","",IFERROR(IF(INDEX('🎓 Alumnas'!$F$2:$F$1000,MATCH($C210,'🎓 Alumnas'!$B$2:$B$1000,0))="","",INDEX('🎓 Alumnas'!$F$2:$F$1000,MATCH($C210,'🎓 Alumnas'!$B$2:$B$1000,0))),""))</f>
        <v/>
      </c>
      <c r="H210" s="29" t="str">
        <f t="shared" ca="1" si="9"/>
        <v/>
      </c>
      <c r="I210" s="26"/>
      <c r="J210" s="29" t="str">
        <f t="shared" si="10"/>
        <v/>
      </c>
      <c r="K210" s="26"/>
      <c r="L210" s="26"/>
      <c r="M210" s="35"/>
      <c r="N210" s="30" t="str">
        <f t="shared" si="11"/>
        <v/>
      </c>
      <c r="O210" s="36"/>
      <c r="P210" s="26"/>
      <c r="Q210" s="26"/>
      <c r="R210" s="29" t="str">
        <f>IF(C210="","",IF(COUNTIF($C$2:C210,C210)=1,"Nueva","Recurrente"))</f>
        <v/>
      </c>
      <c r="S210" s="29" t="str">
        <f>IF(OR(C210="",J210&lt;&gt;"Paquete"),"",COUNTIFS($C$2:C210,C210,$J$2:J210,"Paquete"))</f>
        <v/>
      </c>
      <c r="T210" s="26"/>
    </row>
    <row r="211" spans="1:20" x14ac:dyDescent="0.35">
      <c r="A211" s="26" t="s">
        <v>639</v>
      </c>
      <c r="B211" s="28"/>
      <c r="C211" s="26"/>
      <c r="D211" s="34" t="str">
        <f>IF($C211="","",IFERROR(IF(INDEX('🎓 Alumnas'!$C$2:$C$1000,MATCH($C211,'🎓 Alumnas'!$B$2:$B$1000,0))="","",INDEX('🎓 Alumnas'!$C$2:$C$1000,MATCH($C211,'🎓 Alumnas'!$B$2:$B$1000,0))),""))</f>
        <v/>
      </c>
      <c r="E211" s="29" t="str">
        <f>IF($C211="","",IFERROR(IF(INDEX('🎓 Alumnas'!$D$2:$D$1000,MATCH($C211,'🎓 Alumnas'!$B$2:$B$1000,0))="","",INDEX('🎓 Alumnas'!$D$2:$D$1000,MATCH($C211,'🎓 Alumnas'!$B$2:$B$1000,0))),""))</f>
        <v/>
      </c>
      <c r="F211" s="29" t="str">
        <f>IF($C211="","",IFERROR(IF(INDEX('🎓 Alumnas'!$E$2:$E$1000,MATCH($C211,'🎓 Alumnas'!$B$2:$B$1000,0))="","",INDEX('🎓 Alumnas'!$E$2:$E$1000,MATCH($C211,'🎓 Alumnas'!$B$2:$B$1000,0))),""))</f>
        <v/>
      </c>
      <c r="G211" s="31" t="str">
        <f>IF($C211="","",IFERROR(IF(INDEX('🎓 Alumnas'!$F$2:$F$1000,MATCH($C211,'🎓 Alumnas'!$B$2:$B$1000,0))="","",INDEX('🎓 Alumnas'!$F$2:$F$1000,MATCH($C211,'🎓 Alumnas'!$B$2:$B$1000,0))),""))</f>
        <v/>
      </c>
      <c r="H211" s="29" t="str">
        <f t="shared" ca="1" si="9"/>
        <v/>
      </c>
      <c r="I211" s="26"/>
      <c r="J211" s="29" t="str">
        <f t="shared" si="10"/>
        <v/>
      </c>
      <c r="K211" s="26"/>
      <c r="L211" s="26"/>
      <c r="M211" s="35"/>
      <c r="N211" s="30" t="str">
        <f t="shared" si="11"/>
        <v/>
      </c>
      <c r="O211" s="36"/>
      <c r="P211" s="26"/>
      <c r="Q211" s="26"/>
      <c r="R211" s="29" t="str">
        <f>IF(C211="","",IF(COUNTIF($C$2:C211,C211)=1,"Nueva","Recurrente"))</f>
        <v/>
      </c>
      <c r="S211" s="29" t="str">
        <f>IF(OR(C211="",J211&lt;&gt;"Paquete"),"",COUNTIFS($C$2:C211,C211,$J$2:J211,"Paquete"))</f>
        <v/>
      </c>
      <c r="T211" s="26"/>
    </row>
    <row r="212" spans="1:20" x14ac:dyDescent="0.35">
      <c r="A212" s="26" t="s">
        <v>640</v>
      </c>
      <c r="B212" s="28"/>
      <c r="C212" s="26"/>
      <c r="D212" s="34" t="str">
        <f>IF($C212="","",IFERROR(IF(INDEX('🎓 Alumnas'!$C$2:$C$1000,MATCH($C212,'🎓 Alumnas'!$B$2:$B$1000,0))="","",INDEX('🎓 Alumnas'!$C$2:$C$1000,MATCH($C212,'🎓 Alumnas'!$B$2:$B$1000,0))),""))</f>
        <v/>
      </c>
      <c r="E212" s="29" t="str">
        <f>IF($C212="","",IFERROR(IF(INDEX('🎓 Alumnas'!$D$2:$D$1000,MATCH($C212,'🎓 Alumnas'!$B$2:$B$1000,0))="","",INDEX('🎓 Alumnas'!$D$2:$D$1000,MATCH($C212,'🎓 Alumnas'!$B$2:$B$1000,0))),""))</f>
        <v/>
      </c>
      <c r="F212" s="29" t="str">
        <f>IF($C212="","",IFERROR(IF(INDEX('🎓 Alumnas'!$E$2:$E$1000,MATCH($C212,'🎓 Alumnas'!$B$2:$B$1000,0))="","",INDEX('🎓 Alumnas'!$E$2:$E$1000,MATCH($C212,'🎓 Alumnas'!$B$2:$B$1000,0))),""))</f>
        <v/>
      </c>
      <c r="G212" s="31" t="str">
        <f>IF($C212="","",IFERROR(IF(INDEX('🎓 Alumnas'!$F$2:$F$1000,MATCH($C212,'🎓 Alumnas'!$B$2:$B$1000,0))="","",INDEX('🎓 Alumnas'!$F$2:$F$1000,MATCH($C212,'🎓 Alumnas'!$B$2:$B$1000,0))),""))</f>
        <v/>
      </c>
      <c r="H212" s="29" t="str">
        <f t="shared" ca="1" si="9"/>
        <v/>
      </c>
      <c r="I212" s="26"/>
      <c r="J212" s="29" t="str">
        <f t="shared" si="10"/>
        <v/>
      </c>
      <c r="K212" s="26"/>
      <c r="L212" s="26"/>
      <c r="M212" s="35"/>
      <c r="N212" s="30" t="str">
        <f t="shared" si="11"/>
        <v/>
      </c>
      <c r="O212" s="36"/>
      <c r="P212" s="26"/>
      <c r="Q212" s="26"/>
      <c r="R212" s="29" t="str">
        <f>IF(C212="","",IF(COUNTIF($C$2:C212,C212)=1,"Nueva","Recurrente"))</f>
        <v/>
      </c>
      <c r="S212" s="29" t="str">
        <f>IF(OR(C212="",J212&lt;&gt;"Paquete"),"",COUNTIFS($C$2:C212,C212,$J$2:J212,"Paquete"))</f>
        <v/>
      </c>
      <c r="T212" s="26"/>
    </row>
    <row r="213" spans="1:20" x14ac:dyDescent="0.35">
      <c r="A213" s="26" t="s">
        <v>641</v>
      </c>
      <c r="B213" s="28"/>
      <c r="C213" s="26"/>
      <c r="D213" s="34" t="str">
        <f>IF($C213="","",IFERROR(IF(INDEX('🎓 Alumnas'!$C$2:$C$1000,MATCH($C213,'🎓 Alumnas'!$B$2:$B$1000,0))="","",INDEX('🎓 Alumnas'!$C$2:$C$1000,MATCH($C213,'🎓 Alumnas'!$B$2:$B$1000,0))),""))</f>
        <v/>
      </c>
      <c r="E213" s="29" t="str">
        <f>IF($C213="","",IFERROR(IF(INDEX('🎓 Alumnas'!$D$2:$D$1000,MATCH($C213,'🎓 Alumnas'!$B$2:$B$1000,0))="","",INDEX('🎓 Alumnas'!$D$2:$D$1000,MATCH($C213,'🎓 Alumnas'!$B$2:$B$1000,0))),""))</f>
        <v/>
      </c>
      <c r="F213" s="29" t="str">
        <f>IF($C213="","",IFERROR(IF(INDEX('🎓 Alumnas'!$E$2:$E$1000,MATCH($C213,'🎓 Alumnas'!$B$2:$B$1000,0))="","",INDEX('🎓 Alumnas'!$E$2:$E$1000,MATCH($C213,'🎓 Alumnas'!$B$2:$B$1000,0))),""))</f>
        <v/>
      </c>
      <c r="G213" s="31" t="str">
        <f>IF($C213="","",IFERROR(IF(INDEX('🎓 Alumnas'!$F$2:$F$1000,MATCH($C213,'🎓 Alumnas'!$B$2:$B$1000,0))="","",INDEX('🎓 Alumnas'!$F$2:$F$1000,MATCH($C213,'🎓 Alumnas'!$B$2:$B$1000,0))),""))</f>
        <v/>
      </c>
      <c r="H213" s="29" t="str">
        <f t="shared" ca="1" si="9"/>
        <v/>
      </c>
      <c r="I213" s="26"/>
      <c r="J213" s="29" t="str">
        <f t="shared" si="10"/>
        <v/>
      </c>
      <c r="K213" s="26"/>
      <c r="L213" s="26"/>
      <c r="M213" s="35"/>
      <c r="N213" s="30" t="str">
        <f t="shared" si="11"/>
        <v/>
      </c>
      <c r="O213" s="36"/>
      <c r="P213" s="26"/>
      <c r="Q213" s="26"/>
      <c r="R213" s="29" t="str">
        <f>IF(C213="","",IF(COUNTIF($C$2:C213,C213)=1,"Nueva","Recurrente"))</f>
        <v/>
      </c>
      <c r="S213" s="29" t="str">
        <f>IF(OR(C213="",J213&lt;&gt;"Paquete"),"",COUNTIFS($C$2:C213,C213,$J$2:J213,"Paquete"))</f>
        <v/>
      </c>
      <c r="T213" s="26"/>
    </row>
    <row r="214" spans="1:20" x14ac:dyDescent="0.35">
      <c r="A214" s="26" t="s">
        <v>642</v>
      </c>
      <c r="B214" s="28"/>
      <c r="C214" s="26"/>
      <c r="D214" s="34" t="str">
        <f>IF($C214="","",IFERROR(IF(INDEX('🎓 Alumnas'!$C$2:$C$1000,MATCH($C214,'🎓 Alumnas'!$B$2:$B$1000,0))="","",INDEX('🎓 Alumnas'!$C$2:$C$1000,MATCH($C214,'🎓 Alumnas'!$B$2:$B$1000,0))),""))</f>
        <v/>
      </c>
      <c r="E214" s="29" t="str">
        <f>IF($C214="","",IFERROR(IF(INDEX('🎓 Alumnas'!$D$2:$D$1000,MATCH($C214,'🎓 Alumnas'!$B$2:$B$1000,0))="","",INDEX('🎓 Alumnas'!$D$2:$D$1000,MATCH($C214,'🎓 Alumnas'!$B$2:$B$1000,0))),""))</f>
        <v/>
      </c>
      <c r="F214" s="29" t="str">
        <f>IF($C214="","",IFERROR(IF(INDEX('🎓 Alumnas'!$E$2:$E$1000,MATCH($C214,'🎓 Alumnas'!$B$2:$B$1000,0))="","",INDEX('🎓 Alumnas'!$E$2:$E$1000,MATCH($C214,'🎓 Alumnas'!$B$2:$B$1000,0))),""))</f>
        <v/>
      </c>
      <c r="G214" s="31" t="str">
        <f>IF($C214="","",IFERROR(IF(INDEX('🎓 Alumnas'!$F$2:$F$1000,MATCH($C214,'🎓 Alumnas'!$B$2:$B$1000,0))="","",INDEX('🎓 Alumnas'!$F$2:$F$1000,MATCH($C214,'🎓 Alumnas'!$B$2:$B$1000,0))),""))</f>
        <v/>
      </c>
      <c r="H214" s="29" t="str">
        <f t="shared" ca="1" si="9"/>
        <v/>
      </c>
      <c r="I214" s="26"/>
      <c r="J214" s="29" t="str">
        <f t="shared" si="10"/>
        <v/>
      </c>
      <c r="K214" s="26"/>
      <c r="L214" s="26"/>
      <c r="M214" s="35"/>
      <c r="N214" s="30" t="str">
        <f t="shared" si="11"/>
        <v/>
      </c>
      <c r="O214" s="36"/>
      <c r="P214" s="26"/>
      <c r="Q214" s="26"/>
      <c r="R214" s="29" t="str">
        <f>IF(C214="","",IF(COUNTIF($C$2:C214,C214)=1,"Nueva","Recurrente"))</f>
        <v/>
      </c>
      <c r="S214" s="29" t="str">
        <f>IF(OR(C214="",J214&lt;&gt;"Paquete"),"",COUNTIFS($C$2:C214,C214,$J$2:J214,"Paquete"))</f>
        <v/>
      </c>
      <c r="T214" s="26"/>
    </row>
    <row r="215" spans="1:20" x14ac:dyDescent="0.35">
      <c r="A215" s="26" t="s">
        <v>643</v>
      </c>
      <c r="B215" s="28"/>
      <c r="C215" s="26"/>
      <c r="D215" s="34" t="str">
        <f>IF($C215="","",IFERROR(IF(INDEX('🎓 Alumnas'!$C$2:$C$1000,MATCH($C215,'🎓 Alumnas'!$B$2:$B$1000,0))="","",INDEX('🎓 Alumnas'!$C$2:$C$1000,MATCH($C215,'🎓 Alumnas'!$B$2:$B$1000,0))),""))</f>
        <v/>
      </c>
      <c r="E215" s="29" t="str">
        <f>IF($C215="","",IFERROR(IF(INDEX('🎓 Alumnas'!$D$2:$D$1000,MATCH($C215,'🎓 Alumnas'!$B$2:$B$1000,0))="","",INDEX('🎓 Alumnas'!$D$2:$D$1000,MATCH($C215,'🎓 Alumnas'!$B$2:$B$1000,0))),""))</f>
        <v/>
      </c>
      <c r="F215" s="29" t="str">
        <f>IF($C215="","",IFERROR(IF(INDEX('🎓 Alumnas'!$E$2:$E$1000,MATCH($C215,'🎓 Alumnas'!$B$2:$B$1000,0))="","",INDEX('🎓 Alumnas'!$E$2:$E$1000,MATCH($C215,'🎓 Alumnas'!$B$2:$B$1000,0))),""))</f>
        <v/>
      </c>
      <c r="G215" s="31" t="str">
        <f>IF($C215="","",IFERROR(IF(INDEX('🎓 Alumnas'!$F$2:$F$1000,MATCH($C215,'🎓 Alumnas'!$B$2:$B$1000,0))="","",INDEX('🎓 Alumnas'!$F$2:$F$1000,MATCH($C215,'🎓 Alumnas'!$B$2:$B$1000,0))),""))</f>
        <v/>
      </c>
      <c r="H215" s="29" t="str">
        <f t="shared" ca="1" si="9"/>
        <v/>
      </c>
      <c r="I215" s="26"/>
      <c r="J215" s="29" t="str">
        <f t="shared" si="10"/>
        <v/>
      </c>
      <c r="K215" s="26"/>
      <c r="L215" s="26"/>
      <c r="M215" s="35"/>
      <c r="N215" s="30" t="str">
        <f t="shared" si="11"/>
        <v/>
      </c>
      <c r="O215" s="36"/>
      <c r="P215" s="26"/>
      <c r="Q215" s="26"/>
      <c r="R215" s="29" t="str">
        <f>IF(C215="","",IF(COUNTIF($C$2:C215,C215)=1,"Nueva","Recurrente"))</f>
        <v/>
      </c>
      <c r="S215" s="29" t="str">
        <f>IF(OR(C215="",J215&lt;&gt;"Paquete"),"",COUNTIFS($C$2:C215,C215,$J$2:J215,"Paquete"))</f>
        <v/>
      </c>
      <c r="T215" s="26"/>
    </row>
    <row r="216" spans="1:20" x14ac:dyDescent="0.35">
      <c r="A216" s="26" t="s">
        <v>644</v>
      </c>
      <c r="B216" s="28"/>
      <c r="C216" s="26"/>
      <c r="D216" s="34" t="str">
        <f>IF($C216="","",IFERROR(IF(INDEX('🎓 Alumnas'!$C$2:$C$1000,MATCH($C216,'🎓 Alumnas'!$B$2:$B$1000,0))="","",INDEX('🎓 Alumnas'!$C$2:$C$1000,MATCH($C216,'🎓 Alumnas'!$B$2:$B$1000,0))),""))</f>
        <v/>
      </c>
      <c r="E216" s="29" t="str">
        <f>IF($C216="","",IFERROR(IF(INDEX('🎓 Alumnas'!$D$2:$D$1000,MATCH($C216,'🎓 Alumnas'!$B$2:$B$1000,0))="","",INDEX('🎓 Alumnas'!$D$2:$D$1000,MATCH($C216,'🎓 Alumnas'!$B$2:$B$1000,0))),""))</f>
        <v/>
      </c>
      <c r="F216" s="29" t="str">
        <f>IF($C216="","",IFERROR(IF(INDEX('🎓 Alumnas'!$E$2:$E$1000,MATCH($C216,'🎓 Alumnas'!$B$2:$B$1000,0))="","",INDEX('🎓 Alumnas'!$E$2:$E$1000,MATCH($C216,'🎓 Alumnas'!$B$2:$B$1000,0))),""))</f>
        <v/>
      </c>
      <c r="G216" s="31" t="str">
        <f>IF($C216="","",IFERROR(IF(INDEX('🎓 Alumnas'!$F$2:$F$1000,MATCH($C216,'🎓 Alumnas'!$B$2:$B$1000,0))="","",INDEX('🎓 Alumnas'!$F$2:$F$1000,MATCH($C216,'🎓 Alumnas'!$B$2:$B$1000,0))),""))</f>
        <v/>
      </c>
      <c r="H216" s="29" t="str">
        <f t="shared" ca="1" si="9"/>
        <v/>
      </c>
      <c r="I216" s="26"/>
      <c r="J216" s="29" t="str">
        <f t="shared" si="10"/>
        <v/>
      </c>
      <c r="K216" s="26"/>
      <c r="L216" s="26"/>
      <c r="M216" s="35"/>
      <c r="N216" s="30" t="str">
        <f t="shared" si="11"/>
        <v/>
      </c>
      <c r="O216" s="36"/>
      <c r="P216" s="26"/>
      <c r="Q216" s="26"/>
      <c r="R216" s="29" t="str">
        <f>IF(C216="","",IF(COUNTIF($C$2:C216,C216)=1,"Nueva","Recurrente"))</f>
        <v/>
      </c>
      <c r="S216" s="29" t="str">
        <f>IF(OR(C216="",J216&lt;&gt;"Paquete"),"",COUNTIFS($C$2:C216,C216,$J$2:J216,"Paquete"))</f>
        <v/>
      </c>
      <c r="T216" s="26"/>
    </row>
    <row r="217" spans="1:20" x14ac:dyDescent="0.35">
      <c r="A217" s="26" t="s">
        <v>645</v>
      </c>
      <c r="B217" s="28"/>
      <c r="C217" s="26"/>
      <c r="D217" s="34" t="str">
        <f>IF($C217="","",IFERROR(IF(INDEX('🎓 Alumnas'!$C$2:$C$1000,MATCH($C217,'🎓 Alumnas'!$B$2:$B$1000,0))="","",INDEX('🎓 Alumnas'!$C$2:$C$1000,MATCH($C217,'🎓 Alumnas'!$B$2:$B$1000,0))),""))</f>
        <v/>
      </c>
      <c r="E217" s="29" t="str">
        <f>IF($C217="","",IFERROR(IF(INDEX('🎓 Alumnas'!$D$2:$D$1000,MATCH($C217,'🎓 Alumnas'!$B$2:$B$1000,0))="","",INDEX('🎓 Alumnas'!$D$2:$D$1000,MATCH($C217,'🎓 Alumnas'!$B$2:$B$1000,0))),""))</f>
        <v/>
      </c>
      <c r="F217" s="29" t="str">
        <f>IF($C217="","",IFERROR(IF(INDEX('🎓 Alumnas'!$E$2:$E$1000,MATCH($C217,'🎓 Alumnas'!$B$2:$B$1000,0))="","",INDEX('🎓 Alumnas'!$E$2:$E$1000,MATCH($C217,'🎓 Alumnas'!$B$2:$B$1000,0))),""))</f>
        <v/>
      </c>
      <c r="G217" s="31" t="str">
        <f>IF($C217="","",IFERROR(IF(INDEX('🎓 Alumnas'!$F$2:$F$1000,MATCH($C217,'🎓 Alumnas'!$B$2:$B$1000,0))="","",INDEX('🎓 Alumnas'!$F$2:$F$1000,MATCH($C217,'🎓 Alumnas'!$B$2:$B$1000,0))),""))</f>
        <v/>
      </c>
      <c r="H217" s="29" t="str">
        <f t="shared" ca="1" si="9"/>
        <v/>
      </c>
      <c r="I217" s="26"/>
      <c r="J217" s="29" t="str">
        <f t="shared" si="10"/>
        <v/>
      </c>
      <c r="K217" s="26"/>
      <c r="L217" s="26"/>
      <c r="M217" s="35"/>
      <c r="N217" s="30" t="str">
        <f t="shared" si="11"/>
        <v/>
      </c>
      <c r="O217" s="36"/>
      <c r="P217" s="26"/>
      <c r="Q217" s="26"/>
      <c r="R217" s="29" t="str">
        <f>IF(C217="","",IF(COUNTIF($C$2:C217,C217)=1,"Nueva","Recurrente"))</f>
        <v/>
      </c>
      <c r="S217" s="29" t="str">
        <f>IF(OR(C217="",J217&lt;&gt;"Paquete"),"",COUNTIFS($C$2:C217,C217,$J$2:J217,"Paquete"))</f>
        <v/>
      </c>
      <c r="T217" s="26"/>
    </row>
    <row r="218" spans="1:20" x14ac:dyDescent="0.35">
      <c r="A218" s="26" t="s">
        <v>646</v>
      </c>
      <c r="B218" s="28"/>
      <c r="C218" s="26"/>
      <c r="D218" s="34" t="str">
        <f>IF($C218="","",IFERROR(IF(INDEX('🎓 Alumnas'!$C$2:$C$1000,MATCH($C218,'🎓 Alumnas'!$B$2:$B$1000,0))="","",INDEX('🎓 Alumnas'!$C$2:$C$1000,MATCH($C218,'🎓 Alumnas'!$B$2:$B$1000,0))),""))</f>
        <v/>
      </c>
      <c r="E218" s="29" t="str">
        <f>IF($C218="","",IFERROR(IF(INDEX('🎓 Alumnas'!$D$2:$D$1000,MATCH($C218,'🎓 Alumnas'!$B$2:$B$1000,0))="","",INDEX('🎓 Alumnas'!$D$2:$D$1000,MATCH($C218,'🎓 Alumnas'!$B$2:$B$1000,0))),""))</f>
        <v/>
      </c>
      <c r="F218" s="29" t="str">
        <f>IF($C218="","",IFERROR(IF(INDEX('🎓 Alumnas'!$E$2:$E$1000,MATCH($C218,'🎓 Alumnas'!$B$2:$B$1000,0))="","",INDEX('🎓 Alumnas'!$E$2:$E$1000,MATCH($C218,'🎓 Alumnas'!$B$2:$B$1000,0))),""))</f>
        <v/>
      </c>
      <c r="G218" s="31" t="str">
        <f>IF($C218="","",IFERROR(IF(INDEX('🎓 Alumnas'!$F$2:$F$1000,MATCH($C218,'🎓 Alumnas'!$B$2:$B$1000,0))="","",INDEX('🎓 Alumnas'!$F$2:$F$1000,MATCH($C218,'🎓 Alumnas'!$B$2:$B$1000,0))),""))</f>
        <v/>
      </c>
      <c r="H218" s="29" t="str">
        <f t="shared" ca="1" si="9"/>
        <v/>
      </c>
      <c r="I218" s="26"/>
      <c r="J218" s="29" t="str">
        <f t="shared" si="10"/>
        <v/>
      </c>
      <c r="K218" s="26"/>
      <c r="L218" s="26"/>
      <c r="M218" s="35"/>
      <c r="N218" s="30" t="str">
        <f t="shared" si="11"/>
        <v/>
      </c>
      <c r="O218" s="36"/>
      <c r="P218" s="26"/>
      <c r="Q218" s="26"/>
      <c r="R218" s="29" t="str">
        <f>IF(C218="","",IF(COUNTIF($C$2:C218,C218)=1,"Nueva","Recurrente"))</f>
        <v/>
      </c>
      <c r="S218" s="29" t="str">
        <f>IF(OR(C218="",J218&lt;&gt;"Paquete"),"",COUNTIFS($C$2:C218,C218,$J$2:J218,"Paquete"))</f>
        <v/>
      </c>
      <c r="T218" s="26"/>
    </row>
    <row r="219" spans="1:20" x14ac:dyDescent="0.35">
      <c r="A219" s="26" t="s">
        <v>647</v>
      </c>
      <c r="B219" s="28"/>
      <c r="C219" s="26"/>
      <c r="D219" s="34" t="str">
        <f>IF($C219="","",IFERROR(IF(INDEX('🎓 Alumnas'!$C$2:$C$1000,MATCH($C219,'🎓 Alumnas'!$B$2:$B$1000,0))="","",INDEX('🎓 Alumnas'!$C$2:$C$1000,MATCH($C219,'🎓 Alumnas'!$B$2:$B$1000,0))),""))</f>
        <v/>
      </c>
      <c r="E219" s="29" t="str">
        <f>IF($C219="","",IFERROR(IF(INDEX('🎓 Alumnas'!$D$2:$D$1000,MATCH($C219,'🎓 Alumnas'!$B$2:$B$1000,0))="","",INDEX('🎓 Alumnas'!$D$2:$D$1000,MATCH($C219,'🎓 Alumnas'!$B$2:$B$1000,0))),""))</f>
        <v/>
      </c>
      <c r="F219" s="29" t="str">
        <f>IF($C219="","",IFERROR(IF(INDEX('🎓 Alumnas'!$E$2:$E$1000,MATCH($C219,'🎓 Alumnas'!$B$2:$B$1000,0))="","",INDEX('🎓 Alumnas'!$E$2:$E$1000,MATCH($C219,'🎓 Alumnas'!$B$2:$B$1000,0))),""))</f>
        <v/>
      </c>
      <c r="G219" s="31" t="str">
        <f>IF($C219="","",IFERROR(IF(INDEX('🎓 Alumnas'!$F$2:$F$1000,MATCH($C219,'🎓 Alumnas'!$B$2:$B$1000,0))="","",INDEX('🎓 Alumnas'!$F$2:$F$1000,MATCH($C219,'🎓 Alumnas'!$B$2:$B$1000,0))),""))</f>
        <v/>
      </c>
      <c r="H219" s="29" t="str">
        <f t="shared" ca="1" si="9"/>
        <v/>
      </c>
      <c r="I219" s="26"/>
      <c r="J219" s="29" t="str">
        <f t="shared" si="10"/>
        <v/>
      </c>
      <c r="K219" s="26"/>
      <c r="L219" s="26"/>
      <c r="M219" s="35"/>
      <c r="N219" s="30" t="str">
        <f t="shared" si="11"/>
        <v/>
      </c>
      <c r="O219" s="36"/>
      <c r="P219" s="26"/>
      <c r="Q219" s="26"/>
      <c r="R219" s="29" t="str">
        <f>IF(C219="","",IF(COUNTIF($C$2:C219,C219)=1,"Nueva","Recurrente"))</f>
        <v/>
      </c>
      <c r="S219" s="29" t="str">
        <f>IF(OR(C219="",J219&lt;&gt;"Paquete"),"",COUNTIFS($C$2:C219,C219,$J$2:J219,"Paquete"))</f>
        <v/>
      </c>
      <c r="T219" s="26"/>
    </row>
    <row r="220" spans="1:20" x14ac:dyDescent="0.35">
      <c r="A220" s="26" t="s">
        <v>648</v>
      </c>
      <c r="B220" s="28"/>
      <c r="C220" s="26"/>
      <c r="D220" s="34" t="str">
        <f>IF($C220="","",IFERROR(IF(INDEX('🎓 Alumnas'!$C$2:$C$1000,MATCH($C220,'🎓 Alumnas'!$B$2:$B$1000,0))="","",INDEX('🎓 Alumnas'!$C$2:$C$1000,MATCH($C220,'🎓 Alumnas'!$B$2:$B$1000,0))),""))</f>
        <v/>
      </c>
      <c r="E220" s="29" t="str">
        <f>IF($C220="","",IFERROR(IF(INDEX('🎓 Alumnas'!$D$2:$D$1000,MATCH($C220,'🎓 Alumnas'!$B$2:$B$1000,0))="","",INDEX('🎓 Alumnas'!$D$2:$D$1000,MATCH($C220,'🎓 Alumnas'!$B$2:$B$1000,0))),""))</f>
        <v/>
      </c>
      <c r="F220" s="29" t="str">
        <f>IF($C220="","",IFERROR(IF(INDEX('🎓 Alumnas'!$E$2:$E$1000,MATCH($C220,'🎓 Alumnas'!$B$2:$B$1000,0))="","",INDEX('🎓 Alumnas'!$E$2:$E$1000,MATCH($C220,'🎓 Alumnas'!$B$2:$B$1000,0))),""))</f>
        <v/>
      </c>
      <c r="G220" s="31" t="str">
        <f>IF($C220="","",IFERROR(IF(INDEX('🎓 Alumnas'!$F$2:$F$1000,MATCH($C220,'🎓 Alumnas'!$B$2:$B$1000,0))="","",INDEX('🎓 Alumnas'!$F$2:$F$1000,MATCH($C220,'🎓 Alumnas'!$B$2:$B$1000,0))),""))</f>
        <v/>
      </c>
      <c r="H220" s="29" t="str">
        <f t="shared" ca="1" si="9"/>
        <v/>
      </c>
      <c r="I220" s="26"/>
      <c r="J220" s="29" t="str">
        <f t="shared" si="10"/>
        <v/>
      </c>
      <c r="K220" s="26"/>
      <c r="L220" s="26"/>
      <c r="M220" s="35"/>
      <c r="N220" s="30" t="str">
        <f t="shared" si="11"/>
        <v/>
      </c>
      <c r="O220" s="36"/>
      <c r="P220" s="26"/>
      <c r="Q220" s="26"/>
      <c r="R220" s="29" t="str">
        <f>IF(C220="","",IF(COUNTIF($C$2:C220,C220)=1,"Nueva","Recurrente"))</f>
        <v/>
      </c>
      <c r="S220" s="29" t="str">
        <f>IF(OR(C220="",J220&lt;&gt;"Paquete"),"",COUNTIFS($C$2:C220,C220,$J$2:J220,"Paquete"))</f>
        <v/>
      </c>
      <c r="T220" s="26"/>
    </row>
    <row r="221" spans="1:20" x14ac:dyDescent="0.35">
      <c r="A221" s="26" t="s">
        <v>649</v>
      </c>
      <c r="B221" s="28"/>
      <c r="C221" s="26"/>
      <c r="D221" s="34" t="str">
        <f>IF($C221="","",IFERROR(IF(INDEX('🎓 Alumnas'!$C$2:$C$1000,MATCH($C221,'🎓 Alumnas'!$B$2:$B$1000,0))="","",INDEX('🎓 Alumnas'!$C$2:$C$1000,MATCH($C221,'🎓 Alumnas'!$B$2:$B$1000,0))),""))</f>
        <v/>
      </c>
      <c r="E221" s="29" t="str">
        <f>IF($C221="","",IFERROR(IF(INDEX('🎓 Alumnas'!$D$2:$D$1000,MATCH($C221,'🎓 Alumnas'!$B$2:$B$1000,0))="","",INDEX('🎓 Alumnas'!$D$2:$D$1000,MATCH($C221,'🎓 Alumnas'!$B$2:$B$1000,0))),""))</f>
        <v/>
      </c>
      <c r="F221" s="29" t="str">
        <f>IF($C221="","",IFERROR(IF(INDEX('🎓 Alumnas'!$E$2:$E$1000,MATCH($C221,'🎓 Alumnas'!$B$2:$B$1000,0))="","",INDEX('🎓 Alumnas'!$E$2:$E$1000,MATCH($C221,'🎓 Alumnas'!$B$2:$B$1000,0))),""))</f>
        <v/>
      </c>
      <c r="G221" s="31" t="str">
        <f>IF($C221="","",IFERROR(IF(INDEX('🎓 Alumnas'!$F$2:$F$1000,MATCH($C221,'🎓 Alumnas'!$B$2:$B$1000,0))="","",INDEX('🎓 Alumnas'!$F$2:$F$1000,MATCH($C221,'🎓 Alumnas'!$B$2:$B$1000,0))),""))</f>
        <v/>
      </c>
      <c r="H221" s="29" t="str">
        <f t="shared" ca="1" si="9"/>
        <v/>
      </c>
      <c r="I221" s="26"/>
      <c r="J221" s="29" t="str">
        <f t="shared" si="10"/>
        <v/>
      </c>
      <c r="K221" s="26"/>
      <c r="L221" s="26"/>
      <c r="M221" s="35"/>
      <c r="N221" s="30" t="str">
        <f t="shared" si="11"/>
        <v/>
      </c>
      <c r="O221" s="36"/>
      <c r="P221" s="26"/>
      <c r="Q221" s="26"/>
      <c r="R221" s="29" t="str">
        <f>IF(C221="","",IF(COUNTIF($C$2:C221,C221)=1,"Nueva","Recurrente"))</f>
        <v/>
      </c>
      <c r="S221" s="29" t="str">
        <f>IF(OR(C221="",J221&lt;&gt;"Paquete"),"",COUNTIFS($C$2:C221,C221,$J$2:J221,"Paquete"))</f>
        <v/>
      </c>
      <c r="T221" s="26"/>
    </row>
    <row r="222" spans="1:20" x14ac:dyDescent="0.35">
      <c r="A222" s="26" t="s">
        <v>650</v>
      </c>
      <c r="B222" s="28"/>
      <c r="C222" s="26"/>
      <c r="D222" s="34" t="str">
        <f>IF($C222="","",IFERROR(IF(INDEX('🎓 Alumnas'!$C$2:$C$1000,MATCH($C222,'🎓 Alumnas'!$B$2:$B$1000,0))="","",INDEX('🎓 Alumnas'!$C$2:$C$1000,MATCH($C222,'🎓 Alumnas'!$B$2:$B$1000,0))),""))</f>
        <v/>
      </c>
      <c r="E222" s="29" t="str">
        <f>IF($C222="","",IFERROR(IF(INDEX('🎓 Alumnas'!$D$2:$D$1000,MATCH($C222,'🎓 Alumnas'!$B$2:$B$1000,0))="","",INDEX('🎓 Alumnas'!$D$2:$D$1000,MATCH($C222,'🎓 Alumnas'!$B$2:$B$1000,0))),""))</f>
        <v/>
      </c>
      <c r="F222" s="29" t="str">
        <f>IF($C222="","",IFERROR(IF(INDEX('🎓 Alumnas'!$E$2:$E$1000,MATCH($C222,'🎓 Alumnas'!$B$2:$B$1000,0))="","",INDEX('🎓 Alumnas'!$E$2:$E$1000,MATCH($C222,'🎓 Alumnas'!$B$2:$B$1000,0))),""))</f>
        <v/>
      </c>
      <c r="G222" s="31" t="str">
        <f>IF($C222="","",IFERROR(IF(INDEX('🎓 Alumnas'!$F$2:$F$1000,MATCH($C222,'🎓 Alumnas'!$B$2:$B$1000,0))="","",INDEX('🎓 Alumnas'!$F$2:$F$1000,MATCH($C222,'🎓 Alumnas'!$B$2:$B$1000,0))),""))</f>
        <v/>
      </c>
      <c r="H222" s="29" t="str">
        <f t="shared" ca="1" si="9"/>
        <v/>
      </c>
      <c r="I222" s="26"/>
      <c r="J222" s="29" t="str">
        <f t="shared" si="10"/>
        <v/>
      </c>
      <c r="K222" s="26"/>
      <c r="L222" s="26"/>
      <c r="M222" s="35"/>
      <c r="N222" s="30" t="str">
        <f t="shared" si="11"/>
        <v/>
      </c>
      <c r="O222" s="36"/>
      <c r="P222" s="26"/>
      <c r="Q222" s="26"/>
      <c r="R222" s="29" t="str">
        <f>IF(C222="","",IF(COUNTIF($C$2:C222,C222)=1,"Nueva","Recurrente"))</f>
        <v/>
      </c>
      <c r="S222" s="29" t="str">
        <f>IF(OR(C222="",J222&lt;&gt;"Paquete"),"",COUNTIFS($C$2:C222,C222,$J$2:J222,"Paquete"))</f>
        <v/>
      </c>
      <c r="T222" s="26"/>
    </row>
    <row r="223" spans="1:20" x14ac:dyDescent="0.35">
      <c r="A223" s="26" t="s">
        <v>651</v>
      </c>
      <c r="B223" s="28"/>
      <c r="C223" s="26"/>
      <c r="D223" s="34" t="str">
        <f>IF($C223="","",IFERROR(IF(INDEX('🎓 Alumnas'!$C$2:$C$1000,MATCH($C223,'🎓 Alumnas'!$B$2:$B$1000,0))="","",INDEX('🎓 Alumnas'!$C$2:$C$1000,MATCH($C223,'🎓 Alumnas'!$B$2:$B$1000,0))),""))</f>
        <v/>
      </c>
      <c r="E223" s="29" t="str">
        <f>IF($C223="","",IFERROR(IF(INDEX('🎓 Alumnas'!$D$2:$D$1000,MATCH($C223,'🎓 Alumnas'!$B$2:$B$1000,0))="","",INDEX('🎓 Alumnas'!$D$2:$D$1000,MATCH($C223,'🎓 Alumnas'!$B$2:$B$1000,0))),""))</f>
        <v/>
      </c>
      <c r="F223" s="29" t="str">
        <f>IF($C223="","",IFERROR(IF(INDEX('🎓 Alumnas'!$E$2:$E$1000,MATCH($C223,'🎓 Alumnas'!$B$2:$B$1000,0))="","",INDEX('🎓 Alumnas'!$E$2:$E$1000,MATCH($C223,'🎓 Alumnas'!$B$2:$B$1000,0))),""))</f>
        <v/>
      </c>
      <c r="G223" s="31" t="str">
        <f>IF($C223="","",IFERROR(IF(INDEX('🎓 Alumnas'!$F$2:$F$1000,MATCH($C223,'🎓 Alumnas'!$B$2:$B$1000,0))="","",INDEX('🎓 Alumnas'!$F$2:$F$1000,MATCH($C223,'🎓 Alumnas'!$B$2:$B$1000,0))),""))</f>
        <v/>
      </c>
      <c r="H223" s="29" t="str">
        <f t="shared" ca="1" si="9"/>
        <v/>
      </c>
      <c r="I223" s="26"/>
      <c r="J223" s="29" t="str">
        <f t="shared" si="10"/>
        <v/>
      </c>
      <c r="K223" s="26"/>
      <c r="L223" s="26"/>
      <c r="M223" s="35"/>
      <c r="N223" s="30" t="str">
        <f t="shared" si="11"/>
        <v/>
      </c>
      <c r="O223" s="36"/>
      <c r="P223" s="26"/>
      <c r="Q223" s="26"/>
      <c r="R223" s="29" t="str">
        <f>IF(C223="","",IF(COUNTIF($C$2:C223,C223)=1,"Nueva","Recurrente"))</f>
        <v/>
      </c>
      <c r="S223" s="29" t="str">
        <f>IF(OR(C223="",J223&lt;&gt;"Paquete"),"",COUNTIFS($C$2:C223,C223,$J$2:J223,"Paquete"))</f>
        <v/>
      </c>
      <c r="T223" s="26"/>
    </row>
    <row r="224" spans="1:20" x14ac:dyDescent="0.35">
      <c r="A224" s="26" t="s">
        <v>652</v>
      </c>
      <c r="B224" s="28"/>
      <c r="C224" s="26"/>
      <c r="D224" s="34" t="str">
        <f>IF($C224="","",IFERROR(IF(INDEX('🎓 Alumnas'!$C$2:$C$1000,MATCH($C224,'🎓 Alumnas'!$B$2:$B$1000,0))="","",INDEX('🎓 Alumnas'!$C$2:$C$1000,MATCH($C224,'🎓 Alumnas'!$B$2:$B$1000,0))),""))</f>
        <v/>
      </c>
      <c r="E224" s="29" t="str">
        <f>IF($C224="","",IFERROR(IF(INDEX('🎓 Alumnas'!$D$2:$D$1000,MATCH($C224,'🎓 Alumnas'!$B$2:$B$1000,0))="","",INDEX('🎓 Alumnas'!$D$2:$D$1000,MATCH($C224,'🎓 Alumnas'!$B$2:$B$1000,0))),""))</f>
        <v/>
      </c>
      <c r="F224" s="29" t="str">
        <f>IF($C224="","",IFERROR(IF(INDEX('🎓 Alumnas'!$E$2:$E$1000,MATCH($C224,'🎓 Alumnas'!$B$2:$B$1000,0))="","",INDEX('🎓 Alumnas'!$E$2:$E$1000,MATCH($C224,'🎓 Alumnas'!$B$2:$B$1000,0))),""))</f>
        <v/>
      </c>
      <c r="G224" s="31" t="str">
        <f>IF($C224="","",IFERROR(IF(INDEX('🎓 Alumnas'!$F$2:$F$1000,MATCH($C224,'🎓 Alumnas'!$B$2:$B$1000,0))="","",INDEX('🎓 Alumnas'!$F$2:$F$1000,MATCH($C224,'🎓 Alumnas'!$B$2:$B$1000,0))),""))</f>
        <v/>
      </c>
      <c r="H224" s="29" t="str">
        <f t="shared" ca="1" si="9"/>
        <v/>
      </c>
      <c r="I224" s="26"/>
      <c r="J224" s="29" t="str">
        <f t="shared" si="10"/>
        <v/>
      </c>
      <c r="K224" s="26"/>
      <c r="L224" s="26"/>
      <c r="M224" s="35"/>
      <c r="N224" s="30" t="str">
        <f t="shared" si="11"/>
        <v/>
      </c>
      <c r="O224" s="36"/>
      <c r="P224" s="26"/>
      <c r="Q224" s="26"/>
      <c r="R224" s="29" t="str">
        <f>IF(C224="","",IF(COUNTIF($C$2:C224,C224)=1,"Nueva","Recurrente"))</f>
        <v/>
      </c>
      <c r="S224" s="29" t="str">
        <f>IF(OR(C224="",J224&lt;&gt;"Paquete"),"",COUNTIFS($C$2:C224,C224,$J$2:J224,"Paquete"))</f>
        <v/>
      </c>
      <c r="T224" s="26"/>
    </row>
    <row r="225" spans="1:20" x14ac:dyDescent="0.35">
      <c r="A225" s="26" t="s">
        <v>653</v>
      </c>
      <c r="B225" s="28"/>
      <c r="C225" s="26"/>
      <c r="D225" s="34" t="str">
        <f>IF($C225="","",IFERROR(IF(INDEX('🎓 Alumnas'!$C$2:$C$1000,MATCH($C225,'🎓 Alumnas'!$B$2:$B$1000,0))="","",INDEX('🎓 Alumnas'!$C$2:$C$1000,MATCH($C225,'🎓 Alumnas'!$B$2:$B$1000,0))),""))</f>
        <v/>
      </c>
      <c r="E225" s="29" t="str">
        <f>IF($C225="","",IFERROR(IF(INDEX('🎓 Alumnas'!$D$2:$D$1000,MATCH($C225,'🎓 Alumnas'!$B$2:$B$1000,0))="","",INDEX('🎓 Alumnas'!$D$2:$D$1000,MATCH($C225,'🎓 Alumnas'!$B$2:$B$1000,0))),""))</f>
        <v/>
      </c>
      <c r="F225" s="29" t="str">
        <f>IF($C225="","",IFERROR(IF(INDEX('🎓 Alumnas'!$E$2:$E$1000,MATCH($C225,'🎓 Alumnas'!$B$2:$B$1000,0))="","",INDEX('🎓 Alumnas'!$E$2:$E$1000,MATCH($C225,'🎓 Alumnas'!$B$2:$B$1000,0))),""))</f>
        <v/>
      </c>
      <c r="G225" s="31" t="str">
        <f>IF($C225="","",IFERROR(IF(INDEX('🎓 Alumnas'!$F$2:$F$1000,MATCH($C225,'🎓 Alumnas'!$B$2:$B$1000,0))="","",INDEX('🎓 Alumnas'!$F$2:$F$1000,MATCH($C225,'🎓 Alumnas'!$B$2:$B$1000,0))),""))</f>
        <v/>
      </c>
      <c r="H225" s="29" t="str">
        <f t="shared" ca="1" si="9"/>
        <v/>
      </c>
      <c r="I225" s="26"/>
      <c r="J225" s="29" t="str">
        <f t="shared" si="10"/>
        <v/>
      </c>
      <c r="K225" s="26"/>
      <c r="L225" s="26"/>
      <c r="M225" s="35"/>
      <c r="N225" s="30" t="str">
        <f t="shared" si="11"/>
        <v/>
      </c>
      <c r="O225" s="36"/>
      <c r="P225" s="26"/>
      <c r="Q225" s="26"/>
      <c r="R225" s="29" t="str">
        <f>IF(C225="","",IF(COUNTIF($C$2:C225,C225)=1,"Nueva","Recurrente"))</f>
        <v/>
      </c>
      <c r="S225" s="29" t="str">
        <f>IF(OR(C225="",J225&lt;&gt;"Paquete"),"",COUNTIFS($C$2:C225,C225,$J$2:J225,"Paquete"))</f>
        <v/>
      </c>
      <c r="T225" s="26"/>
    </row>
    <row r="226" spans="1:20" x14ac:dyDescent="0.35">
      <c r="A226" s="26" t="s">
        <v>654</v>
      </c>
      <c r="B226" s="28"/>
      <c r="C226" s="26"/>
      <c r="D226" s="34" t="str">
        <f>IF($C226="","",IFERROR(IF(INDEX('🎓 Alumnas'!$C$2:$C$1000,MATCH($C226,'🎓 Alumnas'!$B$2:$B$1000,0))="","",INDEX('🎓 Alumnas'!$C$2:$C$1000,MATCH($C226,'🎓 Alumnas'!$B$2:$B$1000,0))),""))</f>
        <v/>
      </c>
      <c r="E226" s="29" t="str">
        <f>IF($C226="","",IFERROR(IF(INDEX('🎓 Alumnas'!$D$2:$D$1000,MATCH($C226,'🎓 Alumnas'!$B$2:$B$1000,0))="","",INDEX('🎓 Alumnas'!$D$2:$D$1000,MATCH($C226,'🎓 Alumnas'!$B$2:$B$1000,0))),""))</f>
        <v/>
      </c>
      <c r="F226" s="29" t="str">
        <f>IF($C226="","",IFERROR(IF(INDEX('🎓 Alumnas'!$E$2:$E$1000,MATCH($C226,'🎓 Alumnas'!$B$2:$B$1000,0))="","",INDEX('🎓 Alumnas'!$E$2:$E$1000,MATCH($C226,'🎓 Alumnas'!$B$2:$B$1000,0))),""))</f>
        <v/>
      </c>
      <c r="G226" s="31" t="str">
        <f>IF($C226="","",IFERROR(IF(INDEX('🎓 Alumnas'!$F$2:$F$1000,MATCH($C226,'🎓 Alumnas'!$B$2:$B$1000,0))="","",INDEX('🎓 Alumnas'!$F$2:$F$1000,MATCH($C226,'🎓 Alumnas'!$B$2:$B$1000,0))),""))</f>
        <v/>
      </c>
      <c r="H226" s="29" t="str">
        <f t="shared" ca="1" si="9"/>
        <v/>
      </c>
      <c r="I226" s="26"/>
      <c r="J226" s="29" t="str">
        <f t="shared" si="10"/>
        <v/>
      </c>
      <c r="K226" s="26"/>
      <c r="L226" s="26"/>
      <c r="M226" s="35"/>
      <c r="N226" s="30" t="str">
        <f t="shared" si="11"/>
        <v/>
      </c>
      <c r="O226" s="36"/>
      <c r="P226" s="26"/>
      <c r="Q226" s="26"/>
      <c r="R226" s="29" t="str">
        <f>IF(C226="","",IF(COUNTIF($C$2:C226,C226)=1,"Nueva","Recurrente"))</f>
        <v/>
      </c>
      <c r="S226" s="29" t="str">
        <f>IF(OR(C226="",J226&lt;&gt;"Paquete"),"",COUNTIFS($C$2:C226,C226,$J$2:J226,"Paquete"))</f>
        <v/>
      </c>
      <c r="T226" s="26"/>
    </row>
    <row r="227" spans="1:20" x14ac:dyDescent="0.35">
      <c r="A227" s="26" t="s">
        <v>655</v>
      </c>
      <c r="B227" s="28"/>
      <c r="C227" s="26"/>
      <c r="D227" s="34" t="str">
        <f>IF($C227="","",IFERROR(IF(INDEX('🎓 Alumnas'!$C$2:$C$1000,MATCH($C227,'🎓 Alumnas'!$B$2:$B$1000,0))="","",INDEX('🎓 Alumnas'!$C$2:$C$1000,MATCH($C227,'🎓 Alumnas'!$B$2:$B$1000,0))),""))</f>
        <v/>
      </c>
      <c r="E227" s="29" t="str">
        <f>IF($C227="","",IFERROR(IF(INDEX('🎓 Alumnas'!$D$2:$D$1000,MATCH($C227,'🎓 Alumnas'!$B$2:$B$1000,0))="","",INDEX('🎓 Alumnas'!$D$2:$D$1000,MATCH($C227,'🎓 Alumnas'!$B$2:$B$1000,0))),""))</f>
        <v/>
      </c>
      <c r="F227" s="29" t="str">
        <f>IF($C227="","",IFERROR(IF(INDEX('🎓 Alumnas'!$E$2:$E$1000,MATCH($C227,'🎓 Alumnas'!$B$2:$B$1000,0))="","",INDEX('🎓 Alumnas'!$E$2:$E$1000,MATCH($C227,'🎓 Alumnas'!$B$2:$B$1000,0))),""))</f>
        <v/>
      </c>
      <c r="G227" s="31" t="str">
        <f>IF($C227="","",IFERROR(IF(INDEX('🎓 Alumnas'!$F$2:$F$1000,MATCH($C227,'🎓 Alumnas'!$B$2:$B$1000,0))="","",INDEX('🎓 Alumnas'!$F$2:$F$1000,MATCH($C227,'🎓 Alumnas'!$B$2:$B$1000,0))),""))</f>
        <v/>
      </c>
      <c r="H227" s="29" t="str">
        <f t="shared" ca="1" si="9"/>
        <v/>
      </c>
      <c r="I227" s="26"/>
      <c r="J227" s="29" t="str">
        <f t="shared" si="10"/>
        <v/>
      </c>
      <c r="K227" s="26"/>
      <c r="L227" s="26"/>
      <c r="M227" s="35"/>
      <c r="N227" s="30" t="str">
        <f t="shared" si="11"/>
        <v/>
      </c>
      <c r="O227" s="36"/>
      <c r="P227" s="26"/>
      <c r="Q227" s="26"/>
      <c r="R227" s="29" t="str">
        <f>IF(C227="","",IF(COUNTIF($C$2:C227,C227)=1,"Nueva","Recurrente"))</f>
        <v/>
      </c>
      <c r="S227" s="29" t="str">
        <f>IF(OR(C227="",J227&lt;&gt;"Paquete"),"",COUNTIFS($C$2:C227,C227,$J$2:J227,"Paquete"))</f>
        <v/>
      </c>
      <c r="T227" s="26"/>
    </row>
    <row r="228" spans="1:20" x14ac:dyDescent="0.35">
      <c r="A228" s="26" t="s">
        <v>656</v>
      </c>
      <c r="B228" s="28"/>
      <c r="C228" s="26"/>
      <c r="D228" s="34" t="str">
        <f>IF($C228="","",IFERROR(IF(INDEX('🎓 Alumnas'!$C$2:$C$1000,MATCH($C228,'🎓 Alumnas'!$B$2:$B$1000,0))="","",INDEX('🎓 Alumnas'!$C$2:$C$1000,MATCH($C228,'🎓 Alumnas'!$B$2:$B$1000,0))),""))</f>
        <v/>
      </c>
      <c r="E228" s="29" t="str">
        <f>IF($C228="","",IFERROR(IF(INDEX('🎓 Alumnas'!$D$2:$D$1000,MATCH($C228,'🎓 Alumnas'!$B$2:$B$1000,0))="","",INDEX('🎓 Alumnas'!$D$2:$D$1000,MATCH($C228,'🎓 Alumnas'!$B$2:$B$1000,0))),""))</f>
        <v/>
      </c>
      <c r="F228" s="29" t="str">
        <f>IF($C228="","",IFERROR(IF(INDEX('🎓 Alumnas'!$E$2:$E$1000,MATCH($C228,'🎓 Alumnas'!$B$2:$B$1000,0))="","",INDEX('🎓 Alumnas'!$E$2:$E$1000,MATCH($C228,'🎓 Alumnas'!$B$2:$B$1000,0))),""))</f>
        <v/>
      </c>
      <c r="G228" s="31" t="str">
        <f>IF($C228="","",IFERROR(IF(INDEX('🎓 Alumnas'!$F$2:$F$1000,MATCH($C228,'🎓 Alumnas'!$B$2:$B$1000,0))="","",INDEX('🎓 Alumnas'!$F$2:$F$1000,MATCH($C228,'🎓 Alumnas'!$B$2:$B$1000,0))),""))</f>
        <v/>
      </c>
      <c r="H228" s="29" t="str">
        <f t="shared" ca="1" si="9"/>
        <v/>
      </c>
      <c r="I228" s="26"/>
      <c r="J228" s="29" t="str">
        <f t="shared" si="10"/>
        <v/>
      </c>
      <c r="K228" s="26"/>
      <c r="L228" s="26"/>
      <c r="M228" s="35"/>
      <c r="N228" s="30" t="str">
        <f t="shared" si="11"/>
        <v/>
      </c>
      <c r="O228" s="36"/>
      <c r="P228" s="26"/>
      <c r="Q228" s="26"/>
      <c r="R228" s="29" t="str">
        <f>IF(C228="","",IF(COUNTIF($C$2:C228,C228)=1,"Nueva","Recurrente"))</f>
        <v/>
      </c>
      <c r="S228" s="29" t="str">
        <f>IF(OR(C228="",J228&lt;&gt;"Paquete"),"",COUNTIFS($C$2:C228,C228,$J$2:J228,"Paquete"))</f>
        <v/>
      </c>
      <c r="T228" s="26"/>
    </row>
    <row r="229" spans="1:20" x14ac:dyDescent="0.35">
      <c r="A229" s="26" t="s">
        <v>657</v>
      </c>
      <c r="B229" s="28"/>
      <c r="C229" s="26"/>
      <c r="D229" s="34" t="str">
        <f>IF($C229="","",IFERROR(IF(INDEX('🎓 Alumnas'!$C$2:$C$1000,MATCH($C229,'🎓 Alumnas'!$B$2:$B$1000,0))="","",INDEX('🎓 Alumnas'!$C$2:$C$1000,MATCH($C229,'🎓 Alumnas'!$B$2:$B$1000,0))),""))</f>
        <v/>
      </c>
      <c r="E229" s="29" t="str">
        <f>IF($C229="","",IFERROR(IF(INDEX('🎓 Alumnas'!$D$2:$D$1000,MATCH($C229,'🎓 Alumnas'!$B$2:$B$1000,0))="","",INDEX('🎓 Alumnas'!$D$2:$D$1000,MATCH($C229,'🎓 Alumnas'!$B$2:$B$1000,0))),""))</f>
        <v/>
      </c>
      <c r="F229" s="29" t="str">
        <f>IF($C229="","",IFERROR(IF(INDEX('🎓 Alumnas'!$E$2:$E$1000,MATCH($C229,'🎓 Alumnas'!$B$2:$B$1000,0))="","",INDEX('🎓 Alumnas'!$E$2:$E$1000,MATCH($C229,'🎓 Alumnas'!$B$2:$B$1000,0))),""))</f>
        <v/>
      </c>
      <c r="G229" s="31" t="str">
        <f>IF($C229="","",IFERROR(IF(INDEX('🎓 Alumnas'!$F$2:$F$1000,MATCH($C229,'🎓 Alumnas'!$B$2:$B$1000,0))="","",INDEX('🎓 Alumnas'!$F$2:$F$1000,MATCH($C229,'🎓 Alumnas'!$B$2:$B$1000,0))),""))</f>
        <v/>
      </c>
      <c r="H229" s="29" t="str">
        <f t="shared" ca="1" si="9"/>
        <v/>
      </c>
      <c r="I229" s="26"/>
      <c r="J229" s="29" t="str">
        <f t="shared" si="10"/>
        <v/>
      </c>
      <c r="K229" s="26"/>
      <c r="L229" s="26"/>
      <c r="M229" s="35"/>
      <c r="N229" s="30" t="str">
        <f t="shared" si="11"/>
        <v/>
      </c>
      <c r="O229" s="36"/>
      <c r="P229" s="26"/>
      <c r="Q229" s="26"/>
      <c r="R229" s="29" t="str">
        <f>IF(C229="","",IF(COUNTIF($C$2:C229,C229)=1,"Nueva","Recurrente"))</f>
        <v/>
      </c>
      <c r="S229" s="29" t="str">
        <f>IF(OR(C229="",J229&lt;&gt;"Paquete"),"",COUNTIFS($C$2:C229,C229,$J$2:J229,"Paquete"))</f>
        <v/>
      </c>
      <c r="T229" s="26"/>
    </row>
    <row r="230" spans="1:20" x14ac:dyDescent="0.35">
      <c r="A230" s="26" t="s">
        <v>658</v>
      </c>
      <c r="B230" s="28"/>
      <c r="C230" s="26"/>
      <c r="D230" s="34" t="str">
        <f>IF($C230="","",IFERROR(IF(INDEX('🎓 Alumnas'!$C$2:$C$1000,MATCH($C230,'🎓 Alumnas'!$B$2:$B$1000,0))="","",INDEX('🎓 Alumnas'!$C$2:$C$1000,MATCH($C230,'🎓 Alumnas'!$B$2:$B$1000,0))),""))</f>
        <v/>
      </c>
      <c r="E230" s="29" t="str">
        <f>IF($C230="","",IFERROR(IF(INDEX('🎓 Alumnas'!$D$2:$D$1000,MATCH($C230,'🎓 Alumnas'!$B$2:$B$1000,0))="","",INDEX('🎓 Alumnas'!$D$2:$D$1000,MATCH($C230,'🎓 Alumnas'!$B$2:$B$1000,0))),""))</f>
        <v/>
      </c>
      <c r="F230" s="29" t="str">
        <f>IF($C230="","",IFERROR(IF(INDEX('🎓 Alumnas'!$E$2:$E$1000,MATCH($C230,'🎓 Alumnas'!$B$2:$B$1000,0))="","",INDEX('🎓 Alumnas'!$E$2:$E$1000,MATCH($C230,'🎓 Alumnas'!$B$2:$B$1000,0))),""))</f>
        <v/>
      </c>
      <c r="G230" s="31" t="str">
        <f>IF($C230="","",IFERROR(IF(INDEX('🎓 Alumnas'!$F$2:$F$1000,MATCH($C230,'🎓 Alumnas'!$B$2:$B$1000,0))="","",INDEX('🎓 Alumnas'!$F$2:$F$1000,MATCH($C230,'🎓 Alumnas'!$B$2:$B$1000,0))),""))</f>
        <v/>
      </c>
      <c r="H230" s="29" t="str">
        <f t="shared" ca="1" si="9"/>
        <v/>
      </c>
      <c r="I230" s="26"/>
      <c r="J230" s="29" t="str">
        <f t="shared" si="10"/>
        <v/>
      </c>
      <c r="K230" s="26"/>
      <c r="L230" s="26"/>
      <c r="M230" s="35"/>
      <c r="N230" s="30" t="str">
        <f t="shared" si="11"/>
        <v/>
      </c>
      <c r="O230" s="36"/>
      <c r="P230" s="26"/>
      <c r="Q230" s="26"/>
      <c r="R230" s="29" t="str">
        <f>IF(C230="","",IF(COUNTIF($C$2:C230,C230)=1,"Nueva","Recurrente"))</f>
        <v/>
      </c>
      <c r="S230" s="29" t="str">
        <f>IF(OR(C230="",J230&lt;&gt;"Paquete"),"",COUNTIFS($C$2:C230,C230,$J$2:J230,"Paquete"))</f>
        <v/>
      </c>
      <c r="T230" s="26"/>
    </row>
    <row r="231" spans="1:20" x14ac:dyDescent="0.35">
      <c r="A231" s="26" t="s">
        <v>659</v>
      </c>
      <c r="B231" s="28"/>
      <c r="C231" s="26"/>
      <c r="D231" s="34" t="str">
        <f>IF($C231="","",IFERROR(IF(INDEX('🎓 Alumnas'!$C$2:$C$1000,MATCH($C231,'🎓 Alumnas'!$B$2:$B$1000,0))="","",INDEX('🎓 Alumnas'!$C$2:$C$1000,MATCH($C231,'🎓 Alumnas'!$B$2:$B$1000,0))),""))</f>
        <v/>
      </c>
      <c r="E231" s="29" t="str">
        <f>IF($C231="","",IFERROR(IF(INDEX('🎓 Alumnas'!$D$2:$D$1000,MATCH($C231,'🎓 Alumnas'!$B$2:$B$1000,0))="","",INDEX('🎓 Alumnas'!$D$2:$D$1000,MATCH($C231,'🎓 Alumnas'!$B$2:$B$1000,0))),""))</f>
        <v/>
      </c>
      <c r="F231" s="29" t="str">
        <f>IF($C231="","",IFERROR(IF(INDEX('🎓 Alumnas'!$E$2:$E$1000,MATCH($C231,'🎓 Alumnas'!$B$2:$B$1000,0))="","",INDEX('🎓 Alumnas'!$E$2:$E$1000,MATCH($C231,'🎓 Alumnas'!$B$2:$B$1000,0))),""))</f>
        <v/>
      </c>
      <c r="G231" s="31" t="str">
        <f>IF($C231="","",IFERROR(IF(INDEX('🎓 Alumnas'!$F$2:$F$1000,MATCH($C231,'🎓 Alumnas'!$B$2:$B$1000,0))="","",INDEX('🎓 Alumnas'!$F$2:$F$1000,MATCH($C231,'🎓 Alumnas'!$B$2:$B$1000,0))),""))</f>
        <v/>
      </c>
      <c r="H231" s="29" t="str">
        <f t="shared" ca="1" si="9"/>
        <v/>
      </c>
      <c r="I231" s="26"/>
      <c r="J231" s="29" t="str">
        <f t="shared" si="10"/>
        <v/>
      </c>
      <c r="K231" s="26"/>
      <c r="L231" s="26"/>
      <c r="M231" s="35"/>
      <c r="N231" s="30" t="str">
        <f t="shared" si="11"/>
        <v/>
      </c>
      <c r="O231" s="36"/>
      <c r="P231" s="26"/>
      <c r="Q231" s="26"/>
      <c r="R231" s="29" t="str">
        <f>IF(C231="","",IF(COUNTIF($C$2:C231,C231)=1,"Nueva","Recurrente"))</f>
        <v/>
      </c>
      <c r="S231" s="29" t="str">
        <f>IF(OR(C231="",J231&lt;&gt;"Paquete"),"",COUNTIFS($C$2:C231,C231,$J$2:J231,"Paquete"))</f>
        <v/>
      </c>
      <c r="T231" s="26"/>
    </row>
    <row r="232" spans="1:20" x14ac:dyDescent="0.35">
      <c r="A232" s="26" t="s">
        <v>660</v>
      </c>
      <c r="B232" s="28"/>
      <c r="C232" s="26"/>
      <c r="D232" s="34" t="str">
        <f>IF($C232="","",IFERROR(IF(INDEX('🎓 Alumnas'!$C$2:$C$1000,MATCH($C232,'🎓 Alumnas'!$B$2:$B$1000,0))="","",INDEX('🎓 Alumnas'!$C$2:$C$1000,MATCH($C232,'🎓 Alumnas'!$B$2:$B$1000,0))),""))</f>
        <v/>
      </c>
      <c r="E232" s="29" t="str">
        <f>IF($C232="","",IFERROR(IF(INDEX('🎓 Alumnas'!$D$2:$D$1000,MATCH($C232,'🎓 Alumnas'!$B$2:$B$1000,0))="","",INDEX('🎓 Alumnas'!$D$2:$D$1000,MATCH($C232,'🎓 Alumnas'!$B$2:$B$1000,0))),""))</f>
        <v/>
      </c>
      <c r="F232" s="29" t="str">
        <f>IF($C232="","",IFERROR(IF(INDEX('🎓 Alumnas'!$E$2:$E$1000,MATCH($C232,'🎓 Alumnas'!$B$2:$B$1000,0))="","",INDEX('🎓 Alumnas'!$E$2:$E$1000,MATCH($C232,'🎓 Alumnas'!$B$2:$B$1000,0))),""))</f>
        <v/>
      </c>
      <c r="G232" s="31" t="str">
        <f>IF($C232="","",IFERROR(IF(INDEX('🎓 Alumnas'!$F$2:$F$1000,MATCH($C232,'🎓 Alumnas'!$B$2:$B$1000,0))="","",INDEX('🎓 Alumnas'!$F$2:$F$1000,MATCH($C232,'🎓 Alumnas'!$B$2:$B$1000,0))),""))</f>
        <v/>
      </c>
      <c r="H232" s="29" t="str">
        <f t="shared" ca="1" si="9"/>
        <v/>
      </c>
      <c r="I232" s="26"/>
      <c r="J232" s="29" t="str">
        <f t="shared" si="10"/>
        <v/>
      </c>
      <c r="K232" s="26"/>
      <c r="L232" s="26"/>
      <c r="M232" s="35"/>
      <c r="N232" s="30" t="str">
        <f t="shared" si="11"/>
        <v/>
      </c>
      <c r="O232" s="36"/>
      <c r="P232" s="26"/>
      <c r="Q232" s="26"/>
      <c r="R232" s="29" t="str">
        <f>IF(C232="","",IF(COUNTIF($C$2:C232,C232)=1,"Nueva","Recurrente"))</f>
        <v/>
      </c>
      <c r="S232" s="29" t="str">
        <f>IF(OR(C232="",J232&lt;&gt;"Paquete"),"",COUNTIFS($C$2:C232,C232,$J$2:J232,"Paquete"))</f>
        <v/>
      </c>
      <c r="T232" s="26"/>
    </row>
    <row r="233" spans="1:20" x14ac:dyDescent="0.35">
      <c r="A233" s="26" t="s">
        <v>661</v>
      </c>
      <c r="B233" s="28"/>
      <c r="C233" s="26"/>
      <c r="D233" s="34" t="str">
        <f>IF($C233="","",IFERROR(IF(INDEX('🎓 Alumnas'!$C$2:$C$1000,MATCH($C233,'🎓 Alumnas'!$B$2:$B$1000,0))="","",INDEX('🎓 Alumnas'!$C$2:$C$1000,MATCH($C233,'🎓 Alumnas'!$B$2:$B$1000,0))),""))</f>
        <v/>
      </c>
      <c r="E233" s="29" t="str">
        <f>IF($C233="","",IFERROR(IF(INDEX('🎓 Alumnas'!$D$2:$D$1000,MATCH($C233,'🎓 Alumnas'!$B$2:$B$1000,0))="","",INDEX('🎓 Alumnas'!$D$2:$D$1000,MATCH($C233,'🎓 Alumnas'!$B$2:$B$1000,0))),""))</f>
        <v/>
      </c>
      <c r="F233" s="29" t="str">
        <f>IF($C233="","",IFERROR(IF(INDEX('🎓 Alumnas'!$E$2:$E$1000,MATCH($C233,'🎓 Alumnas'!$B$2:$B$1000,0))="","",INDEX('🎓 Alumnas'!$E$2:$E$1000,MATCH($C233,'🎓 Alumnas'!$B$2:$B$1000,0))),""))</f>
        <v/>
      </c>
      <c r="G233" s="31" t="str">
        <f>IF($C233="","",IFERROR(IF(INDEX('🎓 Alumnas'!$F$2:$F$1000,MATCH($C233,'🎓 Alumnas'!$B$2:$B$1000,0))="","",INDEX('🎓 Alumnas'!$F$2:$F$1000,MATCH($C233,'🎓 Alumnas'!$B$2:$B$1000,0))),""))</f>
        <v/>
      </c>
      <c r="H233" s="29" t="str">
        <f t="shared" ca="1" si="9"/>
        <v/>
      </c>
      <c r="I233" s="26"/>
      <c r="J233" s="29" t="str">
        <f t="shared" si="10"/>
        <v/>
      </c>
      <c r="K233" s="26"/>
      <c r="L233" s="26"/>
      <c r="M233" s="35"/>
      <c r="N233" s="30" t="str">
        <f t="shared" si="11"/>
        <v/>
      </c>
      <c r="O233" s="36"/>
      <c r="P233" s="26"/>
      <c r="Q233" s="26"/>
      <c r="R233" s="29" t="str">
        <f>IF(C233="","",IF(COUNTIF($C$2:C233,C233)=1,"Nueva","Recurrente"))</f>
        <v/>
      </c>
      <c r="S233" s="29" t="str">
        <f>IF(OR(C233="",J233&lt;&gt;"Paquete"),"",COUNTIFS($C$2:C233,C233,$J$2:J233,"Paquete"))</f>
        <v/>
      </c>
      <c r="T233" s="26"/>
    </row>
    <row r="234" spans="1:20" x14ac:dyDescent="0.35">
      <c r="A234" s="26" t="s">
        <v>662</v>
      </c>
      <c r="B234" s="28"/>
      <c r="C234" s="26"/>
      <c r="D234" s="34" t="str">
        <f>IF($C234="","",IFERROR(IF(INDEX('🎓 Alumnas'!$C$2:$C$1000,MATCH($C234,'🎓 Alumnas'!$B$2:$B$1000,0))="","",INDEX('🎓 Alumnas'!$C$2:$C$1000,MATCH($C234,'🎓 Alumnas'!$B$2:$B$1000,0))),""))</f>
        <v/>
      </c>
      <c r="E234" s="29" t="str">
        <f>IF($C234="","",IFERROR(IF(INDEX('🎓 Alumnas'!$D$2:$D$1000,MATCH($C234,'🎓 Alumnas'!$B$2:$B$1000,0))="","",INDEX('🎓 Alumnas'!$D$2:$D$1000,MATCH($C234,'🎓 Alumnas'!$B$2:$B$1000,0))),""))</f>
        <v/>
      </c>
      <c r="F234" s="29" t="str">
        <f>IF($C234="","",IFERROR(IF(INDEX('🎓 Alumnas'!$E$2:$E$1000,MATCH($C234,'🎓 Alumnas'!$B$2:$B$1000,0))="","",INDEX('🎓 Alumnas'!$E$2:$E$1000,MATCH($C234,'🎓 Alumnas'!$B$2:$B$1000,0))),""))</f>
        <v/>
      </c>
      <c r="G234" s="31" t="str">
        <f>IF($C234="","",IFERROR(IF(INDEX('🎓 Alumnas'!$F$2:$F$1000,MATCH($C234,'🎓 Alumnas'!$B$2:$B$1000,0))="","",INDEX('🎓 Alumnas'!$F$2:$F$1000,MATCH($C234,'🎓 Alumnas'!$B$2:$B$1000,0))),""))</f>
        <v/>
      </c>
      <c r="H234" s="29" t="str">
        <f t="shared" ca="1" si="9"/>
        <v/>
      </c>
      <c r="I234" s="26"/>
      <c r="J234" s="29" t="str">
        <f t="shared" si="10"/>
        <v/>
      </c>
      <c r="K234" s="26"/>
      <c r="L234" s="26"/>
      <c r="M234" s="35"/>
      <c r="N234" s="30" t="str">
        <f t="shared" si="11"/>
        <v/>
      </c>
      <c r="O234" s="36"/>
      <c r="P234" s="26"/>
      <c r="Q234" s="26"/>
      <c r="R234" s="29" t="str">
        <f>IF(C234="","",IF(COUNTIF($C$2:C234,C234)=1,"Nueva","Recurrente"))</f>
        <v/>
      </c>
      <c r="S234" s="29" t="str">
        <f>IF(OR(C234="",J234&lt;&gt;"Paquete"),"",COUNTIFS($C$2:C234,C234,$J$2:J234,"Paquete"))</f>
        <v/>
      </c>
      <c r="T234" s="26"/>
    </row>
    <row r="235" spans="1:20" x14ac:dyDescent="0.35">
      <c r="A235" s="26" t="s">
        <v>663</v>
      </c>
      <c r="B235" s="28"/>
      <c r="C235" s="26"/>
      <c r="D235" s="34" t="str">
        <f>IF($C235="","",IFERROR(IF(INDEX('🎓 Alumnas'!$C$2:$C$1000,MATCH($C235,'🎓 Alumnas'!$B$2:$B$1000,0))="","",INDEX('🎓 Alumnas'!$C$2:$C$1000,MATCH($C235,'🎓 Alumnas'!$B$2:$B$1000,0))),""))</f>
        <v/>
      </c>
      <c r="E235" s="29" t="str">
        <f>IF($C235="","",IFERROR(IF(INDEX('🎓 Alumnas'!$D$2:$D$1000,MATCH($C235,'🎓 Alumnas'!$B$2:$B$1000,0))="","",INDEX('🎓 Alumnas'!$D$2:$D$1000,MATCH($C235,'🎓 Alumnas'!$B$2:$B$1000,0))),""))</f>
        <v/>
      </c>
      <c r="F235" s="29" t="str">
        <f>IF($C235="","",IFERROR(IF(INDEX('🎓 Alumnas'!$E$2:$E$1000,MATCH($C235,'🎓 Alumnas'!$B$2:$B$1000,0))="","",INDEX('🎓 Alumnas'!$E$2:$E$1000,MATCH($C235,'🎓 Alumnas'!$B$2:$B$1000,0))),""))</f>
        <v/>
      </c>
      <c r="G235" s="31" t="str">
        <f>IF($C235="","",IFERROR(IF(INDEX('🎓 Alumnas'!$F$2:$F$1000,MATCH($C235,'🎓 Alumnas'!$B$2:$B$1000,0))="","",INDEX('🎓 Alumnas'!$F$2:$F$1000,MATCH($C235,'🎓 Alumnas'!$B$2:$B$1000,0))),""))</f>
        <v/>
      </c>
      <c r="H235" s="29" t="str">
        <f t="shared" ca="1" si="9"/>
        <v/>
      </c>
      <c r="I235" s="26"/>
      <c r="J235" s="29" t="str">
        <f t="shared" si="10"/>
        <v/>
      </c>
      <c r="K235" s="26"/>
      <c r="L235" s="26"/>
      <c r="M235" s="35"/>
      <c r="N235" s="30" t="str">
        <f t="shared" si="11"/>
        <v/>
      </c>
      <c r="O235" s="36"/>
      <c r="P235" s="26"/>
      <c r="Q235" s="26"/>
      <c r="R235" s="29" t="str">
        <f>IF(C235="","",IF(COUNTIF($C$2:C235,C235)=1,"Nueva","Recurrente"))</f>
        <v/>
      </c>
      <c r="S235" s="29" t="str">
        <f>IF(OR(C235="",J235&lt;&gt;"Paquete"),"",COUNTIFS($C$2:C235,C235,$J$2:J235,"Paquete"))</f>
        <v/>
      </c>
      <c r="T235" s="26"/>
    </row>
    <row r="236" spans="1:20" x14ac:dyDescent="0.35">
      <c r="A236" s="26" t="s">
        <v>664</v>
      </c>
      <c r="B236" s="28"/>
      <c r="C236" s="26"/>
      <c r="D236" s="34" t="str">
        <f>IF($C236="","",IFERROR(IF(INDEX('🎓 Alumnas'!$C$2:$C$1000,MATCH($C236,'🎓 Alumnas'!$B$2:$B$1000,0))="","",INDEX('🎓 Alumnas'!$C$2:$C$1000,MATCH($C236,'🎓 Alumnas'!$B$2:$B$1000,0))),""))</f>
        <v/>
      </c>
      <c r="E236" s="29" t="str">
        <f>IF($C236="","",IFERROR(IF(INDEX('🎓 Alumnas'!$D$2:$D$1000,MATCH($C236,'🎓 Alumnas'!$B$2:$B$1000,0))="","",INDEX('🎓 Alumnas'!$D$2:$D$1000,MATCH($C236,'🎓 Alumnas'!$B$2:$B$1000,0))),""))</f>
        <v/>
      </c>
      <c r="F236" s="29" t="str">
        <f>IF($C236="","",IFERROR(IF(INDEX('🎓 Alumnas'!$E$2:$E$1000,MATCH($C236,'🎓 Alumnas'!$B$2:$B$1000,0))="","",INDEX('🎓 Alumnas'!$E$2:$E$1000,MATCH($C236,'🎓 Alumnas'!$B$2:$B$1000,0))),""))</f>
        <v/>
      </c>
      <c r="G236" s="31" t="str">
        <f>IF($C236="","",IFERROR(IF(INDEX('🎓 Alumnas'!$F$2:$F$1000,MATCH($C236,'🎓 Alumnas'!$B$2:$B$1000,0))="","",INDEX('🎓 Alumnas'!$F$2:$F$1000,MATCH($C236,'🎓 Alumnas'!$B$2:$B$1000,0))),""))</f>
        <v/>
      </c>
      <c r="H236" s="29" t="str">
        <f t="shared" ca="1" si="9"/>
        <v/>
      </c>
      <c r="I236" s="26"/>
      <c r="J236" s="29" t="str">
        <f t="shared" si="10"/>
        <v/>
      </c>
      <c r="K236" s="26"/>
      <c r="L236" s="26"/>
      <c r="M236" s="35"/>
      <c r="N236" s="30" t="str">
        <f t="shared" si="11"/>
        <v/>
      </c>
      <c r="O236" s="36"/>
      <c r="P236" s="26"/>
      <c r="Q236" s="26"/>
      <c r="R236" s="29" t="str">
        <f>IF(C236="","",IF(COUNTIF($C$2:C236,C236)=1,"Nueva","Recurrente"))</f>
        <v/>
      </c>
      <c r="S236" s="29" t="str">
        <f>IF(OR(C236="",J236&lt;&gt;"Paquete"),"",COUNTIFS($C$2:C236,C236,$J$2:J236,"Paquete"))</f>
        <v/>
      </c>
      <c r="T236" s="26"/>
    </row>
    <row r="237" spans="1:20" x14ac:dyDescent="0.35">
      <c r="A237" s="26" t="s">
        <v>665</v>
      </c>
      <c r="B237" s="28"/>
      <c r="C237" s="26"/>
      <c r="D237" s="34" t="str">
        <f>IF($C237="","",IFERROR(IF(INDEX('🎓 Alumnas'!$C$2:$C$1000,MATCH($C237,'🎓 Alumnas'!$B$2:$B$1000,0))="","",INDEX('🎓 Alumnas'!$C$2:$C$1000,MATCH($C237,'🎓 Alumnas'!$B$2:$B$1000,0))),""))</f>
        <v/>
      </c>
      <c r="E237" s="29" t="str">
        <f>IF($C237="","",IFERROR(IF(INDEX('🎓 Alumnas'!$D$2:$D$1000,MATCH($C237,'🎓 Alumnas'!$B$2:$B$1000,0))="","",INDEX('🎓 Alumnas'!$D$2:$D$1000,MATCH($C237,'🎓 Alumnas'!$B$2:$B$1000,0))),""))</f>
        <v/>
      </c>
      <c r="F237" s="29" t="str">
        <f>IF($C237="","",IFERROR(IF(INDEX('🎓 Alumnas'!$E$2:$E$1000,MATCH($C237,'🎓 Alumnas'!$B$2:$B$1000,0))="","",INDEX('🎓 Alumnas'!$E$2:$E$1000,MATCH($C237,'🎓 Alumnas'!$B$2:$B$1000,0))),""))</f>
        <v/>
      </c>
      <c r="G237" s="31" t="str">
        <f>IF($C237="","",IFERROR(IF(INDEX('🎓 Alumnas'!$F$2:$F$1000,MATCH($C237,'🎓 Alumnas'!$B$2:$B$1000,0))="","",INDEX('🎓 Alumnas'!$F$2:$F$1000,MATCH($C237,'🎓 Alumnas'!$B$2:$B$1000,0))),""))</f>
        <v/>
      </c>
      <c r="H237" s="29" t="str">
        <f t="shared" ca="1" si="9"/>
        <v/>
      </c>
      <c r="I237" s="26"/>
      <c r="J237" s="29" t="str">
        <f t="shared" si="10"/>
        <v/>
      </c>
      <c r="K237" s="26"/>
      <c r="L237" s="26"/>
      <c r="M237" s="35"/>
      <c r="N237" s="30" t="str">
        <f t="shared" si="11"/>
        <v/>
      </c>
      <c r="O237" s="36"/>
      <c r="P237" s="26"/>
      <c r="Q237" s="26"/>
      <c r="R237" s="29" t="str">
        <f>IF(C237="","",IF(COUNTIF($C$2:C237,C237)=1,"Nueva","Recurrente"))</f>
        <v/>
      </c>
      <c r="S237" s="29" t="str">
        <f>IF(OR(C237="",J237&lt;&gt;"Paquete"),"",COUNTIFS($C$2:C237,C237,$J$2:J237,"Paquete"))</f>
        <v/>
      </c>
      <c r="T237" s="26"/>
    </row>
    <row r="238" spans="1:20" x14ac:dyDescent="0.35">
      <c r="A238" s="26" t="s">
        <v>666</v>
      </c>
      <c r="B238" s="28"/>
      <c r="C238" s="26"/>
      <c r="D238" s="34" t="str">
        <f>IF($C238="","",IFERROR(IF(INDEX('🎓 Alumnas'!$C$2:$C$1000,MATCH($C238,'🎓 Alumnas'!$B$2:$B$1000,0))="","",INDEX('🎓 Alumnas'!$C$2:$C$1000,MATCH($C238,'🎓 Alumnas'!$B$2:$B$1000,0))),""))</f>
        <v/>
      </c>
      <c r="E238" s="29" t="str">
        <f>IF($C238="","",IFERROR(IF(INDEX('🎓 Alumnas'!$D$2:$D$1000,MATCH($C238,'🎓 Alumnas'!$B$2:$B$1000,0))="","",INDEX('🎓 Alumnas'!$D$2:$D$1000,MATCH($C238,'🎓 Alumnas'!$B$2:$B$1000,0))),""))</f>
        <v/>
      </c>
      <c r="F238" s="29" t="str">
        <f>IF($C238="","",IFERROR(IF(INDEX('🎓 Alumnas'!$E$2:$E$1000,MATCH($C238,'🎓 Alumnas'!$B$2:$B$1000,0))="","",INDEX('🎓 Alumnas'!$E$2:$E$1000,MATCH($C238,'🎓 Alumnas'!$B$2:$B$1000,0))),""))</f>
        <v/>
      </c>
      <c r="G238" s="31" t="str">
        <f>IF($C238="","",IFERROR(IF(INDEX('🎓 Alumnas'!$F$2:$F$1000,MATCH($C238,'🎓 Alumnas'!$B$2:$B$1000,0))="","",INDEX('🎓 Alumnas'!$F$2:$F$1000,MATCH($C238,'🎓 Alumnas'!$B$2:$B$1000,0))),""))</f>
        <v/>
      </c>
      <c r="H238" s="29" t="str">
        <f t="shared" ca="1" si="9"/>
        <v/>
      </c>
      <c r="I238" s="26"/>
      <c r="J238" s="29" t="str">
        <f t="shared" si="10"/>
        <v/>
      </c>
      <c r="K238" s="26"/>
      <c r="L238" s="26"/>
      <c r="M238" s="35"/>
      <c r="N238" s="30" t="str">
        <f t="shared" si="11"/>
        <v/>
      </c>
      <c r="O238" s="36"/>
      <c r="P238" s="26"/>
      <c r="Q238" s="26"/>
      <c r="R238" s="29" t="str">
        <f>IF(C238="","",IF(COUNTIF($C$2:C238,C238)=1,"Nueva","Recurrente"))</f>
        <v/>
      </c>
      <c r="S238" s="29" t="str">
        <f>IF(OR(C238="",J238&lt;&gt;"Paquete"),"",COUNTIFS($C$2:C238,C238,$J$2:J238,"Paquete"))</f>
        <v/>
      </c>
      <c r="T238" s="26"/>
    </row>
    <row r="239" spans="1:20" x14ac:dyDescent="0.35">
      <c r="A239" s="26" t="s">
        <v>667</v>
      </c>
      <c r="B239" s="28"/>
      <c r="C239" s="26"/>
      <c r="D239" s="34" t="str">
        <f>IF($C239="","",IFERROR(IF(INDEX('🎓 Alumnas'!$C$2:$C$1000,MATCH($C239,'🎓 Alumnas'!$B$2:$B$1000,0))="","",INDEX('🎓 Alumnas'!$C$2:$C$1000,MATCH($C239,'🎓 Alumnas'!$B$2:$B$1000,0))),""))</f>
        <v/>
      </c>
      <c r="E239" s="29" t="str">
        <f>IF($C239="","",IFERROR(IF(INDEX('🎓 Alumnas'!$D$2:$D$1000,MATCH($C239,'🎓 Alumnas'!$B$2:$B$1000,0))="","",INDEX('🎓 Alumnas'!$D$2:$D$1000,MATCH($C239,'🎓 Alumnas'!$B$2:$B$1000,0))),""))</f>
        <v/>
      </c>
      <c r="F239" s="29" t="str">
        <f>IF($C239="","",IFERROR(IF(INDEX('🎓 Alumnas'!$E$2:$E$1000,MATCH($C239,'🎓 Alumnas'!$B$2:$B$1000,0))="","",INDEX('🎓 Alumnas'!$E$2:$E$1000,MATCH($C239,'🎓 Alumnas'!$B$2:$B$1000,0))),""))</f>
        <v/>
      </c>
      <c r="G239" s="31" t="str">
        <f>IF($C239="","",IFERROR(IF(INDEX('🎓 Alumnas'!$F$2:$F$1000,MATCH($C239,'🎓 Alumnas'!$B$2:$B$1000,0))="","",INDEX('🎓 Alumnas'!$F$2:$F$1000,MATCH($C239,'🎓 Alumnas'!$B$2:$B$1000,0))),""))</f>
        <v/>
      </c>
      <c r="H239" s="29" t="str">
        <f t="shared" ca="1" si="9"/>
        <v/>
      </c>
      <c r="I239" s="26"/>
      <c r="J239" s="29" t="str">
        <f t="shared" si="10"/>
        <v/>
      </c>
      <c r="K239" s="26"/>
      <c r="L239" s="26"/>
      <c r="M239" s="35"/>
      <c r="N239" s="30" t="str">
        <f t="shared" si="11"/>
        <v/>
      </c>
      <c r="O239" s="36"/>
      <c r="P239" s="26"/>
      <c r="Q239" s="26"/>
      <c r="R239" s="29" t="str">
        <f>IF(C239="","",IF(COUNTIF($C$2:C239,C239)=1,"Nueva","Recurrente"))</f>
        <v/>
      </c>
      <c r="S239" s="29" t="str">
        <f>IF(OR(C239="",J239&lt;&gt;"Paquete"),"",COUNTIFS($C$2:C239,C239,$J$2:J239,"Paquete"))</f>
        <v/>
      </c>
      <c r="T239" s="26"/>
    </row>
    <row r="240" spans="1:20" x14ac:dyDescent="0.35">
      <c r="A240" s="26" t="s">
        <v>668</v>
      </c>
      <c r="B240" s="28"/>
      <c r="C240" s="26"/>
      <c r="D240" s="34" t="str">
        <f>IF($C240="","",IFERROR(IF(INDEX('🎓 Alumnas'!$C$2:$C$1000,MATCH($C240,'🎓 Alumnas'!$B$2:$B$1000,0))="","",INDEX('🎓 Alumnas'!$C$2:$C$1000,MATCH($C240,'🎓 Alumnas'!$B$2:$B$1000,0))),""))</f>
        <v/>
      </c>
      <c r="E240" s="29" t="str">
        <f>IF($C240="","",IFERROR(IF(INDEX('🎓 Alumnas'!$D$2:$D$1000,MATCH($C240,'🎓 Alumnas'!$B$2:$B$1000,0))="","",INDEX('🎓 Alumnas'!$D$2:$D$1000,MATCH($C240,'🎓 Alumnas'!$B$2:$B$1000,0))),""))</f>
        <v/>
      </c>
      <c r="F240" s="29" t="str">
        <f>IF($C240="","",IFERROR(IF(INDEX('🎓 Alumnas'!$E$2:$E$1000,MATCH($C240,'🎓 Alumnas'!$B$2:$B$1000,0))="","",INDEX('🎓 Alumnas'!$E$2:$E$1000,MATCH($C240,'🎓 Alumnas'!$B$2:$B$1000,0))),""))</f>
        <v/>
      </c>
      <c r="G240" s="31" t="str">
        <f>IF($C240="","",IFERROR(IF(INDEX('🎓 Alumnas'!$F$2:$F$1000,MATCH($C240,'🎓 Alumnas'!$B$2:$B$1000,0))="","",INDEX('🎓 Alumnas'!$F$2:$F$1000,MATCH($C240,'🎓 Alumnas'!$B$2:$B$1000,0))),""))</f>
        <v/>
      </c>
      <c r="H240" s="29" t="str">
        <f t="shared" ca="1" si="9"/>
        <v/>
      </c>
      <c r="I240" s="26"/>
      <c r="J240" s="29" t="str">
        <f t="shared" si="10"/>
        <v/>
      </c>
      <c r="K240" s="26"/>
      <c r="L240" s="26"/>
      <c r="M240" s="35"/>
      <c r="N240" s="30" t="str">
        <f t="shared" si="11"/>
        <v/>
      </c>
      <c r="O240" s="36"/>
      <c r="P240" s="26"/>
      <c r="Q240" s="26"/>
      <c r="R240" s="29" t="str">
        <f>IF(C240="","",IF(COUNTIF($C$2:C240,C240)=1,"Nueva","Recurrente"))</f>
        <v/>
      </c>
      <c r="S240" s="29" t="str">
        <f>IF(OR(C240="",J240&lt;&gt;"Paquete"),"",COUNTIFS($C$2:C240,C240,$J$2:J240,"Paquete"))</f>
        <v/>
      </c>
      <c r="T240" s="26"/>
    </row>
    <row r="241" spans="1:20" x14ac:dyDescent="0.35">
      <c r="A241" s="26" t="s">
        <v>669</v>
      </c>
      <c r="B241" s="28"/>
      <c r="C241" s="26"/>
      <c r="D241" s="34" t="str">
        <f>IF($C241="","",IFERROR(IF(INDEX('🎓 Alumnas'!$C$2:$C$1000,MATCH($C241,'🎓 Alumnas'!$B$2:$B$1000,0))="","",INDEX('🎓 Alumnas'!$C$2:$C$1000,MATCH($C241,'🎓 Alumnas'!$B$2:$B$1000,0))),""))</f>
        <v/>
      </c>
      <c r="E241" s="29" t="str">
        <f>IF($C241="","",IFERROR(IF(INDEX('🎓 Alumnas'!$D$2:$D$1000,MATCH($C241,'🎓 Alumnas'!$B$2:$B$1000,0))="","",INDEX('🎓 Alumnas'!$D$2:$D$1000,MATCH($C241,'🎓 Alumnas'!$B$2:$B$1000,0))),""))</f>
        <v/>
      </c>
      <c r="F241" s="29" t="str">
        <f>IF($C241="","",IFERROR(IF(INDEX('🎓 Alumnas'!$E$2:$E$1000,MATCH($C241,'🎓 Alumnas'!$B$2:$B$1000,0))="","",INDEX('🎓 Alumnas'!$E$2:$E$1000,MATCH($C241,'🎓 Alumnas'!$B$2:$B$1000,0))),""))</f>
        <v/>
      </c>
      <c r="G241" s="31" t="str">
        <f>IF($C241="","",IFERROR(IF(INDEX('🎓 Alumnas'!$F$2:$F$1000,MATCH($C241,'🎓 Alumnas'!$B$2:$B$1000,0))="","",INDEX('🎓 Alumnas'!$F$2:$F$1000,MATCH($C241,'🎓 Alumnas'!$B$2:$B$1000,0))),""))</f>
        <v/>
      </c>
      <c r="H241" s="29" t="str">
        <f t="shared" ca="1" si="9"/>
        <v/>
      </c>
      <c r="I241" s="26"/>
      <c r="J241" s="29" t="str">
        <f t="shared" si="10"/>
        <v/>
      </c>
      <c r="K241" s="26"/>
      <c r="L241" s="26"/>
      <c r="M241" s="35"/>
      <c r="N241" s="30" t="str">
        <f t="shared" si="11"/>
        <v/>
      </c>
      <c r="O241" s="36"/>
      <c r="P241" s="26"/>
      <c r="Q241" s="26"/>
      <c r="R241" s="29" t="str">
        <f>IF(C241="","",IF(COUNTIF($C$2:C241,C241)=1,"Nueva","Recurrente"))</f>
        <v/>
      </c>
      <c r="S241" s="29" t="str">
        <f>IF(OR(C241="",J241&lt;&gt;"Paquete"),"",COUNTIFS($C$2:C241,C241,$J$2:J241,"Paquete"))</f>
        <v/>
      </c>
      <c r="T241" s="26"/>
    </row>
    <row r="242" spans="1:20" x14ac:dyDescent="0.35">
      <c r="A242" s="26" t="s">
        <v>670</v>
      </c>
      <c r="B242" s="28"/>
      <c r="C242" s="26"/>
      <c r="D242" s="34" t="str">
        <f>IF($C242="","",IFERROR(IF(INDEX('🎓 Alumnas'!$C$2:$C$1000,MATCH($C242,'🎓 Alumnas'!$B$2:$B$1000,0))="","",INDEX('🎓 Alumnas'!$C$2:$C$1000,MATCH($C242,'🎓 Alumnas'!$B$2:$B$1000,0))),""))</f>
        <v/>
      </c>
      <c r="E242" s="29" t="str">
        <f>IF($C242="","",IFERROR(IF(INDEX('🎓 Alumnas'!$D$2:$D$1000,MATCH($C242,'🎓 Alumnas'!$B$2:$B$1000,0))="","",INDEX('🎓 Alumnas'!$D$2:$D$1000,MATCH($C242,'🎓 Alumnas'!$B$2:$B$1000,0))),""))</f>
        <v/>
      </c>
      <c r="F242" s="29" t="str">
        <f>IF($C242="","",IFERROR(IF(INDEX('🎓 Alumnas'!$E$2:$E$1000,MATCH($C242,'🎓 Alumnas'!$B$2:$B$1000,0))="","",INDEX('🎓 Alumnas'!$E$2:$E$1000,MATCH($C242,'🎓 Alumnas'!$B$2:$B$1000,0))),""))</f>
        <v/>
      </c>
      <c r="G242" s="31" t="str">
        <f>IF($C242="","",IFERROR(IF(INDEX('🎓 Alumnas'!$F$2:$F$1000,MATCH($C242,'🎓 Alumnas'!$B$2:$B$1000,0))="","",INDEX('🎓 Alumnas'!$F$2:$F$1000,MATCH($C242,'🎓 Alumnas'!$B$2:$B$1000,0))),""))</f>
        <v/>
      </c>
      <c r="H242" s="29" t="str">
        <f t="shared" ca="1" si="9"/>
        <v/>
      </c>
      <c r="I242" s="26"/>
      <c r="J242" s="29" t="str">
        <f t="shared" si="10"/>
        <v/>
      </c>
      <c r="K242" s="26"/>
      <c r="L242" s="26"/>
      <c r="M242" s="35"/>
      <c r="N242" s="30" t="str">
        <f t="shared" si="11"/>
        <v/>
      </c>
      <c r="O242" s="36"/>
      <c r="P242" s="26"/>
      <c r="Q242" s="26"/>
      <c r="R242" s="29" t="str">
        <f>IF(C242="","",IF(COUNTIF($C$2:C242,C242)=1,"Nueva","Recurrente"))</f>
        <v/>
      </c>
      <c r="S242" s="29" t="str">
        <f>IF(OR(C242="",J242&lt;&gt;"Paquete"),"",COUNTIFS($C$2:C242,C242,$J$2:J242,"Paquete"))</f>
        <v/>
      </c>
      <c r="T242" s="26"/>
    </row>
    <row r="243" spans="1:20" x14ac:dyDescent="0.35">
      <c r="A243" s="26" t="s">
        <v>671</v>
      </c>
      <c r="B243" s="28"/>
      <c r="C243" s="26"/>
      <c r="D243" s="34" t="str">
        <f>IF($C243="","",IFERROR(IF(INDEX('🎓 Alumnas'!$C$2:$C$1000,MATCH($C243,'🎓 Alumnas'!$B$2:$B$1000,0))="","",INDEX('🎓 Alumnas'!$C$2:$C$1000,MATCH($C243,'🎓 Alumnas'!$B$2:$B$1000,0))),""))</f>
        <v/>
      </c>
      <c r="E243" s="29" t="str">
        <f>IF($C243="","",IFERROR(IF(INDEX('🎓 Alumnas'!$D$2:$D$1000,MATCH($C243,'🎓 Alumnas'!$B$2:$B$1000,0))="","",INDEX('🎓 Alumnas'!$D$2:$D$1000,MATCH($C243,'🎓 Alumnas'!$B$2:$B$1000,0))),""))</f>
        <v/>
      </c>
      <c r="F243" s="29" t="str">
        <f>IF($C243="","",IFERROR(IF(INDEX('🎓 Alumnas'!$E$2:$E$1000,MATCH($C243,'🎓 Alumnas'!$B$2:$B$1000,0))="","",INDEX('🎓 Alumnas'!$E$2:$E$1000,MATCH($C243,'🎓 Alumnas'!$B$2:$B$1000,0))),""))</f>
        <v/>
      </c>
      <c r="G243" s="31" t="str">
        <f>IF($C243="","",IFERROR(IF(INDEX('🎓 Alumnas'!$F$2:$F$1000,MATCH($C243,'🎓 Alumnas'!$B$2:$B$1000,0))="","",INDEX('🎓 Alumnas'!$F$2:$F$1000,MATCH($C243,'🎓 Alumnas'!$B$2:$B$1000,0))),""))</f>
        <v/>
      </c>
      <c r="H243" s="29" t="str">
        <f t="shared" ca="1" si="9"/>
        <v/>
      </c>
      <c r="I243" s="26"/>
      <c r="J243" s="29" t="str">
        <f t="shared" si="10"/>
        <v/>
      </c>
      <c r="K243" s="26"/>
      <c r="L243" s="26"/>
      <c r="M243" s="35"/>
      <c r="N243" s="30" t="str">
        <f t="shared" si="11"/>
        <v/>
      </c>
      <c r="O243" s="36"/>
      <c r="P243" s="26"/>
      <c r="Q243" s="26"/>
      <c r="R243" s="29" t="str">
        <f>IF(C243="","",IF(COUNTIF($C$2:C243,C243)=1,"Nueva","Recurrente"))</f>
        <v/>
      </c>
      <c r="S243" s="29" t="str">
        <f>IF(OR(C243="",J243&lt;&gt;"Paquete"),"",COUNTIFS($C$2:C243,C243,$J$2:J243,"Paquete"))</f>
        <v/>
      </c>
      <c r="T243" s="26"/>
    </row>
    <row r="244" spans="1:20" x14ac:dyDescent="0.35">
      <c r="A244" s="26" t="s">
        <v>672</v>
      </c>
      <c r="B244" s="28"/>
      <c r="C244" s="26"/>
      <c r="D244" s="34" t="str">
        <f>IF($C244="","",IFERROR(IF(INDEX('🎓 Alumnas'!$C$2:$C$1000,MATCH($C244,'🎓 Alumnas'!$B$2:$B$1000,0))="","",INDEX('🎓 Alumnas'!$C$2:$C$1000,MATCH($C244,'🎓 Alumnas'!$B$2:$B$1000,0))),""))</f>
        <v/>
      </c>
      <c r="E244" s="29" t="str">
        <f>IF($C244="","",IFERROR(IF(INDEX('🎓 Alumnas'!$D$2:$D$1000,MATCH($C244,'🎓 Alumnas'!$B$2:$B$1000,0))="","",INDEX('🎓 Alumnas'!$D$2:$D$1000,MATCH($C244,'🎓 Alumnas'!$B$2:$B$1000,0))),""))</f>
        <v/>
      </c>
      <c r="F244" s="29" t="str">
        <f>IF($C244="","",IFERROR(IF(INDEX('🎓 Alumnas'!$E$2:$E$1000,MATCH($C244,'🎓 Alumnas'!$B$2:$B$1000,0))="","",INDEX('🎓 Alumnas'!$E$2:$E$1000,MATCH($C244,'🎓 Alumnas'!$B$2:$B$1000,0))),""))</f>
        <v/>
      </c>
      <c r="G244" s="31" t="str">
        <f>IF($C244="","",IFERROR(IF(INDEX('🎓 Alumnas'!$F$2:$F$1000,MATCH($C244,'🎓 Alumnas'!$B$2:$B$1000,0))="","",INDEX('🎓 Alumnas'!$F$2:$F$1000,MATCH($C244,'🎓 Alumnas'!$B$2:$B$1000,0))),""))</f>
        <v/>
      </c>
      <c r="H244" s="29" t="str">
        <f t="shared" ca="1" si="9"/>
        <v/>
      </c>
      <c r="I244" s="26"/>
      <c r="J244" s="29" t="str">
        <f t="shared" si="10"/>
        <v/>
      </c>
      <c r="K244" s="26"/>
      <c r="L244" s="26"/>
      <c r="M244" s="35"/>
      <c r="N244" s="30" t="str">
        <f t="shared" si="11"/>
        <v/>
      </c>
      <c r="O244" s="36"/>
      <c r="P244" s="26"/>
      <c r="Q244" s="26"/>
      <c r="R244" s="29" t="str">
        <f>IF(C244="","",IF(COUNTIF($C$2:C244,C244)=1,"Nueva","Recurrente"))</f>
        <v/>
      </c>
      <c r="S244" s="29" t="str">
        <f>IF(OR(C244="",J244&lt;&gt;"Paquete"),"",COUNTIFS($C$2:C244,C244,$J$2:J244,"Paquete"))</f>
        <v/>
      </c>
      <c r="T244" s="26"/>
    </row>
    <row r="245" spans="1:20" x14ac:dyDescent="0.35">
      <c r="A245" s="26" t="s">
        <v>673</v>
      </c>
      <c r="B245" s="28"/>
      <c r="C245" s="26"/>
      <c r="D245" s="34" t="str">
        <f>IF($C245="","",IFERROR(IF(INDEX('🎓 Alumnas'!$C$2:$C$1000,MATCH($C245,'🎓 Alumnas'!$B$2:$B$1000,0))="","",INDEX('🎓 Alumnas'!$C$2:$C$1000,MATCH($C245,'🎓 Alumnas'!$B$2:$B$1000,0))),""))</f>
        <v/>
      </c>
      <c r="E245" s="29" t="str">
        <f>IF($C245="","",IFERROR(IF(INDEX('🎓 Alumnas'!$D$2:$D$1000,MATCH($C245,'🎓 Alumnas'!$B$2:$B$1000,0))="","",INDEX('🎓 Alumnas'!$D$2:$D$1000,MATCH($C245,'🎓 Alumnas'!$B$2:$B$1000,0))),""))</f>
        <v/>
      </c>
      <c r="F245" s="29" t="str">
        <f>IF($C245="","",IFERROR(IF(INDEX('🎓 Alumnas'!$E$2:$E$1000,MATCH($C245,'🎓 Alumnas'!$B$2:$B$1000,0))="","",INDEX('🎓 Alumnas'!$E$2:$E$1000,MATCH($C245,'🎓 Alumnas'!$B$2:$B$1000,0))),""))</f>
        <v/>
      </c>
      <c r="G245" s="31" t="str">
        <f>IF($C245="","",IFERROR(IF(INDEX('🎓 Alumnas'!$F$2:$F$1000,MATCH($C245,'🎓 Alumnas'!$B$2:$B$1000,0))="","",INDEX('🎓 Alumnas'!$F$2:$F$1000,MATCH($C245,'🎓 Alumnas'!$B$2:$B$1000,0))),""))</f>
        <v/>
      </c>
      <c r="H245" s="29" t="str">
        <f t="shared" ca="1" si="9"/>
        <v/>
      </c>
      <c r="I245" s="26"/>
      <c r="J245" s="29" t="str">
        <f t="shared" si="10"/>
        <v/>
      </c>
      <c r="K245" s="26"/>
      <c r="L245" s="26"/>
      <c r="M245" s="35"/>
      <c r="N245" s="30" t="str">
        <f t="shared" si="11"/>
        <v/>
      </c>
      <c r="O245" s="36"/>
      <c r="P245" s="26"/>
      <c r="Q245" s="26"/>
      <c r="R245" s="29" t="str">
        <f>IF(C245="","",IF(COUNTIF($C$2:C245,C245)=1,"Nueva","Recurrente"))</f>
        <v/>
      </c>
      <c r="S245" s="29" t="str">
        <f>IF(OR(C245="",J245&lt;&gt;"Paquete"),"",COUNTIFS($C$2:C245,C245,$J$2:J245,"Paquete"))</f>
        <v/>
      </c>
      <c r="T245" s="26"/>
    </row>
    <row r="246" spans="1:20" x14ac:dyDescent="0.35">
      <c r="A246" s="26" t="s">
        <v>674</v>
      </c>
      <c r="B246" s="28"/>
      <c r="C246" s="26"/>
      <c r="D246" s="34" t="str">
        <f>IF($C246="","",IFERROR(IF(INDEX('🎓 Alumnas'!$C$2:$C$1000,MATCH($C246,'🎓 Alumnas'!$B$2:$B$1000,0))="","",INDEX('🎓 Alumnas'!$C$2:$C$1000,MATCH($C246,'🎓 Alumnas'!$B$2:$B$1000,0))),""))</f>
        <v/>
      </c>
      <c r="E246" s="29" t="str">
        <f>IF($C246="","",IFERROR(IF(INDEX('🎓 Alumnas'!$D$2:$D$1000,MATCH($C246,'🎓 Alumnas'!$B$2:$B$1000,0))="","",INDEX('🎓 Alumnas'!$D$2:$D$1000,MATCH($C246,'🎓 Alumnas'!$B$2:$B$1000,0))),""))</f>
        <v/>
      </c>
      <c r="F246" s="29" t="str">
        <f>IF($C246="","",IFERROR(IF(INDEX('🎓 Alumnas'!$E$2:$E$1000,MATCH($C246,'🎓 Alumnas'!$B$2:$B$1000,0))="","",INDEX('🎓 Alumnas'!$E$2:$E$1000,MATCH($C246,'🎓 Alumnas'!$B$2:$B$1000,0))),""))</f>
        <v/>
      </c>
      <c r="G246" s="31" t="str">
        <f>IF($C246="","",IFERROR(IF(INDEX('🎓 Alumnas'!$F$2:$F$1000,MATCH($C246,'🎓 Alumnas'!$B$2:$B$1000,0))="","",INDEX('🎓 Alumnas'!$F$2:$F$1000,MATCH($C246,'🎓 Alumnas'!$B$2:$B$1000,0))),""))</f>
        <v/>
      </c>
      <c r="H246" s="29" t="str">
        <f t="shared" ca="1" si="9"/>
        <v/>
      </c>
      <c r="I246" s="26"/>
      <c r="J246" s="29" t="str">
        <f t="shared" si="10"/>
        <v/>
      </c>
      <c r="K246" s="26"/>
      <c r="L246" s="26"/>
      <c r="M246" s="35"/>
      <c r="N246" s="30" t="str">
        <f t="shared" si="11"/>
        <v/>
      </c>
      <c r="O246" s="36"/>
      <c r="P246" s="26"/>
      <c r="Q246" s="26"/>
      <c r="R246" s="29" t="str">
        <f>IF(C246="","",IF(COUNTIF($C$2:C246,C246)=1,"Nueva","Recurrente"))</f>
        <v/>
      </c>
      <c r="S246" s="29" t="str">
        <f>IF(OR(C246="",J246&lt;&gt;"Paquete"),"",COUNTIFS($C$2:C246,C246,$J$2:J246,"Paquete"))</f>
        <v/>
      </c>
      <c r="T246" s="26"/>
    </row>
    <row r="247" spans="1:20" x14ac:dyDescent="0.35">
      <c r="A247" s="26" t="s">
        <v>675</v>
      </c>
      <c r="B247" s="28"/>
      <c r="C247" s="26"/>
      <c r="D247" s="34" t="str">
        <f>IF($C247="","",IFERROR(IF(INDEX('🎓 Alumnas'!$C$2:$C$1000,MATCH($C247,'🎓 Alumnas'!$B$2:$B$1000,0))="","",INDEX('🎓 Alumnas'!$C$2:$C$1000,MATCH($C247,'🎓 Alumnas'!$B$2:$B$1000,0))),""))</f>
        <v/>
      </c>
      <c r="E247" s="29" t="str">
        <f>IF($C247="","",IFERROR(IF(INDEX('🎓 Alumnas'!$D$2:$D$1000,MATCH($C247,'🎓 Alumnas'!$B$2:$B$1000,0))="","",INDEX('🎓 Alumnas'!$D$2:$D$1000,MATCH($C247,'🎓 Alumnas'!$B$2:$B$1000,0))),""))</f>
        <v/>
      </c>
      <c r="F247" s="29" t="str">
        <f>IF($C247="","",IFERROR(IF(INDEX('🎓 Alumnas'!$E$2:$E$1000,MATCH($C247,'🎓 Alumnas'!$B$2:$B$1000,0))="","",INDEX('🎓 Alumnas'!$E$2:$E$1000,MATCH($C247,'🎓 Alumnas'!$B$2:$B$1000,0))),""))</f>
        <v/>
      </c>
      <c r="G247" s="31" t="str">
        <f>IF($C247="","",IFERROR(IF(INDEX('🎓 Alumnas'!$F$2:$F$1000,MATCH($C247,'🎓 Alumnas'!$B$2:$B$1000,0))="","",INDEX('🎓 Alumnas'!$F$2:$F$1000,MATCH($C247,'🎓 Alumnas'!$B$2:$B$1000,0))),""))</f>
        <v/>
      </c>
      <c r="H247" s="29" t="str">
        <f t="shared" ca="1" si="9"/>
        <v/>
      </c>
      <c r="I247" s="26"/>
      <c r="J247" s="29" t="str">
        <f t="shared" si="10"/>
        <v/>
      </c>
      <c r="K247" s="26"/>
      <c r="L247" s="26"/>
      <c r="M247" s="35"/>
      <c r="N247" s="30" t="str">
        <f t="shared" si="11"/>
        <v/>
      </c>
      <c r="O247" s="36"/>
      <c r="P247" s="26"/>
      <c r="Q247" s="26"/>
      <c r="R247" s="29" t="str">
        <f>IF(C247="","",IF(COUNTIF($C$2:C247,C247)=1,"Nueva","Recurrente"))</f>
        <v/>
      </c>
      <c r="S247" s="29" t="str">
        <f>IF(OR(C247="",J247&lt;&gt;"Paquete"),"",COUNTIFS($C$2:C247,C247,$J$2:J247,"Paquete"))</f>
        <v/>
      </c>
      <c r="T247" s="26"/>
    </row>
    <row r="248" spans="1:20" x14ac:dyDescent="0.35">
      <c r="A248" s="26" t="s">
        <v>676</v>
      </c>
      <c r="B248" s="28"/>
      <c r="C248" s="26"/>
      <c r="D248" s="34" t="str">
        <f>IF($C248="","",IFERROR(IF(INDEX('🎓 Alumnas'!$C$2:$C$1000,MATCH($C248,'🎓 Alumnas'!$B$2:$B$1000,0))="","",INDEX('🎓 Alumnas'!$C$2:$C$1000,MATCH($C248,'🎓 Alumnas'!$B$2:$B$1000,0))),""))</f>
        <v/>
      </c>
      <c r="E248" s="29" t="str">
        <f>IF($C248="","",IFERROR(IF(INDEX('🎓 Alumnas'!$D$2:$D$1000,MATCH($C248,'🎓 Alumnas'!$B$2:$B$1000,0))="","",INDEX('🎓 Alumnas'!$D$2:$D$1000,MATCH($C248,'🎓 Alumnas'!$B$2:$B$1000,0))),""))</f>
        <v/>
      </c>
      <c r="F248" s="29" t="str">
        <f>IF($C248="","",IFERROR(IF(INDEX('🎓 Alumnas'!$E$2:$E$1000,MATCH($C248,'🎓 Alumnas'!$B$2:$B$1000,0))="","",INDEX('🎓 Alumnas'!$E$2:$E$1000,MATCH($C248,'🎓 Alumnas'!$B$2:$B$1000,0))),""))</f>
        <v/>
      </c>
      <c r="G248" s="31" t="str">
        <f>IF($C248="","",IFERROR(IF(INDEX('🎓 Alumnas'!$F$2:$F$1000,MATCH($C248,'🎓 Alumnas'!$B$2:$B$1000,0))="","",INDEX('🎓 Alumnas'!$F$2:$F$1000,MATCH($C248,'🎓 Alumnas'!$B$2:$B$1000,0))),""))</f>
        <v/>
      </c>
      <c r="H248" s="29" t="str">
        <f t="shared" ca="1" si="9"/>
        <v/>
      </c>
      <c r="I248" s="26"/>
      <c r="J248" s="29" t="str">
        <f t="shared" si="10"/>
        <v/>
      </c>
      <c r="K248" s="26"/>
      <c r="L248" s="26"/>
      <c r="M248" s="35"/>
      <c r="N248" s="30" t="str">
        <f t="shared" si="11"/>
        <v/>
      </c>
      <c r="O248" s="36"/>
      <c r="P248" s="26"/>
      <c r="Q248" s="26"/>
      <c r="R248" s="29" t="str">
        <f>IF(C248="","",IF(COUNTIF($C$2:C248,C248)=1,"Nueva","Recurrente"))</f>
        <v/>
      </c>
      <c r="S248" s="29" t="str">
        <f>IF(OR(C248="",J248&lt;&gt;"Paquete"),"",COUNTIFS($C$2:C248,C248,$J$2:J248,"Paquete"))</f>
        <v/>
      </c>
      <c r="T248" s="26"/>
    </row>
    <row r="249" spans="1:20" x14ac:dyDescent="0.35">
      <c r="A249" s="26" t="s">
        <v>676</v>
      </c>
      <c r="B249" s="28"/>
      <c r="C249" s="26"/>
      <c r="D249" s="34" t="str">
        <f>IF($C249="","",IFERROR(IF(INDEX('🎓 Alumnas'!$C$2:$C$1000,MATCH($C249,'🎓 Alumnas'!$B$2:$B$1000,0))="","",INDEX('🎓 Alumnas'!$C$2:$C$1000,MATCH($C249,'🎓 Alumnas'!$B$2:$B$1000,0))),""))</f>
        <v/>
      </c>
      <c r="E249" s="29" t="str">
        <f>IF($C249="","",IFERROR(IF(INDEX('🎓 Alumnas'!$D$2:$D$1000,MATCH($C249,'🎓 Alumnas'!$B$2:$B$1000,0))="","",INDEX('🎓 Alumnas'!$D$2:$D$1000,MATCH($C249,'🎓 Alumnas'!$B$2:$B$1000,0))),""))</f>
        <v/>
      </c>
      <c r="F249" s="29" t="str">
        <f>IF($C249="","",IFERROR(IF(INDEX('🎓 Alumnas'!$E$2:$E$1000,MATCH($C249,'🎓 Alumnas'!$B$2:$B$1000,0))="","",INDEX('🎓 Alumnas'!$E$2:$E$1000,MATCH($C249,'🎓 Alumnas'!$B$2:$B$1000,0))),""))</f>
        <v/>
      </c>
      <c r="G249" s="31" t="str">
        <f>IF($C249="","",IFERROR(IF(INDEX('🎓 Alumnas'!$F$2:$F$1000,MATCH($C249,'🎓 Alumnas'!$B$2:$B$1000,0))="","",INDEX('🎓 Alumnas'!$F$2:$F$1000,MATCH($C249,'🎓 Alumnas'!$B$2:$B$1000,0))),""))</f>
        <v/>
      </c>
      <c r="H249" s="29" t="str">
        <f t="shared" ca="1" si="9"/>
        <v/>
      </c>
      <c r="I249" s="26"/>
      <c r="J249" s="29" t="str">
        <f t="shared" si="10"/>
        <v/>
      </c>
      <c r="K249" s="26"/>
      <c r="L249" s="26"/>
      <c r="M249" s="35"/>
      <c r="N249" s="30" t="str">
        <f t="shared" si="11"/>
        <v/>
      </c>
      <c r="O249" s="36"/>
      <c r="P249" s="26"/>
      <c r="Q249" s="26"/>
      <c r="R249" s="29" t="str">
        <f>IF(C249="","",IF(COUNTIF($C$2:C249,C249)=1,"Nueva","Recurrente"))</f>
        <v/>
      </c>
      <c r="S249" s="29" t="str">
        <f>IF(OR(C249="",J249&lt;&gt;"Paquete"),"",COUNTIFS($C$2:C249,C249,$J$2:J249,"Paquete"))</f>
        <v/>
      </c>
      <c r="T249" s="26"/>
    </row>
    <row r="250" spans="1:20" x14ac:dyDescent="0.35">
      <c r="A250" s="26" t="s">
        <v>677</v>
      </c>
      <c r="B250" s="28"/>
      <c r="C250" s="26"/>
      <c r="D250" s="34" t="str">
        <f>IF($C250="","",IFERROR(IF(INDEX('🎓 Alumnas'!$C$2:$C$1000,MATCH($C250,'🎓 Alumnas'!$B$2:$B$1000,0))="","",INDEX('🎓 Alumnas'!$C$2:$C$1000,MATCH($C250,'🎓 Alumnas'!$B$2:$B$1000,0))),""))</f>
        <v/>
      </c>
      <c r="E250" s="29" t="str">
        <f>IF($C250="","",IFERROR(IF(INDEX('🎓 Alumnas'!$D$2:$D$1000,MATCH($C250,'🎓 Alumnas'!$B$2:$B$1000,0))="","",INDEX('🎓 Alumnas'!$D$2:$D$1000,MATCH($C250,'🎓 Alumnas'!$B$2:$B$1000,0))),""))</f>
        <v/>
      </c>
      <c r="F250" s="29" t="str">
        <f>IF($C250="","",IFERROR(IF(INDEX('🎓 Alumnas'!$E$2:$E$1000,MATCH($C250,'🎓 Alumnas'!$B$2:$B$1000,0))="","",INDEX('🎓 Alumnas'!$E$2:$E$1000,MATCH($C250,'🎓 Alumnas'!$B$2:$B$1000,0))),""))</f>
        <v/>
      </c>
      <c r="G250" s="31" t="str">
        <f>IF($C250="","",IFERROR(IF(INDEX('🎓 Alumnas'!$F$2:$F$1000,MATCH($C250,'🎓 Alumnas'!$B$2:$B$1000,0))="","",INDEX('🎓 Alumnas'!$F$2:$F$1000,MATCH($C250,'🎓 Alumnas'!$B$2:$B$1000,0))),""))</f>
        <v/>
      </c>
      <c r="H250" s="29" t="str">
        <f t="shared" ca="1" si="9"/>
        <v/>
      </c>
      <c r="I250" s="26"/>
      <c r="J250" s="29" t="str">
        <f t="shared" si="10"/>
        <v/>
      </c>
      <c r="K250" s="26"/>
      <c r="L250" s="26"/>
      <c r="M250" s="35"/>
      <c r="N250" s="30" t="str">
        <f t="shared" si="11"/>
        <v/>
      </c>
      <c r="O250" s="36"/>
      <c r="P250" s="26"/>
      <c r="Q250" s="26"/>
      <c r="R250" s="29" t="str">
        <f>IF(C250="","",IF(COUNTIF($C$2:C250,C250)=1,"Nueva","Recurrente"))</f>
        <v/>
      </c>
      <c r="S250" s="29" t="str">
        <f>IF(OR(C250="",J250&lt;&gt;"Paquete"),"",COUNTIFS($C$2:C250,C250,$J$2:J250,"Paquete"))</f>
        <v/>
      </c>
      <c r="T250" s="26"/>
    </row>
    <row r="251" spans="1:20" x14ac:dyDescent="0.35">
      <c r="A251" s="26" t="s">
        <v>678</v>
      </c>
      <c r="B251" s="28"/>
      <c r="C251" s="26"/>
      <c r="D251" s="34" t="str">
        <f>IF($C251="","",IFERROR(IF(INDEX('🎓 Alumnas'!$C$2:$C$1000,MATCH($C251,'🎓 Alumnas'!$B$2:$B$1000,0))="","",INDEX('🎓 Alumnas'!$C$2:$C$1000,MATCH($C251,'🎓 Alumnas'!$B$2:$B$1000,0))),""))</f>
        <v/>
      </c>
      <c r="E251" s="29" t="str">
        <f>IF($C251="","",IFERROR(IF(INDEX('🎓 Alumnas'!$D$2:$D$1000,MATCH($C251,'🎓 Alumnas'!$B$2:$B$1000,0))="","",INDEX('🎓 Alumnas'!$D$2:$D$1000,MATCH($C251,'🎓 Alumnas'!$B$2:$B$1000,0))),""))</f>
        <v/>
      </c>
      <c r="F251" s="29" t="str">
        <f>IF($C251="","",IFERROR(IF(INDEX('🎓 Alumnas'!$E$2:$E$1000,MATCH($C251,'🎓 Alumnas'!$B$2:$B$1000,0))="","",INDEX('🎓 Alumnas'!$E$2:$E$1000,MATCH($C251,'🎓 Alumnas'!$B$2:$B$1000,0))),""))</f>
        <v/>
      </c>
      <c r="G251" s="31" t="str">
        <f>IF($C251="","",IFERROR(IF(INDEX('🎓 Alumnas'!$F$2:$F$1000,MATCH($C251,'🎓 Alumnas'!$B$2:$B$1000,0))="","",INDEX('🎓 Alumnas'!$F$2:$F$1000,MATCH($C251,'🎓 Alumnas'!$B$2:$B$1000,0))),""))</f>
        <v/>
      </c>
      <c r="H251" s="29" t="str">
        <f t="shared" ca="1" si="9"/>
        <v/>
      </c>
      <c r="I251" s="26"/>
      <c r="J251" s="29" t="str">
        <f t="shared" si="10"/>
        <v/>
      </c>
      <c r="K251" s="26"/>
      <c r="L251" s="26"/>
      <c r="M251" s="35"/>
      <c r="N251" s="30" t="str">
        <f t="shared" si="11"/>
        <v/>
      </c>
      <c r="O251" s="36"/>
      <c r="P251" s="26"/>
      <c r="Q251" s="26"/>
      <c r="R251" s="29" t="str">
        <f>IF(C251="","",IF(COUNTIF($C$2:C251,C251)=1,"Nueva","Recurrente"))</f>
        <v/>
      </c>
      <c r="S251" s="29" t="str">
        <f>IF(OR(C251="",J251&lt;&gt;"Paquete"),"",COUNTIFS($C$2:C251,C251,$J$2:J251,"Paquete"))</f>
        <v/>
      </c>
      <c r="T251" s="26"/>
    </row>
    <row r="252" spans="1:20" x14ac:dyDescent="0.35">
      <c r="A252" s="26" t="s">
        <v>679</v>
      </c>
      <c r="B252" s="28"/>
      <c r="C252" s="26"/>
      <c r="D252" s="34" t="str">
        <f>IF($C252="","",IFERROR(IF(INDEX('🎓 Alumnas'!$C$2:$C$1000,MATCH($C252,'🎓 Alumnas'!$B$2:$B$1000,0))="","",INDEX('🎓 Alumnas'!$C$2:$C$1000,MATCH($C252,'🎓 Alumnas'!$B$2:$B$1000,0))),""))</f>
        <v/>
      </c>
      <c r="E252" s="29" t="str">
        <f>IF($C252="","",IFERROR(IF(INDEX('🎓 Alumnas'!$D$2:$D$1000,MATCH($C252,'🎓 Alumnas'!$B$2:$B$1000,0))="","",INDEX('🎓 Alumnas'!$D$2:$D$1000,MATCH($C252,'🎓 Alumnas'!$B$2:$B$1000,0))),""))</f>
        <v/>
      </c>
      <c r="F252" s="29" t="str">
        <f>IF($C252="","",IFERROR(IF(INDEX('🎓 Alumnas'!$E$2:$E$1000,MATCH($C252,'🎓 Alumnas'!$B$2:$B$1000,0))="","",INDEX('🎓 Alumnas'!$E$2:$E$1000,MATCH($C252,'🎓 Alumnas'!$B$2:$B$1000,0))),""))</f>
        <v/>
      </c>
      <c r="G252" s="31" t="str">
        <f>IF($C252="","",IFERROR(IF(INDEX('🎓 Alumnas'!$F$2:$F$1000,MATCH($C252,'🎓 Alumnas'!$B$2:$B$1000,0))="","",INDEX('🎓 Alumnas'!$F$2:$F$1000,MATCH($C252,'🎓 Alumnas'!$B$2:$B$1000,0))),""))</f>
        <v/>
      </c>
      <c r="H252" s="29" t="str">
        <f t="shared" ca="1" si="9"/>
        <v/>
      </c>
      <c r="I252" s="26"/>
      <c r="J252" s="29" t="str">
        <f t="shared" si="10"/>
        <v/>
      </c>
      <c r="K252" s="26"/>
      <c r="L252" s="26"/>
      <c r="M252" s="35"/>
      <c r="N252" s="30" t="str">
        <f t="shared" si="11"/>
        <v/>
      </c>
      <c r="O252" s="36"/>
      <c r="P252" s="26"/>
      <c r="Q252" s="26"/>
      <c r="R252" s="29" t="str">
        <f>IF(C252="","",IF(COUNTIF($C$2:C252,C252)=1,"Nueva","Recurrente"))</f>
        <v/>
      </c>
      <c r="S252" s="29" t="str">
        <f>IF(OR(C252="",J252&lt;&gt;"Paquete"),"",COUNTIFS($C$2:C252,C252,$J$2:J252,"Paquete"))</f>
        <v/>
      </c>
      <c r="T252" s="26"/>
    </row>
    <row r="253" spans="1:20" x14ac:dyDescent="0.35">
      <c r="A253" s="26" t="s">
        <v>680</v>
      </c>
      <c r="B253" s="28"/>
      <c r="C253" s="26"/>
      <c r="D253" s="34" t="str">
        <f>IF($C253="","",IFERROR(IF(INDEX('🎓 Alumnas'!$C$2:$C$1000,MATCH($C253,'🎓 Alumnas'!$B$2:$B$1000,0))="","",INDEX('🎓 Alumnas'!$C$2:$C$1000,MATCH($C253,'🎓 Alumnas'!$B$2:$B$1000,0))),""))</f>
        <v/>
      </c>
      <c r="E253" s="29" t="str">
        <f>IF($C253="","",IFERROR(IF(INDEX('🎓 Alumnas'!$D$2:$D$1000,MATCH($C253,'🎓 Alumnas'!$B$2:$B$1000,0))="","",INDEX('🎓 Alumnas'!$D$2:$D$1000,MATCH($C253,'🎓 Alumnas'!$B$2:$B$1000,0))),""))</f>
        <v/>
      </c>
      <c r="F253" s="29" t="str">
        <f>IF($C253="","",IFERROR(IF(INDEX('🎓 Alumnas'!$E$2:$E$1000,MATCH($C253,'🎓 Alumnas'!$B$2:$B$1000,0))="","",INDEX('🎓 Alumnas'!$E$2:$E$1000,MATCH($C253,'🎓 Alumnas'!$B$2:$B$1000,0))),""))</f>
        <v/>
      </c>
      <c r="G253" s="31" t="str">
        <f>IF($C253="","",IFERROR(IF(INDEX('🎓 Alumnas'!$F$2:$F$1000,MATCH($C253,'🎓 Alumnas'!$B$2:$B$1000,0))="","",INDEX('🎓 Alumnas'!$F$2:$F$1000,MATCH($C253,'🎓 Alumnas'!$B$2:$B$1000,0))),""))</f>
        <v/>
      </c>
      <c r="H253" s="29" t="str">
        <f t="shared" ca="1" si="9"/>
        <v/>
      </c>
      <c r="I253" s="26"/>
      <c r="J253" s="29" t="str">
        <f t="shared" si="10"/>
        <v/>
      </c>
      <c r="K253" s="26"/>
      <c r="L253" s="26"/>
      <c r="M253" s="35"/>
      <c r="N253" s="30" t="str">
        <f t="shared" si="11"/>
        <v/>
      </c>
      <c r="O253" s="36"/>
      <c r="P253" s="26"/>
      <c r="Q253" s="26"/>
      <c r="R253" s="29" t="str">
        <f>IF(C253="","",IF(COUNTIF($C$2:C253,C253)=1,"Nueva","Recurrente"))</f>
        <v/>
      </c>
      <c r="S253" s="29" t="str">
        <f>IF(OR(C253="",J253&lt;&gt;"Paquete"),"",COUNTIFS($C$2:C253,C253,$J$2:J253,"Paquete"))</f>
        <v/>
      </c>
      <c r="T253" s="26"/>
    </row>
    <row r="254" spans="1:20" x14ac:dyDescent="0.35">
      <c r="A254" s="26" t="s">
        <v>681</v>
      </c>
      <c r="B254" s="28"/>
      <c r="C254" s="26"/>
      <c r="D254" s="34" t="str">
        <f>IF($C254="","",IFERROR(IF(INDEX('🎓 Alumnas'!$C$2:$C$1000,MATCH($C254,'🎓 Alumnas'!$B$2:$B$1000,0))="","",INDEX('🎓 Alumnas'!$C$2:$C$1000,MATCH($C254,'🎓 Alumnas'!$B$2:$B$1000,0))),""))</f>
        <v/>
      </c>
      <c r="E254" s="29" t="str">
        <f>IF($C254="","",IFERROR(IF(INDEX('🎓 Alumnas'!$D$2:$D$1000,MATCH($C254,'🎓 Alumnas'!$B$2:$B$1000,0))="","",INDEX('🎓 Alumnas'!$D$2:$D$1000,MATCH($C254,'🎓 Alumnas'!$B$2:$B$1000,0))),""))</f>
        <v/>
      </c>
      <c r="F254" s="29" t="str">
        <f>IF($C254="","",IFERROR(IF(INDEX('🎓 Alumnas'!$E$2:$E$1000,MATCH($C254,'🎓 Alumnas'!$B$2:$B$1000,0))="","",INDEX('🎓 Alumnas'!$E$2:$E$1000,MATCH($C254,'🎓 Alumnas'!$B$2:$B$1000,0))),""))</f>
        <v/>
      </c>
      <c r="G254" s="31" t="str">
        <f>IF($C254="","",IFERROR(IF(INDEX('🎓 Alumnas'!$F$2:$F$1000,MATCH($C254,'🎓 Alumnas'!$B$2:$B$1000,0))="","",INDEX('🎓 Alumnas'!$F$2:$F$1000,MATCH($C254,'🎓 Alumnas'!$B$2:$B$1000,0))),""))</f>
        <v/>
      </c>
      <c r="H254" s="29" t="str">
        <f t="shared" ca="1" si="9"/>
        <v/>
      </c>
      <c r="I254" s="26"/>
      <c r="J254" s="29" t="str">
        <f t="shared" si="10"/>
        <v/>
      </c>
      <c r="K254" s="26"/>
      <c r="L254" s="26"/>
      <c r="M254" s="35"/>
      <c r="N254" s="30" t="str">
        <f t="shared" si="11"/>
        <v/>
      </c>
      <c r="O254" s="36"/>
      <c r="P254" s="26"/>
      <c r="Q254" s="26"/>
      <c r="R254" s="29" t="str">
        <f>IF(C254="","",IF(COUNTIF($C$2:C254,C254)=1,"Nueva","Recurrente"))</f>
        <v/>
      </c>
      <c r="S254" s="29" t="str">
        <f>IF(OR(C254="",J254&lt;&gt;"Paquete"),"",COUNTIFS($C$2:C254,C254,$J$2:J254,"Paquete"))</f>
        <v/>
      </c>
      <c r="T254" s="26"/>
    </row>
    <row r="255" spans="1:20" x14ac:dyDescent="0.35">
      <c r="A255" s="26" t="s">
        <v>682</v>
      </c>
      <c r="B255" s="28"/>
      <c r="C255" s="26"/>
      <c r="D255" s="34" t="str">
        <f>IF($C255="","",IFERROR(IF(INDEX('🎓 Alumnas'!$C$2:$C$1000,MATCH($C255,'🎓 Alumnas'!$B$2:$B$1000,0))="","",INDEX('🎓 Alumnas'!$C$2:$C$1000,MATCH($C255,'🎓 Alumnas'!$B$2:$B$1000,0))),""))</f>
        <v/>
      </c>
      <c r="E255" s="29" t="str">
        <f>IF($C255="","",IFERROR(IF(INDEX('🎓 Alumnas'!$D$2:$D$1000,MATCH($C255,'🎓 Alumnas'!$B$2:$B$1000,0))="","",INDEX('🎓 Alumnas'!$D$2:$D$1000,MATCH($C255,'🎓 Alumnas'!$B$2:$B$1000,0))),""))</f>
        <v/>
      </c>
      <c r="F255" s="29" t="str">
        <f>IF($C255="","",IFERROR(IF(INDEX('🎓 Alumnas'!$E$2:$E$1000,MATCH($C255,'🎓 Alumnas'!$B$2:$B$1000,0))="","",INDEX('🎓 Alumnas'!$E$2:$E$1000,MATCH($C255,'🎓 Alumnas'!$B$2:$B$1000,0))),""))</f>
        <v/>
      </c>
      <c r="G255" s="31" t="str">
        <f>IF($C255="","",IFERROR(IF(INDEX('🎓 Alumnas'!$F$2:$F$1000,MATCH($C255,'🎓 Alumnas'!$B$2:$B$1000,0))="","",INDEX('🎓 Alumnas'!$F$2:$F$1000,MATCH($C255,'🎓 Alumnas'!$B$2:$B$1000,0))),""))</f>
        <v/>
      </c>
      <c r="H255" s="29" t="str">
        <f t="shared" ca="1" si="9"/>
        <v/>
      </c>
      <c r="I255" s="26"/>
      <c r="J255" s="29" t="str">
        <f t="shared" si="10"/>
        <v/>
      </c>
      <c r="K255" s="26"/>
      <c r="L255" s="26"/>
      <c r="M255" s="35"/>
      <c r="N255" s="30" t="str">
        <f t="shared" si="11"/>
        <v/>
      </c>
      <c r="O255" s="36"/>
      <c r="P255" s="26"/>
      <c r="Q255" s="26"/>
      <c r="R255" s="29" t="str">
        <f>IF(C255="","",IF(COUNTIF($C$2:C255,C255)=1,"Nueva","Recurrente"))</f>
        <v/>
      </c>
      <c r="S255" s="29" t="str">
        <f>IF(OR(C255="",J255&lt;&gt;"Paquete"),"",COUNTIFS($C$2:C255,C255,$J$2:J255,"Paquete"))</f>
        <v/>
      </c>
      <c r="T255" s="26"/>
    </row>
    <row r="256" spans="1:20" x14ac:dyDescent="0.35">
      <c r="A256" s="26" t="s">
        <v>683</v>
      </c>
      <c r="B256" s="28"/>
      <c r="C256" s="26"/>
      <c r="D256" s="34" t="str">
        <f>IF($C256="","",IFERROR(IF(INDEX('🎓 Alumnas'!$C$2:$C$1000,MATCH($C256,'🎓 Alumnas'!$B$2:$B$1000,0))="","",INDEX('🎓 Alumnas'!$C$2:$C$1000,MATCH($C256,'🎓 Alumnas'!$B$2:$B$1000,0))),""))</f>
        <v/>
      </c>
      <c r="E256" s="29" t="str">
        <f>IF($C256="","",IFERROR(IF(INDEX('🎓 Alumnas'!$D$2:$D$1000,MATCH($C256,'🎓 Alumnas'!$B$2:$B$1000,0))="","",INDEX('🎓 Alumnas'!$D$2:$D$1000,MATCH($C256,'🎓 Alumnas'!$B$2:$B$1000,0))),""))</f>
        <v/>
      </c>
      <c r="F256" s="29" t="str">
        <f>IF($C256="","",IFERROR(IF(INDEX('🎓 Alumnas'!$E$2:$E$1000,MATCH($C256,'🎓 Alumnas'!$B$2:$B$1000,0))="","",INDEX('🎓 Alumnas'!$E$2:$E$1000,MATCH($C256,'🎓 Alumnas'!$B$2:$B$1000,0))),""))</f>
        <v/>
      </c>
      <c r="G256" s="31" t="str">
        <f>IF($C256="","",IFERROR(IF(INDEX('🎓 Alumnas'!$F$2:$F$1000,MATCH($C256,'🎓 Alumnas'!$B$2:$B$1000,0))="","",INDEX('🎓 Alumnas'!$F$2:$F$1000,MATCH($C256,'🎓 Alumnas'!$B$2:$B$1000,0))),""))</f>
        <v/>
      </c>
      <c r="H256" s="29" t="str">
        <f t="shared" ca="1" si="9"/>
        <v/>
      </c>
      <c r="I256" s="26"/>
      <c r="J256" s="29" t="str">
        <f t="shared" si="10"/>
        <v/>
      </c>
      <c r="K256" s="26"/>
      <c r="L256" s="26"/>
      <c r="M256" s="35"/>
      <c r="N256" s="30" t="str">
        <f t="shared" si="11"/>
        <v/>
      </c>
      <c r="O256" s="36"/>
      <c r="P256" s="26"/>
      <c r="Q256" s="26"/>
      <c r="R256" s="29" t="str">
        <f>IF(C256="","",IF(COUNTIF($C$2:C256,C256)=1,"Nueva","Recurrente"))</f>
        <v/>
      </c>
      <c r="S256" s="29" t="str">
        <f>IF(OR(C256="",J256&lt;&gt;"Paquete"),"",COUNTIFS($C$2:C256,C256,$J$2:J256,"Paquete"))</f>
        <v/>
      </c>
      <c r="T256" s="26"/>
    </row>
    <row r="257" spans="1:20" x14ac:dyDescent="0.35">
      <c r="A257" s="26" t="s">
        <v>684</v>
      </c>
      <c r="B257" s="28"/>
      <c r="C257" s="26"/>
      <c r="D257" s="34" t="str">
        <f>IF($C257="","",IFERROR(IF(INDEX('🎓 Alumnas'!$C$2:$C$1000,MATCH($C257,'🎓 Alumnas'!$B$2:$B$1000,0))="","",INDEX('🎓 Alumnas'!$C$2:$C$1000,MATCH($C257,'🎓 Alumnas'!$B$2:$B$1000,0))),""))</f>
        <v/>
      </c>
      <c r="E257" s="29" t="str">
        <f>IF($C257="","",IFERROR(IF(INDEX('🎓 Alumnas'!$D$2:$D$1000,MATCH($C257,'🎓 Alumnas'!$B$2:$B$1000,0))="","",INDEX('🎓 Alumnas'!$D$2:$D$1000,MATCH($C257,'🎓 Alumnas'!$B$2:$B$1000,0))),""))</f>
        <v/>
      </c>
      <c r="F257" s="29" t="str">
        <f>IF($C257="","",IFERROR(IF(INDEX('🎓 Alumnas'!$E$2:$E$1000,MATCH($C257,'🎓 Alumnas'!$B$2:$B$1000,0))="","",INDEX('🎓 Alumnas'!$E$2:$E$1000,MATCH($C257,'🎓 Alumnas'!$B$2:$B$1000,0))),""))</f>
        <v/>
      </c>
      <c r="G257" s="31" t="str">
        <f>IF($C257="","",IFERROR(IF(INDEX('🎓 Alumnas'!$F$2:$F$1000,MATCH($C257,'🎓 Alumnas'!$B$2:$B$1000,0))="","",INDEX('🎓 Alumnas'!$F$2:$F$1000,MATCH($C257,'🎓 Alumnas'!$B$2:$B$1000,0))),""))</f>
        <v/>
      </c>
      <c r="H257" s="29" t="str">
        <f t="shared" ca="1" si="9"/>
        <v/>
      </c>
      <c r="I257" s="26"/>
      <c r="J257" s="29" t="str">
        <f t="shared" si="10"/>
        <v/>
      </c>
      <c r="K257" s="26"/>
      <c r="L257" s="26"/>
      <c r="M257" s="35"/>
      <c r="N257" s="30" t="str">
        <f t="shared" si="11"/>
        <v/>
      </c>
      <c r="O257" s="36"/>
      <c r="P257" s="26"/>
      <c r="Q257" s="26"/>
      <c r="R257" s="29" t="str">
        <f>IF(C257="","",IF(COUNTIF($C$2:C257,C257)=1,"Nueva","Recurrente"))</f>
        <v/>
      </c>
      <c r="S257" s="29" t="str">
        <f>IF(OR(C257="",J257&lt;&gt;"Paquete"),"",COUNTIFS($C$2:C257,C257,$J$2:J257,"Paquete"))</f>
        <v/>
      </c>
      <c r="T257" s="26"/>
    </row>
    <row r="258" spans="1:20" x14ac:dyDescent="0.35">
      <c r="A258" s="26" t="s">
        <v>685</v>
      </c>
      <c r="B258" s="28"/>
      <c r="C258" s="26"/>
      <c r="D258" s="34" t="str">
        <f>IF($C258="","",IFERROR(IF(INDEX('🎓 Alumnas'!$C$2:$C$1000,MATCH($C258,'🎓 Alumnas'!$B$2:$B$1000,0))="","",INDEX('🎓 Alumnas'!$C$2:$C$1000,MATCH($C258,'🎓 Alumnas'!$B$2:$B$1000,0))),""))</f>
        <v/>
      </c>
      <c r="E258" s="29" t="str">
        <f>IF($C258="","",IFERROR(IF(INDEX('🎓 Alumnas'!$D$2:$D$1000,MATCH($C258,'🎓 Alumnas'!$B$2:$B$1000,0))="","",INDEX('🎓 Alumnas'!$D$2:$D$1000,MATCH($C258,'🎓 Alumnas'!$B$2:$B$1000,0))),""))</f>
        <v/>
      </c>
      <c r="F258" s="29" t="str">
        <f>IF($C258="","",IFERROR(IF(INDEX('🎓 Alumnas'!$E$2:$E$1000,MATCH($C258,'🎓 Alumnas'!$B$2:$B$1000,0))="","",INDEX('🎓 Alumnas'!$E$2:$E$1000,MATCH($C258,'🎓 Alumnas'!$B$2:$B$1000,0))),""))</f>
        <v/>
      </c>
      <c r="G258" s="31" t="str">
        <f>IF($C258="","",IFERROR(IF(INDEX('🎓 Alumnas'!$F$2:$F$1000,MATCH($C258,'🎓 Alumnas'!$B$2:$B$1000,0))="","",INDEX('🎓 Alumnas'!$F$2:$F$1000,MATCH($C258,'🎓 Alumnas'!$B$2:$B$1000,0))),""))</f>
        <v/>
      </c>
      <c r="H258" s="29" t="str">
        <f t="shared" ref="H258:H321" ca="1" si="12">IF(G258="","",DATEDIF(G258,TODAY(),"Y"))</f>
        <v/>
      </c>
      <c r="I258" s="26"/>
      <c r="J258" s="29" t="str">
        <f t="shared" ref="J258:J321" si="13">IF(I258="","",IF(LEFT(I258,6)="1 Pole","Alquiler",IF(LEFT(I258,7)="1 Clase","Clase suelta","Paquete")))</f>
        <v/>
      </c>
      <c r="K258" s="26"/>
      <c r="L258" s="26"/>
      <c r="M258" s="35"/>
      <c r="N258" s="30" t="str">
        <f t="shared" ref="N258:N321" si="14">IF(M258="","",L258*M258)</f>
        <v/>
      </c>
      <c r="O258" s="36"/>
      <c r="P258" s="26"/>
      <c r="Q258" s="26"/>
      <c r="R258" s="29" t="str">
        <f>IF(C258="","",IF(COUNTIF($C$2:C258,C258)=1,"Nueva","Recurrente"))</f>
        <v/>
      </c>
      <c r="S258" s="29" t="str">
        <f>IF(OR(C258="",J258&lt;&gt;"Paquete"),"",COUNTIFS($C$2:C258,C258,$J$2:J258,"Paquete"))</f>
        <v/>
      </c>
      <c r="T258" s="26"/>
    </row>
    <row r="259" spans="1:20" x14ac:dyDescent="0.35">
      <c r="A259" s="26" t="s">
        <v>686</v>
      </c>
      <c r="B259" s="28"/>
      <c r="C259" s="26"/>
      <c r="D259" s="34" t="str">
        <f>IF($C259="","",IFERROR(IF(INDEX('🎓 Alumnas'!$C$2:$C$1000,MATCH($C259,'🎓 Alumnas'!$B$2:$B$1000,0))="","",INDEX('🎓 Alumnas'!$C$2:$C$1000,MATCH($C259,'🎓 Alumnas'!$B$2:$B$1000,0))),""))</f>
        <v/>
      </c>
      <c r="E259" s="29" t="str">
        <f>IF($C259="","",IFERROR(IF(INDEX('🎓 Alumnas'!$D$2:$D$1000,MATCH($C259,'🎓 Alumnas'!$B$2:$B$1000,0))="","",INDEX('🎓 Alumnas'!$D$2:$D$1000,MATCH($C259,'🎓 Alumnas'!$B$2:$B$1000,0))),""))</f>
        <v/>
      </c>
      <c r="F259" s="29" t="str">
        <f>IF($C259="","",IFERROR(IF(INDEX('🎓 Alumnas'!$E$2:$E$1000,MATCH($C259,'🎓 Alumnas'!$B$2:$B$1000,0))="","",INDEX('🎓 Alumnas'!$E$2:$E$1000,MATCH($C259,'🎓 Alumnas'!$B$2:$B$1000,0))),""))</f>
        <v/>
      </c>
      <c r="G259" s="31" t="str">
        <f>IF($C259="","",IFERROR(IF(INDEX('🎓 Alumnas'!$F$2:$F$1000,MATCH($C259,'🎓 Alumnas'!$B$2:$B$1000,0))="","",INDEX('🎓 Alumnas'!$F$2:$F$1000,MATCH($C259,'🎓 Alumnas'!$B$2:$B$1000,0))),""))</f>
        <v/>
      </c>
      <c r="H259" s="29" t="str">
        <f t="shared" ca="1" si="12"/>
        <v/>
      </c>
      <c r="I259" s="26"/>
      <c r="J259" s="29" t="str">
        <f t="shared" si="13"/>
        <v/>
      </c>
      <c r="K259" s="26"/>
      <c r="L259" s="26"/>
      <c r="M259" s="35"/>
      <c r="N259" s="30" t="str">
        <f t="shared" si="14"/>
        <v/>
      </c>
      <c r="O259" s="36"/>
      <c r="P259" s="26"/>
      <c r="Q259" s="26"/>
      <c r="R259" s="29" t="str">
        <f>IF(C259="","",IF(COUNTIF($C$2:C259,C259)=1,"Nueva","Recurrente"))</f>
        <v/>
      </c>
      <c r="S259" s="29" t="str">
        <f>IF(OR(C259="",J259&lt;&gt;"Paquete"),"",COUNTIFS($C$2:C259,C259,$J$2:J259,"Paquete"))</f>
        <v/>
      </c>
      <c r="T259" s="26"/>
    </row>
    <row r="260" spans="1:20" x14ac:dyDescent="0.35">
      <c r="A260" s="26" t="s">
        <v>687</v>
      </c>
      <c r="B260" s="28"/>
      <c r="C260" s="26"/>
      <c r="D260" s="34" t="str">
        <f>IF($C260="","",IFERROR(IF(INDEX('🎓 Alumnas'!$C$2:$C$1000,MATCH($C260,'🎓 Alumnas'!$B$2:$B$1000,0))="","",INDEX('🎓 Alumnas'!$C$2:$C$1000,MATCH($C260,'🎓 Alumnas'!$B$2:$B$1000,0))),""))</f>
        <v/>
      </c>
      <c r="E260" s="29" t="str">
        <f>IF($C260="","",IFERROR(IF(INDEX('🎓 Alumnas'!$D$2:$D$1000,MATCH($C260,'🎓 Alumnas'!$B$2:$B$1000,0))="","",INDEX('🎓 Alumnas'!$D$2:$D$1000,MATCH($C260,'🎓 Alumnas'!$B$2:$B$1000,0))),""))</f>
        <v/>
      </c>
      <c r="F260" s="29" t="str">
        <f>IF($C260="","",IFERROR(IF(INDEX('🎓 Alumnas'!$E$2:$E$1000,MATCH($C260,'🎓 Alumnas'!$B$2:$B$1000,0))="","",INDEX('🎓 Alumnas'!$E$2:$E$1000,MATCH($C260,'🎓 Alumnas'!$B$2:$B$1000,0))),""))</f>
        <v/>
      </c>
      <c r="G260" s="31" t="str">
        <f>IF($C260="","",IFERROR(IF(INDEX('🎓 Alumnas'!$F$2:$F$1000,MATCH($C260,'🎓 Alumnas'!$B$2:$B$1000,0))="","",INDEX('🎓 Alumnas'!$F$2:$F$1000,MATCH($C260,'🎓 Alumnas'!$B$2:$B$1000,0))),""))</f>
        <v/>
      </c>
      <c r="H260" s="29" t="str">
        <f t="shared" ca="1" si="12"/>
        <v/>
      </c>
      <c r="I260" s="26"/>
      <c r="J260" s="29" t="str">
        <f t="shared" si="13"/>
        <v/>
      </c>
      <c r="K260" s="26"/>
      <c r="L260" s="26"/>
      <c r="M260" s="35"/>
      <c r="N260" s="30" t="str">
        <f t="shared" si="14"/>
        <v/>
      </c>
      <c r="O260" s="36"/>
      <c r="P260" s="26"/>
      <c r="Q260" s="26"/>
      <c r="R260" s="29" t="str">
        <f>IF(C260="","",IF(COUNTIF($C$2:C260,C260)=1,"Nueva","Recurrente"))</f>
        <v/>
      </c>
      <c r="S260" s="29" t="str">
        <f>IF(OR(C260="",J260&lt;&gt;"Paquete"),"",COUNTIFS($C$2:C260,C260,$J$2:J260,"Paquete"))</f>
        <v/>
      </c>
      <c r="T260" s="26"/>
    </row>
    <row r="261" spans="1:20" x14ac:dyDescent="0.35">
      <c r="A261" s="26" t="s">
        <v>688</v>
      </c>
      <c r="B261" s="28"/>
      <c r="C261" s="26"/>
      <c r="D261" s="34" t="str">
        <f>IF($C261="","",IFERROR(IF(INDEX('🎓 Alumnas'!$C$2:$C$1000,MATCH($C261,'🎓 Alumnas'!$B$2:$B$1000,0))="","",INDEX('🎓 Alumnas'!$C$2:$C$1000,MATCH($C261,'🎓 Alumnas'!$B$2:$B$1000,0))),""))</f>
        <v/>
      </c>
      <c r="E261" s="29" t="str">
        <f>IF($C261="","",IFERROR(IF(INDEX('🎓 Alumnas'!$D$2:$D$1000,MATCH($C261,'🎓 Alumnas'!$B$2:$B$1000,0))="","",INDEX('🎓 Alumnas'!$D$2:$D$1000,MATCH($C261,'🎓 Alumnas'!$B$2:$B$1000,0))),""))</f>
        <v/>
      </c>
      <c r="F261" s="29" t="str">
        <f>IF($C261="","",IFERROR(IF(INDEX('🎓 Alumnas'!$E$2:$E$1000,MATCH($C261,'🎓 Alumnas'!$B$2:$B$1000,0))="","",INDEX('🎓 Alumnas'!$E$2:$E$1000,MATCH($C261,'🎓 Alumnas'!$B$2:$B$1000,0))),""))</f>
        <v/>
      </c>
      <c r="G261" s="31" t="str">
        <f>IF($C261="","",IFERROR(IF(INDEX('🎓 Alumnas'!$F$2:$F$1000,MATCH($C261,'🎓 Alumnas'!$B$2:$B$1000,0))="","",INDEX('🎓 Alumnas'!$F$2:$F$1000,MATCH($C261,'🎓 Alumnas'!$B$2:$B$1000,0))),""))</f>
        <v/>
      </c>
      <c r="H261" s="29" t="str">
        <f t="shared" ca="1" si="12"/>
        <v/>
      </c>
      <c r="I261" s="26"/>
      <c r="J261" s="29" t="str">
        <f t="shared" si="13"/>
        <v/>
      </c>
      <c r="K261" s="26"/>
      <c r="L261" s="26"/>
      <c r="M261" s="35"/>
      <c r="N261" s="30" t="str">
        <f t="shared" si="14"/>
        <v/>
      </c>
      <c r="O261" s="36"/>
      <c r="P261" s="26"/>
      <c r="Q261" s="26"/>
      <c r="R261" s="29" t="str">
        <f>IF(C261="","",IF(COUNTIF($C$2:C261,C261)=1,"Nueva","Recurrente"))</f>
        <v/>
      </c>
      <c r="S261" s="29" t="str">
        <f>IF(OR(C261="",J261&lt;&gt;"Paquete"),"",COUNTIFS($C$2:C261,C261,$J$2:J261,"Paquete"))</f>
        <v/>
      </c>
      <c r="T261" s="26"/>
    </row>
    <row r="262" spans="1:20" x14ac:dyDescent="0.35">
      <c r="A262" s="26" t="s">
        <v>689</v>
      </c>
      <c r="B262" s="28"/>
      <c r="C262" s="26"/>
      <c r="D262" s="34" t="str">
        <f>IF($C262="","",IFERROR(IF(INDEX('🎓 Alumnas'!$C$2:$C$1000,MATCH($C262,'🎓 Alumnas'!$B$2:$B$1000,0))="","",INDEX('🎓 Alumnas'!$C$2:$C$1000,MATCH($C262,'🎓 Alumnas'!$B$2:$B$1000,0))),""))</f>
        <v/>
      </c>
      <c r="E262" s="29" t="str">
        <f>IF($C262="","",IFERROR(IF(INDEX('🎓 Alumnas'!$D$2:$D$1000,MATCH($C262,'🎓 Alumnas'!$B$2:$B$1000,0))="","",INDEX('🎓 Alumnas'!$D$2:$D$1000,MATCH($C262,'🎓 Alumnas'!$B$2:$B$1000,0))),""))</f>
        <v/>
      </c>
      <c r="F262" s="29" t="str">
        <f>IF($C262="","",IFERROR(IF(INDEX('🎓 Alumnas'!$E$2:$E$1000,MATCH($C262,'🎓 Alumnas'!$B$2:$B$1000,0))="","",INDEX('🎓 Alumnas'!$E$2:$E$1000,MATCH($C262,'🎓 Alumnas'!$B$2:$B$1000,0))),""))</f>
        <v/>
      </c>
      <c r="G262" s="31" t="str">
        <f>IF($C262="","",IFERROR(IF(INDEX('🎓 Alumnas'!$F$2:$F$1000,MATCH($C262,'🎓 Alumnas'!$B$2:$B$1000,0))="","",INDEX('🎓 Alumnas'!$F$2:$F$1000,MATCH($C262,'🎓 Alumnas'!$B$2:$B$1000,0))),""))</f>
        <v/>
      </c>
      <c r="H262" s="29" t="str">
        <f t="shared" ca="1" si="12"/>
        <v/>
      </c>
      <c r="I262" s="26"/>
      <c r="J262" s="29" t="str">
        <f t="shared" si="13"/>
        <v/>
      </c>
      <c r="K262" s="26"/>
      <c r="L262" s="26"/>
      <c r="M262" s="35"/>
      <c r="N262" s="30" t="str">
        <f t="shared" si="14"/>
        <v/>
      </c>
      <c r="O262" s="36"/>
      <c r="P262" s="26"/>
      <c r="Q262" s="26"/>
      <c r="R262" s="29" t="str">
        <f>IF(C262="","",IF(COUNTIF($C$2:C262,C262)=1,"Nueva","Recurrente"))</f>
        <v/>
      </c>
      <c r="S262" s="29" t="str">
        <f>IF(OR(C262="",J262&lt;&gt;"Paquete"),"",COUNTIFS($C$2:C262,C262,$J$2:J262,"Paquete"))</f>
        <v/>
      </c>
      <c r="T262" s="26"/>
    </row>
    <row r="263" spans="1:20" x14ac:dyDescent="0.35">
      <c r="A263" s="26" t="s">
        <v>690</v>
      </c>
      <c r="B263" s="28"/>
      <c r="C263" s="26"/>
      <c r="D263" s="34" t="str">
        <f>IF($C263="","",IFERROR(IF(INDEX('🎓 Alumnas'!$C$2:$C$1000,MATCH($C263,'🎓 Alumnas'!$B$2:$B$1000,0))="","",INDEX('🎓 Alumnas'!$C$2:$C$1000,MATCH($C263,'🎓 Alumnas'!$B$2:$B$1000,0))),""))</f>
        <v/>
      </c>
      <c r="E263" s="29" t="str">
        <f>IF($C263="","",IFERROR(IF(INDEX('🎓 Alumnas'!$D$2:$D$1000,MATCH($C263,'🎓 Alumnas'!$B$2:$B$1000,0))="","",INDEX('🎓 Alumnas'!$D$2:$D$1000,MATCH($C263,'🎓 Alumnas'!$B$2:$B$1000,0))),""))</f>
        <v/>
      </c>
      <c r="F263" s="29" t="str">
        <f>IF($C263="","",IFERROR(IF(INDEX('🎓 Alumnas'!$E$2:$E$1000,MATCH($C263,'🎓 Alumnas'!$B$2:$B$1000,0))="","",INDEX('🎓 Alumnas'!$E$2:$E$1000,MATCH($C263,'🎓 Alumnas'!$B$2:$B$1000,0))),""))</f>
        <v/>
      </c>
      <c r="G263" s="31" t="str">
        <f>IF($C263="","",IFERROR(IF(INDEX('🎓 Alumnas'!$F$2:$F$1000,MATCH($C263,'🎓 Alumnas'!$B$2:$B$1000,0))="","",INDEX('🎓 Alumnas'!$F$2:$F$1000,MATCH($C263,'🎓 Alumnas'!$B$2:$B$1000,0))),""))</f>
        <v/>
      </c>
      <c r="H263" s="29" t="str">
        <f t="shared" ca="1" si="12"/>
        <v/>
      </c>
      <c r="I263" s="26"/>
      <c r="J263" s="29" t="str">
        <f t="shared" si="13"/>
        <v/>
      </c>
      <c r="K263" s="26"/>
      <c r="L263" s="26"/>
      <c r="M263" s="35"/>
      <c r="N263" s="30" t="str">
        <f t="shared" si="14"/>
        <v/>
      </c>
      <c r="O263" s="36"/>
      <c r="P263" s="26"/>
      <c r="Q263" s="26"/>
      <c r="R263" s="29" t="str">
        <f>IF(C263="","",IF(COUNTIF($C$2:C263,C263)=1,"Nueva","Recurrente"))</f>
        <v/>
      </c>
      <c r="S263" s="29" t="str">
        <f>IF(OR(C263="",J263&lt;&gt;"Paquete"),"",COUNTIFS($C$2:C263,C263,$J$2:J263,"Paquete"))</f>
        <v/>
      </c>
      <c r="T263" s="26"/>
    </row>
    <row r="264" spans="1:20" x14ac:dyDescent="0.35">
      <c r="A264" s="26" t="s">
        <v>691</v>
      </c>
      <c r="B264" s="28"/>
      <c r="C264" s="26"/>
      <c r="D264" s="34" t="str">
        <f>IF($C264="","",IFERROR(IF(INDEX('🎓 Alumnas'!$C$2:$C$1000,MATCH($C264,'🎓 Alumnas'!$B$2:$B$1000,0))="","",INDEX('🎓 Alumnas'!$C$2:$C$1000,MATCH($C264,'🎓 Alumnas'!$B$2:$B$1000,0))),""))</f>
        <v/>
      </c>
      <c r="E264" s="29" t="str">
        <f>IF($C264="","",IFERROR(IF(INDEX('🎓 Alumnas'!$D$2:$D$1000,MATCH($C264,'🎓 Alumnas'!$B$2:$B$1000,0))="","",INDEX('🎓 Alumnas'!$D$2:$D$1000,MATCH($C264,'🎓 Alumnas'!$B$2:$B$1000,0))),""))</f>
        <v/>
      </c>
      <c r="F264" s="29" t="str">
        <f>IF($C264="","",IFERROR(IF(INDEX('🎓 Alumnas'!$E$2:$E$1000,MATCH($C264,'🎓 Alumnas'!$B$2:$B$1000,0))="","",INDEX('🎓 Alumnas'!$E$2:$E$1000,MATCH($C264,'🎓 Alumnas'!$B$2:$B$1000,0))),""))</f>
        <v/>
      </c>
      <c r="G264" s="31" t="str">
        <f>IF($C264="","",IFERROR(IF(INDEX('🎓 Alumnas'!$F$2:$F$1000,MATCH($C264,'🎓 Alumnas'!$B$2:$B$1000,0))="","",INDEX('🎓 Alumnas'!$F$2:$F$1000,MATCH($C264,'🎓 Alumnas'!$B$2:$B$1000,0))),""))</f>
        <v/>
      </c>
      <c r="H264" s="29" t="str">
        <f t="shared" ca="1" si="12"/>
        <v/>
      </c>
      <c r="I264" s="26"/>
      <c r="J264" s="29" t="str">
        <f t="shared" si="13"/>
        <v/>
      </c>
      <c r="K264" s="26"/>
      <c r="L264" s="26"/>
      <c r="M264" s="35"/>
      <c r="N264" s="30" t="str">
        <f t="shared" si="14"/>
        <v/>
      </c>
      <c r="O264" s="36"/>
      <c r="P264" s="26"/>
      <c r="Q264" s="26"/>
      <c r="R264" s="29" t="str">
        <f>IF(C264="","",IF(COUNTIF($C$2:C264,C264)=1,"Nueva","Recurrente"))</f>
        <v/>
      </c>
      <c r="S264" s="29" t="str">
        <f>IF(OR(C264="",J264&lt;&gt;"Paquete"),"",COUNTIFS($C$2:C264,C264,$J$2:J264,"Paquete"))</f>
        <v/>
      </c>
      <c r="T264" s="26"/>
    </row>
    <row r="265" spans="1:20" x14ac:dyDescent="0.35">
      <c r="A265" s="26" t="s">
        <v>692</v>
      </c>
      <c r="B265" s="28"/>
      <c r="C265" s="26"/>
      <c r="D265" s="34" t="str">
        <f>IF($C265="","",IFERROR(IF(INDEX('🎓 Alumnas'!$C$2:$C$1000,MATCH($C265,'🎓 Alumnas'!$B$2:$B$1000,0))="","",INDEX('🎓 Alumnas'!$C$2:$C$1000,MATCH($C265,'🎓 Alumnas'!$B$2:$B$1000,0))),""))</f>
        <v/>
      </c>
      <c r="E265" s="29" t="str">
        <f>IF($C265="","",IFERROR(IF(INDEX('🎓 Alumnas'!$D$2:$D$1000,MATCH($C265,'🎓 Alumnas'!$B$2:$B$1000,0))="","",INDEX('🎓 Alumnas'!$D$2:$D$1000,MATCH($C265,'🎓 Alumnas'!$B$2:$B$1000,0))),""))</f>
        <v/>
      </c>
      <c r="F265" s="29" t="str">
        <f>IF($C265="","",IFERROR(IF(INDEX('🎓 Alumnas'!$E$2:$E$1000,MATCH($C265,'🎓 Alumnas'!$B$2:$B$1000,0))="","",INDEX('🎓 Alumnas'!$E$2:$E$1000,MATCH($C265,'🎓 Alumnas'!$B$2:$B$1000,0))),""))</f>
        <v/>
      </c>
      <c r="G265" s="31" t="str">
        <f>IF($C265="","",IFERROR(IF(INDEX('🎓 Alumnas'!$F$2:$F$1000,MATCH($C265,'🎓 Alumnas'!$B$2:$B$1000,0))="","",INDEX('🎓 Alumnas'!$F$2:$F$1000,MATCH($C265,'🎓 Alumnas'!$B$2:$B$1000,0))),""))</f>
        <v/>
      </c>
      <c r="H265" s="29" t="str">
        <f t="shared" ca="1" si="12"/>
        <v/>
      </c>
      <c r="I265" s="26"/>
      <c r="J265" s="29" t="str">
        <f t="shared" si="13"/>
        <v/>
      </c>
      <c r="K265" s="26"/>
      <c r="L265" s="26"/>
      <c r="M265" s="35"/>
      <c r="N265" s="30" t="str">
        <f t="shared" si="14"/>
        <v/>
      </c>
      <c r="O265" s="36"/>
      <c r="P265" s="26"/>
      <c r="Q265" s="26"/>
      <c r="R265" s="29" t="str">
        <f>IF(C265="","",IF(COUNTIF($C$2:C265,C265)=1,"Nueva","Recurrente"))</f>
        <v/>
      </c>
      <c r="S265" s="29" t="str">
        <f>IF(OR(C265="",J265&lt;&gt;"Paquete"),"",COUNTIFS($C$2:C265,C265,$J$2:J265,"Paquete"))</f>
        <v/>
      </c>
      <c r="T265" s="26"/>
    </row>
    <row r="266" spans="1:20" x14ac:dyDescent="0.35">
      <c r="A266" s="26" t="s">
        <v>693</v>
      </c>
      <c r="B266" s="28"/>
      <c r="C266" s="26"/>
      <c r="D266" s="34" t="str">
        <f>IF($C266="","",IFERROR(IF(INDEX('🎓 Alumnas'!$C$2:$C$1000,MATCH($C266,'🎓 Alumnas'!$B$2:$B$1000,0))="","",INDEX('🎓 Alumnas'!$C$2:$C$1000,MATCH($C266,'🎓 Alumnas'!$B$2:$B$1000,0))),""))</f>
        <v/>
      </c>
      <c r="E266" s="29" t="str">
        <f>IF($C266="","",IFERROR(IF(INDEX('🎓 Alumnas'!$D$2:$D$1000,MATCH($C266,'🎓 Alumnas'!$B$2:$B$1000,0))="","",INDEX('🎓 Alumnas'!$D$2:$D$1000,MATCH($C266,'🎓 Alumnas'!$B$2:$B$1000,0))),""))</f>
        <v/>
      </c>
      <c r="F266" s="29" t="str">
        <f>IF($C266="","",IFERROR(IF(INDEX('🎓 Alumnas'!$E$2:$E$1000,MATCH($C266,'🎓 Alumnas'!$B$2:$B$1000,0))="","",INDEX('🎓 Alumnas'!$E$2:$E$1000,MATCH($C266,'🎓 Alumnas'!$B$2:$B$1000,0))),""))</f>
        <v/>
      </c>
      <c r="G266" s="31" t="str">
        <f>IF($C266="","",IFERROR(IF(INDEX('🎓 Alumnas'!$F$2:$F$1000,MATCH($C266,'🎓 Alumnas'!$B$2:$B$1000,0))="","",INDEX('🎓 Alumnas'!$F$2:$F$1000,MATCH($C266,'🎓 Alumnas'!$B$2:$B$1000,0))),""))</f>
        <v/>
      </c>
      <c r="H266" s="29" t="str">
        <f t="shared" ca="1" si="12"/>
        <v/>
      </c>
      <c r="I266" s="26"/>
      <c r="J266" s="29" t="str">
        <f t="shared" si="13"/>
        <v/>
      </c>
      <c r="K266" s="26"/>
      <c r="L266" s="26"/>
      <c r="M266" s="35"/>
      <c r="N266" s="30" t="str">
        <f t="shared" si="14"/>
        <v/>
      </c>
      <c r="O266" s="36"/>
      <c r="P266" s="26"/>
      <c r="Q266" s="26"/>
      <c r="R266" s="29" t="str">
        <f>IF(C266="","",IF(COUNTIF($C$2:C266,C266)=1,"Nueva","Recurrente"))</f>
        <v/>
      </c>
      <c r="S266" s="29" t="str">
        <f>IF(OR(C266="",J266&lt;&gt;"Paquete"),"",COUNTIFS($C$2:C266,C266,$J$2:J266,"Paquete"))</f>
        <v/>
      </c>
      <c r="T266" s="26"/>
    </row>
    <row r="267" spans="1:20" x14ac:dyDescent="0.35">
      <c r="A267" s="26" t="s">
        <v>694</v>
      </c>
      <c r="B267" s="28"/>
      <c r="C267" s="26"/>
      <c r="D267" s="34" t="str">
        <f>IF($C267="","",IFERROR(IF(INDEX('🎓 Alumnas'!$C$2:$C$1000,MATCH($C267,'🎓 Alumnas'!$B$2:$B$1000,0))="","",INDEX('🎓 Alumnas'!$C$2:$C$1000,MATCH($C267,'🎓 Alumnas'!$B$2:$B$1000,0))),""))</f>
        <v/>
      </c>
      <c r="E267" s="29" t="str">
        <f>IF($C267="","",IFERROR(IF(INDEX('🎓 Alumnas'!$D$2:$D$1000,MATCH($C267,'🎓 Alumnas'!$B$2:$B$1000,0))="","",INDEX('🎓 Alumnas'!$D$2:$D$1000,MATCH($C267,'🎓 Alumnas'!$B$2:$B$1000,0))),""))</f>
        <v/>
      </c>
      <c r="F267" s="29" t="str">
        <f>IF($C267="","",IFERROR(IF(INDEX('🎓 Alumnas'!$E$2:$E$1000,MATCH($C267,'🎓 Alumnas'!$B$2:$B$1000,0))="","",INDEX('🎓 Alumnas'!$E$2:$E$1000,MATCH($C267,'🎓 Alumnas'!$B$2:$B$1000,0))),""))</f>
        <v/>
      </c>
      <c r="G267" s="31" t="str">
        <f>IF($C267="","",IFERROR(IF(INDEX('🎓 Alumnas'!$F$2:$F$1000,MATCH($C267,'🎓 Alumnas'!$B$2:$B$1000,0))="","",INDEX('🎓 Alumnas'!$F$2:$F$1000,MATCH($C267,'🎓 Alumnas'!$B$2:$B$1000,0))),""))</f>
        <v/>
      </c>
      <c r="H267" s="29" t="str">
        <f t="shared" ca="1" si="12"/>
        <v/>
      </c>
      <c r="I267" s="26"/>
      <c r="J267" s="29" t="str">
        <f t="shared" si="13"/>
        <v/>
      </c>
      <c r="K267" s="26"/>
      <c r="L267" s="26"/>
      <c r="M267" s="35"/>
      <c r="N267" s="30" t="str">
        <f t="shared" si="14"/>
        <v/>
      </c>
      <c r="O267" s="36"/>
      <c r="P267" s="26"/>
      <c r="Q267" s="26"/>
      <c r="R267" s="29" t="str">
        <f>IF(C267="","",IF(COUNTIF($C$2:C267,C267)=1,"Nueva","Recurrente"))</f>
        <v/>
      </c>
      <c r="S267" s="29" t="str">
        <f>IF(OR(C267="",J267&lt;&gt;"Paquete"),"",COUNTIFS($C$2:C267,C267,$J$2:J267,"Paquete"))</f>
        <v/>
      </c>
      <c r="T267" s="26"/>
    </row>
    <row r="268" spans="1:20" x14ac:dyDescent="0.35">
      <c r="A268" s="26" t="s">
        <v>695</v>
      </c>
      <c r="B268" s="28"/>
      <c r="C268" s="26"/>
      <c r="D268" s="34" t="str">
        <f>IF($C268="","",IFERROR(IF(INDEX('🎓 Alumnas'!$C$2:$C$1000,MATCH($C268,'🎓 Alumnas'!$B$2:$B$1000,0))="","",INDEX('🎓 Alumnas'!$C$2:$C$1000,MATCH($C268,'🎓 Alumnas'!$B$2:$B$1000,0))),""))</f>
        <v/>
      </c>
      <c r="E268" s="29" t="str">
        <f>IF($C268="","",IFERROR(IF(INDEX('🎓 Alumnas'!$D$2:$D$1000,MATCH($C268,'🎓 Alumnas'!$B$2:$B$1000,0))="","",INDEX('🎓 Alumnas'!$D$2:$D$1000,MATCH($C268,'🎓 Alumnas'!$B$2:$B$1000,0))),""))</f>
        <v/>
      </c>
      <c r="F268" s="29" t="str">
        <f>IF($C268="","",IFERROR(IF(INDEX('🎓 Alumnas'!$E$2:$E$1000,MATCH($C268,'🎓 Alumnas'!$B$2:$B$1000,0))="","",INDEX('🎓 Alumnas'!$E$2:$E$1000,MATCH($C268,'🎓 Alumnas'!$B$2:$B$1000,0))),""))</f>
        <v/>
      </c>
      <c r="G268" s="31" t="str">
        <f>IF($C268="","",IFERROR(IF(INDEX('🎓 Alumnas'!$F$2:$F$1000,MATCH($C268,'🎓 Alumnas'!$B$2:$B$1000,0))="","",INDEX('🎓 Alumnas'!$F$2:$F$1000,MATCH($C268,'🎓 Alumnas'!$B$2:$B$1000,0))),""))</f>
        <v/>
      </c>
      <c r="H268" s="29" t="str">
        <f t="shared" ca="1" si="12"/>
        <v/>
      </c>
      <c r="I268" s="26"/>
      <c r="J268" s="29" t="str">
        <f t="shared" si="13"/>
        <v/>
      </c>
      <c r="K268" s="26"/>
      <c r="L268" s="26"/>
      <c r="M268" s="35"/>
      <c r="N268" s="30" t="str">
        <f t="shared" si="14"/>
        <v/>
      </c>
      <c r="O268" s="36"/>
      <c r="P268" s="26"/>
      <c r="Q268" s="26"/>
      <c r="R268" s="29" t="str">
        <f>IF(C268="","",IF(COUNTIF($C$2:C268,C268)=1,"Nueva","Recurrente"))</f>
        <v/>
      </c>
      <c r="S268" s="29" t="str">
        <f>IF(OR(C268="",J268&lt;&gt;"Paquete"),"",COUNTIFS($C$2:C268,C268,$J$2:J268,"Paquete"))</f>
        <v/>
      </c>
      <c r="T268" s="26"/>
    </row>
    <row r="269" spans="1:20" x14ac:dyDescent="0.35">
      <c r="A269" s="26" t="s">
        <v>696</v>
      </c>
      <c r="B269" s="28"/>
      <c r="C269" s="26"/>
      <c r="D269" s="34" t="str">
        <f>IF($C269="","",IFERROR(IF(INDEX('🎓 Alumnas'!$C$2:$C$1000,MATCH($C269,'🎓 Alumnas'!$B$2:$B$1000,0))="","",INDEX('🎓 Alumnas'!$C$2:$C$1000,MATCH($C269,'🎓 Alumnas'!$B$2:$B$1000,0))),""))</f>
        <v/>
      </c>
      <c r="E269" s="29" t="str">
        <f>IF($C269="","",IFERROR(IF(INDEX('🎓 Alumnas'!$D$2:$D$1000,MATCH($C269,'🎓 Alumnas'!$B$2:$B$1000,0))="","",INDEX('🎓 Alumnas'!$D$2:$D$1000,MATCH($C269,'🎓 Alumnas'!$B$2:$B$1000,0))),""))</f>
        <v/>
      </c>
      <c r="F269" s="29" t="str">
        <f>IF($C269="","",IFERROR(IF(INDEX('🎓 Alumnas'!$E$2:$E$1000,MATCH($C269,'🎓 Alumnas'!$B$2:$B$1000,0))="","",INDEX('🎓 Alumnas'!$E$2:$E$1000,MATCH($C269,'🎓 Alumnas'!$B$2:$B$1000,0))),""))</f>
        <v/>
      </c>
      <c r="G269" s="31" t="str">
        <f>IF($C269="","",IFERROR(IF(INDEX('🎓 Alumnas'!$F$2:$F$1000,MATCH($C269,'🎓 Alumnas'!$B$2:$B$1000,0))="","",INDEX('🎓 Alumnas'!$F$2:$F$1000,MATCH($C269,'🎓 Alumnas'!$B$2:$B$1000,0))),""))</f>
        <v/>
      </c>
      <c r="H269" s="29" t="str">
        <f t="shared" ca="1" si="12"/>
        <v/>
      </c>
      <c r="I269" s="26"/>
      <c r="J269" s="29" t="str">
        <f t="shared" si="13"/>
        <v/>
      </c>
      <c r="K269" s="26"/>
      <c r="L269" s="26"/>
      <c r="M269" s="35"/>
      <c r="N269" s="30" t="str">
        <f t="shared" si="14"/>
        <v/>
      </c>
      <c r="O269" s="36"/>
      <c r="P269" s="26"/>
      <c r="Q269" s="26"/>
      <c r="R269" s="29" t="str">
        <f>IF(C269="","",IF(COUNTIF($C$2:C269,C269)=1,"Nueva","Recurrente"))</f>
        <v/>
      </c>
      <c r="S269" s="29" t="str">
        <f>IF(OR(C269="",J269&lt;&gt;"Paquete"),"",COUNTIFS($C$2:C269,C269,$J$2:J269,"Paquete"))</f>
        <v/>
      </c>
      <c r="T269" s="26"/>
    </row>
    <row r="270" spans="1:20" x14ac:dyDescent="0.35">
      <c r="A270" s="26" t="s">
        <v>697</v>
      </c>
      <c r="B270" s="28"/>
      <c r="C270" s="26"/>
      <c r="D270" s="34" t="str">
        <f>IF($C270="","",IFERROR(IF(INDEX('🎓 Alumnas'!$C$2:$C$1000,MATCH($C270,'🎓 Alumnas'!$B$2:$B$1000,0))="","",INDEX('🎓 Alumnas'!$C$2:$C$1000,MATCH($C270,'🎓 Alumnas'!$B$2:$B$1000,0))),""))</f>
        <v/>
      </c>
      <c r="E270" s="29" t="str">
        <f>IF($C270="","",IFERROR(IF(INDEX('🎓 Alumnas'!$D$2:$D$1000,MATCH($C270,'🎓 Alumnas'!$B$2:$B$1000,0))="","",INDEX('🎓 Alumnas'!$D$2:$D$1000,MATCH($C270,'🎓 Alumnas'!$B$2:$B$1000,0))),""))</f>
        <v/>
      </c>
      <c r="F270" s="29" t="str">
        <f>IF($C270="","",IFERROR(IF(INDEX('🎓 Alumnas'!$E$2:$E$1000,MATCH($C270,'🎓 Alumnas'!$B$2:$B$1000,0))="","",INDEX('🎓 Alumnas'!$E$2:$E$1000,MATCH($C270,'🎓 Alumnas'!$B$2:$B$1000,0))),""))</f>
        <v/>
      </c>
      <c r="G270" s="31" t="str">
        <f>IF($C270="","",IFERROR(IF(INDEX('🎓 Alumnas'!$F$2:$F$1000,MATCH($C270,'🎓 Alumnas'!$B$2:$B$1000,0))="","",INDEX('🎓 Alumnas'!$F$2:$F$1000,MATCH($C270,'🎓 Alumnas'!$B$2:$B$1000,0))),""))</f>
        <v/>
      </c>
      <c r="H270" s="29" t="str">
        <f t="shared" ca="1" si="12"/>
        <v/>
      </c>
      <c r="I270" s="26"/>
      <c r="J270" s="29" t="str">
        <f t="shared" si="13"/>
        <v/>
      </c>
      <c r="K270" s="26"/>
      <c r="L270" s="26"/>
      <c r="M270" s="35"/>
      <c r="N270" s="30" t="str">
        <f t="shared" si="14"/>
        <v/>
      </c>
      <c r="O270" s="36"/>
      <c r="P270" s="26"/>
      <c r="Q270" s="26"/>
      <c r="R270" s="29" t="str">
        <f>IF(C270="","",IF(COUNTIF($C$2:C270,C270)=1,"Nueva","Recurrente"))</f>
        <v/>
      </c>
      <c r="S270" s="29" t="str">
        <f>IF(OR(C270="",J270&lt;&gt;"Paquete"),"",COUNTIFS($C$2:C270,C270,$J$2:J270,"Paquete"))</f>
        <v/>
      </c>
      <c r="T270" s="26"/>
    </row>
    <row r="271" spans="1:20" x14ac:dyDescent="0.35">
      <c r="A271" s="26" t="s">
        <v>698</v>
      </c>
      <c r="B271" s="28"/>
      <c r="C271" s="26"/>
      <c r="D271" s="34" t="str">
        <f>IF($C271="","",IFERROR(IF(INDEX('🎓 Alumnas'!$C$2:$C$1000,MATCH($C271,'🎓 Alumnas'!$B$2:$B$1000,0))="","",INDEX('🎓 Alumnas'!$C$2:$C$1000,MATCH($C271,'🎓 Alumnas'!$B$2:$B$1000,0))),""))</f>
        <v/>
      </c>
      <c r="E271" s="29" t="str">
        <f>IF($C271="","",IFERROR(IF(INDEX('🎓 Alumnas'!$D$2:$D$1000,MATCH($C271,'🎓 Alumnas'!$B$2:$B$1000,0))="","",INDEX('🎓 Alumnas'!$D$2:$D$1000,MATCH($C271,'🎓 Alumnas'!$B$2:$B$1000,0))),""))</f>
        <v/>
      </c>
      <c r="F271" s="29" t="str">
        <f>IF($C271="","",IFERROR(IF(INDEX('🎓 Alumnas'!$E$2:$E$1000,MATCH($C271,'🎓 Alumnas'!$B$2:$B$1000,0))="","",INDEX('🎓 Alumnas'!$E$2:$E$1000,MATCH($C271,'🎓 Alumnas'!$B$2:$B$1000,0))),""))</f>
        <v/>
      </c>
      <c r="G271" s="31" t="str">
        <f>IF($C271="","",IFERROR(IF(INDEX('🎓 Alumnas'!$F$2:$F$1000,MATCH($C271,'🎓 Alumnas'!$B$2:$B$1000,0))="","",INDEX('🎓 Alumnas'!$F$2:$F$1000,MATCH($C271,'🎓 Alumnas'!$B$2:$B$1000,0))),""))</f>
        <v/>
      </c>
      <c r="H271" s="29" t="str">
        <f t="shared" ca="1" si="12"/>
        <v/>
      </c>
      <c r="I271" s="26"/>
      <c r="J271" s="29" t="str">
        <f t="shared" si="13"/>
        <v/>
      </c>
      <c r="K271" s="26"/>
      <c r="L271" s="26"/>
      <c r="M271" s="35"/>
      <c r="N271" s="30" t="str">
        <f t="shared" si="14"/>
        <v/>
      </c>
      <c r="O271" s="36"/>
      <c r="P271" s="26"/>
      <c r="Q271" s="26"/>
      <c r="R271" s="29" t="str">
        <f>IF(C271="","",IF(COUNTIF($C$2:C271,C271)=1,"Nueva","Recurrente"))</f>
        <v/>
      </c>
      <c r="S271" s="29" t="str">
        <f>IF(OR(C271="",J271&lt;&gt;"Paquete"),"",COUNTIFS($C$2:C271,C271,$J$2:J271,"Paquete"))</f>
        <v/>
      </c>
      <c r="T271" s="26"/>
    </row>
    <row r="272" spans="1:20" x14ac:dyDescent="0.35">
      <c r="A272" s="26" t="s">
        <v>699</v>
      </c>
      <c r="B272" s="28"/>
      <c r="C272" s="26"/>
      <c r="D272" s="34" t="str">
        <f>IF($C272="","",IFERROR(IF(INDEX('🎓 Alumnas'!$C$2:$C$1000,MATCH($C272,'🎓 Alumnas'!$B$2:$B$1000,0))="","",INDEX('🎓 Alumnas'!$C$2:$C$1000,MATCH($C272,'🎓 Alumnas'!$B$2:$B$1000,0))),""))</f>
        <v/>
      </c>
      <c r="E272" s="29" t="str">
        <f>IF($C272="","",IFERROR(IF(INDEX('🎓 Alumnas'!$D$2:$D$1000,MATCH($C272,'🎓 Alumnas'!$B$2:$B$1000,0))="","",INDEX('🎓 Alumnas'!$D$2:$D$1000,MATCH($C272,'🎓 Alumnas'!$B$2:$B$1000,0))),""))</f>
        <v/>
      </c>
      <c r="F272" s="29" t="str">
        <f>IF($C272="","",IFERROR(IF(INDEX('🎓 Alumnas'!$E$2:$E$1000,MATCH($C272,'🎓 Alumnas'!$B$2:$B$1000,0))="","",INDEX('🎓 Alumnas'!$E$2:$E$1000,MATCH($C272,'🎓 Alumnas'!$B$2:$B$1000,0))),""))</f>
        <v/>
      </c>
      <c r="G272" s="31" t="str">
        <f>IF($C272="","",IFERROR(IF(INDEX('🎓 Alumnas'!$F$2:$F$1000,MATCH($C272,'🎓 Alumnas'!$B$2:$B$1000,0))="","",INDEX('🎓 Alumnas'!$F$2:$F$1000,MATCH($C272,'🎓 Alumnas'!$B$2:$B$1000,0))),""))</f>
        <v/>
      </c>
      <c r="H272" s="29" t="str">
        <f t="shared" ca="1" si="12"/>
        <v/>
      </c>
      <c r="I272" s="26"/>
      <c r="J272" s="29" t="str">
        <f t="shared" si="13"/>
        <v/>
      </c>
      <c r="K272" s="26"/>
      <c r="L272" s="26"/>
      <c r="M272" s="35"/>
      <c r="N272" s="30" t="str">
        <f t="shared" si="14"/>
        <v/>
      </c>
      <c r="O272" s="36"/>
      <c r="P272" s="26"/>
      <c r="Q272" s="26"/>
      <c r="R272" s="29" t="str">
        <f>IF(C272="","",IF(COUNTIF($C$2:C272,C272)=1,"Nueva","Recurrente"))</f>
        <v/>
      </c>
      <c r="S272" s="29" t="str">
        <f>IF(OR(C272="",J272&lt;&gt;"Paquete"),"",COUNTIFS($C$2:C272,C272,$J$2:J272,"Paquete"))</f>
        <v/>
      </c>
      <c r="T272" s="26"/>
    </row>
    <row r="273" spans="1:20" x14ac:dyDescent="0.35">
      <c r="A273" s="26" t="s">
        <v>700</v>
      </c>
      <c r="B273" s="28"/>
      <c r="C273" s="26"/>
      <c r="D273" s="34" t="str">
        <f>IF($C273="","",IFERROR(IF(INDEX('🎓 Alumnas'!$C$2:$C$1000,MATCH($C273,'🎓 Alumnas'!$B$2:$B$1000,0))="","",INDEX('🎓 Alumnas'!$C$2:$C$1000,MATCH($C273,'🎓 Alumnas'!$B$2:$B$1000,0))),""))</f>
        <v/>
      </c>
      <c r="E273" s="29" t="str">
        <f>IF($C273="","",IFERROR(IF(INDEX('🎓 Alumnas'!$D$2:$D$1000,MATCH($C273,'🎓 Alumnas'!$B$2:$B$1000,0))="","",INDEX('🎓 Alumnas'!$D$2:$D$1000,MATCH($C273,'🎓 Alumnas'!$B$2:$B$1000,0))),""))</f>
        <v/>
      </c>
      <c r="F273" s="29" t="str">
        <f>IF($C273="","",IFERROR(IF(INDEX('🎓 Alumnas'!$E$2:$E$1000,MATCH($C273,'🎓 Alumnas'!$B$2:$B$1000,0))="","",INDEX('🎓 Alumnas'!$E$2:$E$1000,MATCH($C273,'🎓 Alumnas'!$B$2:$B$1000,0))),""))</f>
        <v/>
      </c>
      <c r="G273" s="31" t="str">
        <f>IF($C273="","",IFERROR(IF(INDEX('🎓 Alumnas'!$F$2:$F$1000,MATCH($C273,'🎓 Alumnas'!$B$2:$B$1000,0))="","",INDEX('🎓 Alumnas'!$F$2:$F$1000,MATCH($C273,'🎓 Alumnas'!$B$2:$B$1000,0))),""))</f>
        <v/>
      </c>
      <c r="H273" s="29" t="str">
        <f t="shared" ca="1" si="12"/>
        <v/>
      </c>
      <c r="I273" s="26"/>
      <c r="J273" s="29" t="str">
        <f t="shared" si="13"/>
        <v/>
      </c>
      <c r="K273" s="26"/>
      <c r="L273" s="26"/>
      <c r="M273" s="35"/>
      <c r="N273" s="30" t="str">
        <f t="shared" si="14"/>
        <v/>
      </c>
      <c r="O273" s="36"/>
      <c r="P273" s="26"/>
      <c r="Q273" s="26"/>
      <c r="R273" s="29" t="str">
        <f>IF(C273="","",IF(COUNTIF($C$2:C273,C273)=1,"Nueva","Recurrente"))</f>
        <v/>
      </c>
      <c r="S273" s="29" t="str">
        <f>IF(OR(C273="",J273&lt;&gt;"Paquete"),"",COUNTIFS($C$2:C273,C273,$J$2:J273,"Paquete"))</f>
        <v/>
      </c>
      <c r="T273" s="26"/>
    </row>
    <row r="274" spans="1:20" x14ac:dyDescent="0.35">
      <c r="A274" s="26" t="s">
        <v>701</v>
      </c>
      <c r="B274" s="28"/>
      <c r="C274" s="26"/>
      <c r="D274" s="34" t="str">
        <f>IF($C274="","",IFERROR(IF(INDEX('🎓 Alumnas'!$C$2:$C$1000,MATCH($C274,'🎓 Alumnas'!$B$2:$B$1000,0))="","",INDEX('🎓 Alumnas'!$C$2:$C$1000,MATCH($C274,'🎓 Alumnas'!$B$2:$B$1000,0))),""))</f>
        <v/>
      </c>
      <c r="E274" s="29" t="str">
        <f>IF($C274="","",IFERROR(IF(INDEX('🎓 Alumnas'!$D$2:$D$1000,MATCH($C274,'🎓 Alumnas'!$B$2:$B$1000,0))="","",INDEX('🎓 Alumnas'!$D$2:$D$1000,MATCH($C274,'🎓 Alumnas'!$B$2:$B$1000,0))),""))</f>
        <v/>
      </c>
      <c r="F274" s="29" t="str">
        <f>IF($C274="","",IFERROR(IF(INDEX('🎓 Alumnas'!$E$2:$E$1000,MATCH($C274,'🎓 Alumnas'!$B$2:$B$1000,0))="","",INDEX('🎓 Alumnas'!$E$2:$E$1000,MATCH($C274,'🎓 Alumnas'!$B$2:$B$1000,0))),""))</f>
        <v/>
      </c>
      <c r="G274" s="31" t="str">
        <f>IF($C274="","",IFERROR(IF(INDEX('🎓 Alumnas'!$F$2:$F$1000,MATCH($C274,'🎓 Alumnas'!$B$2:$B$1000,0))="","",INDEX('🎓 Alumnas'!$F$2:$F$1000,MATCH($C274,'🎓 Alumnas'!$B$2:$B$1000,0))),""))</f>
        <v/>
      </c>
      <c r="H274" s="29" t="str">
        <f t="shared" ca="1" si="12"/>
        <v/>
      </c>
      <c r="I274" s="26"/>
      <c r="J274" s="29" t="str">
        <f t="shared" si="13"/>
        <v/>
      </c>
      <c r="K274" s="26"/>
      <c r="L274" s="26"/>
      <c r="M274" s="35"/>
      <c r="N274" s="30" t="str">
        <f t="shared" si="14"/>
        <v/>
      </c>
      <c r="O274" s="36"/>
      <c r="P274" s="26"/>
      <c r="Q274" s="26"/>
      <c r="R274" s="29" t="str">
        <f>IF(C274="","",IF(COUNTIF($C$2:C274,C274)=1,"Nueva","Recurrente"))</f>
        <v/>
      </c>
      <c r="S274" s="29" t="str">
        <f>IF(OR(C274="",J274&lt;&gt;"Paquete"),"",COUNTIFS($C$2:C274,C274,$J$2:J274,"Paquete"))</f>
        <v/>
      </c>
      <c r="T274" s="26"/>
    </row>
    <row r="275" spans="1:20" x14ac:dyDescent="0.35">
      <c r="A275" s="26" t="s">
        <v>702</v>
      </c>
      <c r="B275" s="28"/>
      <c r="C275" s="26"/>
      <c r="D275" s="34" t="str">
        <f>IF($C275="","",IFERROR(IF(INDEX('🎓 Alumnas'!$C$2:$C$1000,MATCH($C275,'🎓 Alumnas'!$B$2:$B$1000,0))="","",INDEX('🎓 Alumnas'!$C$2:$C$1000,MATCH($C275,'🎓 Alumnas'!$B$2:$B$1000,0))),""))</f>
        <v/>
      </c>
      <c r="E275" s="29" t="str">
        <f>IF($C275="","",IFERROR(IF(INDEX('🎓 Alumnas'!$D$2:$D$1000,MATCH($C275,'🎓 Alumnas'!$B$2:$B$1000,0))="","",INDEX('🎓 Alumnas'!$D$2:$D$1000,MATCH($C275,'🎓 Alumnas'!$B$2:$B$1000,0))),""))</f>
        <v/>
      </c>
      <c r="F275" s="29" t="str">
        <f>IF($C275="","",IFERROR(IF(INDEX('🎓 Alumnas'!$E$2:$E$1000,MATCH($C275,'🎓 Alumnas'!$B$2:$B$1000,0))="","",INDEX('🎓 Alumnas'!$E$2:$E$1000,MATCH($C275,'🎓 Alumnas'!$B$2:$B$1000,0))),""))</f>
        <v/>
      </c>
      <c r="G275" s="31" t="str">
        <f>IF($C275="","",IFERROR(IF(INDEX('🎓 Alumnas'!$F$2:$F$1000,MATCH($C275,'🎓 Alumnas'!$B$2:$B$1000,0))="","",INDEX('🎓 Alumnas'!$F$2:$F$1000,MATCH($C275,'🎓 Alumnas'!$B$2:$B$1000,0))),""))</f>
        <v/>
      </c>
      <c r="H275" s="29" t="str">
        <f t="shared" ca="1" si="12"/>
        <v/>
      </c>
      <c r="I275" s="26"/>
      <c r="J275" s="29" t="str">
        <f t="shared" si="13"/>
        <v/>
      </c>
      <c r="K275" s="26"/>
      <c r="L275" s="26"/>
      <c r="M275" s="35"/>
      <c r="N275" s="30" t="str">
        <f t="shared" si="14"/>
        <v/>
      </c>
      <c r="O275" s="36"/>
      <c r="P275" s="26"/>
      <c r="Q275" s="26"/>
      <c r="R275" s="29" t="str">
        <f>IF(C275="","",IF(COUNTIF($C$2:C275,C275)=1,"Nueva","Recurrente"))</f>
        <v/>
      </c>
      <c r="S275" s="29" t="str">
        <f>IF(OR(C275="",J275&lt;&gt;"Paquete"),"",COUNTIFS($C$2:C275,C275,$J$2:J275,"Paquete"))</f>
        <v/>
      </c>
      <c r="T275" s="26"/>
    </row>
    <row r="276" spans="1:20" x14ac:dyDescent="0.35">
      <c r="A276" s="26" t="s">
        <v>703</v>
      </c>
      <c r="B276" s="28"/>
      <c r="C276" s="26"/>
      <c r="D276" s="34" t="str">
        <f>IF($C276="","",IFERROR(IF(INDEX('🎓 Alumnas'!$C$2:$C$1000,MATCH($C276,'🎓 Alumnas'!$B$2:$B$1000,0))="","",INDEX('🎓 Alumnas'!$C$2:$C$1000,MATCH($C276,'🎓 Alumnas'!$B$2:$B$1000,0))),""))</f>
        <v/>
      </c>
      <c r="E276" s="29" t="str">
        <f>IF($C276="","",IFERROR(IF(INDEX('🎓 Alumnas'!$D$2:$D$1000,MATCH($C276,'🎓 Alumnas'!$B$2:$B$1000,0))="","",INDEX('🎓 Alumnas'!$D$2:$D$1000,MATCH($C276,'🎓 Alumnas'!$B$2:$B$1000,0))),""))</f>
        <v/>
      </c>
      <c r="F276" s="29" t="str">
        <f>IF($C276="","",IFERROR(IF(INDEX('🎓 Alumnas'!$E$2:$E$1000,MATCH($C276,'🎓 Alumnas'!$B$2:$B$1000,0))="","",INDEX('🎓 Alumnas'!$E$2:$E$1000,MATCH($C276,'🎓 Alumnas'!$B$2:$B$1000,0))),""))</f>
        <v/>
      </c>
      <c r="G276" s="31" t="str">
        <f>IF($C276="","",IFERROR(IF(INDEX('🎓 Alumnas'!$F$2:$F$1000,MATCH($C276,'🎓 Alumnas'!$B$2:$B$1000,0))="","",INDEX('🎓 Alumnas'!$F$2:$F$1000,MATCH($C276,'🎓 Alumnas'!$B$2:$B$1000,0))),""))</f>
        <v/>
      </c>
      <c r="H276" s="29" t="str">
        <f t="shared" ca="1" si="12"/>
        <v/>
      </c>
      <c r="I276" s="26"/>
      <c r="J276" s="29" t="str">
        <f t="shared" si="13"/>
        <v/>
      </c>
      <c r="K276" s="26"/>
      <c r="L276" s="26"/>
      <c r="M276" s="35"/>
      <c r="N276" s="30" t="str">
        <f t="shared" si="14"/>
        <v/>
      </c>
      <c r="O276" s="36"/>
      <c r="P276" s="26"/>
      <c r="Q276" s="26"/>
      <c r="R276" s="29" t="str">
        <f>IF(C276="","",IF(COUNTIF($C$2:C276,C276)=1,"Nueva","Recurrente"))</f>
        <v/>
      </c>
      <c r="S276" s="29" t="str">
        <f>IF(OR(C276="",J276&lt;&gt;"Paquete"),"",COUNTIFS($C$2:C276,C276,$J$2:J276,"Paquete"))</f>
        <v/>
      </c>
      <c r="T276" s="26"/>
    </row>
    <row r="277" spans="1:20" x14ac:dyDescent="0.35">
      <c r="A277" s="26" t="s">
        <v>704</v>
      </c>
      <c r="B277" s="28"/>
      <c r="C277" s="26"/>
      <c r="D277" s="34" t="str">
        <f>IF($C277="","",IFERROR(IF(INDEX('🎓 Alumnas'!$C$2:$C$1000,MATCH($C277,'🎓 Alumnas'!$B$2:$B$1000,0))="","",INDEX('🎓 Alumnas'!$C$2:$C$1000,MATCH($C277,'🎓 Alumnas'!$B$2:$B$1000,0))),""))</f>
        <v/>
      </c>
      <c r="E277" s="29" t="str">
        <f>IF($C277="","",IFERROR(IF(INDEX('🎓 Alumnas'!$D$2:$D$1000,MATCH($C277,'🎓 Alumnas'!$B$2:$B$1000,0))="","",INDEX('🎓 Alumnas'!$D$2:$D$1000,MATCH($C277,'🎓 Alumnas'!$B$2:$B$1000,0))),""))</f>
        <v/>
      </c>
      <c r="F277" s="29" t="str">
        <f>IF($C277="","",IFERROR(IF(INDEX('🎓 Alumnas'!$E$2:$E$1000,MATCH($C277,'🎓 Alumnas'!$B$2:$B$1000,0))="","",INDEX('🎓 Alumnas'!$E$2:$E$1000,MATCH($C277,'🎓 Alumnas'!$B$2:$B$1000,0))),""))</f>
        <v/>
      </c>
      <c r="G277" s="31" t="str">
        <f>IF($C277="","",IFERROR(IF(INDEX('🎓 Alumnas'!$F$2:$F$1000,MATCH($C277,'🎓 Alumnas'!$B$2:$B$1000,0))="","",INDEX('🎓 Alumnas'!$F$2:$F$1000,MATCH($C277,'🎓 Alumnas'!$B$2:$B$1000,0))),""))</f>
        <v/>
      </c>
      <c r="H277" s="29" t="str">
        <f t="shared" ca="1" si="12"/>
        <v/>
      </c>
      <c r="I277" s="26"/>
      <c r="J277" s="29" t="str">
        <f t="shared" si="13"/>
        <v/>
      </c>
      <c r="K277" s="26"/>
      <c r="L277" s="26"/>
      <c r="M277" s="35"/>
      <c r="N277" s="30" t="str">
        <f t="shared" si="14"/>
        <v/>
      </c>
      <c r="O277" s="36"/>
      <c r="P277" s="26"/>
      <c r="Q277" s="26"/>
      <c r="R277" s="29" t="str">
        <f>IF(C277="","",IF(COUNTIF($C$2:C277,C277)=1,"Nueva","Recurrente"))</f>
        <v/>
      </c>
      <c r="S277" s="29" t="str">
        <f>IF(OR(C277="",J277&lt;&gt;"Paquete"),"",COUNTIFS($C$2:C277,C277,$J$2:J277,"Paquete"))</f>
        <v/>
      </c>
      <c r="T277" s="26"/>
    </row>
    <row r="278" spans="1:20" x14ac:dyDescent="0.35">
      <c r="A278" s="26" t="s">
        <v>705</v>
      </c>
      <c r="B278" s="28"/>
      <c r="C278" s="26"/>
      <c r="D278" s="34" t="str">
        <f>IF($C278="","",IFERROR(IF(INDEX('🎓 Alumnas'!$C$2:$C$1000,MATCH($C278,'🎓 Alumnas'!$B$2:$B$1000,0))="","",INDEX('🎓 Alumnas'!$C$2:$C$1000,MATCH($C278,'🎓 Alumnas'!$B$2:$B$1000,0))),""))</f>
        <v/>
      </c>
      <c r="E278" s="29" t="str">
        <f>IF($C278="","",IFERROR(IF(INDEX('🎓 Alumnas'!$D$2:$D$1000,MATCH($C278,'🎓 Alumnas'!$B$2:$B$1000,0))="","",INDEX('🎓 Alumnas'!$D$2:$D$1000,MATCH($C278,'🎓 Alumnas'!$B$2:$B$1000,0))),""))</f>
        <v/>
      </c>
      <c r="F278" s="29" t="str">
        <f>IF($C278="","",IFERROR(IF(INDEX('🎓 Alumnas'!$E$2:$E$1000,MATCH($C278,'🎓 Alumnas'!$B$2:$B$1000,0))="","",INDEX('🎓 Alumnas'!$E$2:$E$1000,MATCH($C278,'🎓 Alumnas'!$B$2:$B$1000,0))),""))</f>
        <v/>
      </c>
      <c r="G278" s="31" t="str">
        <f>IF($C278="","",IFERROR(IF(INDEX('🎓 Alumnas'!$F$2:$F$1000,MATCH($C278,'🎓 Alumnas'!$B$2:$B$1000,0))="","",INDEX('🎓 Alumnas'!$F$2:$F$1000,MATCH($C278,'🎓 Alumnas'!$B$2:$B$1000,0))),""))</f>
        <v/>
      </c>
      <c r="H278" s="29" t="str">
        <f t="shared" ca="1" si="12"/>
        <v/>
      </c>
      <c r="I278" s="26"/>
      <c r="J278" s="29" t="str">
        <f t="shared" si="13"/>
        <v/>
      </c>
      <c r="K278" s="26"/>
      <c r="L278" s="26"/>
      <c r="M278" s="35"/>
      <c r="N278" s="30" t="str">
        <f t="shared" si="14"/>
        <v/>
      </c>
      <c r="O278" s="36"/>
      <c r="P278" s="26"/>
      <c r="Q278" s="26"/>
      <c r="R278" s="29" t="str">
        <f>IF(C278="","",IF(COUNTIF($C$2:C278,C278)=1,"Nueva","Recurrente"))</f>
        <v/>
      </c>
      <c r="S278" s="29" t="str">
        <f>IF(OR(C278="",J278&lt;&gt;"Paquete"),"",COUNTIFS($C$2:C278,C278,$J$2:J278,"Paquete"))</f>
        <v/>
      </c>
      <c r="T278" s="26"/>
    </row>
    <row r="279" spans="1:20" x14ac:dyDescent="0.35">
      <c r="A279" s="26" t="s">
        <v>706</v>
      </c>
      <c r="B279" s="28"/>
      <c r="C279" s="26"/>
      <c r="D279" s="34" t="str">
        <f>IF($C279="","",IFERROR(IF(INDEX('🎓 Alumnas'!$C$2:$C$1000,MATCH($C279,'🎓 Alumnas'!$B$2:$B$1000,0))="","",INDEX('🎓 Alumnas'!$C$2:$C$1000,MATCH($C279,'🎓 Alumnas'!$B$2:$B$1000,0))),""))</f>
        <v/>
      </c>
      <c r="E279" s="29" t="str">
        <f>IF($C279="","",IFERROR(IF(INDEX('🎓 Alumnas'!$D$2:$D$1000,MATCH($C279,'🎓 Alumnas'!$B$2:$B$1000,0))="","",INDEX('🎓 Alumnas'!$D$2:$D$1000,MATCH($C279,'🎓 Alumnas'!$B$2:$B$1000,0))),""))</f>
        <v/>
      </c>
      <c r="F279" s="29" t="str">
        <f>IF($C279="","",IFERROR(IF(INDEX('🎓 Alumnas'!$E$2:$E$1000,MATCH($C279,'🎓 Alumnas'!$B$2:$B$1000,0))="","",INDEX('🎓 Alumnas'!$E$2:$E$1000,MATCH($C279,'🎓 Alumnas'!$B$2:$B$1000,0))),""))</f>
        <v/>
      </c>
      <c r="G279" s="31" t="str">
        <f>IF($C279="","",IFERROR(IF(INDEX('🎓 Alumnas'!$F$2:$F$1000,MATCH($C279,'🎓 Alumnas'!$B$2:$B$1000,0))="","",INDEX('🎓 Alumnas'!$F$2:$F$1000,MATCH($C279,'🎓 Alumnas'!$B$2:$B$1000,0))),""))</f>
        <v/>
      </c>
      <c r="H279" s="29" t="str">
        <f t="shared" ca="1" si="12"/>
        <v/>
      </c>
      <c r="I279" s="26"/>
      <c r="J279" s="29" t="str">
        <f t="shared" si="13"/>
        <v/>
      </c>
      <c r="K279" s="26"/>
      <c r="L279" s="26"/>
      <c r="M279" s="35"/>
      <c r="N279" s="30" t="str">
        <f t="shared" si="14"/>
        <v/>
      </c>
      <c r="O279" s="36"/>
      <c r="P279" s="26"/>
      <c r="Q279" s="26"/>
      <c r="R279" s="29" t="str">
        <f>IF(C279="","",IF(COUNTIF($C$2:C279,C279)=1,"Nueva","Recurrente"))</f>
        <v/>
      </c>
      <c r="S279" s="29" t="str">
        <f>IF(OR(C279="",J279&lt;&gt;"Paquete"),"",COUNTIFS($C$2:C279,C279,$J$2:J279,"Paquete"))</f>
        <v/>
      </c>
      <c r="T279" s="26"/>
    </row>
    <row r="280" spans="1:20" x14ac:dyDescent="0.35">
      <c r="A280" s="26" t="s">
        <v>707</v>
      </c>
      <c r="B280" s="28"/>
      <c r="C280" s="26"/>
      <c r="D280" s="34" t="str">
        <f>IF($C280="","",IFERROR(IF(INDEX('🎓 Alumnas'!$C$2:$C$1000,MATCH($C280,'🎓 Alumnas'!$B$2:$B$1000,0))="","",INDEX('🎓 Alumnas'!$C$2:$C$1000,MATCH($C280,'🎓 Alumnas'!$B$2:$B$1000,0))),""))</f>
        <v/>
      </c>
      <c r="E280" s="29" t="str">
        <f>IF($C280="","",IFERROR(IF(INDEX('🎓 Alumnas'!$D$2:$D$1000,MATCH($C280,'🎓 Alumnas'!$B$2:$B$1000,0))="","",INDEX('🎓 Alumnas'!$D$2:$D$1000,MATCH($C280,'🎓 Alumnas'!$B$2:$B$1000,0))),""))</f>
        <v/>
      </c>
      <c r="F280" s="29" t="str">
        <f>IF($C280="","",IFERROR(IF(INDEX('🎓 Alumnas'!$E$2:$E$1000,MATCH($C280,'🎓 Alumnas'!$B$2:$B$1000,0))="","",INDEX('🎓 Alumnas'!$E$2:$E$1000,MATCH($C280,'🎓 Alumnas'!$B$2:$B$1000,0))),""))</f>
        <v/>
      </c>
      <c r="G280" s="31" t="str">
        <f>IF($C280="","",IFERROR(IF(INDEX('🎓 Alumnas'!$F$2:$F$1000,MATCH($C280,'🎓 Alumnas'!$B$2:$B$1000,0))="","",INDEX('🎓 Alumnas'!$F$2:$F$1000,MATCH($C280,'🎓 Alumnas'!$B$2:$B$1000,0))),""))</f>
        <v/>
      </c>
      <c r="H280" s="29" t="str">
        <f t="shared" ca="1" si="12"/>
        <v/>
      </c>
      <c r="I280" s="26"/>
      <c r="J280" s="29" t="str">
        <f t="shared" si="13"/>
        <v/>
      </c>
      <c r="K280" s="26"/>
      <c r="L280" s="26"/>
      <c r="M280" s="35"/>
      <c r="N280" s="30" t="str">
        <f t="shared" si="14"/>
        <v/>
      </c>
      <c r="O280" s="36"/>
      <c r="P280" s="26"/>
      <c r="Q280" s="26"/>
      <c r="R280" s="29" t="str">
        <f>IF(C280="","",IF(COUNTIF($C$2:C280,C280)=1,"Nueva","Recurrente"))</f>
        <v/>
      </c>
      <c r="S280" s="29" t="str">
        <f>IF(OR(C280="",J280&lt;&gt;"Paquete"),"",COUNTIFS($C$2:C280,C280,$J$2:J280,"Paquete"))</f>
        <v/>
      </c>
      <c r="T280" s="26"/>
    </row>
    <row r="281" spans="1:20" x14ac:dyDescent="0.35">
      <c r="A281" s="26" t="s">
        <v>708</v>
      </c>
      <c r="B281" s="28"/>
      <c r="C281" s="26"/>
      <c r="D281" s="34" t="str">
        <f>IF($C281="","",IFERROR(IF(INDEX('🎓 Alumnas'!$C$2:$C$1000,MATCH($C281,'🎓 Alumnas'!$B$2:$B$1000,0))="","",INDEX('🎓 Alumnas'!$C$2:$C$1000,MATCH($C281,'🎓 Alumnas'!$B$2:$B$1000,0))),""))</f>
        <v/>
      </c>
      <c r="E281" s="29" t="str">
        <f>IF($C281="","",IFERROR(IF(INDEX('🎓 Alumnas'!$D$2:$D$1000,MATCH($C281,'🎓 Alumnas'!$B$2:$B$1000,0))="","",INDEX('🎓 Alumnas'!$D$2:$D$1000,MATCH($C281,'🎓 Alumnas'!$B$2:$B$1000,0))),""))</f>
        <v/>
      </c>
      <c r="F281" s="29" t="str">
        <f>IF($C281="","",IFERROR(IF(INDEX('🎓 Alumnas'!$E$2:$E$1000,MATCH($C281,'🎓 Alumnas'!$B$2:$B$1000,0))="","",INDEX('🎓 Alumnas'!$E$2:$E$1000,MATCH($C281,'🎓 Alumnas'!$B$2:$B$1000,0))),""))</f>
        <v/>
      </c>
      <c r="G281" s="31" t="str">
        <f>IF($C281="","",IFERROR(IF(INDEX('🎓 Alumnas'!$F$2:$F$1000,MATCH($C281,'🎓 Alumnas'!$B$2:$B$1000,0))="","",INDEX('🎓 Alumnas'!$F$2:$F$1000,MATCH($C281,'🎓 Alumnas'!$B$2:$B$1000,0))),""))</f>
        <v/>
      </c>
      <c r="H281" s="29" t="str">
        <f t="shared" ca="1" si="12"/>
        <v/>
      </c>
      <c r="I281" s="26"/>
      <c r="J281" s="29" t="str">
        <f t="shared" si="13"/>
        <v/>
      </c>
      <c r="K281" s="26"/>
      <c r="L281" s="26"/>
      <c r="M281" s="35"/>
      <c r="N281" s="30" t="str">
        <f t="shared" si="14"/>
        <v/>
      </c>
      <c r="O281" s="36"/>
      <c r="P281" s="26"/>
      <c r="Q281" s="26"/>
      <c r="R281" s="29" t="str">
        <f>IF(C281="","",IF(COUNTIF($C$2:C281,C281)=1,"Nueva","Recurrente"))</f>
        <v/>
      </c>
      <c r="S281" s="29" t="str">
        <f>IF(OR(C281="",J281&lt;&gt;"Paquete"),"",COUNTIFS($C$2:C281,C281,$J$2:J281,"Paquete"))</f>
        <v/>
      </c>
      <c r="T281" s="26"/>
    </row>
    <row r="282" spans="1:20" x14ac:dyDescent="0.35">
      <c r="A282" s="26" t="s">
        <v>709</v>
      </c>
      <c r="B282" s="28"/>
      <c r="C282" s="26"/>
      <c r="D282" s="34" t="str">
        <f>IF($C282="","",IFERROR(IF(INDEX('🎓 Alumnas'!$C$2:$C$1000,MATCH($C282,'🎓 Alumnas'!$B$2:$B$1000,0))="","",INDEX('🎓 Alumnas'!$C$2:$C$1000,MATCH($C282,'🎓 Alumnas'!$B$2:$B$1000,0))),""))</f>
        <v/>
      </c>
      <c r="E282" s="29" t="str">
        <f>IF($C282="","",IFERROR(IF(INDEX('🎓 Alumnas'!$D$2:$D$1000,MATCH($C282,'🎓 Alumnas'!$B$2:$B$1000,0))="","",INDEX('🎓 Alumnas'!$D$2:$D$1000,MATCH($C282,'🎓 Alumnas'!$B$2:$B$1000,0))),""))</f>
        <v/>
      </c>
      <c r="F282" s="29" t="str">
        <f>IF($C282="","",IFERROR(IF(INDEX('🎓 Alumnas'!$E$2:$E$1000,MATCH($C282,'🎓 Alumnas'!$B$2:$B$1000,0))="","",INDEX('🎓 Alumnas'!$E$2:$E$1000,MATCH($C282,'🎓 Alumnas'!$B$2:$B$1000,0))),""))</f>
        <v/>
      </c>
      <c r="G282" s="31" t="str">
        <f>IF($C282="","",IFERROR(IF(INDEX('🎓 Alumnas'!$F$2:$F$1000,MATCH($C282,'🎓 Alumnas'!$B$2:$B$1000,0))="","",INDEX('🎓 Alumnas'!$F$2:$F$1000,MATCH($C282,'🎓 Alumnas'!$B$2:$B$1000,0))),""))</f>
        <v/>
      </c>
      <c r="H282" s="29" t="str">
        <f t="shared" ca="1" si="12"/>
        <v/>
      </c>
      <c r="I282" s="26"/>
      <c r="J282" s="29" t="str">
        <f t="shared" si="13"/>
        <v/>
      </c>
      <c r="K282" s="26"/>
      <c r="L282" s="26"/>
      <c r="M282" s="35"/>
      <c r="N282" s="30" t="str">
        <f t="shared" si="14"/>
        <v/>
      </c>
      <c r="O282" s="36"/>
      <c r="P282" s="26"/>
      <c r="Q282" s="26"/>
      <c r="R282" s="29" t="str">
        <f>IF(C282="","",IF(COUNTIF($C$2:C282,C282)=1,"Nueva","Recurrente"))</f>
        <v/>
      </c>
      <c r="S282" s="29" t="str">
        <f>IF(OR(C282="",J282&lt;&gt;"Paquete"),"",COUNTIFS($C$2:C282,C282,$J$2:J282,"Paquete"))</f>
        <v/>
      </c>
      <c r="T282" s="26"/>
    </row>
    <row r="283" spans="1:20" x14ac:dyDescent="0.35">
      <c r="A283" s="26" t="s">
        <v>710</v>
      </c>
      <c r="B283" s="28"/>
      <c r="C283" s="26"/>
      <c r="D283" s="34" t="str">
        <f>IF($C283="","",IFERROR(IF(INDEX('🎓 Alumnas'!$C$2:$C$1000,MATCH($C283,'🎓 Alumnas'!$B$2:$B$1000,0))="","",INDEX('🎓 Alumnas'!$C$2:$C$1000,MATCH($C283,'🎓 Alumnas'!$B$2:$B$1000,0))),""))</f>
        <v/>
      </c>
      <c r="E283" s="29" t="str">
        <f>IF($C283="","",IFERROR(IF(INDEX('🎓 Alumnas'!$D$2:$D$1000,MATCH($C283,'🎓 Alumnas'!$B$2:$B$1000,0))="","",INDEX('🎓 Alumnas'!$D$2:$D$1000,MATCH($C283,'🎓 Alumnas'!$B$2:$B$1000,0))),""))</f>
        <v/>
      </c>
      <c r="F283" s="29" t="str">
        <f>IF($C283="","",IFERROR(IF(INDEX('🎓 Alumnas'!$E$2:$E$1000,MATCH($C283,'🎓 Alumnas'!$B$2:$B$1000,0))="","",INDEX('🎓 Alumnas'!$E$2:$E$1000,MATCH($C283,'🎓 Alumnas'!$B$2:$B$1000,0))),""))</f>
        <v/>
      </c>
      <c r="G283" s="31" t="str">
        <f>IF($C283="","",IFERROR(IF(INDEX('🎓 Alumnas'!$F$2:$F$1000,MATCH($C283,'🎓 Alumnas'!$B$2:$B$1000,0))="","",INDEX('🎓 Alumnas'!$F$2:$F$1000,MATCH($C283,'🎓 Alumnas'!$B$2:$B$1000,0))),""))</f>
        <v/>
      </c>
      <c r="H283" s="29" t="str">
        <f t="shared" ca="1" si="12"/>
        <v/>
      </c>
      <c r="I283" s="26"/>
      <c r="J283" s="29" t="str">
        <f t="shared" si="13"/>
        <v/>
      </c>
      <c r="K283" s="26"/>
      <c r="L283" s="26"/>
      <c r="M283" s="35"/>
      <c r="N283" s="30" t="str">
        <f t="shared" si="14"/>
        <v/>
      </c>
      <c r="O283" s="36"/>
      <c r="P283" s="26"/>
      <c r="Q283" s="26"/>
      <c r="R283" s="29" t="str">
        <f>IF(C283="","",IF(COUNTIF($C$2:C283,C283)=1,"Nueva","Recurrente"))</f>
        <v/>
      </c>
      <c r="S283" s="29" t="str">
        <f>IF(OR(C283="",J283&lt;&gt;"Paquete"),"",COUNTIFS($C$2:C283,C283,$J$2:J283,"Paquete"))</f>
        <v/>
      </c>
      <c r="T283" s="26"/>
    </row>
    <row r="284" spans="1:20" x14ac:dyDescent="0.35">
      <c r="A284" s="26" t="s">
        <v>711</v>
      </c>
      <c r="B284" s="28"/>
      <c r="C284" s="26"/>
      <c r="D284" s="34" t="str">
        <f>IF($C284="","",IFERROR(IF(INDEX('🎓 Alumnas'!$C$2:$C$1000,MATCH($C284,'🎓 Alumnas'!$B$2:$B$1000,0))="","",INDEX('🎓 Alumnas'!$C$2:$C$1000,MATCH($C284,'🎓 Alumnas'!$B$2:$B$1000,0))),""))</f>
        <v/>
      </c>
      <c r="E284" s="29" t="str">
        <f>IF($C284="","",IFERROR(IF(INDEX('🎓 Alumnas'!$D$2:$D$1000,MATCH($C284,'🎓 Alumnas'!$B$2:$B$1000,0))="","",INDEX('🎓 Alumnas'!$D$2:$D$1000,MATCH($C284,'🎓 Alumnas'!$B$2:$B$1000,0))),""))</f>
        <v/>
      </c>
      <c r="F284" s="29" t="str">
        <f>IF($C284="","",IFERROR(IF(INDEX('🎓 Alumnas'!$E$2:$E$1000,MATCH($C284,'🎓 Alumnas'!$B$2:$B$1000,0))="","",INDEX('🎓 Alumnas'!$E$2:$E$1000,MATCH($C284,'🎓 Alumnas'!$B$2:$B$1000,0))),""))</f>
        <v/>
      </c>
      <c r="G284" s="31" t="str">
        <f>IF($C284="","",IFERROR(IF(INDEX('🎓 Alumnas'!$F$2:$F$1000,MATCH($C284,'🎓 Alumnas'!$B$2:$B$1000,0))="","",INDEX('🎓 Alumnas'!$F$2:$F$1000,MATCH($C284,'🎓 Alumnas'!$B$2:$B$1000,0))),""))</f>
        <v/>
      </c>
      <c r="H284" s="29" t="str">
        <f t="shared" ca="1" si="12"/>
        <v/>
      </c>
      <c r="I284" s="26"/>
      <c r="J284" s="29" t="str">
        <f t="shared" si="13"/>
        <v/>
      </c>
      <c r="K284" s="26"/>
      <c r="L284" s="26"/>
      <c r="M284" s="35"/>
      <c r="N284" s="30" t="str">
        <f t="shared" si="14"/>
        <v/>
      </c>
      <c r="O284" s="36"/>
      <c r="P284" s="26"/>
      <c r="Q284" s="26"/>
      <c r="R284" s="29" t="str">
        <f>IF(C284="","",IF(COUNTIF($C$2:C284,C284)=1,"Nueva","Recurrente"))</f>
        <v/>
      </c>
      <c r="S284" s="29" t="str">
        <f>IF(OR(C284="",J284&lt;&gt;"Paquete"),"",COUNTIFS($C$2:C284,C284,$J$2:J284,"Paquete"))</f>
        <v/>
      </c>
      <c r="T284" s="26"/>
    </row>
    <row r="285" spans="1:20" x14ac:dyDescent="0.35">
      <c r="A285" s="26" t="s">
        <v>712</v>
      </c>
      <c r="B285" s="28"/>
      <c r="C285" s="26"/>
      <c r="D285" s="34" t="str">
        <f>IF($C285="","",IFERROR(IF(INDEX('🎓 Alumnas'!$C$2:$C$1000,MATCH($C285,'🎓 Alumnas'!$B$2:$B$1000,0))="","",INDEX('🎓 Alumnas'!$C$2:$C$1000,MATCH($C285,'🎓 Alumnas'!$B$2:$B$1000,0))),""))</f>
        <v/>
      </c>
      <c r="E285" s="29" t="str">
        <f>IF($C285="","",IFERROR(IF(INDEX('🎓 Alumnas'!$D$2:$D$1000,MATCH($C285,'🎓 Alumnas'!$B$2:$B$1000,0))="","",INDEX('🎓 Alumnas'!$D$2:$D$1000,MATCH($C285,'🎓 Alumnas'!$B$2:$B$1000,0))),""))</f>
        <v/>
      </c>
      <c r="F285" s="29" t="str">
        <f>IF($C285="","",IFERROR(IF(INDEX('🎓 Alumnas'!$E$2:$E$1000,MATCH($C285,'🎓 Alumnas'!$B$2:$B$1000,0))="","",INDEX('🎓 Alumnas'!$E$2:$E$1000,MATCH($C285,'🎓 Alumnas'!$B$2:$B$1000,0))),""))</f>
        <v/>
      </c>
      <c r="G285" s="31" t="str">
        <f>IF($C285="","",IFERROR(IF(INDEX('🎓 Alumnas'!$F$2:$F$1000,MATCH($C285,'🎓 Alumnas'!$B$2:$B$1000,0))="","",INDEX('🎓 Alumnas'!$F$2:$F$1000,MATCH($C285,'🎓 Alumnas'!$B$2:$B$1000,0))),""))</f>
        <v/>
      </c>
      <c r="H285" s="29" t="str">
        <f t="shared" ca="1" si="12"/>
        <v/>
      </c>
      <c r="I285" s="26"/>
      <c r="J285" s="29" t="str">
        <f t="shared" si="13"/>
        <v/>
      </c>
      <c r="K285" s="26"/>
      <c r="L285" s="26"/>
      <c r="M285" s="35"/>
      <c r="N285" s="30" t="str">
        <f t="shared" si="14"/>
        <v/>
      </c>
      <c r="O285" s="36"/>
      <c r="P285" s="26"/>
      <c r="Q285" s="26"/>
      <c r="R285" s="29" t="str">
        <f>IF(C285="","",IF(COUNTIF($C$2:C285,C285)=1,"Nueva","Recurrente"))</f>
        <v/>
      </c>
      <c r="S285" s="29" t="str">
        <f>IF(OR(C285="",J285&lt;&gt;"Paquete"),"",COUNTIFS($C$2:C285,C285,$J$2:J285,"Paquete"))</f>
        <v/>
      </c>
      <c r="T285" s="26"/>
    </row>
    <row r="286" spans="1:20" x14ac:dyDescent="0.35">
      <c r="A286" s="26" t="s">
        <v>713</v>
      </c>
      <c r="B286" s="28"/>
      <c r="C286" s="26"/>
      <c r="D286" s="34" t="str">
        <f>IF($C286="","",IFERROR(IF(INDEX('🎓 Alumnas'!$C$2:$C$1000,MATCH($C286,'🎓 Alumnas'!$B$2:$B$1000,0))="","",INDEX('🎓 Alumnas'!$C$2:$C$1000,MATCH($C286,'🎓 Alumnas'!$B$2:$B$1000,0))),""))</f>
        <v/>
      </c>
      <c r="E286" s="29" t="str">
        <f>IF($C286="","",IFERROR(IF(INDEX('🎓 Alumnas'!$D$2:$D$1000,MATCH($C286,'🎓 Alumnas'!$B$2:$B$1000,0))="","",INDEX('🎓 Alumnas'!$D$2:$D$1000,MATCH($C286,'🎓 Alumnas'!$B$2:$B$1000,0))),""))</f>
        <v/>
      </c>
      <c r="F286" s="29" t="str">
        <f>IF($C286="","",IFERROR(IF(INDEX('🎓 Alumnas'!$E$2:$E$1000,MATCH($C286,'🎓 Alumnas'!$B$2:$B$1000,0))="","",INDEX('🎓 Alumnas'!$E$2:$E$1000,MATCH($C286,'🎓 Alumnas'!$B$2:$B$1000,0))),""))</f>
        <v/>
      </c>
      <c r="G286" s="31" t="str">
        <f>IF($C286="","",IFERROR(IF(INDEX('🎓 Alumnas'!$F$2:$F$1000,MATCH($C286,'🎓 Alumnas'!$B$2:$B$1000,0))="","",INDEX('🎓 Alumnas'!$F$2:$F$1000,MATCH($C286,'🎓 Alumnas'!$B$2:$B$1000,0))),""))</f>
        <v/>
      </c>
      <c r="H286" s="29" t="str">
        <f t="shared" ca="1" si="12"/>
        <v/>
      </c>
      <c r="I286" s="26"/>
      <c r="J286" s="29" t="str">
        <f t="shared" si="13"/>
        <v/>
      </c>
      <c r="K286" s="26"/>
      <c r="L286" s="26"/>
      <c r="M286" s="35"/>
      <c r="N286" s="30" t="str">
        <f t="shared" si="14"/>
        <v/>
      </c>
      <c r="O286" s="36"/>
      <c r="P286" s="26"/>
      <c r="Q286" s="26"/>
      <c r="R286" s="29" t="str">
        <f>IF(C286="","",IF(COUNTIF($C$2:C286,C286)=1,"Nueva","Recurrente"))</f>
        <v/>
      </c>
      <c r="S286" s="29" t="str">
        <f>IF(OR(C286="",J286&lt;&gt;"Paquete"),"",COUNTIFS($C$2:C286,C286,$J$2:J286,"Paquete"))</f>
        <v/>
      </c>
      <c r="T286" s="26"/>
    </row>
    <row r="287" spans="1:20" x14ac:dyDescent="0.35">
      <c r="A287" s="26" t="s">
        <v>714</v>
      </c>
      <c r="B287" s="28"/>
      <c r="C287" s="26"/>
      <c r="D287" s="34" t="str">
        <f>IF($C287="","",IFERROR(IF(INDEX('🎓 Alumnas'!$C$2:$C$1000,MATCH($C287,'🎓 Alumnas'!$B$2:$B$1000,0))="","",INDEX('🎓 Alumnas'!$C$2:$C$1000,MATCH($C287,'🎓 Alumnas'!$B$2:$B$1000,0))),""))</f>
        <v/>
      </c>
      <c r="E287" s="29" t="str">
        <f>IF($C287="","",IFERROR(IF(INDEX('🎓 Alumnas'!$D$2:$D$1000,MATCH($C287,'🎓 Alumnas'!$B$2:$B$1000,0))="","",INDEX('🎓 Alumnas'!$D$2:$D$1000,MATCH($C287,'🎓 Alumnas'!$B$2:$B$1000,0))),""))</f>
        <v/>
      </c>
      <c r="F287" s="29" t="str">
        <f>IF($C287="","",IFERROR(IF(INDEX('🎓 Alumnas'!$E$2:$E$1000,MATCH($C287,'🎓 Alumnas'!$B$2:$B$1000,0))="","",INDEX('🎓 Alumnas'!$E$2:$E$1000,MATCH($C287,'🎓 Alumnas'!$B$2:$B$1000,0))),""))</f>
        <v/>
      </c>
      <c r="G287" s="31" t="str">
        <f>IF($C287="","",IFERROR(IF(INDEX('🎓 Alumnas'!$F$2:$F$1000,MATCH($C287,'🎓 Alumnas'!$B$2:$B$1000,0))="","",INDEX('🎓 Alumnas'!$F$2:$F$1000,MATCH($C287,'🎓 Alumnas'!$B$2:$B$1000,0))),""))</f>
        <v/>
      </c>
      <c r="H287" s="29" t="str">
        <f t="shared" ca="1" si="12"/>
        <v/>
      </c>
      <c r="I287" s="26"/>
      <c r="J287" s="29" t="str">
        <f t="shared" si="13"/>
        <v/>
      </c>
      <c r="K287" s="26"/>
      <c r="L287" s="26"/>
      <c r="M287" s="35"/>
      <c r="N287" s="30" t="str">
        <f t="shared" si="14"/>
        <v/>
      </c>
      <c r="O287" s="36"/>
      <c r="P287" s="26"/>
      <c r="Q287" s="26"/>
      <c r="R287" s="29" t="str">
        <f>IF(C287="","",IF(COUNTIF($C$2:C287,C287)=1,"Nueva","Recurrente"))</f>
        <v/>
      </c>
      <c r="S287" s="29" t="str">
        <f>IF(OR(C287="",J287&lt;&gt;"Paquete"),"",COUNTIFS($C$2:C287,C287,$J$2:J287,"Paquete"))</f>
        <v/>
      </c>
      <c r="T287" s="26"/>
    </row>
    <row r="288" spans="1:20" x14ac:dyDescent="0.35">
      <c r="A288" s="26" t="s">
        <v>715</v>
      </c>
      <c r="B288" s="28"/>
      <c r="C288" s="26"/>
      <c r="D288" s="34" t="str">
        <f>IF($C288="","",IFERROR(IF(INDEX('🎓 Alumnas'!$C$2:$C$1000,MATCH($C288,'🎓 Alumnas'!$B$2:$B$1000,0))="","",INDEX('🎓 Alumnas'!$C$2:$C$1000,MATCH($C288,'🎓 Alumnas'!$B$2:$B$1000,0))),""))</f>
        <v/>
      </c>
      <c r="E288" s="29" t="str">
        <f>IF($C288="","",IFERROR(IF(INDEX('🎓 Alumnas'!$D$2:$D$1000,MATCH($C288,'🎓 Alumnas'!$B$2:$B$1000,0))="","",INDEX('🎓 Alumnas'!$D$2:$D$1000,MATCH($C288,'🎓 Alumnas'!$B$2:$B$1000,0))),""))</f>
        <v/>
      </c>
      <c r="F288" s="29" t="str">
        <f>IF($C288="","",IFERROR(IF(INDEX('🎓 Alumnas'!$E$2:$E$1000,MATCH($C288,'🎓 Alumnas'!$B$2:$B$1000,0))="","",INDEX('🎓 Alumnas'!$E$2:$E$1000,MATCH($C288,'🎓 Alumnas'!$B$2:$B$1000,0))),""))</f>
        <v/>
      </c>
      <c r="G288" s="31" t="str">
        <f>IF($C288="","",IFERROR(IF(INDEX('🎓 Alumnas'!$F$2:$F$1000,MATCH($C288,'🎓 Alumnas'!$B$2:$B$1000,0))="","",INDEX('🎓 Alumnas'!$F$2:$F$1000,MATCH($C288,'🎓 Alumnas'!$B$2:$B$1000,0))),""))</f>
        <v/>
      </c>
      <c r="H288" s="29" t="str">
        <f t="shared" ca="1" si="12"/>
        <v/>
      </c>
      <c r="I288" s="26"/>
      <c r="J288" s="29" t="str">
        <f t="shared" si="13"/>
        <v/>
      </c>
      <c r="K288" s="26"/>
      <c r="L288" s="26"/>
      <c r="M288" s="35"/>
      <c r="N288" s="30" t="str">
        <f t="shared" si="14"/>
        <v/>
      </c>
      <c r="O288" s="36"/>
      <c r="P288" s="26"/>
      <c r="Q288" s="26"/>
      <c r="R288" s="29" t="str">
        <f>IF(C288="","",IF(COUNTIF($C$2:C288,C288)=1,"Nueva","Recurrente"))</f>
        <v/>
      </c>
      <c r="S288" s="29" t="str">
        <f>IF(OR(C288="",J288&lt;&gt;"Paquete"),"",COUNTIFS($C$2:C288,C288,$J$2:J288,"Paquete"))</f>
        <v/>
      </c>
      <c r="T288" s="26"/>
    </row>
    <row r="289" spans="1:20" x14ac:dyDescent="0.35">
      <c r="A289" s="26" t="s">
        <v>716</v>
      </c>
      <c r="B289" s="28"/>
      <c r="C289" s="26"/>
      <c r="D289" s="34" t="str">
        <f>IF($C289="","",IFERROR(IF(INDEX('🎓 Alumnas'!$C$2:$C$1000,MATCH($C289,'🎓 Alumnas'!$B$2:$B$1000,0))="","",INDEX('🎓 Alumnas'!$C$2:$C$1000,MATCH($C289,'🎓 Alumnas'!$B$2:$B$1000,0))),""))</f>
        <v/>
      </c>
      <c r="E289" s="29" t="str">
        <f>IF($C289="","",IFERROR(IF(INDEX('🎓 Alumnas'!$D$2:$D$1000,MATCH($C289,'🎓 Alumnas'!$B$2:$B$1000,0))="","",INDEX('🎓 Alumnas'!$D$2:$D$1000,MATCH($C289,'🎓 Alumnas'!$B$2:$B$1000,0))),""))</f>
        <v/>
      </c>
      <c r="F289" s="29" t="str">
        <f>IF($C289="","",IFERROR(IF(INDEX('🎓 Alumnas'!$E$2:$E$1000,MATCH($C289,'🎓 Alumnas'!$B$2:$B$1000,0))="","",INDEX('🎓 Alumnas'!$E$2:$E$1000,MATCH($C289,'🎓 Alumnas'!$B$2:$B$1000,0))),""))</f>
        <v/>
      </c>
      <c r="G289" s="31" t="str">
        <f>IF($C289="","",IFERROR(IF(INDEX('🎓 Alumnas'!$F$2:$F$1000,MATCH($C289,'🎓 Alumnas'!$B$2:$B$1000,0))="","",INDEX('🎓 Alumnas'!$F$2:$F$1000,MATCH($C289,'🎓 Alumnas'!$B$2:$B$1000,0))),""))</f>
        <v/>
      </c>
      <c r="H289" s="29" t="str">
        <f t="shared" ca="1" si="12"/>
        <v/>
      </c>
      <c r="I289" s="26"/>
      <c r="J289" s="29" t="str">
        <f t="shared" si="13"/>
        <v/>
      </c>
      <c r="K289" s="26"/>
      <c r="L289" s="26"/>
      <c r="M289" s="35"/>
      <c r="N289" s="30" t="str">
        <f t="shared" si="14"/>
        <v/>
      </c>
      <c r="O289" s="36"/>
      <c r="P289" s="26"/>
      <c r="Q289" s="26"/>
      <c r="R289" s="29" t="str">
        <f>IF(C289="","",IF(COUNTIF($C$2:C289,C289)=1,"Nueva","Recurrente"))</f>
        <v/>
      </c>
      <c r="S289" s="29" t="str">
        <f>IF(OR(C289="",J289&lt;&gt;"Paquete"),"",COUNTIFS($C$2:C289,C289,$J$2:J289,"Paquete"))</f>
        <v/>
      </c>
      <c r="T289" s="26"/>
    </row>
    <row r="290" spans="1:20" x14ac:dyDescent="0.35">
      <c r="A290" s="26" t="s">
        <v>717</v>
      </c>
      <c r="B290" s="28"/>
      <c r="C290" s="26"/>
      <c r="D290" s="34" t="str">
        <f>IF($C290="","",IFERROR(IF(INDEX('🎓 Alumnas'!$C$2:$C$1000,MATCH($C290,'🎓 Alumnas'!$B$2:$B$1000,0))="","",INDEX('🎓 Alumnas'!$C$2:$C$1000,MATCH($C290,'🎓 Alumnas'!$B$2:$B$1000,0))),""))</f>
        <v/>
      </c>
      <c r="E290" s="29" t="str">
        <f>IF($C290="","",IFERROR(IF(INDEX('🎓 Alumnas'!$D$2:$D$1000,MATCH($C290,'🎓 Alumnas'!$B$2:$B$1000,0))="","",INDEX('🎓 Alumnas'!$D$2:$D$1000,MATCH($C290,'🎓 Alumnas'!$B$2:$B$1000,0))),""))</f>
        <v/>
      </c>
      <c r="F290" s="29" t="str">
        <f>IF($C290="","",IFERROR(IF(INDEX('🎓 Alumnas'!$E$2:$E$1000,MATCH($C290,'🎓 Alumnas'!$B$2:$B$1000,0))="","",INDEX('🎓 Alumnas'!$E$2:$E$1000,MATCH($C290,'🎓 Alumnas'!$B$2:$B$1000,0))),""))</f>
        <v/>
      </c>
      <c r="G290" s="31" t="str">
        <f>IF($C290="","",IFERROR(IF(INDEX('🎓 Alumnas'!$F$2:$F$1000,MATCH($C290,'🎓 Alumnas'!$B$2:$B$1000,0))="","",INDEX('🎓 Alumnas'!$F$2:$F$1000,MATCH($C290,'🎓 Alumnas'!$B$2:$B$1000,0))),""))</f>
        <v/>
      </c>
      <c r="H290" s="29" t="str">
        <f t="shared" ca="1" si="12"/>
        <v/>
      </c>
      <c r="I290" s="26"/>
      <c r="J290" s="29" t="str">
        <f t="shared" si="13"/>
        <v/>
      </c>
      <c r="K290" s="26"/>
      <c r="L290" s="26"/>
      <c r="M290" s="35"/>
      <c r="N290" s="30" t="str">
        <f t="shared" si="14"/>
        <v/>
      </c>
      <c r="O290" s="36"/>
      <c r="P290" s="26"/>
      <c r="Q290" s="26"/>
      <c r="R290" s="29" t="str">
        <f>IF(C290="","",IF(COUNTIF($C$2:C290,C290)=1,"Nueva","Recurrente"))</f>
        <v/>
      </c>
      <c r="S290" s="29" t="str">
        <f>IF(OR(C290="",J290&lt;&gt;"Paquete"),"",COUNTIFS($C$2:C290,C290,$J$2:J290,"Paquete"))</f>
        <v/>
      </c>
      <c r="T290" s="26"/>
    </row>
    <row r="291" spans="1:20" x14ac:dyDescent="0.35">
      <c r="A291" s="26" t="s">
        <v>718</v>
      </c>
      <c r="B291" s="28"/>
      <c r="C291" s="26"/>
      <c r="D291" s="34" t="str">
        <f>IF($C291="","",IFERROR(IF(INDEX('🎓 Alumnas'!$C$2:$C$1000,MATCH($C291,'🎓 Alumnas'!$B$2:$B$1000,0))="","",INDEX('🎓 Alumnas'!$C$2:$C$1000,MATCH($C291,'🎓 Alumnas'!$B$2:$B$1000,0))),""))</f>
        <v/>
      </c>
      <c r="E291" s="29" t="str">
        <f>IF($C291="","",IFERROR(IF(INDEX('🎓 Alumnas'!$D$2:$D$1000,MATCH($C291,'🎓 Alumnas'!$B$2:$B$1000,0))="","",INDEX('🎓 Alumnas'!$D$2:$D$1000,MATCH($C291,'🎓 Alumnas'!$B$2:$B$1000,0))),""))</f>
        <v/>
      </c>
      <c r="F291" s="29" t="str">
        <f>IF($C291="","",IFERROR(IF(INDEX('🎓 Alumnas'!$E$2:$E$1000,MATCH($C291,'🎓 Alumnas'!$B$2:$B$1000,0))="","",INDEX('🎓 Alumnas'!$E$2:$E$1000,MATCH($C291,'🎓 Alumnas'!$B$2:$B$1000,0))),""))</f>
        <v/>
      </c>
      <c r="G291" s="31" t="str">
        <f>IF($C291="","",IFERROR(IF(INDEX('🎓 Alumnas'!$F$2:$F$1000,MATCH($C291,'🎓 Alumnas'!$B$2:$B$1000,0))="","",INDEX('🎓 Alumnas'!$F$2:$F$1000,MATCH($C291,'🎓 Alumnas'!$B$2:$B$1000,0))),""))</f>
        <v/>
      </c>
      <c r="H291" s="29" t="str">
        <f t="shared" ca="1" si="12"/>
        <v/>
      </c>
      <c r="I291" s="26"/>
      <c r="J291" s="29" t="str">
        <f t="shared" si="13"/>
        <v/>
      </c>
      <c r="K291" s="26"/>
      <c r="L291" s="26"/>
      <c r="M291" s="35"/>
      <c r="N291" s="30" t="str">
        <f t="shared" si="14"/>
        <v/>
      </c>
      <c r="O291" s="36"/>
      <c r="P291" s="26"/>
      <c r="Q291" s="26"/>
      <c r="R291" s="29" t="str">
        <f>IF(C291="","",IF(COUNTIF($C$2:C291,C291)=1,"Nueva","Recurrente"))</f>
        <v/>
      </c>
      <c r="S291" s="29" t="str">
        <f>IF(OR(C291="",J291&lt;&gt;"Paquete"),"",COUNTIFS($C$2:C291,C291,$J$2:J291,"Paquete"))</f>
        <v/>
      </c>
      <c r="T291" s="26"/>
    </row>
    <row r="292" spans="1:20" x14ac:dyDescent="0.35">
      <c r="A292" s="26" t="s">
        <v>719</v>
      </c>
      <c r="B292" s="28"/>
      <c r="C292" s="26"/>
      <c r="D292" s="34" t="str">
        <f>IF($C292="","",IFERROR(IF(INDEX('🎓 Alumnas'!$C$2:$C$1000,MATCH($C292,'🎓 Alumnas'!$B$2:$B$1000,0))="","",INDEX('🎓 Alumnas'!$C$2:$C$1000,MATCH($C292,'🎓 Alumnas'!$B$2:$B$1000,0))),""))</f>
        <v/>
      </c>
      <c r="E292" s="29" t="str">
        <f>IF($C292="","",IFERROR(IF(INDEX('🎓 Alumnas'!$D$2:$D$1000,MATCH($C292,'🎓 Alumnas'!$B$2:$B$1000,0))="","",INDEX('🎓 Alumnas'!$D$2:$D$1000,MATCH($C292,'🎓 Alumnas'!$B$2:$B$1000,0))),""))</f>
        <v/>
      </c>
      <c r="F292" s="29" t="str">
        <f>IF($C292="","",IFERROR(IF(INDEX('🎓 Alumnas'!$E$2:$E$1000,MATCH($C292,'🎓 Alumnas'!$B$2:$B$1000,0))="","",INDEX('🎓 Alumnas'!$E$2:$E$1000,MATCH($C292,'🎓 Alumnas'!$B$2:$B$1000,0))),""))</f>
        <v/>
      </c>
      <c r="G292" s="31" t="str">
        <f>IF($C292="","",IFERROR(IF(INDEX('🎓 Alumnas'!$F$2:$F$1000,MATCH($C292,'🎓 Alumnas'!$B$2:$B$1000,0))="","",INDEX('🎓 Alumnas'!$F$2:$F$1000,MATCH($C292,'🎓 Alumnas'!$B$2:$B$1000,0))),""))</f>
        <v/>
      </c>
      <c r="H292" s="29" t="str">
        <f t="shared" ca="1" si="12"/>
        <v/>
      </c>
      <c r="I292" s="26"/>
      <c r="J292" s="29" t="str">
        <f t="shared" si="13"/>
        <v/>
      </c>
      <c r="K292" s="26"/>
      <c r="L292" s="26"/>
      <c r="M292" s="35"/>
      <c r="N292" s="30" t="str">
        <f t="shared" si="14"/>
        <v/>
      </c>
      <c r="O292" s="36"/>
      <c r="P292" s="26"/>
      <c r="Q292" s="26"/>
      <c r="R292" s="29" t="str">
        <f>IF(C292="","",IF(COUNTIF($C$2:C292,C292)=1,"Nueva","Recurrente"))</f>
        <v/>
      </c>
      <c r="S292" s="29" t="str">
        <f>IF(OR(C292="",J292&lt;&gt;"Paquete"),"",COUNTIFS($C$2:C292,C292,$J$2:J292,"Paquete"))</f>
        <v/>
      </c>
      <c r="T292" s="26"/>
    </row>
    <row r="293" spans="1:20" x14ac:dyDescent="0.35">
      <c r="A293" s="26" t="s">
        <v>720</v>
      </c>
      <c r="B293" s="28"/>
      <c r="C293" s="26"/>
      <c r="D293" s="34" t="str">
        <f>IF($C293="","",IFERROR(IF(INDEX('🎓 Alumnas'!$C$2:$C$1000,MATCH($C293,'🎓 Alumnas'!$B$2:$B$1000,0))="","",INDEX('🎓 Alumnas'!$C$2:$C$1000,MATCH($C293,'🎓 Alumnas'!$B$2:$B$1000,0))),""))</f>
        <v/>
      </c>
      <c r="E293" s="29" t="str">
        <f>IF($C293="","",IFERROR(IF(INDEX('🎓 Alumnas'!$D$2:$D$1000,MATCH($C293,'🎓 Alumnas'!$B$2:$B$1000,0))="","",INDEX('🎓 Alumnas'!$D$2:$D$1000,MATCH($C293,'🎓 Alumnas'!$B$2:$B$1000,0))),""))</f>
        <v/>
      </c>
      <c r="F293" s="29" t="str">
        <f>IF($C293="","",IFERROR(IF(INDEX('🎓 Alumnas'!$E$2:$E$1000,MATCH($C293,'🎓 Alumnas'!$B$2:$B$1000,0))="","",INDEX('🎓 Alumnas'!$E$2:$E$1000,MATCH($C293,'🎓 Alumnas'!$B$2:$B$1000,0))),""))</f>
        <v/>
      </c>
      <c r="G293" s="31" t="str">
        <f>IF($C293="","",IFERROR(IF(INDEX('🎓 Alumnas'!$F$2:$F$1000,MATCH($C293,'🎓 Alumnas'!$B$2:$B$1000,0))="","",INDEX('🎓 Alumnas'!$F$2:$F$1000,MATCH($C293,'🎓 Alumnas'!$B$2:$B$1000,0))),""))</f>
        <v/>
      </c>
      <c r="H293" s="29" t="str">
        <f t="shared" ca="1" si="12"/>
        <v/>
      </c>
      <c r="I293" s="26"/>
      <c r="J293" s="29" t="str">
        <f t="shared" si="13"/>
        <v/>
      </c>
      <c r="K293" s="26"/>
      <c r="L293" s="26"/>
      <c r="M293" s="35"/>
      <c r="N293" s="30" t="str">
        <f t="shared" si="14"/>
        <v/>
      </c>
      <c r="O293" s="36"/>
      <c r="P293" s="26"/>
      <c r="Q293" s="26"/>
      <c r="R293" s="29" t="str">
        <f>IF(C293="","",IF(COUNTIF($C$2:C293,C293)=1,"Nueva","Recurrente"))</f>
        <v/>
      </c>
      <c r="S293" s="29" t="str">
        <f>IF(OR(C293="",J293&lt;&gt;"Paquete"),"",COUNTIFS($C$2:C293,C293,$J$2:J293,"Paquete"))</f>
        <v/>
      </c>
      <c r="T293" s="26"/>
    </row>
    <row r="294" spans="1:20" x14ac:dyDescent="0.35">
      <c r="A294" s="26" t="s">
        <v>721</v>
      </c>
      <c r="B294" s="28"/>
      <c r="C294" s="26"/>
      <c r="D294" s="34" t="str">
        <f>IF($C294="","",IFERROR(IF(INDEX('🎓 Alumnas'!$C$2:$C$1000,MATCH($C294,'🎓 Alumnas'!$B$2:$B$1000,0))="","",INDEX('🎓 Alumnas'!$C$2:$C$1000,MATCH($C294,'🎓 Alumnas'!$B$2:$B$1000,0))),""))</f>
        <v/>
      </c>
      <c r="E294" s="29" t="str">
        <f>IF($C294="","",IFERROR(IF(INDEX('🎓 Alumnas'!$D$2:$D$1000,MATCH($C294,'🎓 Alumnas'!$B$2:$B$1000,0))="","",INDEX('🎓 Alumnas'!$D$2:$D$1000,MATCH($C294,'🎓 Alumnas'!$B$2:$B$1000,0))),""))</f>
        <v/>
      </c>
      <c r="F294" s="29" t="str">
        <f>IF($C294="","",IFERROR(IF(INDEX('🎓 Alumnas'!$E$2:$E$1000,MATCH($C294,'🎓 Alumnas'!$B$2:$B$1000,0))="","",INDEX('🎓 Alumnas'!$E$2:$E$1000,MATCH($C294,'🎓 Alumnas'!$B$2:$B$1000,0))),""))</f>
        <v/>
      </c>
      <c r="G294" s="31" t="str">
        <f>IF($C294="","",IFERROR(IF(INDEX('🎓 Alumnas'!$F$2:$F$1000,MATCH($C294,'🎓 Alumnas'!$B$2:$B$1000,0))="","",INDEX('🎓 Alumnas'!$F$2:$F$1000,MATCH($C294,'🎓 Alumnas'!$B$2:$B$1000,0))),""))</f>
        <v/>
      </c>
      <c r="H294" s="29" t="str">
        <f t="shared" ca="1" si="12"/>
        <v/>
      </c>
      <c r="I294" s="26"/>
      <c r="J294" s="29" t="str">
        <f t="shared" si="13"/>
        <v/>
      </c>
      <c r="K294" s="26"/>
      <c r="L294" s="26"/>
      <c r="M294" s="35"/>
      <c r="N294" s="30" t="str">
        <f t="shared" si="14"/>
        <v/>
      </c>
      <c r="O294" s="36"/>
      <c r="P294" s="26"/>
      <c r="Q294" s="26"/>
      <c r="R294" s="29" t="str">
        <f>IF(C294="","",IF(COUNTIF($C$2:C294,C294)=1,"Nueva","Recurrente"))</f>
        <v/>
      </c>
      <c r="S294" s="29" t="str">
        <f>IF(OR(C294="",J294&lt;&gt;"Paquete"),"",COUNTIFS($C$2:C294,C294,$J$2:J294,"Paquete"))</f>
        <v/>
      </c>
      <c r="T294" s="26"/>
    </row>
    <row r="295" spans="1:20" x14ac:dyDescent="0.35">
      <c r="A295" s="26" t="s">
        <v>722</v>
      </c>
      <c r="B295" s="28"/>
      <c r="C295" s="26"/>
      <c r="D295" s="34" t="str">
        <f>IF($C295="","",IFERROR(IF(INDEX('🎓 Alumnas'!$C$2:$C$1000,MATCH($C295,'🎓 Alumnas'!$B$2:$B$1000,0))="","",INDEX('🎓 Alumnas'!$C$2:$C$1000,MATCH($C295,'🎓 Alumnas'!$B$2:$B$1000,0))),""))</f>
        <v/>
      </c>
      <c r="E295" s="29" t="str">
        <f>IF($C295="","",IFERROR(IF(INDEX('🎓 Alumnas'!$D$2:$D$1000,MATCH($C295,'🎓 Alumnas'!$B$2:$B$1000,0))="","",INDEX('🎓 Alumnas'!$D$2:$D$1000,MATCH($C295,'🎓 Alumnas'!$B$2:$B$1000,0))),""))</f>
        <v/>
      </c>
      <c r="F295" s="29" t="str">
        <f>IF($C295="","",IFERROR(IF(INDEX('🎓 Alumnas'!$E$2:$E$1000,MATCH($C295,'🎓 Alumnas'!$B$2:$B$1000,0))="","",INDEX('🎓 Alumnas'!$E$2:$E$1000,MATCH($C295,'🎓 Alumnas'!$B$2:$B$1000,0))),""))</f>
        <v/>
      </c>
      <c r="G295" s="31" t="str">
        <f>IF($C295="","",IFERROR(IF(INDEX('🎓 Alumnas'!$F$2:$F$1000,MATCH($C295,'🎓 Alumnas'!$B$2:$B$1000,0))="","",INDEX('🎓 Alumnas'!$F$2:$F$1000,MATCH($C295,'🎓 Alumnas'!$B$2:$B$1000,0))),""))</f>
        <v/>
      </c>
      <c r="H295" s="29" t="str">
        <f t="shared" ca="1" si="12"/>
        <v/>
      </c>
      <c r="I295" s="26"/>
      <c r="J295" s="29" t="str">
        <f t="shared" si="13"/>
        <v/>
      </c>
      <c r="K295" s="26"/>
      <c r="L295" s="26"/>
      <c r="M295" s="35"/>
      <c r="N295" s="30" t="str">
        <f t="shared" si="14"/>
        <v/>
      </c>
      <c r="O295" s="36"/>
      <c r="P295" s="26"/>
      <c r="Q295" s="26"/>
      <c r="R295" s="29" t="str">
        <f>IF(C295="","",IF(COUNTIF($C$2:C295,C295)=1,"Nueva","Recurrente"))</f>
        <v/>
      </c>
      <c r="S295" s="29" t="str">
        <f>IF(OR(C295="",J295&lt;&gt;"Paquete"),"",COUNTIFS($C$2:C295,C295,$J$2:J295,"Paquete"))</f>
        <v/>
      </c>
      <c r="T295" s="26"/>
    </row>
    <row r="296" spans="1:20" x14ac:dyDescent="0.35">
      <c r="A296" s="26" t="s">
        <v>723</v>
      </c>
      <c r="B296" s="28"/>
      <c r="C296" s="26"/>
      <c r="D296" s="34" t="str">
        <f>IF($C296="","",IFERROR(IF(INDEX('🎓 Alumnas'!$C$2:$C$1000,MATCH($C296,'🎓 Alumnas'!$B$2:$B$1000,0))="","",INDEX('🎓 Alumnas'!$C$2:$C$1000,MATCH($C296,'🎓 Alumnas'!$B$2:$B$1000,0))),""))</f>
        <v/>
      </c>
      <c r="E296" s="29" t="str">
        <f>IF($C296="","",IFERROR(IF(INDEX('🎓 Alumnas'!$D$2:$D$1000,MATCH($C296,'🎓 Alumnas'!$B$2:$B$1000,0))="","",INDEX('🎓 Alumnas'!$D$2:$D$1000,MATCH($C296,'🎓 Alumnas'!$B$2:$B$1000,0))),""))</f>
        <v/>
      </c>
      <c r="F296" s="29" t="str">
        <f>IF($C296="","",IFERROR(IF(INDEX('🎓 Alumnas'!$E$2:$E$1000,MATCH($C296,'🎓 Alumnas'!$B$2:$B$1000,0))="","",INDEX('🎓 Alumnas'!$E$2:$E$1000,MATCH($C296,'🎓 Alumnas'!$B$2:$B$1000,0))),""))</f>
        <v/>
      </c>
      <c r="G296" s="31" t="str">
        <f>IF($C296="","",IFERROR(IF(INDEX('🎓 Alumnas'!$F$2:$F$1000,MATCH($C296,'🎓 Alumnas'!$B$2:$B$1000,0))="","",INDEX('🎓 Alumnas'!$F$2:$F$1000,MATCH($C296,'🎓 Alumnas'!$B$2:$B$1000,0))),""))</f>
        <v/>
      </c>
      <c r="H296" s="29" t="str">
        <f t="shared" ca="1" si="12"/>
        <v/>
      </c>
      <c r="I296" s="26"/>
      <c r="J296" s="29" t="str">
        <f t="shared" si="13"/>
        <v/>
      </c>
      <c r="K296" s="26"/>
      <c r="L296" s="26"/>
      <c r="M296" s="35"/>
      <c r="N296" s="30" t="str">
        <f t="shared" si="14"/>
        <v/>
      </c>
      <c r="O296" s="36"/>
      <c r="P296" s="26"/>
      <c r="Q296" s="26"/>
      <c r="R296" s="29" t="str">
        <f>IF(C296="","",IF(COUNTIF($C$2:C296,C296)=1,"Nueva","Recurrente"))</f>
        <v/>
      </c>
      <c r="S296" s="29" t="str">
        <f>IF(OR(C296="",J296&lt;&gt;"Paquete"),"",COUNTIFS($C$2:C296,C296,$J$2:J296,"Paquete"))</f>
        <v/>
      </c>
      <c r="T296" s="26"/>
    </row>
    <row r="297" spans="1:20" x14ac:dyDescent="0.35">
      <c r="A297" s="26" t="s">
        <v>724</v>
      </c>
      <c r="B297" s="28"/>
      <c r="C297" s="26"/>
      <c r="D297" s="34" t="str">
        <f>IF($C297="","",IFERROR(IF(INDEX('🎓 Alumnas'!$C$2:$C$1000,MATCH($C297,'🎓 Alumnas'!$B$2:$B$1000,0))="","",INDEX('🎓 Alumnas'!$C$2:$C$1000,MATCH($C297,'🎓 Alumnas'!$B$2:$B$1000,0))),""))</f>
        <v/>
      </c>
      <c r="E297" s="29" t="str">
        <f>IF($C297="","",IFERROR(IF(INDEX('🎓 Alumnas'!$D$2:$D$1000,MATCH($C297,'🎓 Alumnas'!$B$2:$B$1000,0))="","",INDEX('🎓 Alumnas'!$D$2:$D$1000,MATCH($C297,'🎓 Alumnas'!$B$2:$B$1000,0))),""))</f>
        <v/>
      </c>
      <c r="F297" s="29" t="str">
        <f>IF($C297="","",IFERROR(IF(INDEX('🎓 Alumnas'!$E$2:$E$1000,MATCH($C297,'🎓 Alumnas'!$B$2:$B$1000,0))="","",INDEX('🎓 Alumnas'!$E$2:$E$1000,MATCH($C297,'🎓 Alumnas'!$B$2:$B$1000,0))),""))</f>
        <v/>
      </c>
      <c r="G297" s="31" t="str">
        <f>IF($C297="","",IFERROR(IF(INDEX('🎓 Alumnas'!$F$2:$F$1000,MATCH($C297,'🎓 Alumnas'!$B$2:$B$1000,0))="","",INDEX('🎓 Alumnas'!$F$2:$F$1000,MATCH($C297,'🎓 Alumnas'!$B$2:$B$1000,0))),""))</f>
        <v/>
      </c>
      <c r="H297" s="29" t="str">
        <f t="shared" ca="1" si="12"/>
        <v/>
      </c>
      <c r="I297" s="26"/>
      <c r="J297" s="29" t="str">
        <f t="shared" si="13"/>
        <v/>
      </c>
      <c r="K297" s="26"/>
      <c r="L297" s="26"/>
      <c r="M297" s="35"/>
      <c r="N297" s="30" t="str">
        <f t="shared" si="14"/>
        <v/>
      </c>
      <c r="O297" s="36"/>
      <c r="P297" s="26"/>
      <c r="Q297" s="26"/>
      <c r="R297" s="29" t="str">
        <f>IF(C297="","",IF(COUNTIF($C$2:C297,C297)=1,"Nueva","Recurrente"))</f>
        <v/>
      </c>
      <c r="S297" s="29" t="str">
        <f>IF(OR(C297="",J297&lt;&gt;"Paquete"),"",COUNTIFS($C$2:C297,C297,$J$2:J297,"Paquete"))</f>
        <v/>
      </c>
      <c r="T297" s="26"/>
    </row>
    <row r="298" spans="1:20" x14ac:dyDescent="0.35">
      <c r="A298" s="26" t="s">
        <v>725</v>
      </c>
      <c r="B298" s="28"/>
      <c r="C298" s="26"/>
      <c r="D298" s="34" t="str">
        <f>IF($C298="","",IFERROR(IF(INDEX('🎓 Alumnas'!$C$2:$C$1000,MATCH($C298,'🎓 Alumnas'!$B$2:$B$1000,0))="","",INDEX('🎓 Alumnas'!$C$2:$C$1000,MATCH($C298,'🎓 Alumnas'!$B$2:$B$1000,0))),""))</f>
        <v/>
      </c>
      <c r="E298" s="29" t="str">
        <f>IF($C298="","",IFERROR(IF(INDEX('🎓 Alumnas'!$D$2:$D$1000,MATCH($C298,'🎓 Alumnas'!$B$2:$B$1000,0))="","",INDEX('🎓 Alumnas'!$D$2:$D$1000,MATCH($C298,'🎓 Alumnas'!$B$2:$B$1000,0))),""))</f>
        <v/>
      </c>
      <c r="F298" s="29" t="str">
        <f>IF($C298="","",IFERROR(IF(INDEX('🎓 Alumnas'!$E$2:$E$1000,MATCH($C298,'🎓 Alumnas'!$B$2:$B$1000,0))="","",INDEX('🎓 Alumnas'!$E$2:$E$1000,MATCH($C298,'🎓 Alumnas'!$B$2:$B$1000,0))),""))</f>
        <v/>
      </c>
      <c r="G298" s="31" t="str">
        <f>IF($C298="","",IFERROR(IF(INDEX('🎓 Alumnas'!$F$2:$F$1000,MATCH($C298,'🎓 Alumnas'!$B$2:$B$1000,0))="","",INDEX('🎓 Alumnas'!$F$2:$F$1000,MATCH($C298,'🎓 Alumnas'!$B$2:$B$1000,0))),""))</f>
        <v/>
      </c>
      <c r="H298" s="29" t="str">
        <f t="shared" ca="1" si="12"/>
        <v/>
      </c>
      <c r="I298" s="26"/>
      <c r="J298" s="29" t="str">
        <f t="shared" si="13"/>
        <v/>
      </c>
      <c r="K298" s="26"/>
      <c r="L298" s="26"/>
      <c r="M298" s="35"/>
      <c r="N298" s="30" t="str">
        <f t="shared" si="14"/>
        <v/>
      </c>
      <c r="O298" s="36"/>
      <c r="P298" s="26"/>
      <c r="Q298" s="26"/>
      <c r="R298" s="29" t="str">
        <f>IF(C298="","",IF(COUNTIF($C$2:C298,C298)=1,"Nueva","Recurrente"))</f>
        <v/>
      </c>
      <c r="S298" s="29" t="str">
        <f>IF(OR(C298="",J298&lt;&gt;"Paquete"),"",COUNTIFS($C$2:C298,C298,$J$2:J298,"Paquete"))</f>
        <v/>
      </c>
      <c r="T298" s="26"/>
    </row>
    <row r="299" spans="1:20" x14ac:dyDescent="0.35">
      <c r="A299" s="26" t="s">
        <v>726</v>
      </c>
      <c r="B299" s="28"/>
      <c r="C299" s="26"/>
      <c r="D299" s="34" t="str">
        <f>IF($C299="","",IFERROR(IF(INDEX('🎓 Alumnas'!$C$2:$C$1000,MATCH($C299,'🎓 Alumnas'!$B$2:$B$1000,0))="","",INDEX('🎓 Alumnas'!$C$2:$C$1000,MATCH($C299,'🎓 Alumnas'!$B$2:$B$1000,0))),""))</f>
        <v/>
      </c>
      <c r="E299" s="29" t="str">
        <f>IF($C299="","",IFERROR(IF(INDEX('🎓 Alumnas'!$D$2:$D$1000,MATCH($C299,'🎓 Alumnas'!$B$2:$B$1000,0))="","",INDEX('🎓 Alumnas'!$D$2:$D$1000,MATCH($C299,'🎓 Alumnas'!$B$2:$B$1000,0))),""))</f>
        <v/>
      </c>
      <c r="F299" s="29" t="str">
        <f>IF($C299="","",IFERROR(IF(INDEX('🎓 Alumnas'!$E$2:$E$1000,MATCH($C299,'🎓 Alumnas'!$B$2:$B$1000,0))="","",INDEX('🎓 Alumnas'!$E$2:$E$1000,MATCH($C299,'🎓 Alumnas'!$B$2:$B$1000,0))),""))</f>
        <v/>
      </c>
      <c r="G299" s="31" t="str">
        <f>IF($C299="","",IFERROR(IF(INDEX('🎓 Alumnas'!$F$2:$F$1000,MATCH($C299,'🎓 Alumnas'!$B$2:$B$1000,0))="","",INDEX('🎓 Alumnas'!$F$2:$F$1000,MATCH($C299,'🎓 Alumnas'!$B$2:$B$1000,0))),""))</f>
        <v/>
      </c>
      <c r="H299" s="29" t="str">
        <f t="shared" ca="1" si="12"/>
        <v/>
      </c>
      <c r="I299" s="26"/>
      <c r="J299" s="29" t="str">
        <f t="shared" si="13"/>
        <v/>
      </c>
      <c r="K299" s="26"/>
      <c r="L299" s="26"/>
      <c r="M299" s="35"/>
      <c r="N299" s="30" t="str">
        <f t="shared" si="14"/>
        <v/>
      </c>
      <c r="O299" s="36"/>
      <c r="P299" s="26"/>
      <c r="Q299" s="26"/>
      <c r="R299" s="29" t="str">
        <f>IF(C299="","",IF(COUNTIF($C$2:C299,C299)=1,"Nueva","Recurrente"))</f>
        <v/>
      </c>
      <c r="S299" s="29" t="str">
        <f>IF(OR(C299="",J299&lt;&gt;"Paquete"),"",COUNTIFS($C$2:C299,C299,$J$2:J299,"Paquete"))</f>
        <v/>
      </c>
      <c r="T299" s="26"/>
    </row>
    <row r="300" spans="1:20" x14ac:dyDescent="0.35">
      <c r="A300" s="26" t="s">
        <v>727</v>
      </c>
      <c r="B300" s="28"/>
      <c r="C300" s="26"/>
      <c r="D300" s="34" t="str">
        <f>IF($C300="","",IFERROR(IF(INDEX('🎓 Alumnas'!$C$2:$C$1000,MATCH($C300,'🎓 Alumnas'!$B$2:$B$1000,0))="","",INDEX('🎓 Alumnas'!$C$2:$C$1000,MATCH($C300,'🎓 Alumnas'!$B$2:$B$1000,0))),""))</f>
        <v/>
      </c>
      <c r="E300" s="29" t="str">
        <f>IF($C300="","",IFERROR(IF(INDEX('🎓 Alumnas'!$D$2:$D$1000,MATCH($C300,'🎓 Alumnas'!$B$2:$B$1000,0))="","",INDEX('🎓 Alumnas'!$D$2:$D$1000,MATCH($C300,'🎓 Alumnas'!$B$2:$B$1000,0))),""))</f>
        <v/>
      </c>
      <c r="F300" s="29" t="str">
        <f>IF($C300="","",IFERROR(IF(INDEX('🎓 Alumnas'!$E$2:$E$1000,MATCH($C300,'🎓 Alumnas'!$B$2:$B$1000,0))="","",INDEX('🎓 Alumnas'!$E$2:$E$1000,MATCH($C300,'🎓 Alumnas'!$B$2:$B$1000,0))),""))</f>
        <v/>
      </c>
      <c r="G300" s="31" t="str">
        <f>IF($C300="","",IFERROR(IF(INDEX('🎓 Alumnas'!$F$2:$F$1000,MATCH($C300,'🎓 Alumnas'!$B$2:$B$1000,0))="","",INDEX('🎓 Alumnas'!$F$2:$F$1000,MATCH($C300,'🎓 Alumnas'!$B$2:$B$1000,0))),""))</f>
        <v/>
      </c>
      <c r="H300" s="29" t="str">
        <f t="shared" ca="1" si="12"/>
        <v/>
      </c>
      <c r="I300" s="26"/>
      <c r="J300" s="29" t="str">
        <f t="shared" si="13"/>
        <v/>
      </c>
      <c r="K300" s="26"/>
      <c r="L300" s="26"/>
      <c r="M300" s="35"/>
      <c r="N300" s="30" t="str">
        <f t="shared" si="14"/>
        <v/>
      </c>
      <c r="O300" s="36"/>
      <c r="P300" s="26"/>
      <c r="Q300" s="26"/>
      <c r="R300" s="29" t="str">
        <f>IF(C300="","",IF(COUNTIF($C$2:C300,C300)=1,"Nueva","Recurrente"))</f>
        <v/>
      </c>
      <c r="S300" s="29" t="str">
        <f>IF(OR(C300="",J300&lt;&gt;"Paquete"),"",COUNTIFS($C$2:C300,C300,$J$2:J300,"Paquete"))</f>
        <v/>
      </c>
      <c r="T300" s="26"/>
    </row>
    <row r="301" spans="1:20" x14ac:dyDescent="0.35">
      <c r="A301" s="26" t="s">
        <v>728</v>
      </c>
      <c r="B301" s="28"/>
      <c r="C301" s="26"/>
      <c r="D301" s="34" t="str">
        <f>IF($C301="","",IFERROR(IF(INDEX('🎓 Alumnas'!$C$2:$C$1000,MATCH($C301,'🎓 Alumnas'!$B$2:$B$1000,0))="","",INDEX('🎓 Alumnas'!$C$2:$C$1000,MATCH($C301,'🎓 Alumnas'!$B$2:$B$1000,0))),""))</f>
        <v/>
      </c>
      <c r="E301" s="29" t="str">
        <f>IF($C301="","",IFERROR(IF(INDEX('🎓 Alumnas'!$D$2:$D$1000,MATCH($C301,'🎓 Alumnas'!$B$2:$B$1000,0))="","",INDEX('🎓 Alumnas'!$D$2:$D$1000,MATCH($C301,'🎓 Alumnas'!$B$2:$B$1000,0))),""))</f>
        <v/>
      </c>
      <c r="F301" s="29" t="str">
        <f>IF($C301="","",IFERROR(IF(INDEX('🎓 Alumnas'!$E$2:$E$1000,MATCH($C301,'🎓 Alumnas'!$B$2:$B$1000,0))="","",INDEX('🎓 Alumnas'!$E$2:$E$1000,MATCH($C301,'🎓 Alumnas'!$B$2:$B$1000,0))),""))</f>
        <v/>
      </c>
      <c r="G301" s="31" t="str">
        <f>IF($C301="","",IFERROR(IF(INDEX('🎓 Alumnas'!$F$2:$F$1000,MATCH($C301,'🎓 Alumnas'!$B$2:$B$1000,0))="","",INDEX('🎓 Alumnas'!$F$2:$F$1000,MATCH($C301,'🎓 Alumnas'!$B$2:$B$1000,0))),""))</f>
        <v/>
      </c>
      <c r="H301" s="29" t="str">
        <f t="shared" ca="1" si="12"/>
        <v/>
      </c>
      <c r="I301" s="26"/>
      <c r="J301" s="29" t="str">
        <f t="shared" si="13"/>
        <v/>
      </c>
      <c r="K301" s="26"/>
      <c r="L301" s="26"/>
      <c r="M301" s="35"/>
      <c r="N301" s="30" t="str">
        <f t="shared" si="14"/>
        <v/>
      </c>
      <c r="O301" s="36"/>
      <c r="P301" s="26"/>
      <c r="Q301" s="26"/>
      <c r="R301" s="29" t="str">
        <f>IF(C301="","",IF(COUNTIF($C$2:C301,C301)=1,"Nueva","Recurrente"))</f>
        <v/>
      </c>
      <c r="S301" s="29" t="str">
        <f>IF(OR(C301="",J301&lt;&gt;"Paquete"),"",COUNTIFS($C$2:C301,C301,$J$2:J301,"Paquete"))</f>
        <v/>
      </c>
      <c r="T301" s="26"/>
    </row>
    <row r="302" spans="1:20" x14ac:dyDescent="0.35">
      <c r="A302" s="26" t="s">
        <v>729</v>
      </c>
      <c r="B302" s="28"/>
      <c r="C302" s="26"/>
      <c r="D302" s="34" t="str">
        <f>IF($C302="","",IFERROR(IF(INDEX('🎓 Alumnas'!$C$2:$C$1000,MATCH($C302,'🎓 Alumnas'!$B$2:$B$1000,0))="","",INDEX('🎓 Alumnas'!$C$2:$C$1000,MATCH($C302,'🎓 Alumnas'!$B$2:$B$1000,0))),""))</f>
        <v/>
      </c>
      <c r="E302" s="29" t="str">
        <f>IF($C302="","",IFERROR(IF(INDEX('🎓 Alumnas'!$D$2:$D$1000,MATCH($C302,'🎓 Alumnas'!$B$2:$B$1000,0))="","",INDEX('🎓 Alumnas'!$D$2:$D$1000,MATCH($C302,'🎓 Alumnas'!$B$2:$B$1000,0))),""))</f>
        <v/>
      </c>
      <c r="F302" s="29" t="str">
        <f>IF($C302="","",IFERROR(IF(INDEX('🎓 Alumnas'!$E$2:$E$1000,MATCH($C302,'🎓 Alumnas'!$B$2:$B$1000,0))="","",INDEX('🎓 Alumnas'!$E$2:$E$1000,MATCH($C302,'🎓 Alumnas'!$B$2:$B$1000,0))),""))</f>
        <v/>
      </c>
      <c r="G302" s="31" t="str">
        <f>IF($C302="","",IFERROR(IF(INDEX('🎓 Alumnas'!$F$2:$F$1000,MATCH($C302,'🎓 Alumnas'!$B$2:$B$1000,0))="","",INDEX('🎓 Alumnas'!$F$2:$F$1000,MATCH($C302,'🎓 Alumnas'!$B$2:$B$1000,0))),""))</f>
        <v/>
      </c>
      <c r="H302" s="29" t="str">
        <f t="shared" ca="1" si="12"/>
        <v/>
      </c>
      <c r="I302" s="26"/>
      <c r="J302" s="29" t="str">
        <f t="shared" si="13"/>
        <v/>
      </c>
      <c r="K302" s="26"/>
      <c r="L302" s="26"/>
      <c r="M302" s="35"/>
      <c r="N302" s="30" t="str">
        <f t="shared" si="14"/>
        <v/>
      </c>
      <c r="O302" s="36"/>
      <c r="P302" s="26"/>
      <c r="Q302" s="26"/>
      <c r="R302" s="29" t="str">
        <f>IF(C302="","",IF(COUNTIF($C$2:C302,C302)=1,"Nueva","Recurrente"))</f>
        <v/>
      </c>
      <c r="S302" s="29" t="str">
        <f>IF(OR(C302="",J302&lt;&gt;"Paquete"),"",COUNTIFS($C$2:C302,C302,$J$2:J302,"Paquete"))</f>
        <v/>
      </c>
      <c r="T302" s="26"/>
    </row>
    <row r="303" spans="1:20" x14ac:dyDescent="0.35">
      <c r="A303" s="26" t="s">
        <v>730</v>
      </c>
      <c r="B303" s="28"/>
      <c r="C303" s="26"/>
      <c r="D303" s="34" t="str">
        <f>IF($C303="","",IFERROR(IF(INDEX('🎓 Alumnas'!$C$2:$C$1000,MATCH($C303,'🎓 Alumnas'!$B$2:$B$1000,0))="","",INDEX('🎓 Alumnas'!$C$2:$C$1000,MATCH($C303,'🎓 Alumnas'!$B$2:$B$1000,0))),""))</f>
        <v/>
      </c>
      <c r="E303" s="29" t="str">
        <f>IF($C303="","",IFERROR(IF(INDEX('🎓 Alumnas'!$D$2:$D$1000,MATCH($C303,'🎓 Alumnas'!$B$2:$B$1000,0))="","",INDEX('🎓 Alumnas'!$D$2:$D$1000,MATCH($C303,'🎓 Alumnas'!$B$2:$B$1000,0))),""))</f>
        <v/>
      </c>
      <c r="F303" s="29" t="str">
        <f>IF($C303="","",IFERROR(IF(INDEX('🎓 Alumnas'!$E$2:$E$1000,MATCH($C303,'🎓 Alumnas'!$B$2:$B$1000,0))="","",INDEX('🎓 Alumnas'!$E$2:$E$1000,MATCH($C303,'🎓 Alumnas'!$B$2:$B$1000,0))),""))</f>
        <v/>
      </c>
      <c r="G303" s="31" t="str">
        <f>IF($C303="","",IFERROR(IF(INDEX('🎓 Alumnas'!$F$2:$F$1000,MATCH($C303,'🎓 Alumnas'!$B$2:$B$1000,0))="","",INDEX('🎓 Alumnas'!$F$2:$F$1000,MATCH($C303,'🎓 Alumnas'!$B$2:$B$1000,0))),""))</f>
        <v/>
      </c>
      <c r="H303" s="29" t="str">
        <f t="shared" ca="1" si="12"/>
        <v/>
      </c>
      <c r="I303" s="26"/>
      <c r="J303" s="29" t="str">
        <f t="shared" si="13"/>
        <v/>
      </c>
      <c r="K303" s="26"/>
      <c r="L303" s="26"/>
      <c r="M303" s="35"/>
      <c r="N303" s="30" t="str">
        <f t="shared" si="14"/>
        <v/>
      </c>
      <c r="O303" s="36"/>
      <c r="P303" s="26"/>
      <c r="Q303" s="26"/>
      <c r="R303" s="29" t="str">
        <f>IF(C303="","",IF(COUNTIF($C$2:C303,C303)=1,"Nueva","Recurrente"))</f>
        <v/>
      </c>
      <c r="S303" s="29" t="str">
        <f>IF(OR(C303="",J303&lt;&gt;"Paquete"),"",COUNTIFS($C$2:C303,C303,$J$2:J303,"Paquete"))</f>
        <v/>
      </c>
      <c r="T303" s="26"/>
    </row>
    <row r="304" spans="1:20" x14ac:dyDescent="0.35">
      <c r="A304" s="26" t="s">
        <v>731</v>
      </c>
      <c r="B304" s="28"/>
      <c r="C304" s="26"/>
      <c r="D304" s="34" t="str">
        <f>IF($C304="","",IFERROR(IF(INDEX('🎓 Alumnas'!$C$2:$C$1000,MATCH($C304,'🎓 Alumnas'!$B$2:$B$1000,0))="","",INDEX('🎓 Alumnas'!$C$2:$C$1000,MATCH($C304,'🎓 Alumnas'!$B$2:$B$1000,0))),""))</f>
        <v/>
      </c>
      <c r="E304" s="29" t="str">
        <f>IF($C304="","",IFERROR(IF(INDEX('🎓 Alumnas'!$D$2:$D$1000,MATCH($C304,'🎓 Alumnas'!$B$2:$B$1000,0))="","",INDEX('🎓 Alumnas'!$D$2:$D$1000,MATCH($C304,'🎓 Alumnas'!$B$2:$B$1000,0))),""))</f>
        <v/>
      </c>
      <c r="F304" s="29" t="str">
        <f>IF($C304="","",IFERROR(IF(INDEX('🎓 Alumnas'!$E$2:$E$1000,MATCH($C304,'🎓 Alumnas'!$B$2:$B$1000,0))="","",INDEX('🎓 Alumnas'!$E$2:$E$1000,MATCH($C304,'🎓 Alumnas'!$B$2:$B$1000,0))),""))</f>
        <v/>
      </c>
      <c r="G304" s="31" t="str">
        <f>IF($C304="","",IFERROR(IF(INDEX('🎓 Alumnas'!$F$2:$F$1000,MATCH($C304,'🎓 Alumnas'!$B$2:$B$1000,0))="","",INDEX('🎓 Alumnas'!$F$2:$F$1000,MATCH($C304,'🎓 Alumnas'!$B$2:$B$1000,0))),""))</f>
        <v/>
      </c>
      <c r="H304" s="29" t="str">
        <f t="shared" ca="1" si="12"/>
        <v/>
      </c>
      <c r="I304" s="26"/>
      <c r="J304" s="29" t="str">
        <f t="shared" si="13"/>
        <v/>
      </c>
      <c r="K304" s="26"/>
      <c r="L304" s="26"/>
      <c r="M304" s="35"/>
      <c r="N304" s="30" t="str">
        <f t="shared" si="14"/>
        <v/>
      </c>
      <c r="O304" s="36"/>
      <c r="P304" s="26"/>
      <c r="Q304" s="26"/>
      <c r="R304" s="29" t="str">
        <f>IF(C304="","",IF(COUNTIF($C$2:C304,C304)=1,"Nueva","Recurrente"))</f>
        <v/>
      </c>
      <c r="S304" s="29" t="str">
        <f>IF(OR(C304="",J304&lt;&gt;"Paquete"),"",COUNTIFS($C$2:C304,C304,$J$2:J304,"Paquete"))</f>
        <v/>
      </c>
      <c r="T304" s="26"/>
    </row>
    <row r="305" spans="1:20" x14ac:dyDescent="0.35">
      <c r="A305" s="26" t="s">
        <v>732</v>
      </c>
      <c r="B305" s="28"/>
      <c r="C305" s="26"/>
      <c r="D305" s="34" t="str">
        <f>IF($C305="","",IFERROR(IF(INDEX('🎓 Alumnas'!$C$2:$C$1000,MATCH($C305,'🎓 Alumnas'!$B$2:$B$1000,0))="","",INDEX('🎓 Alumnas'!$C$2:$C$1000,MATCH($C305,'🎓 Alumnas'!$B$2:$B$1000,0))),""))</f>
        <v/>
      </c>
      <c r="E305" s="29" t="str">
        <f>IF($C305="","",IFERROR(IF(INDEX('🎓 Alumnas'!$D$2:$D$1000,MATCH($C305,'🎓 Alumnas'!$B$2:$B$1000,0))="","",INDEX('🎓 Alumnas'!$D$2:$D$1000,MATCH($C305,'🎓 Alumnas'!$B$2:$B$1000,0))),""))</f>
        <v/>
      </c>
      <c r="F305" s="29" t="str">
        <f>IF($C305="","",IFERROR(IF(INDEX('🎓 Alumnas'!$E$2:$E$1000,MATCH($C305,'🎓 Alumnas'!$B$2:$B$1000,0))="","",INDEX('🎓 Alumnas'!$E$2:$E$1000,MATCH($C305,'🎓 Alumnas'!$B$2:$B$1000,0))),""))</f>
        <v/>
      </c>
      <c r="G305" s="31" t="str">
        <f>IF($C305="","",IFERROR(IF(INDEX('🎓 Alumnas'!$F$2:$F$1000,MATCH($C305,'🎓 Alumnas'!$B$2:$B$1000,0))="","",INDEX('🎓 Alumnas'!$F$2:$F$1000,MATCH($C305,'🎓 Alumnas'!$B$2:$B$1000,0))),""))</f>
        <v/>
      </c>
      <c r="H305" s="29" t="str">
        <f t="shared" ca="1" si="12"/>
        <v/>
      </c>
      <c r="I305" s="26"/>
      <c r="J305" s="29" t="str">
        <f t="shared" si="13"/>
        <v/>
      </c>
      <c r="K305" s="26"/>
      <c r="L305" s="26"/>
      <c r="M305" s="35"/>
      <c r="N305" s="30" t="str">
        <f t="shared" si="14"/>
        <v/>
      </c>
      <c r="O305" s="36"/>
      <c r="P305" s="26"/>
      <c r="Q305" s="26"/>
      <c r="R305" s="29" t="str">
        <f>IF(C305="","",IF(COUNTIF($C$2:C305,C305)=1,"Nueva","Recurrente"))</f>
        <v/>
      </c>
      <c r="S305" s="29" t="str">
        <f>IF(OR(C305="",J305&lt;&gt;"Paquete"),"",COUNTIFS($C$2:C305,C305,$J$2:J305,"Paquete"))</f>
        <v/>
      </c>
      <c r="T305" s="26"/>
    </row>
    <row r="306" spans="1:20" x14ac:dyDescent="0.35">
      <c r="A306" s="26" t="s">
        <v>733</v>
      </c>
      <c r="B306" s="28"/>
      <c r="C306" s="26"/>
      <c r="D306" s="34" t="str">
        <f>IF($C306="","",IFERROR(IF(INDEX('🎓 Alumnas'!$C$2:$C$1000,MATCH($C306,'🎓 Alumnas'!$B$2:$B$1000,0))="","",INDEX('🎓 Alumnas'!$C$2:$C$1000,MATCH($C306,'🎓 Alumnas'!$B$2:$B$1000,0))),""))</f>
        <v/>
      </c>
      <c r="E306" s="29" t="str">
        <f>IF($C306="","",IFERROR(IF(INDEX('🎓 Alumnas'!$D$2:$D$1000,MATCH($C306,'🎓 Alumnas'!$B$2:$B$1000,0))="","",INDEX('🎓 Alumnas'!$D$2:$D$1000,MATCH($C306,'🎓 Alumnas'!$B$2:$B$1000,0))),""))</f>
        <v/>
      </c>
      <c r="F306" s="29" t="str">
        <f>IF($C306="","",IFERROR(IF(INDEX('🎓 Alumnas'!$E$2:$E$1000,MATCH($C306,'🎓 Alumnas'!$B$2:$B$1000,0))="","",INDEX('🎓 Alumnas'!$E$2:$E$1000,MATCH($C306,'🎓 Alumnas'!$B$2:$B$1000,0))),""))</f>
        <v/>
      </c>
      <c r="G306" s="31" t="str">
        <f>IF($C306="","",IFERROR(IF(INDEX('🎓 Alumnas'!$F$2:$F$1000,MATCH($C306,'🎓 Alumnas'!$B$2:$B$1000,0))="","",INDEX('🎓 Alumnas'!$F$2:$F$1000,MATCH($C306,'🎓 Alumnas'!$B$2:$B$1000,0))),""))</f>
        <v/>
      </c>
      <c r="H306" s="29" t="str">
        <f t="shared" ca="1" si="12"/>
        <v/>
      </c>
      <c r="I306" s="26"/>
      <c r="J306" s="29" t="str">
        <f t="shared" si="13"/>
        <v/>
      </c>
      <c r="K306" s="26"/>
      <c r="L306" s="26"/>
      <c r="M306" s="35"/>
      <c r="N306" s="30" t="str">
        <f t="shared" si="14"/>
        <v/>
      </c>
      <c r="O306" s="36"/>
      <c r="P306" s="26"/>
      <c r="Q306" s="26"/>
      <c r="R306" s="29" t="str">
        <f>IF(C306="","",IF(COUNTIF($C$2:C306,C306)=1,"Nueva","Recurrente"))</f>
        <v/>
      </c>
      <c r="S306" s="29" t="str">
        <f>IF(OR(C306="",J306&lt;&gt;"Paquete"),"",COUNTIFS($C$2:C306,C306,$J$2:J306,"Paquete"))</f>
        <v/>
      </c>
      <c r="T306" s="26"/>
    </row>
    <row r="307" spans="1:20" x14ac:dyDescent="0.35">
      <c r="A307" s="26" t="s">
        <v>734</v>
      </c>
      <c r="B307" s="28"/>
      <c r="C307" s="26"/>
      <c r="D307" s="34" t="str">
        <f>IF($C307="","",IFERROR(IF(INDEX('🎓 Alumnas'!$C$2:$C$1000,MATCH($C307,'🎓 Alumnas'!$B$2:$B$1000,0))="","",INDEX('🎓 Alumnas'!$C$2:$C$1000,MATCH($C307,'🎓 Alumnas'!$B$2:$B$1000,0))),""))</f>
        <v/>
      </c>
      <c r="E307" s="29" t="str">
        <f>IF($C307="","",IFERROR(IF(INDEX('🎓 Alumnas'!$D$2:$D$1000,MATCH($C307,'🎓 Alumnas'!$B$2:$B$1000,0))="","",INDEX('🎓 Alumnas'!$D$2:$D$1000,MATCH($C307,'🎓 Alumnas'!$B$2:$B$1000,0))),""))</f>
        <v/>
      </c>
      <c r="F307" s="29" t="str">
        <f>IF($C307="","",IFERROR(IF(INDEX('🎓 Alumnas'!$E$2:$E$1000,MATCH($C307,'🎓 Alumnas'!$B$2:$B$1000,0))="","",INDEX('🎓 Alumnas'!$E$2:$E$1000,MATCH($C307,'🎓 Alumnas'!$B$2:$B$1000,0))),""))</f>
        <v/>
      </c>
      <c r="G307" s="31" t="str">
        <f>IF($C307="","",IFERROR(IF(INDEX('🎓 Alumnas'!$F$2:$F$1000,MATCH($C307,'🎓 Alumnas'!$B$2:$B$1000,0))="","",INDEX('🎓 Alumnas'!$F$2:$F$1000,MATCH($C307,'🎓 Alumnas'!$B$2:$B$1000,0))),""))</f>
        <v/>
      </c>
      <c r="H307" s="29" t="str">
        <f t="shared" ca="1" si="12"/>
        <v/>
      </c>
      <c r="I307" s="26"/>
      <c r="J307" s="29" t="str">
        <f t="shared" si="13"/>
        <v/>
      </c>
      <c r="K307" s="26"/>
      <c r="L307" s="26"/>
      <c r="M307" s="35"/>
      <c r="N307" s="30" t="str">
        <f t="shared" si="14"/>
        <v/>
      </c>
      <c r="O307" s="36"/>
      <c r="P307" s="26"/>
      <c r="Q307" s="26"/>
      <c r="R307" s="29" t="str">
        <f>IF(C307="","",IF(COUNTIF($C$2:C307,C307)=1,"Nueva","Recurrente"))</f>
        <v/>
      </c>
      <c r="S307" s="29" t="str">
        <f>IF(OR(C307="",J307&lt;&gt;"Paquete"),"",COUNTIFS($C$2:C307,C307,$J$2:J307,"Paquete"))</f>
        <v/>
      </c>
      <c r="T307" s="26"/>
    </row>
    <row r="308" spans="1:20" x14ac:dyDescent="0.35">
      <c r="A308" s="26" t="s">
        <v>735</v>
      </c>
      <c r="B308" s="28"/>
      <c r="C308" s="26"/>
      <c r="D308" s="34" t="str">
        <f>IF($C308="","",IFERROR(IF(INDEX('🎓 Alumnas'!$C$2:$C$1000,MATCH($C308,'🎓 Alumnas'!$B$2:$B$1000,0))="","",INDEX('🎓 Alumnas'!$C$2:$C$1000,MATCH($C308,'🎓 Alumnas'!$B$2:$B$1000,0))),""))</f>
        <v/>
      </c>
      <c r="E308" s="29" t="str">
        <f>IF($C308="","",IFERROR(IF(INDEX('🎓 Alumnas'!$D$2:$D$1000,MATCH($C308,'🎓 Alumnas'!$B$2:$B$1000,0))="","",INDEX('🎓 Alumnas'!$D$2:$D$1000,MATCH($C308,'🎓 Alumnas'!$B$2:$B$1000,0))),""))</f>
        <v/>
      </c>
      <c r="F308" s="29" t="str">
        <f>IF($C308="","",IFERROR(IF(INDEX('🎓 Alumnas'!$E$2:$E$1000,MATCH($C308,'🎓 Alumnas'!$B$2:$B$1000,0))="","",INDEX('🎓 Alumnas'!$E$2:$E$1000,MATCH($C308,'🎓 Alumnas'!$B$2:$B$1000,0))),""))</f>
        <v/>
      </c>
      <c r="G308" s="31" t="str">
        <f>IF($C308="","",IFERROR(IF(INDEX('🎓 Alumnas'!$F$2:$F$1000,MATCH($C308,'🎓 Alumnas'!$B$2:$B$1000,0))="","",INDEX('🎓 Alumnas'!$F$2:$F$1000,MATCH($C308,'🎓 Alumnas'!$B$2:$B$1000,0))),""))</f>
        <v/>
      </c>
      <c r="H308" s="29" t="str">
        <f t="shared" ca="1" si="12"/>
        <v/>
      </c>
      <c r="I308" s="26"/>
      <c r="J308" s="29" t="str">
        <f t="shared" si="13"/>
        <v/>
      </c>
      <c r="K308" s="26"/>
      <c r="L308" s="26"/>
      <c r="M308" s="35"/>
      <c r="N308" s="30" t="str">
        <f t="shared" si="14"/>
        <v/>
      </c>
      <c r="O308" s="36"/>
      <c r="P308" s="26"/>
      <c r="Q308" s="26"/>
      <c r="R308" s="29" t="str">
        <f>IF(C308="","",IF(COUNTIF($C$2:C308,C308)=1,"Nueva","Recurrente"))</f>
        <v/>
      </c>
      <c r="S308" s="29" t="str">
        <f>IF(OR(C308="",J308&lt;&gt;"Paquete"),"",COUNTIFS($C$2:C308,C308,$J$2:J308,"Paquete"))</f>
        <v/>
      </c>
      <c r="T308" s="26"/>
    </row>
    <row r="309" spans="1:20" x14ac:dyDescent="0.35">
      <c r="A309" s="26" t="s">
        <v>736</v>
      </c>
      <c r="B309" s="28"/>
      <c r="C309" s="26"/>
      <c r="D309" s="34" t="str">
        <f>IF($C309="","",IFERROR(IF(INDEX('🎓 Alumnas'!$C$2:$C$1000,MATCH($C309,'🎓 Alumnas'!$B$2:$B$1000,0))="","",INDEX('🎓 Alumnas'!$C$2:$C$1000,MATCH($C309,'🎓 Alumnas'!$B$2:$B$1000,0))),""))</f>
        <v/>
      </c>
      <c r="E309" s="29" t="str">
        <f>IF($C309="","",IFERROR(IF(INDEX('🎓 Alumnas'!$D$2:$D$1000,MATCH($C309,'🎓 Alumnas'!$B$2:$B$1000,0))="","",INDEX('🎓 Alumnas'!$D$2:$D$1000,MATCH($C309,'🎓 Alumnas'!$B$2:$B$1000,0))),""))</f>
        <v/>
      </c>
      <c r="F309" s="29" t="str">
        <f>IF($C309="","",IFERROR(IF(INDEX('🎓 Alumnas'!$E$2:$E$1000,MATCH($C309,'🎓 Alumnas'!$B$2:$B$1000,0))="","",INDEX('🎓 Alumnas'!$E$2:$E$1000,MATCH($C309,'🎓 Alumnas'!$B$2:$B$1000,0))),""))</f>
        <v/>
      </c>
      <c r="G309" s="31" t="str">
        <f>IF($C309="","",IFERROR(IF(INDEX('🎓 Alumnas'!$F$2:$F$1000,MATCH($C309,'🎓 Alumnas'!$B$2:$B$1000,0))="","",INDEX('🎓 Alumnas'!$F$2:$F$1000,MATCH($C309,'🎓 Alumnas'!$B$2:$B$1000,0))),""))</f>
        <v/>
      </c>
      <c r="H309" s="29" t="str">
        <f t="shared" ca="1" si="12"/>
        <v/>
      </c>
      <c r="I309" s="26"/>
      <c r="J309" s="29" t="str">
        <f t="shared" si="13"/>
        <v/>
      </c>
      <c r="K309" s="26"/>
      <c r="L309" s="26"/>
      <c r="M309" s="35"/>
      <c r="N309" s="30" t="str">
        <f t="shared" si="14"/>
        <v/>
      </c>
      <c r="O309" s="36"/>
      <c r="P309" s="26"/>
      <c r="Q309" s="26"/>
      <c r="R309" s="29" t="str">
        <f>IF(C309="","",IF(COUNTIF($C$2:C309,C309)=1,"Nueva","Recurrente"))</f>
        <v/>
      </c>
      <c r="S309" s="29" t="str">
        <f>IF(OR(C309="",J309&lt;&gt;"Paquete"),"",COUNTIFS($C$2:C309,C309,$J$2:J309,"Paquete"))</f>
        <v/>
      </c>
      <c r="T309" s="26"/>
    </row>
    <row r="310" spans="1:20" x14ac:dyDescent="0.35">
      <c r="A310" s="26" t="s">
        <v>737</v>
      </c>
      <c r="B310" s="28"/>
      <c r="C310" s="26"/>
      <c r="D310" s="34" t="str">
        <f>IF($C310="","",IFERROR(IF(INDEX('🎓 Alumnas'!$C$2:$C$1000,MATCH($C310,'🎓 Alumnas'!$B$2:$B$1000,0))="","",INDEX('🎓 Alumnas'!$C$2:$C$1000,MATCH($C310,'🎓 Alumnas'!$B$2:$B$1000,0))),""))</f>
        <v/>
      </c>
      <c r="E310" s="29" t="str">
        <f>IF($C310="","",IFERROR(IF(INDEX('🎓 Alumnas'!$D$2:$D$1000,MATCH($C310,'🎓 Alumnas'!$B$2:$B$1000,0))="","",INDEX('🎓 Alumnas'!$D$2:$D$1000,MATCH($C310,'🎓 Alumnas'!$B$2:$B$1000,0))),""))</f>
        <v/>
      </c>
      <c r="F310" s="29" t="str">
        <f>IF($C310="","",IFERROR(IF(INDEX('🎓 Alumnas'!$E$2:$E$1000,MATCH($C310,'🎓 Alumnas'!$B$2:$B$1000,0))="","",INDEX('🎓 Alumnas'!$E$2:$E$1000,MATCH($C310,'🎓 Alumnas'!$B$2:$B$1000,0))),""))</f>
        <v/>
      </c>
      <c r="G310" s="31" t="str">
        <f>IF($C310="","",IFERROR(IF(INDEX('🎓 Alumnas'!$F$2:$F$1000,MATCH($C310,'🎓 Alumnas'!$B$2:$B$1000,0))="","",INDEX('🎓 Alumnas'!$F$2:$F$1000,MATCH($C310,'🎓 Alumnas'!$B$2:$B$1000,0))),""))</f>
        <v/>
      </c>
      <c r="H310" s="29" t="str">
        <f t="shared" ca="1" si="12"/>
        <v/>
      </c>
      <c r="I310" s="26"/>
      <c r="J310" s="29" t="str">
        <f t="shared" si="13"/>
        <v/>
      </c>
      <c r="K310" s="26"/>
      <c r="L310" s="26"/>
      <c r="M310" s="35"/>
      <c r="N310" s="30" t="str">
        <f t="shared" si="14"/>
        <v/>
      </c>
      <c r="O310" s="36"/>
      <c r="P310" s="26"/>
      <c r="Q310" s="26"/>
      <c r="R310" s="29" t="str">
        <f>IF(C310="","",IF(COUNTIF($C$2:C310,C310)=1,"Nueva","Recurrente"))</f>
        <v/>
      </c>
      <c r="S310" s="29" t="str">
        <f>IF(OR(C310="",J310&lt;&gt;"Paquete"),"",COUNTIFS($C$2:C310,C310,$J$2:J310,"Paquete"))</f>
        <v/>
      </c>
      <c r="T310" s="26"/>
    </row>
    <row r="311" spans="1:20" x14ac:dyDescent="0.35">
      <c r="A311" s="26" t="s">
        <v>738</v>
      </c>
      <c r="B311" s="28"/>
      <c r="C311" s="26"/>
      <c r="D311" s="34" t="str">
        <f>IF($C311="","",IFERROR(IF(INDEX('🎓 Alumnas'!$C$2:$C$1000,MATCH($C311,'🎓 Alumnas'!$B$2:$B$1000,0))="","",INDEX('🎓 Alumnas'!$C$2:$C$1000,MATCH($C311,'🎓 Alumnas'!$B$2:$B$1000,0))),""))</f>
        <v/>
      </c>
      <c r="E311" s="29" t="str">
        <f>IF($C311="","",IFERROR(IF(INDEX('🎓 Alumnas'!$D$2:$D$1000,MATCH($C311,'🎓 Alumnas'!$B$2:$B$1000,0))="","",INDEX('🎓 Alumnas'!$D$2:$D$1000,MATCH($C311,'🎓 Alumnas'!$B$2:$B$1000,0))),""))</f>
        <v/>
      </c>
      <c r="F311" s="29" t="str">
        <f>IF($C311="","",IFERROR(IF(INDEX('🎓 Alumnas'!$E$2:$E$1000,MATCH($C311,'🎓 Alumnas'!$B$2:$B$1000,0))="","",INDEX('🎓 Alumnas'!$E$2:$E$1000,MATCH($C311,'🎓 Alumnas'!$B$2:$B$1000,0))),""))</f>
        <v/>
      </c>
      <c r="G311" s="31" t="str">
        <f>IF($C311="","",IFERROR(IF(INDEX('🎓 Alumnas'!$F$2:$F$1000,MATCH($C311,'🎓 Alumnas'!$B$2:$B$1000,0))="","",INDEX('🎓 Alumnas'!$F$2:$F$1000,MATCH($C311,'🎓 Alumnas'!$B$2:$B$1000,0))),""))</f>
        <v/>
      </c>
      <c r="H311" s="29" t="str">
        <f t="shared" ca="1" si="12"/>
        <v/>
      </c>
      <c r="I311" s="26"/>
      <c r="J311" s="29" t="str">
        <f t="shared" si="13"/>
        <v/>
      </c>
      <c r="K311" s="26"/>
      <c r="L311" s="26"/>
      <c r="M311" s="35"/>
      <c r="N311" s="30" t="str">
        <f t="shared" si="14"/>
        <v/>
      </c>
      <c r="O311" s="36"/>
      <c r="P311" s="26"/>
      <c r="Q311" s="26"/>
      <c r="R311" s="29" t="str">
        <f>IF(C311="","",IF(COUNTIF($C$2:C311,C311)=1,"Nueva","Recurrente"))</f>
        <v/>
      </c>
      <c r="S311" s="29" t="str">
        <f>IF(OR(C311="",J311&lt;&gt;"Paquete"),"",COUNTIFS($C$2:C311,C311,$J$2:J311,"Paquete"))</f>
        <v/>
      </c>
      <c r="T311" s="26"/>
    </row>
    <row r="312" spans="1:20" x14ac:dyDescent="0.35">
      <c r="A312" s="26" t="s">
        <v>739</v>
      </c>
      <c r="B312" s="28"/>
      <c r="C312" s="26"/>
      <c r="D312" s="34" t="str">
        <f>IF($C312="","",IFERROR(IF(INDEX('🎓 Alumnas'!$C$2:$C$1000,MATCH($C312,'🎓 Alumnas'!$B$2:$B$1000,0))="","",INDEX('🎓 Alumnas'!$C$2:$C$1000,MATCH($C312,'🎓 Alumnas'!$B$2:$B$1000,0))),""))</f>
        <v/>
      </c>
      <c r="E312" s="29" t="str">
        <f>IF($C312="","",IFERROR(IF(INDEX('🎓 Alumnas'!$D$2:$D$1000,MATCH($C312,'🎓 Alumnas'!$B$2:$B$1000,0))="","",INDEX('🎓 Alumnas'!$D$2:$D$1000,MATCH($C312,'🎓 Alumnas'!$B$2:$B$1000,0))),""))</f>
        <v/>
      </c>
      <c r="F312" s="29" t="str">
        <f>IF($C312="","",IFERROR(IF(INDEX('🎓 Alumnas'!$E$2:$E$1000,MATCH($C312,'🎓 Alumnas'!$B$2:$B$1000,0))="","",INDEX('🎓 Alumnas'!$E$2:$E$1000,MATCH($C312,'🎓 Alumnas'!$B$2:$B$1000,0))),""))</f>
        <v/>
      </c>
      <c r="G312" s="31" t="str">
        <f>IF($C312="","",IFERROR(IF(INDEX('🎓 Alumnas'!$F$2:$F$1000,MATCH($C312,'🎓 Alumnas'!$B$2:$B$1000,0))="","",INDEX('🎓 Alumnas'!$F$2:$F$1000,MATCH($C312,'🎓 Alumnas'!$B$2:$B$1000,0))),""))</f>
        <v/>
      </c>
      <c r="H312" s="29" t="str">
        <f t="shared" ca="1" si="12"/>
        <v/>
      </c>
      <c r="I312" s="26"/>
      <c r="J312" s="29" t="str">
        <f t="shared" si="13"/>
        <v/>
      </c>
      <c r="K312" s="26"/>
      <c r="L312" s="26"/>
      <c r="M312" s="35"/>
      <c r="N312" s="30" t="str">
        <f t="shared" si="14"/>
        <v/>
      </c>
      <c r="O312" s="36"/>
      <c r="P312" s="26"/>
      <c r="Q312" s="26"/>
      <c r="R312" s="29" t="str">
        <f>IF(C312="","",IF(COUNTIF($C$2:C312,C312)=1,"Nueva","Recurrente"))</f>
        <v/>
      </c>
      <c r="S312" s="29" t="str">
        <f>IF(OR(C312="",J312&lt;&gt;"Paquete"),"",COUNTIFS($C$2:C312,C312,$J$2:J312,"Paquete"))</f>
        <v/>
      </c>
      <c r="T312" s="26"/>
    </row>
    <row r="313" spans="1:20" x14ac:dyDescent="0.35">
      <c r="A313" s="26" t="s">
        <v>740</v>
      </c>
      <c r="B313" s="28"/>
      <c r="C313" s="26"/>
      <c r="D313" s="34" t="str">
        <f>IF($C313="","",IFERROR(IF(INDEX('🎓 Alumnas'!$C$2:$C$1000,MATCH($C313,'🎓 Alumnas'!$B$2:$B$1000,0))="","",INDEX('🎓 Alumnas'!$C$2:$C$1000,MATCH($C313,'🎓 Alumnas'!$B$2:$B$1000,0))),""))</f>
        <v/>
      </c>
      <c r="E313" s="29" t="str">
        <f>IF($C313="","",IFERROR(IF(INDEX('🎓 Alumnas'!$D$2:$D$1000,MATCH($C313,'🎓 Alumnas'!$B$2:$B$1000,0))="","",INDEX('🎓 Alumnas'!$D$2:$D$1000,MATCH($C313,'🎓 Alumnas'!$B$2:$B$1000,0))),""))</f>
        <v/>
      </c>
      <c r="F313" s="29" t="str">
        <f>IF($C313="","",IFERROR(IF(INDEX('🎓 Alumnas'!$E$2:$E$1000,MATCH($C313,'🎓 Alumnas'!$B$2:$B$1000,0))="","",INDEX('🎓 Alumnas'!$E$2:$E$1000,MATCH($C313,'🎓 Alumnas'!$B$2:$B$1000,0))),""))</f>
        <v/>
      </c>
      <c r="G313" s="31" t="str">
        <f>IF($C313="","",IFERROR(IF(INDEX('🎓 Alumnas'!$F$2:$F$1000,MATCH($C313,'🎓 Alumnas'!$B$2:$B$1000,0))="","",INDEX('🎓 Alumnas'!$F$2:$F$1000,MATCH($C313,'🎓 Alumnas'!$B$2:$B$1000,0))),""))</f>
        <v/>
      </c>
      <c r="H313" s="29" t="str">
        <f t="shared" ca="1" si="12"/>
        <v/>
      </c>
      <c r="I313" s="26"/>
      <c r="J313" s="29" t="str">
        <f t="shared" si="13"/>
        <v/>
      </c>
      <c r="K313" s="26"/>
      <c r="L313" s="26"/>
      <c r="M313" s="35"/>
      <c r="N313" s="30" t="str">
        <f t="shared" si="14"/>
        <v/>
      </c>
      <c r="O313" s="36"/>
      <c r="P313" s="26"/>
      <c r="Q313" s="26"/>
      <c r="R313" s="29" t="str">
        <f>IF(C313="","",IF(COUNTIF($C$2:C313,C313)=1,"Nueva","Recurrente"))</f>
        <v/>
      </c>
      <c r="S313" s="29" t="str">
        <f>IF(OR(C313="",J313&lt;&gt;"Paquete"),"",COUNTIFS($C$2:C313,C313,$J$2:J313,"Paquete"))</f>
        <v/>
      </c>
      <c r="T313" s="26"/>
    </row>
    <row r="314" spans="1:20" x14ac:dyDescent="0.35">
      <c r="A314" s="26" t="s">
        <v>741</v>
      </c>
      <c r="B314" s="28"/>
      <c r="C314" s="26"/>
      <c r="D314" s="34" t="str">
        <f>IF($C314="","",IFERROR(IF(INDEX('🎓 Alumnas'!$C$2:$C$1000,MATCH($C314,'🎓 Alumnas'!$B$2:$B$1000,0))="","",INDEX('🎓 Alumnas'!$C$2:$C$1000,MATCH($C314,'🎓 Alumnas'!$B$2:$B$1000,0))),""))</f>
        <v/>
      </c>
      <c r="E314" s="29" t="str">
        <f>IF($C314="","",IFERROR(IF(INDEX('🎓 Alumnas'!$D$2:$D$1000,MATCH($C314,'🎓 Alumnas'!$B$2:$B$1000,0))="","",INDEX('🎓 Alumnas'!$D$2:$D$1000,MATCH($C314,'🎓 Alumnas'!$B$2:$B$1000,0))),""))</f>
        <v/>
      </c>
      <c r="F314" s="29" t="str">
        <f>IF($C314="","",IFERROR(IF(INDEX('🎓 Alumnas'!$E$2:$E$1000,MATCH($C314,'🎓 Alumnas'!$B$2:$B$1000,0))="","",INDEX('🎓 Alumnas'!$E$2:$E$1000,MATCH($C314,'🎓 Alumnas'!$B$2:$B$1000,0))),""))</f>
        <v/>
      </c>
      <c r="G314" s="31" t="str">
        <f>IF($C314="","",IFERROR(IF(INDEX('🎓 Alumnas'!$F$2:$F$1000,MATCH($C314,'🎓 Alumnas'!$B$2:$B$1000,0))="","",INDEX('🎓 Alumnas'!$F$2:$F$1000,MATCH($C314,'🎓 Alumnas'!$B$2:$B$1000,0))),""))</f>
        <v/>
      </c>
      <c r="H314" s="29" t="str">
        <f t="shared" ca="1" si="12"/>
        <v/>
      </c>
      <c r="I314" s="26"/>
      <c r="J314" s="29" t="str">
        <f t="shared" si="13"/>
        <v/>
      </c>
      <c r="K314" s="26"/>
      <c r="L314" s="26"/>
      <c r="M314" s="35"/>
      <c r="N314" s="30" t="str">
        <f t="shared" si="14"/>
        <v/>
      </c>
      <c r="O314" s="36"/>
      <c r="P314" s="26"/>
      <c r="Q314" s="26"/>
      <c r="R314" s="29" t="str">
        <f>IF(C314="","",IF(COUNTIF($C$2:C314,C314)=1,"Nueva","Recurrente"))</f>
        <v/>
      </c>
      <c r="S314" s="29" t="str">
        <f>IF(OR(C314="",J314&lt;&gt;"Paquete"),"",COUNTIFS($C$2:C314,C314,$J$2:J314,"Paquete"))</f>
        <v/>
      </c>
      <c r="T314" s="26"/>
    </row>
    <row r="315" spans="1:20" x14ac:dyDescent="0.35">
      <c r="A315" s="26" t="s">
        <v>742</v>
      </c>
      <c r="B315" s="28"/>
      <c r="C315" s="26"/>
      <c r="D315" s="34" t="str">
        <f>IF($C315="","",IFERROR(IF(INDEX('🎓 Alumnas'!$C$2:$C$1000,MATCH($C315,'🎓 Alumnas'!$B$2:$B$1000,0))="","",INDEX('🎓 Alumnas'!$C$2:$C$1000,MATCH($C315,'🎓 Alumnas'!$B$2:$B$1000,0))),""))</f>
        <v/>
      </c>
      <c r="E315" s="29" t="str">
        <f>IF($C315="","",IFERROR(IF(INDEX('🎓 Alumnas'!$D$2:$D$1000,MATCH($C315,'🎓 Alumnas'!$B$2:$B$1000,0))="","",INDEX('🎓 Alumnas'!$D$2:$D$1000,MATCH($C315,'🎓 Alumnas'!$B$2:$B$1000,0))),""))</f>
        <v/>
      </c>
      <c r="F315" s="29" t="str">
        <f>IF($C315="","",IFERROR(IF(INDEX('🎓 Alumnas'!$E$2:$E$1000,MATCH($C315,'🎓 Alumnas'!$B$2:$B$1000,0))="","",INDEX('🎓 Alumnas'!$E$2:$E$1000,MATCH($C315,'🎓 Alumnas'!$B$2:$B$1000,0))),""))</f>
        <v/>
      </c>
      <c r="G315" s="31" t="str">
        <f>IF($C315="","",IFERROR(IF(INDEX('🎓 Alumnas'!$F$2:$F$1000,MATCH($C315,'🎓 Alumnas'!$B$2:$B$1000,0))="","",INDEX('🎓 Alumnas'!$F$2:$F$1000,MATCH($C315,'🎓 Alumnas'!$B$2:$B$1000,0))),""))</f>
        <v/>
      </c>
      <c r="H315" s="29" t="str">
        <f t="shared" ca="1" si="12"/>
        <v/>
      </c>
      <c r="I315" s="26"/>
      <c r="J315" s="29" t="str">
        <f t="shared" si="13"/>
        <v/>
      </c>
      <c r="K315" s="26"/>
      <c r="L315" s="26"/>
      <c r="M315" s="35"/>
      <c r="N315" s="30" t="str">
        <f t="shared" si="14"/>
        <v/>
      </c>
      <c r="O315" s="36"/>
      <c r="P315" s="26"/>
      <c r="Q315" s="26"/>
      <c r="R315" s="29" t="str">
        <f>IF(C315="","",IF(COUNTIF($C$2:C315,C315)=1,"Nueva","Recurrente"))</f>
        <v/>
      </c>
      <c r="S315" s="29" t="str">
        <f>IF(OR(C315="",J315&lt;&gt;"Paquete"),"",COUNTIFS($C$2:C315,C315,$J$2:J315,"Paquete"))</f>
        <v/>
      </c>
      <c r="T315" s="26"/>
    </row>
    <row r="316" spans="1:20" x14ac:dyDescent="0.35">
      <c r="A316" s="26" t="s">
        <v>743</v>
      </c>
      <c r="B316" s="28"/>
      <c r="C316" s="26"/>
      <c r="D316" s="34" t="str">
        <f>IF($C316="","",IFERROR(IF(INDEX('🎓 Alumnas'!$C$2:$C$1000,MATCH($C316,'🎓 Alumnas'!$B$2:$B$1000,0))="","",INDEX('🎓 Alumnas'!$C$2:$C$1000,MATCH($C316,'🎓 Alumnas'!$B$2:$B$1000,0))),""))</f>
        <v/>
      </c>
      <c r="E316" s="29" t="str">
        <f>IF($C316="","",IFERROR(IF(INDEX('🎓 Alumnas'!$D$2:$D$1000,MATCH($C316,'🎓 Alumnas'!$B$2:$B$1000,0))="","",INDEX('🎓 Alumnas'!$D$2:$D$1000,MATCH($C316,'🎓 Alumnas'!$B$2:$B$1000,0))),""))</f>
        <v/>
      </c>
      <c r="F316" s="29" t="str">
        <f>IF($C316="","",IFERROR(IF(INDEX('🎓 Alumnas'!$E$2:$E$1000,MATCH($C316,'🎓 Alumnas'!$B$2:$B$1000,0))="","",INDEX('🎓 Alumnas'!$E$2:$E$1000,MATCH($C316,'🎓 Alumnas'!$B$2:$B$1000,0))),""))</f>
        <v/>
      </c>
      <c r="G316" s="31" t="str">
        <f>IF($C316="","",IFERROR(IF(INDEX('🎓 Alumnas'!$F$2:$F$1000,MATCH($C316,'🎓 Alumnas'!$B$2:$B$1000,0))="","",INDEX('🎓 Alumnas'!$F$2:$F$1000,MATCH($C316,'🎓 Alumnas'!$B$2:$B$1000,0))),""))</f>
        <v/>
      </c>
      <c r="H316" s="29" t="str">
        <f t="shared" ca="1" si="12"/>
        <v/>
      </c>
      <c r="I316" s="26"/>
      <c r="J316" s="29" t="str">
        <f t="shared" si="13"/>
        <v/>
      </c>
      <c r="K316" s="26"/>
      <c r="L316" s="26"/>
      <c r="M316" s="35"/>
      <c r="N316" s="30" t="str">
        <f t="shared" si="14"/>
        <v/>
      </c>
      <c r="O316" s="36"/>
      <c r="P316" s="26"/>
      <c r="Q316" s="26"/>
      <c r="R316" s="29" t="str">
        <f>IF(C316="","",IF(COUNTIF($C$2:C316,C316)=1,"Nueva","Recurrente"))</f>
        <v/>
      </c>
      <c r="S316" s="29" t="str">
        <f>IF(OR(C316="",J316&lt;&gt;"Paquete"),"",COUNTIFS($C$2:C316,C316,$J$2:J316,"Paquete"))</f>
        <v/>
      </c>
      <c r="T316" s="26"/>
    </row>
    <row r="317" spans="1:20" x14ac:dyDescent="0.35">
      <c r="A317" s="26" t="s">
        <v>744</v>
      </c>
      <c r="B317" s="28"/>
      <c r="C317" s="26"/>
      <c r="D317" s="34" t="str">
        <f>IF($C317="","",IFERROR(IF(INDEX('🎓 Alumnas'!$C$2:$C$1000,MATCH($C317,'🎓 Alumnas'!$B$2:$B$1000,0))="","",INDEX('🎓 Alumnas'!$C$2:$C$1000,MATCH($C317,'🎓 Alumnas'!$B$2:$B$1000,0))),""))</f>
        <v/>
      </c>
      <c r="E317" s="29" t="str">
        <f>IF($C317="","",IFERROR(IF(INDEX('🎓 Alumnas'!$D$2:$D$1000,MATCH($C317,'🎓 Alumnas'!$B$2:$B$1000,0))="","",INDEX('🎓 Alumnas'!$D$2:$D$1000,MATCH($C317,'🎓 Alumnas'!$B$2:$B$1000,0))),""))</f>
        <v/>
      </c>
      <c r="F317" s="29" t="str">
        <f>IF($C317="","",IFERROR(IF(INDEX('🎓 Alumnas'!$E$2:$E$1000,MATCH($C317,'🎓 Alumnas'!$B$2:$B$1000,0))="","",INDEX('🎓 Alumnas'!$E$2:$E$1000,MATCH($C317,'🎓 Alumnas'!$B$2:$B$1000,0))),""))</f>
        <v/>
      </c>
      <c r="G317" s="31" t="str">
        <f>IF($C317="","",IFERROR(IF(INDEX('🎓 Alumnas'!$F$2:$F$1000,MATCH($C317,'🎓 Alumnas'!$B$2:$B$1000,0))="","",INDEX('🎓 Alumnas'!$F$2:$F$1000,MATCH($C317,'🎓 Alumnas'!$B$2:$B$1000,0))),""))</f>
        <v/>
      </c>
      <c r="H317" s="29" t="str">
        <f t="shared" ca="1" si="12"/>
        <v/>
      </c>
      <c r="I317" s="26"/>
      <c r="J317" s="29" t="str">
        <f t="shared" si="13"/>
        <v/>
      </c>
      <c r="K317" s="26"/>
      <c r="L317" s="26"/>
      <c r="M317" s="35"/>
      <c r="N317" s="30" t="str">
        <f t="shared" si="14"/>
        <v/>
      </c>
      <c r="O317" s="36"/>
      <c r="P317" s="26"/>
      <c r="Q317" s="26"/>
      <c r="R317" s="29" t="str">
        <f>IF(C317="","",IF(COUNTIF($C$2:C317,C317)=1,"Nueva","Recurrente"))</f>
        <v/>
      </c>
      <c r="S317" s="29" t="str">
        <f>IF(OR(C317="",J317&lt;&gt;"Paquete"),"",COUNTIFS($C$2:C317,C317,$J$2:J317,"Paquete"))</f>
        <v/>
      </c>
      <c r="T317" s="26"/>
    </row>
    <row r="318" spans="1:20" x14ac:dyDescent="0.35">
      <c r="A318" s="26" t="s">
        <v>745</v>
      </c>
      <c r="B318" s="28"/>
      <c r="C318" s="26"/>
      <c r="D318" s="34" t="str">
        <f>IF($C318="","",IFERROR(IF(INDEX('🎓 Alumnas'!$C$2:$C$1000,MATCH($C318,'🎓 Alumnas'!$B$2:$B$1000,0))="","",INDEX('🎓 Alumnas'!$C$2:$C$1000,MATCH($C318,'🎓 Alumnas'!$B$2:$B$1000,0))),""))</f>
        <v/>
      </c>
      <c r="E318" s="29" t="str">
        <f>IF($C318="","",IFERROR(IF(INDEX('🎓 Alumnas'!$D$2:$D$1000,MATCH($C318,'🎓 Alumnas'!$B$2:$B$1000,0))="","",INDEX('🎓 Alumnas'!$D$2:$D$1000,MATCH($C318,'🎓 Alumnas'!$B$2:$B$1000,0))),""))</f>
        <v/>
      </c>
      <c r="F318" s="29" t="str">
        <f>IF($C318="","",IFERROR(IF(INDEX('🎓 Alumnas'!$E$2:$E$1000,MATCH($C318,'🎓 Alumnas'!$B$2:$B$1000,0))="","",INDEX('🎓 Alumnas'!$E$2:$E$1000,MATCH($C318,'🎓 Alumnas'!$B$2:$B$1000,0))),""))</f>
        <v/>
      </c>
      <c r="G318" s="31" t="str">
        <f>IF($C318="","",IFERROR(IF(INDEX('🎓 Alumnas'!$F$2:$F$1000,MATCH($C318,'🎓 Alumnas'!$B$2:$B$1000,0))="","",INDEX('🎓 Alumnas'!$F$2:$F$1000,MATCH($C318,'🎓 Alumnas'!$B$2:$B$1000,0))),""))</f>
        <v/>
      </c>
      <c r="H318" s="29" t="str">
        <f t="shared" ca="1" si="12"/>
        <v/>
      </c>
      <c r="I318" s="26"/>
      <c r="J318" s="29" t="str">
        <f t="shared" si="13"/>
        <v/>
      </c>
      <c r="K318" s="26"/>
      <c r="L318" s="26"/>
      <c r="M318" s="35"/>
      <c r="N318" s="30" t="str">
        <f t="shared" si="14"/>
        <v/>
      </c>
      <c r="O318" s="36"/>
      <c r="P318" s="26"/>
      <c r="Q318" s="26"/>
      <c r="R318" s="29" t="str">
        <f>IF(C318="","",IF(COUNTIF($C$2:C318,C318)=1,"Nueva","Recurrente"))</f>
        <v/>
      </c>
      <c r="S318" s="29" t="str">
        <f>IF(OR(C318="",J318&lt;&gt;"Paquete"),"",COUNTIFS($C$2:C318,C318,$J$2:J318,"Paquete"))</f>
        <v/>
      </c>
      <c r="T318" s="26"/>
    </row>
    <row r="319" spans="1:20" x14ac:dyDescent="0.35">
      <c r="A319" s="26" t="s">
        <v>746</v>
      </c>
      <c r="B319" s="28"/>
      <c r="C319" s="26"/>
      <c r="D319" s="34" t="str">
        <f>IF($C319="","",IFERROR(IF(INDEX('🎓 Alumnas'!$C$2:$C$1000,MATCH($C319,'🎓 Alumnas'!$B$2:$B$1000,0))="","",INDEX('🎓 Alumnas'!$C$2:$C$1000,MATCH($C319,'🎓 Alumnas'!$B$2:$B$1000,0))),""))</f>
        <v/>
      </c>
      <c r="E319" s="29" t="str">
        <f>IF($C319="","",IFERROR(IF(INDEX('🎓 Alumnas'!$D$2:$D$1000,MATCH($C319,'🎓 Alumnas'!$B$2:$B$1000,0))="","",INDEX('🎓 Alumnas'!$D$2:$D$1000,MATCH($C319,'🎓 Alumnas'!$B$2:$B$1000,0))),""))</f>
        <v/>
      </c>
      <c r="F319" s="29" t="str">
        <f>IF($C319="","",IFERROR(IF(INDEX('🎓 Alumnas'!$E$2:$E$1000,MATCH($C319,'🎓 Alumnas'!$B$2:$B$1000,0))="","",INDEX('🎓 Alumnas'!$E$2:$E$1000,MATCH($C319,'🎓 Alumnas'!$B$2:$B$1000,0))),""))</f>
        <v/>
      </c>
      <c r="G319" s="31" t="str">
        <f>IF($C319="","",IFERROR(IF(INDEX('🎓 Alumnas'!$F$2:$F$1000,MATCH($C319,'🎓 Alumnas'!$B$2:$B$1000,0))="","",INDEX('🎓 Alumnas'!$F$2:$F$1000,MATCH($C319,'🎓 Alumnas'!$B$2:$B$1000,0))),""))</f>
        <v/>
      </c>
      <c r="H319" s="29" t="str">
        <f t="shared" ca="1" si="12"/>
        <v/>
      </c>
      <c r="I319" s="26"/>
      <c r="J319" s="29" t="str">
        <f t="shared" si="13"/>
        <v/>
      </c>
      <c r="K319" s="26"/>
      <c r="L319" s="26"/>
      <c r="M319" s="35"/>
      <c r="N319" s="30" t="str">
        <f t="shared" si="14"/>
        <v/>
      </c>
      <c r="O319" s="36"/>
      <c r="P319" s="26"/>
      <c r="Q319" s="26"/>
      <c r="R319" s="29" t="str">
        <f>IF(C319="","",IF(COUNTIF($C$2:C319,C319)=1,"Nueva","Recurrente"))</f>
        <v/>
      </c>
      <c r="S319" s="29" t="str">
        <f>IF(OR(C319="",J319&lt;&gt;"Paquete"),"",COUNTIFS($C$2:C319,C319,$J$2:J319,"Paquete"))</f>
        <v/>
      </c>
      <c r="T319" s="26"/>
    </row>
    <row r="320" spans="1:20" x14ac:dyDescent="0.35">
      <c r="A320" s="26" t="s">
        <v>747</v>
      </c>
      <c r="B320" s="28"/>
      <c r="C320" s="26"/>
      <c r="D320" s="34" t="str">
        <f>IF($C320="","",IFERROR(IF(INDEX('🎓 Alumnas'!$C$2:$C$1000,MATCH($C320,'🎓 Alumnas'!$B$2:$B$1000,0))="","",INDEX('🎓 Alumnas'!$C$2:$C$1000,MATCH($C320,'🎓 Alumnas'!$B$2:$B$1000,0))),""))</f>
        <v/>
      </c>
      <c r="E320" s="29" t="str">
        <f>IF($C320="","",IFERROR(IF(INDEX('🎓 Alumnas'!$D$2:$D$1000,MATCH($C320,'🎓 Alumnas'!$B$2:$B$1000,0))="","",INDEX('🎓 Alumnas'!$D$2:$D$1000,MATCH($C320,'🎓 Alumnas'!$B$2:$B$1000,0))),""))</f>
        <v/>
      </c>
      <c r="F320" s="29" t="str">
        <f>IF($C320="","",IFERROR(IF(INDEX('🎓 Alumnas'!$E$2:$E$1000,MATCH($C320,'🎓 Alumnas'!$B$2:$B$1000,0))="","",INDEX('🎓 Alumnas'!$E$2:$E$1000,MATCH($C320,'🎓 Alumnas'!$B$2:$B$1000,0))),""))</f>
        <v/>
      </c>
      <c r="G320" s="31" t="str">
        <f>IF($C320="","",IFERROR(IF(INDEX('🎓 Alumnas'!$F$2:$F$1000,MATCH($C320,'🎓 Alumnas'!$B$2:$B$1000,0))="","",INDEX('🎓 Alumnas'!$F$2:$F$1000,MATCH($C320,'🎓 Alumnas'!$B$2:$B$1000,0))),""))</f>
        <v/>
      </c>
      <c r="H320" s="29" t="str">
        <f t="shared" ca="1" si="12"/>
        <v/>
      </c>
      <c r="I320" s="26"/>
      <c r="J320" s="29" t="str">
        <f t="shared" si="13"/>
        <v/>
      </c>
      <c r="K320" s="26"/>
      <c r="L320" s="26"/>
      <c r="M320" s="35"/>
      <c r="N320" s="30" t="str">
        <f t="shared" si="14"/>
        <v/>
      </c>
      <c r="O320" s="36"/>
      <c r="P320" s="26"/>
      <c r="Q320" s="26"/>
      <c r="R320" s="29" t="str">
        <f>IF(C320="","",IF(COUNTIF($C$2:C320,C320)=1,"Nueva","Recurrente"))</f>
        <v/>
      </c>
      <c r="S320" s="29" t="str">
        <f>IF(OR(C320="",J320&lt;&gt;"Paquete"),"",COUNTIFS($C$2:C320,C320,$J$2:J320,"Paquete"))</f>
        <v/>
      </c>
      <c r="T320" s="26"/>
    </row>
    <row r="321" spans="1:20" x14ac:dyDescent="0.35">
      <c r="A321" s="26" t="s">
        <v>748</v>
      </c>
      <c r="B321" s="28"/>
      <c r="C321" s="26"/>
      <c r="D321" s="34" t="str">
        <f>IF($C321="","",IFERROR(IF(INDEX('🎓 Alumnas'!$C$2:$C$1000,MATCH($C321,'🎓 Alumnas'!$B$2:$B$1000,0))="","",INDEX('🎓 Alumnas'!$C$2:$C$1000,MATCH($C321,'🎓 Alumnas'!$B$2:$B$1000,0))),""))</f>
        <v/>
      </c>
      <c r="E321" s="29" t="str">
        <f>IF($C321="","",IFERROR(IF(INDEX('🎓 Alumnas'!$D$2:$D$1000,MATCH($C321,'🎓 Alumnas'!$B$2:$B$1000,0))="","",INDEX('🎓 Alumnas'!$D$2:$D$1000,MATCH($C321,'🎓 Alumnas'!$B$2:$B$1000,0))),""))</f>
        <v/>
      </c>
      <c r="F321" s="29" t="str">
        <f>IF($C321="","",IFERROR(IF(INDEX('🎓 Alumnas'!$E$2:$E$1000,MATCH($C321,'🎓 Alumnas'!$B$2:$B$1000,0))="","",INDEX('🎓 Alumnas'!$E$2:$E$1000,MATCH($C321,'🎓 Alumnas'!$B$2:$B$1000,0))),""))</f>
        <v/>
      </c>
      <c r="G321" s="31" t="str">
        <f>IF($C321="","",IFERROR(IF(INDEX('🎓 Alumnas'!$F$2:$F$1000,MATCH($C321,'🎓 Alumnas'!$B$2:$B$1000,0))="","",INDEX('🎓 Alumnas'!$F$2:$F$1000,MATCH($C321,'🎓 Alumnas'!$B$2:$B$1000,0))),""))</f>
        <v/>
      </c>
      <c r="H321" s="29" t="str">
        <f t="shared" ca="1" si="12"/>
        <v/>
      </c>
      <c r="I321" s="26"/>
      <c r="J321" s="29" t="str">
        <f t="shared" si="13"/>
        <v/>
      </c>
      <c r="K321" s="26"/>
      <c r="L321" s="26"/>
      <c r="M321" s="35"/>
      <c r="N321" s="30" t="str">
        <f t="shared" si="14"/>
        <v/>
      </c>
      <c r="O321" s="36"/>
      <c r="P321" s="26"/>
      <c r="Q321" s="26"/>
      <c r="R321" s="29" t="str">
        <f>IF(C321="","",IF(COUNTIF($C$2:C321,C321)=1,"Nueva","Recurrente"))</f>
        <v/>
      </c>
      <c r="S321" s="29" t="str">
        <f>IF(OR(C321="",J321&lt;&gt;"Paquete"),"",COUNTIFS($C$2:C321,C321,$J$2:J321,"Paquete"))</f>
        <v/>
      </c>
      <c r="T321" s="26"/>
    </row>
    <row r="322" spans="1:20" x14ac:dyDescent="0.35">
      <c r="A322" s="26" t="s">
        <v>749</v>
      </c>
      <c r="B322" s="28"/>
      <c r="C322" s="26"/>
      <c r="D322" s="34" t="str">
        <f>IF($C322="","",IFERROR(IF(INDEX('🎓 Alumnas'!$C$2:$C$1000,MATCH($C322,'🎓 Alumnas'!$B$2:$B$1000,0))="","",INDEX('🎓 Alumnas'!$C$2:$C$1000,MATCH($C322,'🎓 Alumnas'!$B$2:$B$1000,0))),""))</f>
        <v/>
      </c>
      <c r="E322" s="29" t="str">
        <f>IF($C322="","",IFERROR(IF(INDEX('🎓 Alumnas'!$D$2:$D$1000,MATCH($C322,'🎓 Alumnas'!$B$2:$B$1000,0))="","",INDEX('🎓 Alumnas'!$D$2:$D$1000,MATCH($C322,'🎓 Alumnas'!$B$2:$B$1000,0))),""))</f>
        <v/>
      </c>
      <c r="F322" s="29" t="str">
        <f>IF($C322="","",IFERROR(IF(INDEX('🎓 Alumnas'!$E$2:$E$1000,MATCH($C322,'🎓 Alumnas'!$B$2:$B$1000,0))="","",INDEX('🎓 Alumnas'!$E$2:$E$1000,MATCH($C322,'🎓 Alumnas'!$B$2:$B$1000,0))),""))</f>
        <v/>
      </c>
      <c r="G322" s="31" t="str">
        <f>IF($C322="","",IFERROR(IF(INDEX('🎓 Alumnas'!$F$2:$F$1000,MATCH($C322,'🎓 Alumnas'!$B$2:$B$1000,0))="","",INDEX('🎓 Alumnas'!$F$2:$F$1000,MATCH($C322,'🎓 Alumnas'!$B$2:$B$1000,0))),""))</f>
        <v/>
      </c>
      <c r="H322" s="29" t="str">
        <f t="shared" ref="H322:H385" ca="1" si="15">IF(G322="","",DATEDIF(G322,TODAY(),"Y"))</f>
        <v/>
      </c>
      <c r="I322" s="26"/>
      <c r="J322" s="29" t="str">
        <f t="shared" ref="J322:J385" si="16">IF(I322="","",IF(LEFT(I322,6)="1 Pole","Alquiler",IF(LEFT(I322,7)="1 Clase","Clase suelta","Paquete")))</f>
        <v/>
      </c>
      <c r="K322" s="26"/>
      <c r="L322" s="26"/>
      <c r="M322" s="35"/>
      <c r="N322" s="30" t="str">
        <f t="shared" ref="N322:N385" si="17">IF(M322="","",L322*M322)</f>
        <v/>
      </c>
      <c r="O322" s="36"/>
      <c r="P322" s="26"/>
      <c r="Q322" s="26"/>
      <c r="R322" s="29" t="str">
        <f>IF(C322="","",IF(COUNTIF($C$2:C322,C322)=1,"Nueva","Recurrente"))</f>
        <v/>
      </c>
      <c r="S322" s="29" t="str">
        <f>IF(OR(C322="",J322&lt;&gt;"Paquete"),"",COUNTIFS($C$2:C322,C322,$J$2:J322,"Paquete"))</f>
        <v/>
      </c>
      <c r="T322" s="26"/>
    </row>
    <row r="323" spans="1:20" x14ac:dyDescent="0.35">
      <c r="A323" s="26" t="s">
        <v>750</v>
      </c>
      <c r="B323" s="28"/>
      <c r="C323" s="26"/>
      <c r="D323" s="34" t="str">
        <f>IF($C323="","",IFERROR(IF(INDEX('🎓 Alumnas'!$C$2:$C$1000,MATCH($C323,'🎓 Alumnas'!$B$2:$B$1000,0))="","",INDEX('🎓 Alumnas'!$C$2:$C$1000,MATCH($C323,'🎓 Alumnas'!$B$2:$B$1000,0))),""))</f>
        <v/>
      </c>
      <c r="E323" s="29" t="str">
        <f>IF($C323="","",IFERROR(IF(INDEX('🎓 Alumnas'!$D$2:$D$1000,MATCH($C323,'🎓 Alumnas'!$B$2:$B$1000,0))="","",INDEX('🎓 Alumnas'!$D$2:$D$1000,MATCH($C323,'🎓 Alumnas'!$B$2:$B$1000,0))),""))</f>
        <v/>
      </c>
      <c r="F323" s="29" t="str">
        <f>IF($C323="","",IFERROR(IF(INDEX('🎓 Alumnas'!$E$2:$E$1000,MATCH($C323,'🎓 Alumnas'!$B$2:$B$1000,0))="","",INDEX('🎓 Alumnas'!$E$2:$E$1000,MATCH($C323,'🎓 Alumnas'!$B$2:$B$1000,0))),""))</f>
        <v/>
      </c>
      <c r="G323" s="31" t="str">
        <f>IF($C323="","",IFERROR(IF(INDEX('🎓 Alumnas'!$F$2:$F$1000,MATCH($C323,'🎓 Alumnas'!$B$2:$B$1000,0))="","",INDEX('🎓 Alumnas'!$F$2:$F$1000,MATCH($C323,'🎓 Alumnas'!$B$2:$B$1000,0))),""))</f>
        <v/>
      </c>
      <c r="H323" s="29" t="str">
        <f t="shared" ca="1" si="15"/>
        <v/>
      </c>
      <c r="I323" s="26"/>
      <c r="J323" s="29" t="str">
        <f t="shared" si="16"/>
        <v/>
      </c>
      <c r="K323" s="26"/>
      <c r="L323" s="26"/>
      <c r="M323" s="35"/>
      <c r="N323" s="30" t="str">
        <f t="shared" si="17"/>
        <v/>
      </c>
      <c r="O323" s="36"/>
      <c r="P323" s="26"/>
      <c r="Q323" s="26"/>
      <c r="R323" s="29" t="str">
        <f>IF(C323="","",IF(COUNTIF($C$2:C323,C323)=1,"Nueva","Recurrente"))</f>
        <v/>
      </c>
      <c r="S323" s="29" t="str">
        <f>IF(OR(C323="",J323&lt;&gt;"Paquete"),"",COUNTIFS($C$2:C323,C323,$J$2:J323,"Paquete"))</f>
        <v/>
      </c>
      <c r="T323" s="26"/>
    </row>
    <row r="324" spans="1:20" x14ac:dyDescent="0.35">
      <c r="A324" s="26" t="s">
        <v>751</v>
      </c>
      <c r="B324" s="28"/>
      <c r="C324" s="26"/>
      <c r="D324" s="34" t="str">
        <f>IF($C324="","",IFERROR(IF(INDEX('🎓 Alumnas'!$C$2:$C$1000,MATCH($C324,'🎓 Alumnas'!$B$2:$B$1000,0))="","",INDEX('🎓 Alumnas'!$C$2:$C$1000,MATCH($C324,'🎓 Alumnas'!$B$2:$B$1000,0))),""))</f>
        <v/>
      </c>
      <c r="E324" s="29" t="str">
        <f>IF($C324="","",IFERROR(IF(INDEX('🎓 Alumnas'!$D$2:$D$1000,MATCH($C324,'🎓 Alumnas'!$B$2:$B$1000,0))="","",INDEX('🎓 Alumnas'!$D$2:$D$1000,MATCH($C324,'🎓 Alumnas'!$B$2:$B$1000,0))),""))</f>
        <v/>
      </c>
      <c r="F324" s="29" t="str">
        <f>IF($C324="","",IFERROR(IF(INDEX('🎓 Alumnas'!$E$2:$E$1000,MATCH($C324,'🎓 Alumnas'!$B$2:$B$1000,0))="","",INDEX('🎓 Alumnas'!$E$2:$E$1000,MATCH($C324,'🎓 Alumnas'!$B$2:$B$1000,0))),""))</f>
        <v/>
      </c>
      <c r="G324" s="31" t="str">
        <f>IF($C324="","",IFERROR(IF(INDEX('🎓 Alumnas'!$F$2:$F$1000,MATCH($C324,'🎓 Alumnas'!$B$2:$B$1000,0))="","",INDEX('🎓 Alumnas'!$F$2:$F$1000,MATCH($C324,'🎓 Alumnas'!$B$2:$B$1000,0))),""))</f>
        <v/>
      </c>
      <c r="H324" s="29" t="str">
        <f t="shared" ca="1" si="15"/>
        <v/>
      </c>
      <c r="I324" s="26"/>
      <c r="J324" s="29" t="str">
        <f t="shared" si="16"/>
        <v/>
      </c>
      <c r="K324" s="26"/>
      <c r="L324" s="26"/>
      <c r="M324" s="35"/>
      <c r="N324" s="30" t="str">
        <f t="shared" si="17"/>
        <v/>
      </c>
      <c r="O324" s="36"/>
      <c r="P324" s="26"/>
      <c r="Q324" s="26"/>
      <c r="R324" s="29" t="str">
        <f>IF(C324="","",IF(COUNTIF($C$2:C324,C324)=1,"Nueva","Recurrente"))</f>
        <v/>
      </c>
      <c r="S324" s="29" t="str">
        <f>IF(OR(C324="",J324&lt;&gt;"Paquete"),"",COUNTIFS($C$2:C324,C324,$J$2:J324,"Paquete"))</f>
        <v/>
      </c>
      <c r="T324" s="26"/>
    </row>
    <row r="325" spans="1:20" x14ac:dyDescent="0.35">
      <c r="A325" s="26" t="s">
        <v>752</v>
      </c>
      <c r="B325" s="28"/>
      <c r="C325" s="26"/>
      <c r="D325" s="34" t="str">
        <f>IF($C325="","",IFERROR(IF(INDEX('🎓 Alumnas'!$C$2:$C$1000,MATCH($C325,'🎓 Alumnas'!$B$2:$B$1000,0))="","",INDEX('🎓 Alumnas'!$C$2:$C$1000,MATCH($C325,'🎓 Alumnas'!$B$2:$B$1000,0))),""))</f>
        <v/>
      </c>
      <c r="E325" s="29" t="str">
        <f>IF($C325="","",IFERROR(IF(INDEX('🎓 Alumnas'!$D$2:$D$1000,MATCH($C325,'🎓 Alumnas'!$B$2:$B$1000,0))="","",INDEX('🎓 Alumnas'!$D$2:$D$1000,MATCH($C325,'🎓 Alumnas'!$B$2:$B$1000,0))),""))</f>
        <v/>
      </c>
      <c r="F325" s="29" t="str">
        <f>IF($C325="","",IFERROR(IF(INDEX('🎓 Alumnas'!$E$2:$E$1000,MATCH($C325,'🎓 Alumnas'!$B$2:$B$1000,0))="","",INDEX('🎓 Alumnas'!$E$2:$E$1000,MATCH($C325,'🎓 Alumnas'!$B$2:$B$1000,0))),""))</f>
        <v/>
      </c>
      <c r="G325" s="31" t="str">
        <f>IF($C325="","",IFERROR(IF(INDEX('🎓 Alumnas'!$F$2:$F$1000,MATCH($C325,'🎓 Alumnas'!$B$2:$B$1000,0))="","",INDEX('🎓 Alumnas'!$F$2:$F$1000,MATCH($C325,'🎓 Alumnas'!$B$2:$B$1000,0))),""))</f>
        <v/>
      </c>
      <c r="H325" s="29" t="str">
        <f t="shared" ca="1" si="15"/>
        <v/>
      </c>
      <c r="I325" s="26"/>
      <c r="J325" s="29" t="str">
        <f t="shared" si="16"/>
        <v/>
      </c>
      <c r="K325" s="26"/>
      <c r="L325" s="26"/>
      <c r="M325" s="35"/>
      <c r="N325" s="30" t="str">
        <f t="shared" si="17"/>
        <v/>
      </c>
      <c r="O325" s="36"/>
      <c r="P325" s="26"/>
      <c r="Q325" s="26"/>
      <c r="R325" s="29" t="str">
        <f>IF(C325="","",IF(COUNTIF($C$2:C325,C325)=1,"Nueva","Recurrente"))</f>
        <v/>
      </c>
      <c r="S325" s="29" t="str">
        <f>IF(OR(C325="",J325&lt;&gt;"Paquete"),"",COUNTIFS($C$2:C325,C325,$J$2:J325,"Paquete"))</f>
        <v/>
      </c>
      <c r="T325" s="26"/>
    </row>
    <row r="326" spans="1:20" x14ac:dyDescent="0.35">
      <c r="A326" s="26" t="s">
        <v>753</v>
      </c>
      <c r="B326" s="28"/>
      <c r="C326" s="26"/>
      <c r="D326" s="34" t="str">
        <f>IF($C326="","",IFERROR(IF(INDEX('🎓 Alumnas'!$C$2:$C$1000,MATCH($C326,'🎓 Alumnas'!$B$2:$B$1000,0))="","",INDEX('🎓 Alumnas'!$C$2:$C$1000,MATCH($C326,'🎓 Alumnas'!$B$2:$B$1000,0))),""))</f>
        <v/>
      </c>
      <c r="E326" s="29" t="str">
        <f>IF($C326="","",IFERROR(IF(INDEX('🎓 Alumnas'!$D$2:$D$1000,MATCH($C326,'🎓 Alumnas'!$B$2:$B$1000,0))="","",INDEX('🎓 Alumnas'!$D$2:$D$1000,MATCH($C326,'🎓 Alumnas'!$B$2:$B$1000,0))),""))</f>
        <v/>
      </c>
      <c r="F326" s="29" t="str">
        <f>IF($C326="","",IFERROR(IF(INDEX('🎓 Alumnas'!$E$2:$E$1000,MATCH($C326,'🎓 Alumnas'!$B$2:$B$1000,0))="","",INDEX('🎓 Alumnas'!$E$2:$E$1000,MATCH($C326,'🎓 Alumnas'!$B$2:$B$1000,0))),""))</f>
        <v/>
      </c>
      <c r="G326" s="31" t="str">
        <f>IF($C326="","",IFERROR(IF(INDEX('🎓 Alumnas'!$F$2:$F$1000,MATCH($C326,'🎓 Alumnas'!$B$2:$B$1000,0))="","",INDEX('🎓 Alumnas'!$F$2:$F$1000,MATCH($C326,'🎓 Alumnas'!$B$2:$B$1000,0))),""))</f>
        <v/>
      </c>
      <c r="H326" s="29" t="str">
        <f t="shared" ca="1" si="15"/>
        <v/>
      </c>
      <c r="I326" s="26"/>
      <c r="J326" s="29" t="str">
        <f t="shared" si="16"/>
        <v/>
      </c>
      <c r="K326" s="26"/>
      <c r="L326" s="26"/>
      <c r="M326" s="35"/>
      <c r="N326" s="30" t="str">
        <f t="shared" si="17"/>
        <v/>
      </c>
      <c r="O326" s="36"/>
      <c r="P326" s="26"/>
      <c r="Q326" s="26"/>
      <c r="R326" s="29" t="str">
        <f>IF(C326="","",IF(COUNTIF($C$2:C326,C326)=1,"Nueva","Recurrente"))</f>
        <v/>
      </c>
      <c r="S326" s="29" t="str">
        <f>IF(OR(C326="",J326&lt;&gt;"Paquete"),"",COUNTIFS($C$2:C326,C326,$J$2:J326,"Paquete"))</f>
        <v/>
      </c>
      <c r="T326" s="26"/>
    </row>
    <row r="327" spans="1:20" x14ac:dyDescent="0.35">
      <c r="A327" s="26" t="s">
        <v>754</v>
      </c>
      <c r="B327" s="28"/>
      <c r="C327" s="26"/>
      <c r="D327" s="34" t="str">
        <f>IF($C327="","",IFERROR(IF(INDEX('🎓 Alumnas'!$C$2:$C$1000,MATCH($C327,'🎓 Alumnas'!$B$2:$B$1000,0))="","",INDEX('🎓 Alumnas'!$C$2:$C$1000,MATCH($C327,'🎓 Alumnas'!$B$2:$B$1000,0))),""))</f>
        <v/>
      </c>
      <c r="E327" s="29" t="str">
        <f>IF($C327="","",IFERROR(IF(INDEX('🎓 Alumnas'!$D$2:$D$1000,MATCH($C327,'🎓 Alumnas'!$B$2:$B$1000,0))="","",INDEX('🎓 Alumnas'!$D$2:$D$1000,MATCH($C327,'🎓 Alumnas'!$B$2:$B$1000,0))),""))</f>
        <v/>
      </c>
      <c r="F327" s="29" t="str">
        <f>IF($C327="","",IFERROR(IF(INDEX('🎓 Alumnas'!$E$2:$E$1000,MATCH($C327,'🎓 Alumnas'!$B$2:$B$1000,0))="","",INDEX('🎓 Alumnas'!$E$2:$E$1000,MATCH($C327,'🎓 Alumnas'!$B$2:$B$1000,0))),""))</f>
        <v/>
      </c>
      <c r="G327" s="31" t="str">
        <f>IF($C327="","",IFERROR(IF(INDEX('🎓 Alumnas'!$F$2:$F$1000,MATCH($C327,'🎓 Alumnas'!$B$2:$B$1000,0))="","",INDEX('🎓 Alumnas'!$F$2:$F$1000,MATCH($C327,'🎓 Alumnas'!$B$2:$B$1000,0))),""))</f>
        <v/>
      </c>
      <c r="H327" s="29" t="str">
        <f t="shared" ca="1" si="15"/>
        <v/>
      </c>
      <c r="I327" s="26"/>
      <c r="J327" s="29" t="str">
        <f t="shared" si="16"/>
        <v/>
      </c>
      <c r="K327" s="26"/>
      <c r="L327" s="26"/>
      <c r="M327" s="35"/>
      <c r="N327" s="30" t="str">
        <f t="shared" si="17"/>
        <v/>
      </c>
      <c r="O327" s="36"/>
      <c r="P327" s="26"/>
      <c r="Q327" s="26"/>
      <c r="R327" s="29" t="str">
        <f>IF(C327="","",IF(COUNTIF($C$2:C327,C327)=1,"Nueva","Recurrente"))</f>
        <v/>
      </c>
      <c r="S327" s="29" t="str">
        <f>IF(OR(C327="",J327&lt;&gt;"Paquete"),"",COUNTIFS($C$2:C327,C327,$J$2:J327,"Paquete"))</f>
        <v/>
      </c>
      <c r="T327" s="26"/>
    </row>
    <row r="328" spans="1:20" x14ac:dyDescent="0.35">
      <c r="A328" s="26" t="s">
        <v>755</v>
      </c>
      <c r="B328" s="28"/>
      <c r="C328" s="26"/>
      <c r="D328" s="34" t="str">
        <f>IF($C328="","",IFERROR(IF(INDEX('🎓 Alumnas'!$C$2:$C$1000,MATCH($C328,'🎓 Alumnas'!$B$2:$B$1000,0))="","",INDEX('🎓 Alumnas'!$C$2:$C$1000,MATCH($C328,'🎓 Alumnas'!$B$2:$B$1000,0))),""))</f>
        <v/>
      </c>
      <c r="E328" s="29" t="str">
        <f>IF($C328="","",IFERROR(IF(INDEX('🎓 Alumnas'!$D$2:$D$1000,MATCH($C328,'🎓 Alumnas'!$B$2:$B$1000,0))="","",INDEX('🎓 Alumnas'!$D$2:$D$1000,MATCH($C328,'🎓 Alumnas'!$B$2:$B$1000,0))),""))</f>
        <v/>
      </c>
      <c r="F328" s="29" t="str">
        <f>IF($C328="","",IFERROR(IF(INDEX('🎓 Alumnas'!$E$2:$E$1000,MATCH($C328,'🎓 Alumnas'!$B$2:$B$1000,0))="","",INDEX('🎓 Alumnas'!$E$2:$E$1000,MATCH($C328,'🎓 Alumnas'!$B$2:$B$1000,0))),""))</f>
        <v/>
      </c>
      <c r="G328" s="31" t="str">
        <f>IF($C328="","",IFERROR(IF(INDEX('🎓 Alumnas'!$F$2:$F$1000,MATCH($C328,'🎓 Alumnas'!$B$2:$B$1000,0))="","",INDEX('🎓 Alumnas'!$F$2:$F$1000,MATCH($C328,'🎓 Alumnas'!$B$2:$B$1000,0))),""))</f>
        <v/>
      </c>
      <c r="H328" s="29" t="str">
        <f t="shared" ca="1" si="15"/>
        <v/>
      </c>
      <c r="I328" s="26"/>
      <c r="J328" s="29" t="str">
        <f t="shared" si="16"/>
        <v/>
      </c>
      <c r="K328" s="26"/>
      <c r="L328" s="26"/>
      <c r="M328" s="35"/>
      <c r="N328" s="30" t="str">
        <f t="shared" si="17"/>
        <v/>
      </c>
      <c r="O328" s="36"/>
      <c r="P328" s="26"/>
      <c r="Q328" s="26"/>
      <c r="R328" s="29" t="str">
        <f>IF(C328="","",IF(COUNTIF($C$2:C328,C328)=1,"Nueva","Recurrente"))</f>
        <v/>
      </c>
      <c r="S328" s="29" t="str">
        <f>IF(OR(C328="",J328&lt;&gt;"Paquete"),"",COUNTIFS($C$2:C328,C328,$J$2:J328,"Paquete"))</f>
        <v/>
      </c>
      <c r="T328" s="26"/>
    </row>
    <row r="329" spans="1:20" x14ac:dyDescent="0.35">
      <c r="A329" s="26" t="s">
        <v>756</v>
      </c>
      <c r="B329" s="28"/>
      <c r="C329" s="26"/>
      <c r="D329" s="34" t="str">
        <f>IF($C329="","",IFERROR(IF(INDEX('🎓 Alumnas'!$C$2:$C$1000,MATCH($C329,'🎓 Alumnas'!$B$2:$B$1000,0))="","",INDEX('🎓 Alumnas'!$C$2:$C$1000,MATCH($C329,'🎓 Alumnas'!$B$2:$B$1000,0))),""))</f>
        <v/>
      </c>
      <c r="E329" s="29" t="str">
        <f>IF($C329="","",IFERROR(IF(INDEX('🎓 Alumnas'!$D$2:$D$1000,MATCH($C329,'🎓 Alumnas'!$B$2:$B$1000,0))="","",INDEX('🎓 Alumnas'!$D$2:$D$1000,MATCH($C329,'🎓 Alumnas'!$B$2:$B$1000,0))),""))</f>
        <v/>
      </c>
      <c r="F329" s="29" t="str">
        <f>IF($C329="","",IFERROR(IF(INDEX('🎓 Alumnas'!$E$2:$E$1000,MATCH($C329,'🎓 Alumnas'!$B$2:$B$1000,0))="","",INDEX('🎓 Alumnas'!$E$2:$E$1000,MATCH($C329,'🎓 Alumnas'!$B$2:$B$1000,0))),""))</f>
        <v/>
      </c>
      <c r="G329" s="31" t="str">
        <f>IF($C329="","",IFERROR(IF(INDEX('🎓 Alumnas'!$F$2:$F$1000,MATCH($C329,'🎓 Alumnas'!$B$2:$B$1000,0))="","",INDEX('🎓 Alumnas'!$F$2:$F$1000,MATCH($C329,'🎓 Alumnas'!$B$2:$B$1000,0))),""))</f>
        <v/>
      </c>
      <c r="H329" s="29" t="str">
        <f t="shared" ca="1" si="15"/>
        <v/>
      </c>
      <c r="I329" s="26"/>
      <c r="J329" s="29" t="str">
        <f t="shared" si="16"/>
        <v/>
      </c>
      <c r="K329" s="26"/>
      <c r="L329" s="26"/>
      <c r="M329" s="35"/>
      <c r="N329" s="30" t="str">
        <f t="shared" si="17"/>
        <v/>
      </c>
      <c r="O329" s="36"/>
      <c r="P329" s="26"/>
      <c r="Q329" s="26"/>
      <c r="R329" s="29" t="str">
        <f>IF(C329="","",IF(COUNTIF($C$2:C329,C329)=1,"Nueva","Recurrente"))</f>
        <v/>
      </c>
      <c r="S329" s="29" t="str">
        <f>IF(OR(C329="",J329&lt;&gt;"Paquete"),"",COUNTIFS($C$2:C329,C329,$J$2:J329,"Paquete"))</f>
        <v/>
      </c>
      <c r="T329" s="26"/>
    </row>
    <row r="330" spans="1:20" x14ac:dyDescent="0.35">
      <c r="A330" s="26" t="s">
        <v>757</v>
      </c>
      <c r="B330" s="28"/>
      <c r="C330" s="26"/>
      <c r="D330" s="34" t="str">
        <f>IF($C330="","",IFERROR(IF(INDEX('🎓 Alumnas'!$C$2:$C$1000,MATCH($C330,'🎓 Alumnas'!$B$2:$B$1000,0))="","",INDEX('🎓 Alumnas'!$C$2:$C$1000,MATCH($C330,'🎓 Alumnas'!$B$2:$B$1000,0))),""))</f>
        <v/>
      </c>
      <c r="E330" s="29" t="str">
        <f>IF($C330="","",IFERROR(IF(INDEX('🎓 Alumnas'!$D$2:$D$1000,MATCH($C330,'🎓 Alumnas'!$B$2:$B$1000,0))="","",INDEX('🎓 Alumnas'!$D$2:$D$1000,MATCH($C330,'🎓 Alumnas'!$B$2:$B$1000,0))),""))</f>
        <v/>
      </c>
      <c r="F330" s="29" t="str">
        <f>IF($C330="","",IFERROR(IF(INDEX('🎓 Alumnas'!$E$2:$E$1000,MATCH($C330,'🎓 Alumnas'!$B$2:$B$1000,0))="","",INDEX('🎓 Alumnas'!$E$2:$E$1000,MATCH($C330,'🎓 Alumnas'!$B$2:$B$1000,0))),""))</f>
        <v/>
      </c>
      <c r="G330" s="31" t="str">
        <f>IF($C330="","",IFERROR(IF(INDEX('🎓 Alumnas'!$F$2:$F$1000,MATCH($C330,'🎓 Alumnas'!$B$2:$B$1000,0))="","",INDEX('🎓 Alumnas'!$F$2:$F$1000,MATCH($C330,'🎓 Alumnas'!$B$2:$B$1000,0))),""))</f>
        <v/>
      </c>
      <c r="H330" s="29" t="str">
        <f t="shared" ca="1" si="15"/>
        <v/>
      </c>
      <c r="I330" s="26"/>
      <c r="J330" s="29" t="str">
        <f t="shared" si="16"/>
        <v/>
      </c>
      <c r="K330" s="26"/>
      <c r="L330" s="26"/>
      <c r="M330" s="35"/>
      <c r="N330" s="30" t="str">
        <f t="shared" si="17"/>
        <v/>
      </c>
      <c r="O330" s="36"/>
      <c r="P330" s="26"/>
      <c r="Q330" s="26"/>
      <c r="R330" s="29" t="str">
        <f>IF(C330="","",IF(COUNTIF($C$2:C330,C330)=1,"Nueva","Recurrente"))</f>
        <v/>
      </c>
      <c r="S330" s="29" t="str">
        <f>IF(OR(C330="",J330&lt;&gt;"Paquete"),"",COUNTIFS($C$2:C330,C330,$J$2:J330,"Paquete"))</f>
        <v/>
      </c>
      <c r="T330" s="26"/>
    </row>
    <row r="331" spans="1:20" x14ac:dyDescent="0.35">
      <c r="A331" s="26" t="s">
        <v>758</v>
      </c>
      <c r="B331" s="28"/>
      <c r="C331" s="26"/>
      <c r="D331" s="34" t="str">
        <f>IF($C331="","",IFERROR(IF(INDEX('🎓 Alumnas'!$C$2:$C$1000,MATCH($C331,'🎓 Alumnas'!$B$2:$B$1000,0))="","",INDEX('🎓 Alumnas'!$C$2:$C$1000,MATCH($C331,'🎓 Alumnas'!$B$2:$B$1000,0))),""))</f>
        <v/>
      </c>
      <c r="E331" s="29" t="str">
        <f>IF($C331="","",IFERROR(IF(INDEX('🎓 Alumnas'!$D$2:$D$1000,MATCH($C331,'🎓 Alumnas'!$B$2:$B$1000,0))="","",INDEX('🎓 Alumnas'!$D$2:$D$1000,MATCH($C331,'🎓 Alumnas'!$B$2:$B$1000,0))),""))</f>
        <v/>
      </c>
      <c r="F331" s="29" t="str">
        <f>IF($C331="","",IFERROR(IF(INDEX('🎓 Alumnas'!$E$2:$E$1000,MATCH($C331,'🎓 Alumnas'!$B$2:$B$1000,0))="","",INDEX('🎓 Alumnas'!$E$2:$E$1000,MATCH($C331,'🎓 Alumnas'!$B$2:$B$1000,0))),""))</f>
        <v/>
      </c>
      <c r="G331" s="31" t="str">
        <f>IF($C331="","",IFERROR(IF(INDEX('🎓 Alumnas'!$F$2:$F$1000,MATCH($C331,'🎓 Alumnas'!$B$2:$B$1000,0))="","",INDEX('🎓 Alumnas'!$F$2:$F$1000,MATCH($C331,'🎓 Alumnas'!$B$2:$B$1000,0))),""))</f>
        <v/>
      </c>
      <c r="H331" s="29" t="str">
        <f t="shared" ca="1" si="15"/>
        <v/>
      </c>
      <c r="I331" s="26"/>
      <c r="J331" s="29" t="str">
        <f t="shared" si="16"/>
        <v/>
      </c>
      <c r="K331" s="26"/>
      <c r="L331" s="26"/>
      <c r="M331" s="35"/>
      <c r="N331" s="30" t="str">
        <f t="shared" si="17"/>
        <v/>
      </c>
      <c r="O331" s="36"/>
      <c r="P331" s="26"/>
      <c r="Q331" s="26"/>
      <c r="R331" s="29" t="str">
        <f>IF(C331="","",IF(COUNTIF($C$2:C331,C331)=1,"Nueva","Recurrente"))</f>
        <v/>
      </c>
      <c r="S331" s="29" t="str">
        <f>IF(OR(C331="",J331&lt;&gt;"Paquete"),"",COUNTIFS($C$2:C331,C331,$J$2:J331,"Paquete"))</f>
        <v/>
      </c>
      <c r="T331" s="26"/>
    </row>
    <row r="332" spans="1:20" x14ac:dyDescent="0.35">
      <c r="A332" s="26" t="s">
        <v>759</v>
      </c>
      <c r="B332" s="28"/>
      <c r="C332" s="26"/>
      <c r="D332" s="34" t="str">
        <f>IF($C332="","",IFERROR(IF(INDEX('🎓 Alumnas'!$C$2:$C$1000,MATCH($C332,'🎓 Alumnas'!$B$2:$B$1000,0))="","",INDEX('🎓 Alumnas'!$C$2:$C$1000,MATCH($C332,'🎓 Alumnas'!$B$2:$B$1000,0))),""))</f>
        <v/>
      </c>
      <c r="E332" s="29" t="str">
        <f>IF($C332="","",IFERROR(IF(INDEX('🎓 Alumnas'!$D$2:$D$1000,MATCH($C332,'🎓 Alumnas'!$B$2:$B$1000,0))="","",INDEX('🎓 Alumnas'!$D$2:$D$1000,MATCH($C332,'🎓 Alumnas'!$B$2:$B$1000,0))),""))</f>
        <v/>
      </c>
      <c r="F332" s="29" t="str">
        <f>IF($C332="","",IFERROR(IF(INDEX('🎓 Alumnas'!$E$2:$E$1000,MATCH($C332,'🎓 Alumnas'!$B$2:$B$1000,0))="","",INDEX('🎓 Alumnas'!$E$2:$E$1000,MATCH($C332,'🎓 Alumnas'!$B$2:$B$1000,0))),""))</f>
        <v/>
      </c>
      <c r="G332" s="31" t="str">
        <f>IF($C332="","",IFERROR(IF(INDEX('🎓 Alumnas'!$F$2:$F$1000,MATCH($C332,'🎓 Alumnas'!$B$2:$B$1000,0))="","",INDEX('🎓 Alumnas'!$F$2:$F$1000,MATCH($C332,'🎓 Alumnas'!$B$2:$B$1000,0))),""))</f>
        <v/>
      </c>
      <c r="H332" s="29" t="str">
        <f t="shared" ca="1" si="15"/>
        <v/>
      </c>
      <c r="I332" s="26"/>
      <c r="J332" s="29" t="str">
        <f t="shared" si="16"/>
        <v/>
      </c>
      <c r="K332" s="26"/>
      <c r="L332" s="26"/>
      <c r="M332" s="35"/>
      <c r="N332" s="30" t="str">
        <f t="shared" si="17"/>
        <v/>
      </c>
      <c r="O332" s="36"/>
      <c r="P332" s="26"/>
      <c r="Q332" s="26"/>
      <c r="R332" s="29" t="str">
        <f>IF(C332="","",IF(COUNTIF($C$2:C332,C332)=1,"Nueva","Recurrente"))</f>
        <v/>
      </c>
      <c r="S332" s="29" t="str">
        <f>IF(OR(C332="",J332&lt;&gt;"Paquete"),"",COUNTIFS($C$2:C332,C332,$J$2:J332,"Paquete"))</f>
        <v/>
      </c>
      <c r="T332" s="26"/>
    </row>
    <row r="333" spans="1:20" x14ac:dyDescent="0.35">
      <c r="A333" s="26" t="s">
        <v>760</v>
      </c>
      <c r="B333" s="28"/>
      <c r="C333" s="26"/>
      <c r="D333" s="34" t="str">
        <f>IF($C333="","",IFERROR(IF(INDEX('🎓 Alumnas'!$C$2:$C$1000,MATCH($C333,'🎓 Alumnas'!$B$2:$B$1000,0))="","",INDEX('🎓 Alumnas'!$C$2:$C$1000,MATCH($C333,'🎓 Alumnas'!$B$2:$B$1000,0))),""))</f>
        <v/>
      </c>
      <c r="E333" s="29" t="str">
        <f>IF($C333="","",IFERROR(IF(INDEX('🎓 Alumnas'!$D$2:$D$1000,MATCH($C333,'🎓 Alumnas'!$B$2:$B$1000,0))="","",INDEX('🎓 Alumnas'!$D$2:$D$1000,MATCH($C333,'🎓 Alumnas'!$B$2:$B$1000,0))),""))</f>
        <v/>
      </c>
      <c r="F333" s="29" t="str">
        <f>IF($C333="","",IFERROR(IF(INDEX('🎓 Alumnas'!$E$2:$E$1000,MATCH($C333,'🎓 Alumnas'!$B$2:$B$1000,0))="","",INDEX('🎓 Alumnas'!$E$2:$E$1000,MATCH($C333,'🎓 Alumnas'!$B$2:$B$1000,0))),""))</f>
        <v/>
      </c>
      <c r="G333" s="31" t="str">
        <f>IF($C333="","",IFERROR(IF(INDEX('🎓 Alumnas'!$F$2:$F$1000,MATCH($C333,'🎓 Alumnas'!$B$2:$B$1000,0))="","",INDEX('🎓 Alumnas'!$F$2:$F$1000,MATCH($C333,'🎓 Alumnas'!$B$2:$B$1000,0))),""))</f>
        <v/>
      </c>
      <c r="H333" s="29" t="str">
        <f t="shared" ca="1" si="15"/>
        <v/>
      </c>
      <c r="I333" s="26"/>
      <c r="J333" s="29" t="str">
        <f t="shared" si="16"/>
        <v/>
      </c>
      <c r="K333" s="26"/>
      <c r="L333" s="26"/>
      <c r="M333" s="35"/>
      <c r="N333" s="30" t="str">
        <f t="shared" si="17"/>
        <v/>
      </c>
      <c r="O333" s="36"/>
      <c r="P333" s="26"/>
      <c r="Q333" s="26"/>
      <c r="R333" s="29" t="str">
        <f>IF(C333="","",IF(COUNTIF($C$2:C333,C333)=1,"Nueva","Recurrente"))</f>
        <v/>
      </c>
      <c r="S333" s="29" t="str">
        <f>IF(OR(C333="",J333&lt;&gt;"Paquete"),"",COUNTIFS($C$2:C333,C333,$J$2:J333,"Paquete"))</f>
        <v/>
      </c>
      <c r="T333" s="26"/>
    </row>
    <row r="334" spans="1:20" x14ac:dyDescent="0.35">
      <c r="A334" s="26" t="s">
        <v>761</v>
      </c>
      <c r="B334" s="28"/>
      <c r="C334" s="26"/>
      <c r="D334" s="34" t="str">
        <f>IF($C334="","",IFERROR(IF(INDEX('🎓 Alumnas'!$C$2:$C$1000,MATCH($C334,'🎓 Alumnas'!$B$2:$B$1000,0))="","",INDEX('🎓 Alumnas'!$C$2:$C$1000,MATCH($C334,'🎓 Alumnas'!$B$2:$B$1000,0))),""))</f>
        <v/>
      </c>
      <c r="E334" s="29" t="str">
        <f>IF($C334="","",IFERROR(IF(INDEX('🎓 Alumnas'!$D$2:$D$1000,MATCH($C334,'🎓 Alumnas'!$B$2:$B$1000,0))="","",INDEX('🎓 Alumnas'!$D$2:$D$1000,MATCH($C334,'🎓 Alumnas'!$B$2:$B$1000,0))),""))</f>
        <v/>
      </c>
      <c r="F334" s="29" t="str">
        <f>IF($C334="","",IFERROR(IF(INDEX('🎓 Alumnas'!$E$2:$E$1000,MATCH($C334,'🎓 Alumnas'!$B$2:$B$1000,0))="","",INDEX('🎓 Alumnas'!$E$2:$E$1000,MATCH($C334,'🎓 Alumnas'!$B$2:$B$1000,0))),""))</f>
        <v/>
      </c>
      <c r="G334" s="31" t="str">
        <f>IF($C334="","",IFERROR(IF(INDEX('🎓 Alumnas'!$F$2:$F$1000,MATCH($C334,'🎓 Alumnas'!$B$2:$B$1000,0))="","",INDEX('🎓 Alumnas'!$F$2:$F$1000,MATCH($C334,'🎓 Alumnas'!$B$2:$B$1000,0))),""))</f>
        <v/>
      </c>
      <c r="H334" s="29" t="str">
        <f t="shared" ca="1" si="15"/>
        <v/>
      </c>
      <c r="I334" s="26"/>
      <c r="J334" s="29" t="str">
        <f t="shared" si="16"/>
        <v/>
      </c>
      <c r="K334" s="26"/>
      <c r="L334" s="26"/>
      <c r="M334" s="35"/>
      <c r="N334" s="30" t="str">
        <f t="shared" si="17"/>
        <v/>
      </c>
      <c r="O334" s="36"/>
      <c r="P334" s="26"/>
      <c r="Q334" s="26"/>
      <c r="R334" s="29" t="str">
        <f>IF(C334="","",IF(COUNTIF($C$2:C334,C334)=1,"Nueva","Recurrente"))</f>
        <v/>
      </c>
      <c r="S334" s="29" t="str">
        <f>IF(OR(C334="",J334&lt;&gt;"Paquete"),"",COUNTIFS($C$2:C334,C334,$J$2:J334,"Paquete"))</f>
        <v/>
      </c>
      <c r="T334" s="26"/>
    </row>
    <row r="335" spans="1:20" x14ac:dyDescent="0.35">
      <c r="A335" s="26" t="s">
        <v>762</v>
      </c>
      <c r="B335" s="28"/>
      <c r="C335" s="26"/>
      <c r="D335" s="34" t="str">
        <f>IF($C335="","",IFERROR(IF(INDEX('🎓 Alumnas'!$C$2:$C$1000,MATCH($C335,'🎓 Alumnas'!$B$2:$B$1000,0))="","",INDEX('🎓 Alumnas'!$C$2:$C$1000,MATCH($C335,'🎓 Alumnas'!$B$2:$B$1000,0))),""))</f>
        <v/>
      </c>
      <c r="E335" s="29" t="str">
        <f>IF($C335="","",IFERROR(IF(INDEX('🎓 Alumnas'!$D$2:$D$1000,MATCH($C335,'🎓 Alumnas'!$B$2:$B$1000,0))="","",INDEX('🎓 Alumnas'!$D$2:$D$1000,MATCH($C335,'🎓 Alumnas'!$B$2:$B$1000,0))),""))</f>
        <v/>
      </c>
      <c r="F335" s="29" t="str">
        <f>IF($C335="","",IFERROR(IF(INDEX('🎓 Alumnas'!$E$2:$E$1000,MATCH($C335,'🎓 Alumnas'!$B$2:$B$1000,0))="","",INDEX('🎓 Alumnas'!$E$2:$E$1000,MATCH($C335,'🎓 Alumnas'!$B$2:$B$1000,0))),""))</f>
        <v/>
      </c>
      <c r="G335" s="31" t="str">
        <f>IF($C335="","",IFERROR(IF(INDEX('🎓 Alumnas'!$F$2:$F$1000,MATCH($C335,'🎓 Alumnas'!$B$2:$B$1000,0))="","",INDEX('🎓 Alumnas'!$F$2:$F$1000,MATCH($C335,'🎓 Alumnas'!$B$2:$B$1000,0))),""))</f>
        <v/>
      </c>
      <c r="H335" s="29" t="str">
        <f t="shared" ca="1" si="15"/>
        <v/>
      </c>
      <c r="I335" s="26"/>
      <c r="J335" s="29" t="str">
        <f t="shared" si="16"/>
        <v/>
      </c>
      <c r="K335" s="26"/>
      <c r="L335" s="26"/>
      <c r="M335" s="35"/>
      <c r="N335" s="30" t="str">
        <f t="shared" si="17"/>
        <v/>
      </c>
      <c r="O335" s="36"/>
      <c r="P335" s="26"/>
      <c r="Q335" s="26"/>
      <c r="R335" s="29" t="str">
        <f>IF(C335="","",IF(COUNTIF($C$2:C335,C335)=1,"Nueva","Recurrente"))</f>
        <v/>
      </c>
      <c r="S335" s="29" t="str">
        <f>IF(OR(C335="",J335&lt;&gt;"Paquete"),"",COUNTIFS($C$2:C335,C335,$J$2:J335,"Paquete"))</f>
        <v/>
      </c>
      <c r="T335" s="26"/>
    </row>
    <row r="336" spans="1:20" x14ac:dyDescent="0.35">
      <c r="A336" s="26" t="s">
        <v>763</v>
      </c>
      <c r="B336" s="28"/>
      <c r="C336" s="26"/>
      <c r="D336" s="34" t="str">
        <f>IF($C336="","",IFERROR(IF(INDEX('🎓 Alumnas'!$C$2:$C$1000,MATCH($C336,'🎓 Alumnas'!$B$2:$B$1000,0))="","",INDEX('🎓 Alumnas'!$C$2:$C$1000,MATCH($C336,'🎓 Alumnas'!$B$2:$B$1000,0))),""))</f>
        <v/>
      </c>
      <c r="E336" s="29" t="str">
        <f>IF($C336="","",IFERROR(IF(INDEX('🎓 Alumnas'!$D$2:$D$1000,MATCH($C336,'🎓 Alumnas'!$B$2:$B$1000,0))="","",INDEX('🎓 Alumnas'!$D$2:$D$1000,MATCH($C336,'🎓 Alumnas'!$B$2:$B$1000,0))),""))</f>
        <v/>
      </c>
      <c r="F336" s="29" t="str">
        <f>IF($C336="","",IFERROR(IF(INDEX('🎓 Alumnas'!$E$2:$E$1000,MATCH($C336,'🎓 Alumnas'!$B$2:$B$1000,0))="","",INDEX('🎓 Alumnas'!$E$2:$E$1000,MATCH($C336,'🎓 Alumnas'!$B$2:$B$1000,0))),""))</f>
        <v/>
      </c>
      <c r="G336" s="31" t="str">
        <f>IF($C336="","",IFERROR(IF(INDEX('🎓 Alumnas'!$F$2:$F$1000,MATCH($C336,'🎓 Alumnas'!$B$2:$B$1000,0))="","",INDEX('🎓 Alumnas'!$F$2:$F$1000,MATCH($C336,'🎓 Alumnas'!$B$2:$B$1000,0))),""))</f>
        <v/>
      </c>
      <c r="H336" s="29" t="str">
        <f t="shared" ca="1" si="15"/>
        <v/>
      </c>
      <c r="I336" s="26"/>
      <c r="J336" s="29" t="str">
        <f t="shared" si="16"/>
        <v/>
      </c>
      <c r="K336" s="26"/>
      <c r="L336" s="26"/>
      <c r="M336" s="35"/>
      <c r="N336" s="30" t="str">
        <f t="shared" si="17"/>
        <v/>
      </c>
      <c r="O336" s="36"/>
      <c r="P336" s="26"/>
      <c r="Q336" s="26"/>
      <c r="R336" s="29" t="str">
        <f>IF(C336="","",IF(COUNTIF($C$2:C336,C336)=1,"Nueva","Recurrente"))</f>
        <v/>
      </c>
      <c r="S336" s="29" t="str">
        <f>IF(OR(C336="",J336&lt;&gt;"Paquete"),"",COUNTIFS($C$2:C336,C336,$J$2:J336,"Paquete"))</f>
        <v/>
      </c>
      <c r="T336" s="26"/>
    </row>
    <row r="337" spans="1:20" x14ac:dyDescent="0.35">
      <c r="A337" s="26" t="s">
        <v>764</v>
      </c>
      <c r="B337" s="28"/>
      <c r="C337" s="26"/>
      <c r="D337" s="34" t="str">
        <f>IF($C337="","",IFERROR(IF(INDEX('🎓 Alumnas'!$C$2:$C$1000,MATCH($C337,'🎓 Alumnas'!$B$2:$B$1000,0))="","",INDEX('🎓 Alumnas'!$C$2:$C$1000,MATCH($C337,'🎓 Alumnas'!$B$2:$B$1000,0))),""))</f>
        <v/>
      </c>
      <c r="E337" s="29" t="str">
        <f>IF($C337="","",IFERROR(IF(INDEX('🎓 Alumnas'!$D$2:$D$1000,MATCH($C337,'🎓 Alumnas'!$B$2:$B$1000,0))="","",INDEX('🎓 Alumnas'!$D$2:$D$1000,MATCH($C337,'🎓 Alumnas'!$B$2:$B$1000,0))),""))</f>
        <v/>
      </c>
      <c r="F337" s="29" t="str">
        <f>IF($C337="","",IFERROR(IF(INDEX('🎓 Alumnas'!$E$2:$E$1000,MATCH($C337,'🎓 Alumnas'!$B$2:$B$1000,0))="","",INDEX('🎓 Alumnas'!$E$2:$E$1000,MATCH($C337,'🎓 Alumnas'!$B$2:$B$1000,0))),""))</f>
        <v/>
      </c>
      <c r="G337" s="31" t="str">
        <f>IF($C337="","",IFERROR(IF(INDEX('🎓 Alumnas'!$F$2:$F$1000,MATCH($C337,'🎓 Alumnas'!$B$2:$B$1000,0))="","",INDEX('🎓 Alumnas'!$F$2:$F$1000,MATCH($C337,'🎓 Alumnas'!$B$2:$B$1000,0))),""))</f>
        <v/>
      </c>
      <c r="H337" s="29" t="str">
        <f t="shared" ca="1" si="15"/>
        <v/>
      </c>
      <c r="I337" s="26"/>
      <c r="J337" s="29" t="str">
        <f t="shared" si="16"/>
        <v/>
      </c>
      <c r="K337" s="26"/>
      <c r="L337" s="26"/>
      <c r="M337" s="35"/>
      <c r="N337" s="30" t="str">
        <f t="shared" si="17"/>
        <v/>
      </c>
      <c r="O337" s="36"/>
      <c r="P337" s="26"/>
      <c r="Q337" s="26"/>
      <c r="R337" s="29" t="str">
        <f>IF(C337="","",IF(COUNTIF($C$2:C337,C337)=1,"Nueva","Recurrente"))</f>
        <v/>
      </c>
      <c r="S337" s="29" t="str">
        <f>IF(OR(C337="",J337&lt;&gt;"Paquete"),"",COUNTIFS($C$2:C337,C337,$J$2:J337,"Paquete"))</f>
        <v/>
      </c>
      <c r="T337" s="26"/>
    </row>
    <row r="338" spans="1:20" x14ac:dyDescent="0.35">
      <c r="A338" s="26" t="s">
        <v>765</v>
      </c>
      <c r="B338" s="28"/>
      <c r="C338" s="26"/>
      <c r="D338" s="34" t="str">
        <f>IF($C338="","",IFERROR(IF(INDEX('🎓 Alumnas'!$C$2:$C$1000,MATCH($C338,'🎓 Alumnas'!$B$2:$B$1000,0))="","",INDEX('🎓 Alumnas'!$C$2:$C$1000,MATCH($C338,'🎓 Alumnas'!$B$2:$B$1000,0))),""))</f>
        <v/>
      </c>
      <c r="E338" s="29" t="str">
        <f>IF($C338="","",IFERROR(IF(INDEX('🎓 Alumnas'!$D$2:$D$1000,MATCH($C338,'🎓 Alumnas'!$B$2:$B$1000,0))="","",INDEX('🎓 Alumnas'!$D$2:$D$1000,MATCH($C338,'🎓 Alumnas'!$B$2:$B$1000,0))),""))</f>
        <v/>
      </c>
      <c r="F338" s="29" t="str">
        <f>IF($C338="","",IFERROR(IF(INDEX('🎓 Alumnas'!$E$2:$E$1000,MATCH($C338,'🎓 Alumnas'!$B$2:$B$1000,0))="","",INDEX('🎓 Alumnas'!$E$2:$E$1000,MATCH($C338,'🎓 Alumnas'!$B$2:$B$1000,0))),""))</f>
        <v/>
      </c>
      <c r="G338" s="31" t="str">
        <f>IF($C338="","",IFERROR(IF(INDEX('🎓 Alumnas'!$F$2:$F$1000,MATCH($C338,'🎓 Alumnas'!$B$2:$B$1000,0))="","",INDEX('🎓 Alumnas'!$F$2:$F$1000,MATCH($C338,'🎓 Alumnas'!$B$2:$B$1000,0))),""))</f>
        <v/>
      </c>
      <c r="H338" s="29" t="str">
        <f t="shared" ca="1" si="15"/>
        <v/>
      </c>
      <c r="I338" s="26"/>
      <c r="J338" s="29" t="str">
        <f t="shared" si="16"/>
        <v/>
      </c>
      <c r="K338" s="26"/>
      <c r="L338" s="26"/>
      <c r="M338" s="35"/>
      <c r="N338" s="30" t="str">
        <f t="shared" si="17"/>
        <v/>
      </c>
      <c r="O338" s="36"/>
      <c r="P338" s="26"/>
      <c r="Q338" s="26"/>
      <c r="R338" s="29" t="str">
        <f>IF(C338="","",IF(COUNTIF($C$2:C338,C338)=1,"Nueva","Recurrente"))</f>
        <v/>
      </c>
      <c r="S338" s="29" t="str">
        <f>IF(OR(C338="",J338&lt;&gt;"Paquete"),"",COUNTIFS($C$2:C338,C338,$J$2:J338,"Paquete"))</f>
        <v/>
      </c>
      <c r="T338" s="26"/>
    </row>
    <row r="339" spans="1:20" x14ac:dyDescent="0.35">
      <c r="A339" s="26" t="s">
        <v>766</v>
      </c>
      <c r="B339" s="28"/>
      <c r="C339" s="26"/>
      <c r="D339" s="34" t="str">
        <f>IF($C339="","",IFERROR(IF(INDEX('🎓 Alumnas'!$C$2:$C$1000,MATCH($C339,'🎓 Alumnas'!$B$2:$B$1000,0))="","",INDEX('🎓 Alumnas'!$C$2:$C$1000,MATCH($C339,'🎓 Alumnas'!$B$2:$B$1000,0))),""))</f>
        <v/>
      </c>
      <c r="E339" s="29" t="str">
        <f>IF($C339="","",IFERROR(IF(INDEX('🎓 Alumnas'!$D$2:$D$1000,MATCH($C339,'🎓 Alumnas'!$B$2:$B$1000,0))="","",INDEX('🎓 Alumnas'!$D$2:$D$1000,MATCH($C339,'🎓 Alumnas'!$B$2:$B$1000,0))),""))</f>
        <v/>
      </c>
      <c r="F339" s="29" t="str">
        <f>IF($C339="","",IFERROR(IF(INDEX('🎓 Alumnas'!$E$2:$E$1000,MATCH($C339,'🎓 Alumnas'!$B$2:$B$1000,0))="","",INDEX('🎓 Alumnas'!$E$2:$E$1000,MATCH($C339,'🎓 Alumnas'!$B$2:$B$1000,0))),""))</f>
        <v/>
      </c>
      <c r="G339" s="31" t="str">
        <f>IF($C339="","",IFERROR(IF(INDEX('🎓 Alumnas'!$F$2:$F$1000,MATCH($C339,'🎓 Alumnas'!$B$2:$B$1000,0))="","",INDEX('🎓 Alumnas'!$F$2:$F$1000,MATCH($C339,'🎓 Alumnas'!$B$2:$B$1000,0))),""))</f>
        <v/>
      </c>
      <c r="H339" s="29" t="str">
        <f t="shared" ca="1" si="15"/>
        <v/>
      </c>
      <c r="I339" s="26"/>
      <c r="J339" s="29" t="str">
        <f t="shared" si="16"/>
        <v/>
      </c>
      <c r="K339" s="26"/>
      <c r="L339" s="26"/>
      <c r="M339" s="35"/>
      <c r="N339" s="30" t="str">
        <f t="shared" si="17"/>
        <v/>
      </c>
      <c r="O339" s="36"/>
      <c r="P339" s="26"/>
      <c r="Q339" s="26"/>
      <c r="R339" s="29" t="str">
        <f>IF(C339="","",IF(COUNTIF($C$2:C339,C339)=1,"Nueva","Recurrente"))</f>
        <v/>
      </c>
      <c r="S339" s="29" t="str">
        <f>IF(OR(C339="",J339&lt;&gt;"Paquete"),"",COUNTIFS($C$2:C339,C339,$J$2:J339,"Paquete"))</f>
        <v/>
      </c>
      <c r="T339" s="26"/>
    </row>
    <row r="340" spans="1:20" x14ac:dyDescent="0.35">
      <c r="A340" s="26" t="s">
        <v>767</v>
      </c>
      <c r="B340" s="28"/>
      <c r="C340" s="26"/>
      <c r="D340" s="34" t="str">
        <f>IF($C340="","",IFERROR(IF(INDEX('🎓 Alumnas'!$C$2:$C$1000,MATCH($C340,'🎓 Alumnas'!$B$2:$B$1000,0))="","",INDEX('🎓 Alumnas'!$C$2:$C$1000,MATCH($C340,'🎓 Alumnas'!$B$2:$B$1000,0))),""))</f>
        <v/>
      </c>
      <c r="E340" s="29" t="str">
        <f>IF($C340="","",IFERROR(IF(INDEX('🎓 Alumnas'!$D$2:$D$1000,MATCH($C340,'🎓 Alumnas'!$B$2:$B$1000,0))="","",INDEX('🎓 Alumnas'!$D$2:$D$1000,MATCH($C340,'🎓 Alumnas'!$B$2:$B$1000,0))),""))</f>
        <v/>
      </c>
      <c r="F340" s="29" t="str">
        <f>IF($C340="","",IFERROR(IF(INDEX('🎓 Alumnas'!$E$2:$E$1000,MATCH($C340,'🎓 Alumnas'!$B$2:$B$1000,0))="","",INDEX('🎓 Alumnas'!$E$2:$E$1000,MATCH($C340,'🎓 Alumnas'!$B$2:$B$1000,0))),""))</f>
        <v/>
      </c>
      <c r="G340" s="31" t="str">
        <f>IF($C340="","",IFERROR(IF(INDEX('🎓 Alumnas'!$F$2:$F$1000,MATCH($C340,'🎓 Alumnas'!$B$2:$B$1000,0))="","",INDEX('🎓 Alumnas'!$F$2:$F$1000,MATCH($C340,'🎓 Alumnas'!$B$2:$B$1000,0))),""))</f>
        <v/>
      </c>
      <c r="H340" s="29" t="str">
        <f t="shared" ca="1" si="15"/>
        <v/>
      </c>
      <c r="I340" s="26"/>
      <c r="J340" s="29" t="str">
        <f t="shared" si="16"/>
        <v/>
      </c>
      <c r="K340" s="26"/>
      <c r="L340" s="26"/>
      <c r="M340" s="35"/>
      <c r="N340" s="30" t="str">
        <f t="shared" si="17"/>
        <v/>
      </c>
      <c r="O340" s="36"/>
      <c r="P340" s="26"/>
      <c r="Q340" s="26"/>
      <c r="R340" s="29" t="str">
        <f>IF(C340="","",IF(COUNTIF($C$2:C340,C340)=1,"Nueva","Recurrente"))</f>
        <v/>
      </c>
      <c r="S340" s="29" t="str">
        <f>IF(OR(C340="",J340&lt;&gt;"Paquete"),"",COUNTIFS($C$2:C340,C340,$J$2:J340,"Paquete"))</f>
        <v/>
      </c>
      <c r="T340" s="26"/>
    </row>
    <row r="341" spans="1:20" x14ac:dyDescent="0.35">
      <c r="A341" s="26" t="s">
        <v>768</v>
      </c>
      <c r="B341" s="28"/>
      <c r="C341" s="26"/>
      <c r="D341" s="34" t="str">
        <f>IF($C341="","",IFERROR(IF(INDEX('🎓 Alumnas'!$C$2:$C$1000,MATCH($C341,'🎓 Alumnas'!$B$2:$B$1000,0))="","",INDEX('🎓 Alumnas'!$C$2:$C$1000,MATCH($C341,'🎓 Alumnas'!$B$2:$B$1000,0))),""))</f>
        <v/>
      </c>
      <c r="E341" s="29" t="str">
        <f>IF($C341="","",IFERROR(IF(INDEX('🎓 Alumnas'!$D$2:$D$1000,MATCH($C341,'🎓 Alumnas'!$B$2:$B$1000,0))="","",INDEX('🎓 Alumnas'!$D$2:$D$1000,MATCH($C341,'🎓 Alumnas'!$B$2:$B$1000,0))),""))</f>
        <v/>
      </c>
      <c r="F341" s="29" t="str">
        <f>IF($C341="","",IFERROR(IF(INDEX('🎓 Alumnas'!$E$2:$E$1000,MATCH($C341,'🎓 Alumnas'!$B$2:$B$1000,0))="","",INDEX('🎓 Alumnas'!$E$2:$E$1000,MATCH($C341,'🎓 Alumnas'!$B$2:$B$1000,0))),""))</f>
        <v/>
      </c>
      <c r="G341" s="31" t="str">
        <f>IF($C341="","",IFERROR(IF(INDEX('🎓 Alumnas'!$F$2:$F$1000,MATCH($C341,'🎓 Alumnas'!$B$2:$B$1000,0))="","",INDEX('🎓 Alumnas'!$F$2:$F$1000,MATCH($C341,'🎓 Alumnas'!$B$2:$B$1000,0))),""))</f>
        <v/>
      </c>
      <c r="H341" s="29" t="str">
        <f t="shared" ca="1" si="15"/>
        <v/>
      </c>
      <c r="I341" s="26"/>
      <c r="J341" s="29" t="str">
        <f t="shared" si="16"/>
        <v/>
      </c>
      <c r="K341" s="26"/>
      <c r="L341" s="26"/>
      <c r="M341" s="35"/>
      <c r="N341" s="30" t="str">
        <f t="shared" si="17"/>
        <v/>
      </c>
      <c r="O341" s="36"/>
      <c r="P341" s="26"/>
      <c r="Q341" s="26"/>
      <c r="R341" s="29" t="str">
        <f>IF(C341="","",IF(COUNTIF($C$2:C341,C341)=1,"Nueva","Recurrente"))</f>
        <v/>
      </c>
      <c r="S341" s="29" t="str">
        <f>IF(OR(C341="",J341&lt;&gt;"Paquete"),"",COUNTIFS($C$2:C341,C341,$J$2:J341,"Paquete"))</f>
        <v/>
      </c>
      <c r="T341" s="26"/>
    </row>
    <row r="342" spans="1:20" x14ac:dyDescent="0.35">
      <c r="A342" s="26" t="s">
        <v>769</v>
      </c>
      <c r="B342" s="28"/>
      <c r="C342" s="26"/>
      <c r="D342" s="34" t="str">
        <f>IF($C342="","",IFERROR(IF(INDEX('🎓 Alumnas'!$C$2:$C$1000,MATCH($C342,'🎓 Alumnas'!$B$2:$B$1000,0))="","",INDEX('🎓 Alumnas'!$C$2:$C$1000,MATCH($C342,'🎓 Alumnas'!$B$2:$B$1000,0))),""))</f>
        <v/>
      </c>
      <c r="E342" s="29" t="str">
        <f>IF($C342="","",IFERROR(IF(INDEX('🎓 Alumnas'!$D$2:$D$1000,MATCH($C342,'🎓 Alumnas'!$B$2:$B$1000,0))="","",INDEX('🎓 Alumnas'!$D$2:$D$1000,MATCH($C342,'🎓 Alumnas'!$B$2:$B$1000,0))),""))</f>
        <v/>
      </c>
      <c r="F342" s="29" t="str">
        <f>IF($C342="","",IFERROR(IF(INDEX('🎓 Alumnas'!$E$2:$E$1000,MATCH($C342,'🎓 Alumnas'!$B$2:$B$1000,0))="","",INDEX('🎓 Alumnas'!$E$2:$E$1000,MATCH($C342,'🎓 Alumnas'!$B$2:$B$1000,0))),""))</f>
        <v/>
      </c>
      <c r="G342" s="31" t="str">
        <f>IF($C342="","",IFERROR(IF(INDEX('🎓 Alumnas'!$F$2:$F$1000,MATCH($C342,'🎓 Alumnas'!$B$2:$B$1000,0))="","",INDEX('🎓 Alumnas'!$F$2:$F$1000,MATCH($C342,'🎓 Alumnas'!$B$2:$B$1000,0))),""))</f>
        <v/>
      </c>
      <c r="H342" s="29" t="str">
        <f t="shared" ca="1" si="15"/>
        <v/>
      </c>
      <c r="I342" s="26"/>
      <c r="J342" s="29" t="str">
        <f t="shared" si="16"/>
        <v/>
      </c>
      <c r="K342" s="26"/>
      <c r="L342" s="26"/>
      <c r="M342" s="35"/>
      <c r="N342" s="30" t="str">
        <f t="shared" si="17"/>
        <v/>
      </c>
      <c r="O342" s="36"/>
      <c r="P342" s="26"/>
      <c r="Q342" s="26"/>
      <c r="R342" s="29" t="str">
        <f>IF(C342="","",IF(COUNTIF($C$2:C342,C342)=1,"Nueva","Recurrente"))</f>
        <v/>
      </c>
      <c r="S342" s="29" t="str">
        <f>IF(OR(C342="",J342&lt;&gt;"Paquete"),"",COUNTIFS($C$2:C342,C342,$J$2:J342,"Paquete"))</f>
        <v/>
      </c>
      <c r="T342" s="26"/>
    </row>
    <row r="343" spans="1:20" x14ac:dyDescent="0.35">
      <c r="A343" s="26" t="s">
        <v>770</v>
      </c>
      <c r="B343" s="28"/>
      <c r="C343" s="26"/>
      <c r="D343" s="34" t="str">
        <f>IF($C343="","",IFERROR(IF(INDEX('🎓 Alumnas'!$C$2:$C$1000,MATCH($C343,'🎓 Alumnas'!$B$2:$B$1000,0))="","",INDEX('🎓 Alumnas'!$C$2:$C$1000,MATCH($C343,'🎓 Alumnas'!$B$2:$B$1000,0))),""))</f>
        <v/>
      </c>
      <c r="E343" s="29" t="str">
        <f>IF($C343="","",IFERROR(IF(INDEX('🎓 Alumnas'!$D$2:$D$1000,MATCH($C343,'🎓 Alumnas'!$B$2:$B$1000,0))="","",INDEX('🎓 Alumnas'!$D$2:$D$1000,MATCH($C343,'🎓 Alumnas'!$B$2:$B$1000,0))),""))</f>
        <v/>
      </c>
      <c r="F343" s="29" t="str">
        <f>IF($C343="","",IFERROR(IF(INDEX('🎓 Alumnas'!$E$2:$E$1000,MATCH($C343,'🎓 Alumnas'!$B$2:$B$1000,0))="","",INDEX('🎓 Alumnas'!$E$2:$E$1000,MATCH($C343,'🎓 Alumnas'!$B$2:$B$1000,0))),""))</f>
        <v/>
      </c>
      <c r="G343" s="31" t="str">
        <f>IF($C343="","",IFERROR(IF(INDEX('🎓 Alumnas'!$F$2:$F$1000,MATCH($C343,'🎓 Alumnas'!$B$2:$B$1000,0))="","",INDEX('🎓 Alumnas'!$F$2:$F$1000,MATCH($C343,'🎓 Alumnas'!$B$2:$B$1000,0))),""))</f>
        <v/>
      </c>
      <c r="H343" s="29" t="str">
        <f t="shared" ca="1" si="15"/>
        <v/>
      </c>
      <c r="I343" s="26"/>
      <c r="J343" s="29" t="str">
        <f t="shared" si="16"/>
        <v/>
      </c>
      <c r="K343" s="26"/>
      <c r="L343" s="26"/>
      <c r="M343" s="35"/>
      <c r="N343" s="30" t="str">
        <f t="shared" si="17"/>
        <v/>
      </c>
      <c r="O343" s="36"/>
      <c r="P343" s="26"/>
      <c r="Q343" s="26"/>
      <c r="R343" s="29" t="str">
        <f>IF(C343="","",IF(COUNTIF($C$2:C343,C343)=1,"Nueva","Recurrente"))</f>
        <v/>
      </c>
      <c r="S343" s="29" t="str">
        <f>IF(OR(C343="",J343&lt;&gt;"Paquete"),"",COUNTIFS($C$2:C343,C343,$J$2:J343,"Paquete"))</f>
        <v/>
      </c>
      <c r="T343" s="26"/>
    </row>
    <row r="344" spans="1:20" x14ac:dyDescent="0.35">
      <c r="A344" s="26" t="s">
        <v>771</v>
      </c>
      <c r="B344" s="28"/>
      <c r="C344" s="26"/>
      <c r="D344" s="34" t="str">
        <f>IF($C344="","",IFERROR(IF(INDEX('🎓 Alumnas'!$C$2:$C$1000,MATCH($C344,'🎓 Alumnas'!$B$2:$B$1000,0))="","",INDEX('🎓 Alumnas'!$C$2:$C$1000,MATCH($C344,'🎓 Alumnas'!$B$2:$B$1000,0))),""))</f>
        <v/>
      </c>
      <c r="E344" s="29" t="str">
        <f>IF($C344="","",IFERROR(IF(INDEX('🎓 Alumnas'!$D$2:$D$1000,MATCH($C344,'🎓 Alumnas'!$B$2:$B$1000,0))="","",INDEX('🎓 Alumnas'!$D$2:$D$1000,MATCH($C344,'🎓 Alumnas'!$B$2:$B$1000,0))),""))</f>
        <v/>
      </c>
      <c r="F344" s="29" t="str">
        <f>IF($C344="","",IFERROR(IF(INDEX('🎓 Alumnas'!$E$2:$E$1000,MATCH($C344,'🎓 Alumnas'!$B$2:$B$1000,0))="","",INDEX('🎓 Alumnas'!$E$2:$E$1000,MATCH($C344,'🎓 Alumnas'!$B$2:$B$1000,0))),""))</f>
        <v/>
      </c>
      <c r="G344" s="31" t="str">
        <f>IF($C344="","",IFERROR(IF(INDEX('🎓 Alumnas'!$F$2:$F$1000,MATCH($C344,'🎓 Alumnas'!$B$2:$B$1000,0))="","",INDEX('🎓 Alumnas'!$F$2:$F$1000,MATCH($C344,'🎓 Alumnas'!$B$2:$B$1000,0))),""))</f>
        <v/>
      </c>
      <c r="H344" s="29" t="str">
        <f t="shared" ca="1" si="15"/>
        <v/>
      </c>
      <c r="I344" s="26"/>
      <c r="J344" s="29" t="str">
        <f t="shared" si="16"/>
        <v/>
      </c>
      <c r="K344" s="26"/>
      <c r="L344" s="26"/>
      <c r="M344" s="35"/>
      <c r="N344" s="30" t="str">
        <f t="shared" si="17"/>
        <v/>
      </c>
      <c r="O344" s="36"/>
      <c r="P344" s="26"/>
      <c r="Q344" s="26"/>
      <c r="R344" s="29" t="str">
        <f>IF(C344="","",IF(COUNTIF($C$2:C344,C344)=1,"Nueva","Recurrente"))</f>
        <v/>
      </c>
      <c r="S344" s="29" t="str">
        <f>IF(OR(C344="",J344&lt;&gt;"Paquete"),"",COUNTIFS($C$2:C344,C344,$J$2:J344,"Paquete"))</f>
        <v/>
      </c>
      <c r="T344" s="26"/>
    </row>
    <row r="345" spans="1:20" x14ac:dyDescent="0.35">
      <c r="A345" s="26" t="s">
        <v>772</v>
      </c>
      <c r="B345" s="28"/>
      <c r="C345" s="26"/>
      <c r="D345" s="34" t="str">
        <f>IF($C345="","",IFERROR(IF(INDEX('🎓 Alumnas'!$C$2:$C$1000,MATCH($C345,'🎓 Alumnas'!$B$2:$B$1000,0))="","",INDEX('🎓 Alumnas'!$C$2:$C$1000,MATCH($C345,'🎓 Alumnas'!$B$2:$B$1000,0))),""))</f>
        <v/>
      </c>
      <c r="E345" s="29" t="str">
        <f>IF($C345="","",IFERROR(IF(INDEX('🎓 Alumnas'!$D$2:$D$1000,MATCH($C345,'🎓 Alumnas'!$B$2:$B$1000,0))="","",INDEX('🎓 Alumnas'!$D$2:$D$1000,MATCH($C345,'🎓 Alumnas'!$B$2:$B$1000,0))),""))</f>
        <v/>
      </c>
      <c r="F345" s="29" t="str">
        <f>IF($C345="","",IFERROR(IF(INDEX('🎓 Alumnas'!$E$2:$E$1000,MATCH($C345,'🎓 Alumnas'!$B$2:$B$1000,0))="","",INDEX('🎓 Alumnas'!$E$2:$E$1000,MATCH($C345,'🎓 Alumnas'!$B$2:$B$1000,0))),""))</f>
        <v/>
      </c>
      <c r="G345" s="31" t="str">
        <f>IF($C345="","",IFERROR(IF(INDEX('🎓 Alumnas'!$F$2:$F$1000,MATCH($C345,'🎓 Alumnas'!$B$2:$B$1000,0))="","",INDEX('🎓 Alumnas'!$F$2:$F$1000,MATCH($C345,'🎓 Alumnas'!$B$2:$B$1000,0))),""))</f>
        <v/>
      </c>
      <c r="H345" s="29" t="str">
        <f t="shared" ca="1" si="15"/>
        <v/>
      </c>
      <c r="I345" s="26"/>
      <c r="J345" s="29" t="str">
        <f t="shared" si="16"/>
        <v/>
      </c>
      <c r="K345" s="26"/>
      <c r="L345" s="26"/>
      <c r="M345" s="35"/>
      <c r="N345" s="30" t="str">
        <f t="shared" si="17"/>
        <v/>
      </c>
      <c r="O345" s="36"/>
      <c r="P345" s="26"/>
      <c r="Q345" s="26"/>
      <c r="R345" s="29" t="str">
        <f>IF(C345="","",IF(COUNTIF($C$2:C345,C345)=1,"Nueva","Recurrente"))</f>
        <v/>
      </c>
      <c r="S345" s="29" t="str">
        <f>IF(OR(C345="",J345&lt;&gt;"Paquete"),"",COUNTIFS($C$2:C345,C345,$J$2:J345,"Paquete"))</f>
        <v/>
      </c>
      <c r="T345" s="26"/>
    </row>
    <row r="346" spans="1:20" x14ac:dyDescent="0.35">
      <c r="A346" s="26" t="s">
        <v>773</v>
      </c>
      <c r="B346" s="28"/>
      <c r="C346" s="26"/>
      <c r="D346" s="34" t="str">
        <f>IF($C346="","",IFERROR(IF(INDEX('🎓 Alumnas'!$C$2:$C$1000,MATCH($C346,'🎓 Alumnas'!$B$2:$B$1000,0))="","",INDEX('🎓 Alumnas'!$C$2:$C$1000,MATCH($C346,'🎓 Alumnas'!$B$2:$B$1000,0))),""))</f>
        <v/>
      </c>
      <c r="E346" s="29" t="str">
        <f>IF($C346="","",IFERROR(IF(INDEX('🎓 Alumnas'!$D$2:$D$1000,MATCH($C346,'🎓 Alumnas'!$B$2:$B$1000,0))="","",INDEX('🎓 Alumnas'!$D$2:$D$1000,MATCH($C346,'🎓 Alumnas'!$B$2:$B$1000,0))),""))</f>
        <v/>
      </c>
      <c r="F346" s="29" t="str">
        <f>IF($C346="","",IFERROR(IF(INDEX('🎓 Alumnas'!$E$2:$E$1000,MATCH($C346,'🎓 Alumnas'!$B$2:$B$1000,0))="","",INDEX('🎓 Alumnas'!$E$2:$E$1000,MATCH($C346,'🎓 Alumnas'!$B$2:$B$1000,0))),""))</f>
        <v/>
      </c>
      <c r="G346" s="31" t="str">
        <f>IF($C346="","",IFERROR(IF(INDEX('🎓 Alumnas'!$F$2:$F$1000,MATCH($C346,'🎓 Alumnas'!$B$2:$B$1000,0))="","",INDEX('🎓 Alumnas'!$F$2:$F$1000,MATCH($C346,'🎓 Alumnas'!$B$2:$B$1000,0))),""))</f>
        <v/>
      </c>
      <c r="H346" s="29" t="str">
        <f t="shared" ca="1" si="15"/>
        <v/>
      </c>
      <c r="I346" s="26"/>
      <c r="J346" s="29" t="str">
        <f t="shared" si="16"/>
        <v/>
      </c>
      <c r="K346" s="26"/>
      <c r="L346" s="26"/>
      <c r="M346" s="35"/>
      <c r="N346" s="30" t="str">
        <f t="shared" si="17"/>
        <v/>
      </c>
      <c r="O346" s="36"/>
      <c r="P346" s="26"/>
      <c r="Q346" s="26"/>
      <c r="R346" s="29" t="str">
        <f>IF(C346="","",IF(COUNTIF($C$2:C346,C346)=1,"Nueva","Recurrente"))</f>
        <v/>
      </c>
      <c r="S346" s="29" t="str">
        <f>IF(OR(C346="",J346&lt;&gt;"Paquete"),"",COUNTIFS($C$2:C346,C346,$J$2:J346,"Paquete"))</f>
        <v/>
      </c>
      <c r="T346" s="26"/>
    </row>
    <row r="347" spans="1:20" x14ac:dyDescent="0.35">
      <c r="A347" s="26" t="s">
        <v>774</v>
      </c>
      <c r="B347" s="28"/>
      <c r="C347" s="26"/>
      <c r="D347" s="34" t="str">
        <f>IF($C347="","",IFERROR(IF(INDEX('🎓 Alumnas'!$C$2:$C$1000,MATCH($C347,'🎓 Alumnas'!$B$2:$B$1000,0))="","",INDEX('🎓 Alumnas'!$C$2:$C$1000,MATCH($C347,'🎓 Alumnas'!$B$2:$B$1000,0))),""))</f>
        <v/>
      </c>
      <c r="E347" s="29" t="str">
        <f>IF($C347="","",IFERROR(IF(INDEX('🎓 Alumnas'!$D$2:$D$1000,MATCH($C347,'🎓 Alumnas'!$B$2:$B$1000,0))="","",INDEX('🎓 Alumnas'!$D$2:$D$1000,MATCH($C347,'🎓 Alumnas'!$B$2:$B$1000,0))),""))</f>
        <v/>
      </c>
      <c r="F347" s="29" t="str">
        <f>IF($C347="","",IFERROR(IF(INDEX('🎓 Alumnas'!$E$2:$E$1000,MATCH($C347,'🎓 Alumnas'!$B$2:$B$1000,0))="","",INDEX('🎓 Alumnas'!$E$2:$E$1000,MATCH($C347,'🎓 Alumnas'!$B$2:$B$1000,0))),""))</f>
        <v/>
      </c>
      <c r="G347" s="31" t="str">
        <f>IF($C347="","",IFERROR(IF(INDEX('🎓 Alumnas'!$F$2:$F$1000,MATCH($C347,'🎓 Alumnas'!$B$2:$B$1000,0))="","",INDEX('🎓 Alumnas'!$F$2:$F$1000,MATCH($C347,'🎓 Alumnas'!$B$2:$B$1000,0))),""))</f>
        <v/>
      </c>
      <c r="H347" s="29" t="str">
        <f t="shared" ca="1" si="15"/>
        <v/>
      </c>
      <c r="I347" s="26"/>
      <c r="J347" s="29" t="str">
        <f t="shared" si="16"/>
        <v/>
      </c>
      <c r="K347" s="26"/>
      <c r="L347" s="26"/>
      <c r="M347" s="35"/>
      <c r="N347" s="30" t="str">
        <f t="shared" si="17"/>
        <v/>
      </c>
      <c r="O347" s="36"/>
      <c r="P347" s="26"/>
      <c r="Q347" s="26"/>
      <c r="R347" s="29" t="str">
        <f>IF(C347="","",IF(COUNTIF($C$2:C347,C347)=1,"Nueva","Recurrente"))</f>
        <v/>
      </c>
      <c r="S347" s="29" t="str">
        <f>IF(OR(C347="",J347&lt;&gt;"Paquete"),"",COUNTIFS($C$2:C347,C347,$J$2:J347,"Paquete"))</f>
        <v/>
      </c>
      <c r="T347" s="26"/>
    </row>
    <row r="348" spans="1:20" x14ac:dyDescent="0.35">
      <c r="A348" s="26" t="s">
        <v>775</v>
      </c>
      <c r="B348" s="28"/>
      <c r="C348" s="26"/>
      <c r="D348" s="34" t="str">
        <f>IF($C348="","",IFERROR(IF(INDEX('🎓 Alumnas'!$C$2:$C$1000,MATCH($C348,'🎓 Alumnas'!$B$2:$B$1000,0))="","",INDEX('🎓 Alumnas'!$C$2:$C$1000,MATCH($C348,'🎓 Alumnas'!$B$2:$B$1000,0))),""))</f>
        <v/>
      </c>
      <c r="E348" s="29" t="str">
        <f>IF($C348="","",IFERROR(IF(INDEX('🎓 Alumnas'!$D$2:$D$1000,MATCH($C348,'🎓 Alumnas'!$B$2:$B$1000,0))="","",INDEX('🎓 Alumnas'!$D$2:$D$1000,MATCH($C348,'🎓 Alumnas'!$B$2:$B$1000,0))),""))</f>
        <v/>
      </c>
      <c r="F348" s="29" t="str">
        <f>IF($C348="","",IFERROR(IF(INDEX('🎓 Alumnas'!$E$2:$E$1000,MATCH($C348,'🎓 Alumnas'!$B$2:$B$1000,0))="","",INDEX('🎓 Alumnas'!$E$2:$E$1000,MATCH($C348,'🎓 Alumnas'!$B$2:$B$1000,0))),""))</f>
        <v/>
      </c>
      <c r="G348" s="31" t="str">
        <f>IF($C348="","",IFERROR(IF(INDEX('🎓 Alumnas'!$F$2:$F$1000,MATCH($C348,'🎓 Alumnas'!$B$2:$B$1000,0))="","",INDEX('🎓 Alumnas'!$F$2:$F$1000,MATCH($C348,'🎓 Alumnas'!$B$2:$B$1000,0))),""))</f>
        <v/>
      </c>
      <c r="H348" s="29" t="str">
        <f t="shared" ca="1" si="15"/>
        <v/>
      </c>
      <c r="I348" s="26"/>
      <c r="J348" s="29" t="str">
        <f t="shared" si="16"/>
        <v/>
      </c>
      <c r="K348" s="26"/>
      <c r="L348" s="26"/>
      <c r="M348" s="35"/>
      <c r="N348" s="30" t="str">
        <f t="shared" si="17"/>
        <v/>
      </c>
      <c r="O348" s="36"/>
      <c r="P348" s="26"/>
      <c r="Q348" s="26"/>
      <c r="R348" s="29" t="str">
        <f>IF(C348="","",IF(COUNTIF($C$2:C348,C348)=1,"Nueva","Recurrente"))</f>
        <v/>
      </c>
      <c r="S348" s="29" t="str">
        <f>IF(OR(C348="",J348&lt;&gt;"Paquete"),"",COUNTIFS($C$2:C348,C348,$J$2:J348,"Paquete"))</f>
        <v/>
      </c>
      <c r="T348" s="26"/>
    </row>
    <row r="349" spans="1:20" x14ac:dyDescent="0.35">
      <c r="A349" s="26" t="s">
        <v>776</v>
      </c>
      <c r="B349" s="28"/>
      <c r="C349" s="26"/>
      <c r="D349" s="34" t="str">
        <f>IF($C349="","",IFERROR(IF(INDEX('🎓 Alumnas'!$C$2:$C$1000,MATCH($C349,'🎓 Alumnas'!$B$2:$B$1000,0))="","",INDEX('🎓 Alumnas'!$C$2:$C$1000,MATCH($C349,'🎓 Alumnas'!$B$2:$B$1000,0))),""))</f>
        <v/>
      </c>
      <c r="E349" s="29" t="str">
        <f>IF($C349="","",IFERROR(IF(INDEX('🎓 Alumnas'!$D$2:$D$1000,MATCH($C349,'🎓 Alumnas'!$B$2:$B$1000,0))="","",INDEX('🎓 Alumnas'!$D$2:$D$1000,MATCH($C349,'🎓 Alumnas'!$B$2:$B$1000,0))),""))</f>
        <v/>
      </c>
      <c r="F349" s="29" t="str">
        <f>IF($C349="","",IFERROR(IF(INDEX('🎓 Alumnas'!$E$2:$E$1000,MATCH($C349,'🎓 Alumnas'!$B$2:$B$1000,0))="","",INDEX('🎓 Alumnas'!$E$2:$E$1000,MATCH($C349,'🎓 Alumnas'!$B$2:$B$1000,0))),""))</f>
        <v/>
      </c>
      <c r="G349" s="31" t="str">
        <f>IF($C349="","",IFERROR(IF(INDEX('🎓 Alumnas'!$F$2:$F$1000,MATCH($C349,'🎓 Alumnas'!$B$2:$B$1000,0))="","",INDEX('🎓 Alumnas'!$F$2:$F$1000,MATCH($C349,'🎓 Alumnas'!$B$2:$B$1000,0))),""))</f>
        <v/>
      </c>
      <c r="H349" s="29" t="str">
        <f t="shared" ca="1" si="15"/>
        <v/>
      </c>
      <c r="I349" s="26"/>
      <c r="J349" s="29" t="str">
        <f t="shared" si="16"/>
        <v/>
      </c>
      <c r="K349" s="26"/>
      <c r="L349" s="26"/>
      <c r="M349" s="35"/>
      <c r="N349" s="30" t="str">
        <f t="shared" si="17"/>
        <v/>
      </c>
      <c r="O349" s="36"/>
      <c r="P349" s="26"/>
      <c r="Q349" s="26"/>
      <c r="R349" s="29" t="str">
        <f>IF(C349="","",IF(COUNTIF($C$2:C349,C349)=1,"Nueva","Recurrente"))</f>
        <v/>
      </c>
      <c r="S349" s="29" t="str">
        <f>IF(OR(C349="",J349&lt;&gt;"Paquete"),"",COUNTIFS($C$2:C349,C349,$J$2:J349,"Paquete"))</f>
        <v/>
      </c>
      <c r="T349" s="26"/>
    </row>
    <row r="350" spans="1:20" x14ac:dyDescent="0.35">
      <c r="A350" s="26" t="s">
        <v>777</v>
      </c>
      <c r="B350" s="28"/>
      <c r="C350" s="26"/>
      <c r="D350" s="34" t="str">
        <f>IF($C350="","",IFERROR(IF(INDEX('🎓 Alumnas'!$C$2:$C$1000,MATCH($C350,'🎓 Alumnas'!$B$2:$B$1000,0))="","",INDEX('🎓 Alumnas'!$C$2:$C$1000,MATCH($C350,'🎓 Alumnas'!$B$2:$B$1000,0))),""))</f>
        <v/>
      </c>
      <c r="E350" s="29" t="str">
        <f>IF($C350="","",IFERROR(IF(INDEX('🎓 Alumnas'!$D$2:$D$1000,MATCH($C350,'🎓 Alumnas'!$B$2:$B$1000,0))="","",INDEX('🎓 Alumnas'!$D$2:$D$1000,MATCH($C350,'🎓 Alumnas'!$B$2:$B$1000,0))),""))</f>
        <v/>
      </c>
      <c r="F350" s="29" t="str">
        <f>IF($C350="","",IFERROR(IF(INDEX('🎓 Alumnas'!$E$2:$E$1000,MATCH($C350,'🎓 Alumnas'!$B$2:$B$1000,0))="","",INDEX('🎓 Alumnas'!$E$2:$E$1000,MATCH($C350,'🎓 Alumnas'!$B$2:$B$1000,0))),""))</f>
        <v/>
      </c>
      <c r="G350" s="31" t="str">
        <f>IF($C350="","",IFERROR(IF(INDEX('🎓 Alumnas'!$F$2:$F$1000,MATCH($C350,'🎓 Alumnas'!$B$2:$B$1000,0))="","",INDEX('🎓 Alumnas'!$F$2:$F$1000,MATCH($C350,'🎓 Alumnas'!$B$2:$B$1000,0))),""))</f>
        <v/>
      </c>
      <c r="H350" s="29" t="str">
        <f t="shared" ca="1" si="15"/>
        <v/>
      </c>
      <c r="I350" s="26"/>
      <c r="J350" s="29" t="str">
        <f t="shared" si="16"/>
        <v/>
      </c>
      <c r="K350" s="26"/>
      <c r="L350" s="26"/>
      <c r="M350" s="35"/>
      <c r="N350" s="30" t="str">
        <f t="shared" si="17"/>
        <v/>
      </c>
      <c r="O350" s="36"/>
      <c r="P350" s="26"/>
      <c r="Q350" s="26"/>
      <c r="R350" s="29" t="str">
        <f>IF(C350="","",IF(COUNTIF($C$2:C350,C350)=1,"Nueva","Recurrente"))</f>
        <v/>
      </c>
      <c r="S350" s="29" t="str">
        <f>IF(OR(C350="",J350&lt;&gt;"Paquete"),"",COUNTIFS($C$2:C350,C350,$J$2:J350,"Paquete"))</f>
        <v/>
      </c>
      <c r="T350" s="26"/>
    </row>
    <row r="351" spans="1:20" x14ac:dyDescent="0.35">
      <c r="A351" s="26" t="s">
        <v>778</v>
      </c>
      <c r="B351" s="28"/>
      <c r="C351" s="26"/>
      <c r="D351" s="34" t="str">
        <f>IF($C351="","",IFERROR(IF(INDEX('🎓 Alumnas'!$C$2:$C$1000,MATCH($C351,'🎓 Alumnas'!$B$2:$B$1000,0))="","",INDEX('🎓 Alumnas'!$C$2:$C$1000,MATCH($C351,'🎓 Alumnas'!$B$2:$B$1000,0))),""))</f>
        <v/>
      </c>
      <c r="E351" s="29" t="str">
        <f>IF($C351="","",IFERROR(IF(INDEX('🎓 Alumnas'!$D$2:$D$1000,MATCH($C351,'🎓 Alumnas'!$B$2:$B$1000,0))="","",INDEX('🎓 Alumnas'!$D$2:$D$1000,MATCH($C351,'🎓 Alumnas'!$B$2:$B$1000,0))),""))</f>
        <v/>
      </c>
      <c r="F351" s="29" t="str">
        <f>IF($C351="","",IFERROR(IF(INDEX('🎓 Alumnas'!$E$2:$E$1000,MATCH($C351,'🎓 Alumnas'!$B$2:$B$1000,0))="","",INDEX('🎓 Alumnas'!$E$2:$E$1000,MATCH($C351,'🎓 Alumnas'!$B$2:$B$1000,0))),""))</f>
        <v/>
      </c>
      <c r="G351" s="31" t="str">
        <f>IF($C351="","",IFERROR(IF(INDEX('🎓 Alumnas'!$F$2:$F$1000,MATCH($C351,'🎓 Alumnas'!$B$2:$B$1000,0))="","",INDEX('🎓 Alumnas'!$F$2:$F$1000,MATCH($C351,'🎓 Alumnas'!$B$2:$B$1000,0))),""))</f>
        <v/>
      </c>
      <c r="H351" s="29" t="str">
        <f t="shared" ca="1" si="15"/>
        <v/>
      </c>
      <c r="I351" s="26"/>
      <c r="J351" s="29" t="str">
        <f t="shared" si="16"/>
        <v/>
      </c>
      <c r="K351" s="26"/>
      <c r="L351" s="26"/>
      <c r="M351" s="35"/>
      <c r="N351" s="30" t="str">
        <f t="shared" si="17"/>
        <v/>
      </c>
      <c r="O351" s="36"/>
      <c r="P351" s="26"/>
      <c r="Q351" s="26"/>
      <c r="R351" s="29" t="str">
        <f>IF(C351="","",IF(COUNTIF($C$2:C351,C351)=1,"Nueva","Recurrente"))</f>
        <v/>
      </c>
      <c r="S351" s="29" t="str">
        <f>IF(OR(C351="",J351&lt;&gt;"Paquete"),"",COUNTIFS($C$2:C351,C351,$J$2:J351,"Paquete"))</f>
        <v/>
      </c>
      <c r="T351" s="26"/>
    </row>
    <row r="352" spans="1:20" x14ac:dyDescent="0.35">
      <c r="A352" s="26" t="s">
        <v>779</v>
      </c>
      <c r="B352" s="28"/>
      <c r="C352" s="26"/>
      <c r="D352" s="34" t="str">
        <f>IF($C352="","",IFERROR(IF(INDEX('🎓 Alumnas'!$C$2:$C$1000,MATCH($C352,'🎓 Alumnas'!$B$2:$B$1000,0))="","",INDEX('🎓 Alumnas'!$C$2:$C$1000,MATCH($C352,'🎓 Alumnas'!$B$2:$B$1000,0))),""))</f>
        <v/>
      </c>
      <c r="E352" s="29" t="str">
        <f>IF($C352="","",IFERROR(IF(INDEX('🎓 Alumnas'!$D$2:$D$1000,MATCH($C352,'🎓 Alumnas'!$B$2:$B$1000,0))="","",INDEX('🎓 Alumnas'!$D$2:$D$1000,MATCH($C352,'🎓 Alumnas'!$B$2:$B$1000,0))),""))</f>
        <v/>
      </c>
      <c r="F352" s="29" t="str">
        <f>IF($C352="","",IFERROR(IF(INDEX('🎓 Alumnas'!$E$2:$E$1000,MATCH($C352,'🎓 Alumnas'!$B$2:$B$1000,0))="","",INDEX('🎓 Alumnas'!$E$2:$E$1000,MATCH($C352,'🎓 Alumnas'!$B$2:$B$1000,0))),""))</f>
        <v/>
      </c>
      <c r="G352" s="31" t="str">
        <f>IF($C352="","",IFERROR(IF(INDEX('🎓 Alumnas'!$F$2:$F$1000,MATCH($C352,'🎓 Alumnas'!$B$2:$B$1000,0))="","",INDEX('🎓 Alumnas'!$F$2:$F$1000,MATCH($C352,'🎓 Alumnas'!$B$2:$B$1000,0))),""))</f>
        <v/>
      </c>
      <c r="H352" s="29" t="str">
        <f t="shared" ca="1" si="15"/>
        <v/>
      </c>
      <c r="I352" s="26"/>
      <c r="J352" s="29" t="str">
        <f t="shared" si="16"/>
        <v/>
      </c>
      <c r="K352" s="26"/>
      <c r="L352" s="26"/>
      <c r="M352" s="35"/>
      <c r="N352" s="30" t="str">
        <f t="shared" si="17"/>
        <v/>
      </c>
      <c r="O352" s="36"/>
      <c r="P352" s="26"/>
      <c r="Q352" s="26"/>
      <c r="R352" s="29" t="str">
        <f>IF(C352="","",IF(COUNTIF($C$2:C352,C352)=1,"Nueva","Recurrente"))</f>
        <v/>
      </c>
      <c r="S352" s="29" t="str">
        <f>IF(OR(C352="",J352&lt;&gt;"Paquete"),"",COUNTIFS($C$2:C352,C352,$J$2:J352,"Paquete"))</f>
        <v/>
      </c>
      <c r="T352" s="26"/>
    </row>
    <row r="353" spans="1:20" x14ac:dyDescent="0.35">
      <c r="A353" s="26" t="s">
        <v>780</v>
      </c>
      <c r="B353" s="28"/>
      <c r="C353" s="26"/>
      <c r="D353" s="34" t="str">
        <f>IF($C353="","",IFERROR(IF(INDEX('🎓 Alumnas'!$C$2:$C$1000,MATCH($C353,'🎓 Alumnas'!$B$2:$B$1000,0))="","",INDEX('🎓 Alumnas'!$C$2:$C$1000,MATCH($C353,'🎓 Alumnas'!$B$2:$B$1000,0))),""))</f>
        <v/>
      </c>
      <c r="E353" s="29" t="str">
        <f>IF($C353="","",IFERROR(IF(INDEX('🎓 Alumnas'!$D$2:$D$1000,MATCH($C353,'🎓 Alumnas'!$B$2:$B$1000,0))="","",INDEX('🎓 Alumnas'!$D$2:$D$1000,MATCH($C353,'🎓 Alumnas'!$B$2:$B$1000,0))),""))</f>
        <v/>
      </c>
      <c r="F353" s="29" t="str">
        <f>IF($C353="","",IFERROR(IF(INDEX('🎓 Alumnas'!$E$2:$E$1000,MATCH($C353,'🎓 Alumnas'!$B$2:$B$1000,0))="","",INDEX('🎓 Alumnas'!$E$2:$E$1000,MATCH($C353,'🎓 Alumnas'!$B$2:$B$1000,0))),""))</f>
        <v/>
      </c>
      <c r="G353" s="31" t="str">
        <f>IF($C353="","",IFERROR(IF(INDEX('🎓 Alumnas'!$F$2:$F$1000,MATCH($C353,'🎓 Alumnas'!$B$2:$B$1000,0))="","",INDEX('🎓 Alumnas'!$F$2:$F$1000,MATCH($C353,'🎓 Alumnas'!$B$2:$B$1000,0))),""))</f>
        <v/>
      </c>
      <c r="H353" s="29" t="str">
        <f t="shared" ca="1" si="15"/>
        <v/>
      </c>
      <c r="I353" s="26"/>
      <c r="J353" s="29" t="str">
        <f t="shared" si="16"/>
        <v/>
      </c>
      <c r="K353" s="26"/>
      <c r="L353" s="26"/>
      <c r="M353" s="35"/>
      <c r="N353" s="30" t="str">
        <f t="shared" si="17"/>
        <v/>
      </c>
      <c r="O353" s="36"/>
      <c r="P353" s="26"/>
      <c r="Q353" s="26"/>
      <c r="R353" s="29" t="str">
        <f>IF(C353="","",IF(COUNTIF($C$2:C353,C353)=1,"Nueva","Recurrente"))</f>
        <v/>
      </c>
      <c r="S353" s="29" t="str">
        <f>IF(OR(C353="",J353&lt;&gt;"Paquete"),"",COUNTIFS($C$2:C353,C353,$J$2:J353,"Paquete"))</f>
        <v/>
      </c>
      <c r="T353" s="26"/>
    </row>
    <row r="354" spans="1:20" x14ac:dyDescent="0.35">
      <c r="A354" s="26" t="s">
        <v>781</v>
      </c>
      <c r="B354" s="28"/>
      <c r="C354" s="26"/>
      <c r="D354" s="34" t="str">
        <f>IF($C354="","",IFERROR(IF(INDEX('🎓 Alumnas'!$C$2:$C$1000,MATCH($C354,'🎓 Alumnas'!$B$2:$B$1000,0))="","",INDEX('🎓 Alumnas'!$C$2:$C$1000,MATCH($C354,'🎓 Alumnas'!$B$2:$B$1000,0))),""))</f>
        <v/>
      </c>
      <c r="E354" s="29" t="str">
        <f>IF($C354="","",IFERROR(IF(INDEX('🎓 Alumnas'!$D$2:$D$1000,MATCH($C354,'🎓 Alumnas'!$B$2:$B$1000,0))="","",INDEX('🎓 Alumnas'!$D$2:$D$1000,MATCH($C354,'🎓 Alumnas'!$B$2:$B$1000,0))),""))</f>
        <v/>
      </c>
      <c r="F354" s="29" t="str">
        <f>IF($C354="","",IFERROR(IF(INDEX('🎓 Alumnas'!$E$2:$E$1000,MATCH($C354,'🎓 Alumnas'!$B$2:$B$1000,0))="","",INDEX('🎓 Alumnas'!$E$2:$E$1000,MATCH($C354,'🎓 Alumnas'!$B$2:$B$1000,0))),""))</f>
        <v/>
      </c>
      <c r="G354" s="31" t="str">
        <f>IF($C354="","",IFERROR(IF(INDEX('🎓 Alumnas'!$F$2:$F$1000,MATCH($C354,'🎓 Alumnas'!$B$2:$B$1000,0))="","",INDEX('🎓 Alumnas'!$F$2:$F$1000,MATCH($C354,'🎓 Alumnas'!$B$2:$B$1000,0))),""))</f>
        <v/>
      </c>
      <c r="H354" s="29" t="str">
        <f t="shared" ca="1" si="15"/>
        <v/>
      </c>
      <c r="I354" s="26"/>
      <c r="J354" s="29" t="str">
        <f t="shared" si="16"/>
        <v/>
      </c>
      <c r="K354" s="26"/>
      <c r="L354" s="26"/>
      <c r="M354" s="35"/>
      <c r="N354" s="30" t="str">
        <f t="shared" si="17"/>
        <v/>
      </c>
      <c r="O354" s="36"/>
      <c r="P354" s="26"/>
      <c r="Q354" s="26"/>
      <c r="R354" s="29" t="str">
        <f>IF(C354="","",IF(COUNTIF($C$2:C354,C354)=1,"Nueva","Recurrente"))</f>
        <v/>
      </c>
      <c r="S354" s="29" t="str">
        <f>IF(OR(C354="",J354&lt;&gt;"Paquete"),"",COUNTIFS($C$2:C354,C354,$J$2:J354,"Paquete"))</f>
        <v/>
      </c>
      <c r="T354" s="26"/>
    </row>
    <row r="355" spans="1:20" x14ac:dyDescent="0.35">
      <c r="A355" s="26" t="s">
        <v>782</v>
      </c>
      <c r="B355" s="28"/>
      <c r="C355" s="26"/>
      <c r="D355" s="34" t="str">
        <f>IF($C355="","",IFERROR(IF(INDEX('🎓 Alumnas'!$C$2:$C$1000,MATCH($C355,'🎓 Alumnas'!$B$2:$B$1000,0))="","",INDEX('🎓 Alumnas'!$C$2:$C$1000,MATCH($C355,'🎓 Alumnas'!$B$2:$B$1000,0))),""))</f>
        <v/>
      </c>
      <c r="E355" s="29" t="str">
        <f>IF($C355="","",IFERROR(IF(INDEX('🎓 Alumnas'!$D$2:$D$1000,MATCH($C355,'🎓 Alumnas'!$B$2:$B$1000,0))="","",INDEX('🎓 Alumnas'!$D$2:$D$1000,MATCH($C355,'🎓 Alumnas'!$B$2:$B$1000,0))),""))</f>
        <v/>
      </c>
      <c r="F355" s="29" t="str">
        <f>IF($C355="","",IFERROR(IF(INDEX('🎓 Alumnas'!$E$2:$E$1000,MATCH($C355,'🎓 Alumnas'!$B$2:$B$1000,0))="","",INDEX('🎓 Alumnas'!$E$2:$E$1000,MATCH($C355,'🎓 Alumnas'!$B$2:$B$1000,0))),""))</f>
        <v/>
      </c>
      <c r="G355" s="31" t="str">
        <f>IF($C355="","",IFERROR(IF(INDEX('🎓 Alumnas'!$F$2:$F$1000,MATCH($C355,'🎓 Alumnas'!$B$2:$B$1000,0))="","",INDEX('🎓 Alumnas'!$F$2:$F$1000,MATCH($C355,'🎓 Alumnas'!$B$2:$B$1000,0))),""))</f>
        <v/>
      </c>
      <c r="H355" s="29" t="str">
        <f t="shared" ca="1" si="15"/>
        <v/>
      </c>
      <c r="I355" s="26"/>
      <c r="J355" s="29" t="str">
        <f t="shared" si="16"/>
        <v/>
      </c>
      <c r="K355" s="26"/>
      <c r="L355" s="26"/>
      <c r="M355" s="35"/>
      <c r="N355" s="30" t="str">
        <f t="shared" si="17"/>
        <v/>
      </c>
      <c r="O355" s="36"/>
      <c r="P355" s="26"/>
      <c r="Q355" s="26"/>
      <c r="R355" s="29" t="str">
        <f>IF(C355="","",IF(COUNTIF($C$2:C355,C355)=1,"Nueva","Recurrente"))</f>
        <v/>
      </c>
      <c r="S355" s="29" t="str">
        <f>IF(OR(C355="",J355&lt;&gt;"Paquete"),"",COUNTIFS($C$2:C355,C355,$J$2:J355,"Paquete"))</f>
        <v/>
      </c>
      <c r="T355" s="26"/>
    </row>
    <row r="356" spans="1:20" x14ac:dyDescent="0.35">
      <c r="A356" s="26" t="s">
        <v>783</v>
      </c>
      <c r="B356" s="28"/>
      <c r="C356" s="26"/>
      <c r="D356" s="34" t="str">
        <f>IF($C356="","",IFERROR(IF(INDEX('🎓 Alumnas'!$C$2:$C$1000,MATCH($C356,'🎓 Alumnas'!$B$2:$B$1000,0))="","",INDEX('🎓 Alumnas'!$C$2:$C$1000,MATCH($C356,'🎓 Alumnas'!$B$2:$B$1000,0))),""))</f>
        <v/>
      </c>
      <c r="E356" s="29" t="str">
        <f>IF($C356="","",IFERROR(IF(INDEX('🎓 Alumnas'!$D$2:$D$1000,MATCH($C356,'🎓 Alumnas'!$B$2:$B$1000,0))="","",INDEX('🎓 Alumnas'!$D$2:$D$1000,MATCH($C356,'🎓 Alumnas'!$B$2:$B$1000,0))),""))</f>
        <v/>
      </c>
      <c r="F356" s="29" t="str">
        <f>IF($C356="","",IFERROR(IF(INDEX('🎓 Alumnas'!$E$2:$E$1000,MATCH($C356,'🎓 Alumnas'!$B$2:$B$1000,0))="","",INDEX('🎓 Alumnas'!$E$2:$E$1000,MATCH($C356,'🎓 Alumnas'!$B$2:$B$1000,0))),""))</f>
        <v/>
      </c>
      <c r="G356" s="31" t="str">
        <f>IF($C356="","",IFERROR(IF(INDEX('🎓 Alumnas'!$F$2:$F$1000,MATCH($C356,'🎓 Alumnas'!$B$2:$B$1000,0))="","",INDEX('🎓 Alumnas'!$F$2:$F$1000,MATCH($C356,'🎓 Alumnas'!$B$2:$B$1000,0))),""))</f>
        <v/>
      </c>
      <c r="H356" s="29" t="str">
        <f t="shared" ca="1" si="15"/>
        <v/>
      </c>
      <c r="I356" s="26"/>
      <c r="J356" s="29" t="str">
        <f t="shared" si="16"/>
        <v/>
      </c>
      <c r="K356" s="26"/>
      <c r="L356" s="26"/>
      <c r="M356" s="35"/>
      <c r="N356" s="30" t="str">
        <f t="shared" si="17"/>
        <v/>
      </c>
      <c r="O356" s="36"/>
      <c r="P356" s="26"/>
      <c r="Q356" s="26"/>
      <c r="R356" s="29" t="str">
        <f>IF(C356="","",IF(COUNTIF($C$2:C356,C356)=1,"Nueva","Recurrente"))</f>
        <v/>
      </c>
      <c r="S356" s="29" t="str">
        <f>IF(OR(C356="",J356&lt;&gt;"Paquete"),"",COUNTIFS($C$2:C356,C356,$J$2:J356,"Paquete"))</f>
        <v/>
      </c>
      <c r="T356" s="26"/>
    </row>
    <row r="357" spans="1:20" x14ac:dyDescent="0.35">
      <c r="A357" s="26" t="s">
        <v>784</v>
      </c>
      <c r="B357" s="28"/>
      <c r="C357" s="26"/>
      <c r="D357" s="34" t="str">
        <f>IF($C357="","",IFERROR(IF(INDEX('🎓 Alumnas'!$C$2:$C$1000,MATCH($C357,'🎓 Alumnas'!$B$2:$B$1000,0))="","",INDEX('🎓 Alumnas'!$C$2:$C$1000,MATCH($C357,'🎓 Alumnas'!$B$2:$B$1000,0))),""))</f>
        <v/>
      </c>
      <c r="E357" s="29" t="str">
        <f>IF($C357="","",IFERROR(IF(INDEX('🎓 Alumnas'!$D$2:$D$1000,MATCH($C357,'🎓 Alumnas'!$B$2:$B$1000,0))="","",INDEX('🎓 Alumnas'!$D$2:$D$1000,MATCH($C357,'🎓 Alumnas'!$B$2:$B$1000,0))),""))</f>
        <v/>
      </c>
      <c r="F357" s="29" t="str">
        <f>IF($C357="","",IFERROR(IF(INDEX('🎓 Alumnas'!$E$2:$E$1000,MATCH($C357,'🎓 Alumnas'!$B$2:$B$1000,0))="","",INDEX('🎓 Alumnas'!$E$2:$E$1000,MATCH($C357,'🎓 Alumnas'!$B$2:$B$1000,0))),""))</f>
        <v/>
      </c>
      <c r="G357" s="31" t="str">
        <f>IF($C357="","",IFERROR(IF(INDEX('🎓 Alumnas'!$F$2:$F$1000,MATCH($C357,'🎓 Alumnas'!$B$2:$B$1000,0))="","",INDEX('🎓 Alumnas'!$F$2:$F$1000,MATCH($C357,'🎓 Alumnas'!$B$2:$B$1000,0))),""))</f>
        <v/>
      </c>
      <c r="H357" s="29" t="str">
        <f t="shared" ca="1" si="15"/>
        <v/>
      </c>
      <c r="I357" s="26"/>
      <c r="J357" s="29" t="str">
        <f t="shared" si="16"/>
        <v/>
      </c>
      <c r="K357" s="26"/>
      <c r="L357" s="26"/>
      <c r="M357" s="35"/>
      <c r="N357" s="30" t="str">
        <f t="shared" si="17"/>
        <v/>
      </c>
      <c r="O357" s="36"/>
      <c r="P357" s="26"/>
      <c r="Q357" s="26"/>
      <c r="R357" s="29" t="str">
        <f>IF(C357="","",IF(COUNTIF($C$2:C357,C357)=1,"Nueva","Recurrente"))</f>
        <v/>
      </c>
      <c r="S357" s="29" t="str">
        <f>IF(OR(C357="",J357&lt;&gt;"Paquete"),"",COUNTIFS($C$2:C357,C357,$J$2:J357,"Paquete"))</f>
        <v/>
      </c>
      <c r="T357" s="26"/>
    </row>
    <row r="358" spans="1:20" x14ac:dyDescent="0.35">
      <c r="A358" s="26" t="s">
        <v>785</v>
      </c>
      <c r="B358" s="28"/>
      <c r="C358" s="26"/>
      <c r="D358" s="34" t="str">
        <f>IF($C358="","",IFERROR(IF(INDEX('🎓 Alumnas'!$C$2:$C$1000,MATCH($C358,'🎓 Alumnas'!$B$2:$B$1000,0))="","",INDEX('🎓 Alumnas'!$C$2:$C$1000,MATCH($C358,'🎓 Alumnas'!$B$2:$B$1000,0))),""))</f>
        <v/>
      </c>
      <c r="E358" s="29" t="str">
        <f>IF($C358="","",IFERROR(IF(INDEX('🎓 Alumnas'!$D$2:$D$1000,MATCH($C358,'🎓 Alumnas'!$B$2:$B$1000,0))="","",INDEX('🎓 Alumnas'!$D$2:$D$1000,MATCH($C358,'🎓 Alumnas'!$B$2:$B$1000,0))),""))</f>
        <v/>
      </c>
      <c r="F358" s="29" t="str">
        <f>IF($C358="","",IFERROR(IF(INDEX('🎓 Alumnas'!$E$2:$E$1000,MATCH($C358,'🎓 Alumnas'!$B$2:$B$1000,0))="","",INDEX('🎓 Alumnas'!$E$2:$E$1000,MATCH($C358,'🎓 Alumnas'!$B$2:$B$1000,0))),""))</f>
        <v/>
      </c>
      <c r="G358" s="31" t="str">
        <f>IF($C358="","",IFERROR(IF(INDEX('🎓 Alumnas'!$F$2:$F$1000,MATCH($C358,'🎓 Alumnas'!$B$2:$B$1000,0))="","",INDEX('🎓 Alumnas'!$F$2:$F$1000,MATCH($C358,'🎓 Alumnas'!$B$2:$B$1000,0))),""))</f>
        <v/>
      </c>
      <c r="H358" s="29" t="str">
        <f t="shared" ca="1" si="15"/>
        <v/>
      </c>
      <c r="I358" s="26"/>
      <c r="J358" s="29" t="str">
        <f t="shared" si="16"/>
        <v/>
      </c>
      <c r="K358" s="26"/>
      <c r="L358" s="26"/>
      <c r="M358" s="35"/>
      <c r="N358" s="30" t="str">
        <f t="shared" si="17"/>
        <v/>
      </c>
      <c r="O358" s="36"/>
      <c r="P358" s="26"/>
      <c r="Q358" s="26"/>
      <c r="R358" s="29" t="str">
        <f>IF(C358="","",IF(COUNTIF($C$2:C358,C358)=1,"Nueva","Recurrente"))</f>
        <v/>
      </c>
      <c r="S358" s="29" t="str">
        <f>IF(OR(C358="",J358&lt;&gt;"Paquete"),"",COUNTIFS($C$2:C358,C358,$J$2:J358,"Paquete"))</f>
        <v/>
      </c>
      <c r="T358" s="26"/>
    </row>
    <row r="359" spans="1:20" x14ac:dyDescent="0.35">
      <c r="A359" s="26" t="s">
        <v>786</v>
      </c>
      <c r="B359" s="28"/>
      <c r="C359" s="26"/>
      <c r="D359" s="34" t="str">
        <f>IF($C359="","",IFERROR(IF(INDEX('🎓 Alumnas'!$C$2:$C$1000,MATCH($C359,'🎓 Alumnas'!$B$2:$B$1000,0))="","",INDEX('🎓 Alumnas'!$C$2:$C$1000,MATCH($C359,'🎓 Alumnas'!$B$2:$B$1000,0))),""))</f>
        <v/>
      </c>
      <c r="E359" s="29" t="str">
        <f>IF($C359="","",IFERROR(IF(INDEX('🎓 Alumnas'!$D$2:$D$1000,MATCH($C359,'🎓 Alumnas'!$B$2:$B$1000,0))="","",INDEX('🎓 Alumnas'!$D$2:$D$1000,MATCH($C359,'🎓 Alumnas'!$B$2:$B$1000,0))),""))</f>
        <v/>
      </c>
      <c r="F359" s="29" t="str">
        <f>IF($C359="","",IFERROR(IF(INDEX('🎓 Alumnas'!$E$2:$E$1000,MATCH($C359,'🎓 Alumnas'!$B$2:$B$1000,0))="","",INDEX('🎓 Alumnas'!$E$2:$E$1000,MATCH($C359,'🎓 Alumnas'!$B$2:$B$1000,0))),""))</f>
        <v/>
      </c>
      <c r="G359" s="31" t="str">
        <f>IF($C359="","",IFERROR(IF(INDEX('🎓 Alumnas'!$F$2:$F$1000,MATCH($C359,'🎓 Alumnas'!$B$2:$B$1000,0))="","",INDEX('🎓 Alumnas'!$F$2:$F$1000,MATCH($C359,'🎓 Alumnas'!$B$2:$B$1000,0))),""))</f>
        <v/>
      </c>
      <c r="H359" s="29" t="str">
        <f t="shared" ca="1" si="15"/>
        <v/>
      </c>
      <c r="I359" s="26"/>
      <c r="J359" s="29" t="str">
        <f t="shared" si="16"/>
        <v/>
      </c>
      <c r="K359" s="26"/>
      <c r="L359" s="26"/>
      <c r="M359" s="35"/>
      <c r="N359" s="30" t="str">
        <f t="shared" si="17"/>
        <v/>
      </c>
      <c r="O359" s="36"/>
      <c r="P359" s="26"/>
      <c r="Q359" s="26"/>
      <c r="R359" s="29" t="str">
        <f>IF(C359="","",IF(COUNTIF($C$2:C359,C359)=1,"Nueva","Recurrente"))</f>
        <v/>
      </c>
      <c r="S359" s="29" t="str">
        <f>IF(OR(C359="",J359&lt;&gt;"Paquete"),"",COUNTIFS($C$2:C359,C359,$J$2:J359,"Paquete"))</f>
        <v/>
      </c>
      <c r="T359" s="26"/>
    </row>
    <row r="360" spans="1:20" x14ac:dyDescent="0.35">
      <c r="A360" s="26" t="s">
        <v>787</v>
      </c>
      <c r="B360" s="28"/>
      <c r="C360" s="26"/>
      <c r="D360" s="34" t="str">
        <f>IF($C360="","",IFERROR(IF(INDEX('🎓 Alumnas'!$C$2:$C$1000,MATCH($C360,'🎓 Alumnas'!$B$2:$B$1000,0))="","",INDEX('🎓 Alumnas'!$C$2:$C$1000,MATCH($C360,'🎓 Alumnas'!$B$2:$B$1000,0))),""))</f>
        <v/>
      </c>
      <c r="E360" s="29" t="str">
        <f>IF($C360="","",IFERROR(IF(INDEX('🎓 Alumnas'!$D$2:$D$1000,MATCH($C360,'🎓 Alumnas'!$B$2:$B$1000,0))="","",INDEX('🎓 Alumnas'!$D$2:$D$1000,MATCH($C360,'🎓 Alumnas'!$B$2:$B$1000,0))),""))</f>
        <v/>
      </c>
      <c r="F360" s="29" t="str">
        <f>IF($C360="","",IFERROR(IF(INDEX('🎓 Alumnas'!$E$2:$E$1000,MATCH($C360,'🎓 Alumnas'!$B$2:$B$1000,0))="","",INDEX('🎓 Alumnas'!$E$2:$E$1000,MATCH($C360,'🎓 Alumnas'!$B$2:$B$1000,0))),""))</f>
        <v/>
      </c>
      <c r="G360" s="31" t="str">
        <f>IF($C360="","",IFERROR(IF(INDEX('🎓 Alumnas'!$F$2:$F$1000,MATCH($C360,'🎓 Alumnas'!$B$2:$B$1000,0))="","",INDEX('🎓 Alumnas'!$F$2:$F$1000,MATCH($C360,'🎓 Alumnas'!$B$2:$B$1000,0))),""))</f>
        <v/>
      </c>
      <c r="H360" s="29" t="str">
        <f t="shared" ca="1" si="15"/>
        <v/>
      </c>
      <c r="I360" s="26"/>
      <c r="J360" s="29" t="str">
        <f t="shared" si="16"/>
        <v/>
      </c>
      <c r="K360" s="26"/>
      <c r="L360" s="26"/>
      <c r="M360" s="35"/>
      <c r="N360" s="30" t="str">
        <f t="shared" si="17"/>
        <v/>
      </c>
      <c r="O360" s="36"/>
      <c r="P360" s="26"/>
      <c r="Q360" s="26"/>
      <c r="R360" s="29" t="str">
        <f>IF(C360="","",IF(COUNTIF($C$2:C360,C360)=1,"Nueva","Recurrente"))</f>
        <v/>
      </c>
      <c r="S360" s="29" t="str">
        <f>IF(OR(C360="",J360&lt;&gt;"Paquete"),"",COUNTIFS($C$2:C360,C360,$J$2:J360,"Paquete"))</f>
        <v/>
      </c>
      <c r="T360" s="26"/>
    </row>
    <row r="361" spans="1:20" x14ac:dyDescent="0.35">
      <c r="A361" s="26" t="s">
        <v>788</v>
      </c>
      <c r="B361" s="28"/>
      <c r="C361" s="26"/>
      <c r="D361" s="34" t="str">
        <f>IF($C361="","",IFERROR(IF(INDEX('🎓 Alumnas'!$C$2:$C$1000,MATCH($C361,'🎓 Alumnas'!$B$2:$B$1000,0))="","",INDEX('🎓 Alumnas'!$C$2:$C$1000,MATCH($C361,'🎓 Alumnas'!$B$2:$B$1000,0))),""))</f>
        <v/>
      </c>
      <c r="E361" s="29" t="str">
        <f>IF($C361="","",IFERROR(IF(INDEX('🎓 Alumnas'!$D$2:$D$1000,MATCH($C361,'🎓 Alumnas'!$B$2:$B$1000,0))="","",INDEX('🎓 Alumnas'!$D$2:$D$1000,MATCH($C361,'🎓 Alumnas'!$B$2:$B$1000,0))),""))</f>
        <v/>
      </c>
      <c r="F361" s="29" t="str">
        <f>IF($C361="","",IFERROR(IF(INDEX('🎓 Alumnas'!$E$2:$E$1000,MATCH($C361,'🎓 Alumnas'!$B$2:$B$1000,0))="","",INDEX('🎓 Alumnas'!$E$2:$E$1000,MATCH($C361,'🎓 Alumnas'!$B$2:$B$1000,0))),""))</f>
        <v/>
      </c>
      <c r="G361" s="31" t="str">
        <f>IF($C361="","",IFERROR(IF(INDEX('🎓 Alumnas'!$F$2:$F$1000,MATCH($C361,'🎓 Alumnas'!$B$2:$B$1000,0))="","",INDEX('🎓 Alumnas'!$F$2:$F$1000,MATCH($C361,'🎓 Alumnas'!$B$2:$B$1000,0))),""))</f>
        <v/>
      </c>
      <c r="H361" s="29" t="str">
        <f t="shared" ca="1" si="15"/>
        <v/>
      </c>
      <c r="I361" s="26"/>
      <c r="J361" s="29" t="str">
        <f t="shared" si="16"/>
        <v/>
      </c>
      <c r="K361" s="26"/>
      <c r="L361" s="26"/>
      <c r="M361" s="35"/>
      <c r="N361" s="30" t="str">
        <f t="shared" si="17"/>
        <v/>
      </c>
      <c r="O361" s="36"/>
      <c r="P361" s="26"/>
      <c r="Q361" s="26"/>
      <c r="R361" s="29" t="str">
        <f>IF(C361="","",IF(COUNTIF($C$2:C361,C361)=1,"Nueva","Recurrente"))</f>
        <v/>
      </c>
      <c r="S361" s="29" t="str">
        <f>IF(OR(C361="",J361&lt;&gt;"Paquete"),"",COUNTIFS($C$2:C361,C361,$J$2:J361,"Paquete"))</f>
        <v/>
      </c>
      <c r="T361" s="26"/>
    </row>
    <row r="362" spans="1:20" x14ac:dyDescent="0.35">
      <c r="A362" s="26" t="s">
        <v>789</v>
      </c>
      <c r="B362" s="28"/>
      <c r="C362" s="26"/>
      <c r="D362" s="34" t="str">
        <f>IF($C362="","",IFERROR(IF(INDEX('🎓 Alumnas'!$C$2:$C$1000,MATCH($C362,'🎓 Alumnas'!$B$2:$B$1000,0))="","",INDEX('🎓 Alumnas'!$C$2:$C$1000,MATCH($C362,'🎓 Alumnas'!$B$2:$B$1000,0))),""))</f>
        <v/>
      </c>
      <c r="E362" s="29" t="str">
        <f>IF($C362="","",IFERROR(IF(INDEX('🎓 Alumnas'!$D$2:$D$1000,MATCH($C362,'🎓 Alumnas'!$B$2:$B$1000,0))="","",INDEX('🎓 Alumnas'!$D$2:$D$1000,MATCH($C362,'🎓 Alumnas'!$B$2:$B$1000,0))),""))</f>
        <v/>
      </c>
      <c r="F362" s="29" t="str">
        <f>IF($C362="","",IFERROR(IF(INDEX('🎓 Alumnas'!$E$2:$E$1000,MATCH($C362,'🎓 Alumnas'!$B$2:$B$1000,0))="","",INDEX('🎓 Alumnas'!$E$2:$E$1000,MATCH($C362,'🎓 Alumnas'!$B$2:$B$1000,0))),""))</f>
        <v/>
      </c>
      <c r="G362" s="31" t="str">
        <f>IF($C362="","",IFERROR(IF(INDEX('🎓 Alumnas'!$F$2:$F$1000,MATCH($C362,'🎓 Alumnas'!$B$2:$B$1000,0))="","",INDEX('🎓 Alumnas'!$F$2:$F$1000,MATCH($C362,'🎓 Alumnas'!$B$2:$B$1000,0))),""))</f>
        <v/>
      </c>
      <c r="H362" s="29" t="str">
        <f t="shared" ca="1" si="15"/>
        <v/>
      </c>
      <c r="I362" s="26"/>
      <c r="J362" s="29" t="str">
        <f t="shared" si="16"/>
        <v/>
      </c>
      <c r="K362" s="26"/>
      <c r="L362" s="26"/>
      <c r="M362" s="35"/>
      <c r="N362" s="30" t="str">
        <f t="shared" si="17"/>
        <v/>
      </c>
      <c r="O362" s="36"/>
      <c r="P362" s="26"/>
      <c r="Q362" s="26"/>
      <c r="R362" s="29" t="str">
        <f>IF(C362="","",IF(COUNTIF($C$2:C362,C362)=1,"Nueva","Recurrente"))</f>
        <v/>
      </c>
      <c r="S362" s="29" t="str">
        <f>IF(OR(C362="",J362&lt;&gt;"Paquete"),"",COUNTIFS($C$2:C362,C362,$J$2:J362,"Paquete"))</f>
        <v/>
      </c>
      <c r="T362" s="26"/>
    </row>
    <row r="363" spans="1:20" x14ac:dyDescent="0.35">
      <c r="A363" s="26" t="s">
        <v>790</v>
      </c>
      <c r="B363" s="28"/>
      <c r="C363" s="26"/>
      <c r="D363" s="34" t="str">
        <f>IF($C363="","",IFERROR(IF(INDEX('🎓 Alumnas'!$C$2:$C$1000,MATCH($C363,'🎓 Alumnas'!$B$2:$B$1000,0))="","",INDEX('🎓 Alumnas'!$C$2:$C$1000,MATCH($C363,'🎓 Alumnas'!$B$2:$B$1000,0))),""))</f>
        <v/>
      </c>
      <c r="E363" s="29" t="str">
        <f>IF($C363="","",IFERROR(IF(INDEX('🎓 Alumnas'!$D$2:$D$1000,MATCH($C363,'🎓 Alumnas'!$B$2:$B$1000,0))="","",INDEX('🎓 Alumnas'!$D$2:$D$1000,MATCH($C363,'🎓 Alumnas'!$B$2:$B$1000,0))),""))</f>
        <v/>
      </c>
      <c r="F363" s="29" t="str">
        <f>IF($C363="","",IFERROR(IF(INDEX('🎓 Alumnas'!$E$2:$E$1000,MATCH($C363,'🎓 Alumnas'!$B$2:$B$1000,0))="","",INDEX('🎓 Alumnas'!$E$2:$E$1000,MATCH($C363,'🎓 Alumnas'!$B$2:$B$1000,0))),""))</f>
        <v/>
      </c>
      <c r="G363" s="31" t="str">
        <f>IF($C363="","",IFERROR(IF(INDEX('🎓 Alumnas'!$F$2:$F$1000,MATCH($C363,'🎓 Alumnas'!$B$2:$B$1000,0))="","",INDEX('🎓 Alumnas'!$F$2:$F$1000,MATCH($C363,'🎓 Alumnas'!$B$2:$B$1000,0))),""))</f>
        <v/>
      </c>
      <c r="H363" s="29" t="str">
        <f t="shared" ca="1" si="15"/>
        <v/>
      </c>
      <c r="I363" s="26"/>
      <c r="J363" s="29" t="str">
        <f t="shared" si="16"/>
        <v/>
      </c>
      <c r="K363" s="26"/>
      <c r="L363" s="26"/>
      <c r="M363" s="35"/>
      <c r="N363" s="30" t="str">
        <f t="shared" si="17"/>
        <v/>
      </c>
      <c r="O363" s="36"/>
      <c r="P363" s="26"/>
      <c r="Q363" s="26"/>
      <c r="R363" s="29" t="str">
        <f>IF(C363="","",IF(COUNTIF($C$2:C363,C363)=1,"Nueva","Recurrente"))</f>
        <v/>
      </c>
      <c r="S363" s="29" t="str">
        <f>IF(OR(C363="",J363&lt;&gt;"Paquete"),"",COUNTIFS($C$2:C363,C363,$J$2:J363,"Paquete"))</f>
        <v/>
      </c>
      <c r="T363" s="26"/>
    </row>
    <row r="364" spans="1:20" x14ac:dyDescent="0.35">
      <c r="A364" s="26" t="s">
        <v>791</v>
      </c>
      <c r="B364" s="28"/>
      <c r="C364" s="26"/>
      <c r="D364" s="34" t="str">
        <f>IF($C364="","",IFERROR(IF(INDEX('🎓 Alumnas'!$C$2:$C$1000,MATCH($C364,'🎓 Alumnas'!$B$2:$B$1000,0))="","",INDEX('🎓 Alumnas'!$C$2:$C$1000,MATCH($C364,'🎓 Alumnas'!$B$2:$B$1000,0))),""))</f>
        <v/>
      </c>
      <c r="E364" s="29" t="str">
        <f>IF($C364="","",IFERROR(IF(INDEX('🎓 Alumnas'!$D$2:$D$1000,MATCH($C364,'🎓 Alumnas'!$B$2:$B$1000,0))="","",INDEX('🎓 Alumnas'!$D$2:$D$1000,MATCH($C364,'🎓 Alumnas'!$B$2:$B$1000,0))),""))</f>
        <v/>
      </c>
      <c r="F364" s="29" t="str">
        <f>IF($C364="","",IFERROR(IF(INDEX('🎓 Alumnas'!$E$2:$E$1000,MATCH($C364,'🎓 Alumnas'!$B$2:$B$1000,0))="","",INDEX('🎓 Alumnas'!$E$2:$E$1000,MATCH($C364,'🎓 Alumnas'!$B$2:$B$1000,0))),""))</f>
        <v/>
      </c>
      <c r="G364" s="31" t="str">
        <f>IF($C364="","",IFERROR(IF(INDEX('🎓 Alumnas'!$F$2:$F$1000,MATCH($C364,'🎓 Alumnas'!$B$2:$B$1000,0))="","",INDEX('🎓 Alumnas'!$F$2:$F$1000,MATCH($C364,'🎓 Alumnas'!$B$2:$B$1000,0))),""))</f>
        <v/>
      </c>
      <c r="H364" s="29" t="str">
        <f t="shared" ca="1" si="15"/>
        <v/>
      </c>
      <c r="I364" s="26"/>
      <c r="J364" s="29" t="str">
        <f t="shared" si="16"/>
        <v/>
      </c>
      <c r="K364" s="26"/>
      <c r="L364" s="26"/>
      <c r="M364" s="35"/>
      <c r="N364" s="30" t="str">
        <f t="shared" si="17"/>
        <v/>
      </c>
      <c r="O364" s="36"/>
      <c r="P364" s="26"/>
      <c r="Q364" s="26"/>
      <c r="R364" s="29" t="str">
        <f>IF(C364="","",IF(COUNTIF($C$2:C364,C364)=1,"Nueva","Recurrente"))</f>
        <v/>
      </c>
      <c r="S364" s="29" t="str">
        <f>IF(OR(C364="",J364&lt;&gt;"Paquete"),"",COUNTIFS($C$2:C364,C364,$J$2:J364,"Paquete"))</f>
        <v/>
      </c>
      <c r="T364" s="26"/>
    </row>
    <row r="365" spans="1:20" x14ac:dyDescent="0.35">
      <c r="A365" s="26" t="s">
        <v>792</v>
      </c>
      <c r="B365" s="28"/>
      <c r="C365" s="26"/>
      <c r="D365" s="34" t="str">
        <f>IF($C365="","",IFERROR(IF(INDEX('🎓 Alumnas'!$C$2:$C$1000,MATCH($C365,'🎓 Alumnas'!$B$2:$B$1000,0))="","",INDEX('🎓 Alumnas'!$C$2:$C$1000,MATCH($C365,'🎓 Alumnas'!$B$2:$B$1000,0))),""))</f>
        <v/>
      </c>
      <c r="E365" s="29" t="str">
        <f>IF($C365="","",IFERROR(IF(INDEX('🎓 Alumnas'!$D$2:$D$1000,MATCH($C365,'🎓 Alumnas'!$B$2:$B$1000,0))="","",INDEX('🎓 Alumnas'!$D$2:$D$1000,MATCH($C365,'🎓 Alumnas'!$B$2:$B$1000,0))),""))</f>
        <v/>
      </c>
      <c r="F365" s="29" t="str">
        <f>IF($C365="","",IFERROR(IF(INDEX('🎓 Alumnas'!$E$2:$E$1000,MATCH($C365,'🎓 Alumnas'!$B$2:$B$1000,0))="","",INDEX('🎓 Alumnas'!$E$2:$E$1000,MATCH($C365,'🎓 Alumnas'!$B$2:$B$1000,0))),""))</f>
        <v/>
      </c>
      <c r="G365" s="31" t="str">
        <f>IF($C365="","",IFERROR(IF(INDEX('🎓 Alumnas'!$F$2:$F$1000,MATCH($C365,'🎓 Alumnas'!$B$2:$B$1000,0))="","",INDEX('🎓 Alumnas'!$F$2:$F$1000,MATCH($C365,'🎓 Alumnas'!$B$2:$B$1000,0))),""))</f>
        <v/>
      </c>
      <c r="H365" s="29" t="str">
        <f t="shared" ca="1" si="15"/>
        <v/>
      </c>
      <c r="I365" s="26"/>
      <c r="J365" s="29" t="str">
        <f t="shared" si="16"/>
        <v/>
      </c>
      <c r="K365" s="26"/>
      <c r="L365" s="26"/>
      <c r="M365" s="35"/>
      <c r="N365" s="30" t="str">
        <f t="shared" si="17"/>
        <v/>
      </c>
      <c r="O365" s="36"/>
      <c r="P365" s="26"/>
      <c r="Q365" s="26"/>
      <c r="R365" s="29" t="str">
        <f>IF(C365="","",IF(COUNTIF($C$2:C365,C365)=1,"Nueva","Recurrente"))</f>
        <v/>
      </c>
      <c r="S365" s="29" t="str">
        <f>IF(OR(C365="",J365&lt;&gt;"Paquete"),"",COUNTIFS($C$2:C365,C365,$J$2:J365,"Paquete"))</f>
        <v/>
      </c>
      <c r="T365" s="26"/>
    </row>
    <row r="366" spans="1:20" x14ac:dyDescent="0.35">
      <c r="A366" s="26" t="s">
        <v>793</v>
      </c>
      <c r="B366" s="28"/>
      <c r="C366" s="26"/>
      <c r="D366" s="34" t="str">
        <f>IF($C366="","",IFERROR(IF(INDEX('🎓 Alumnas'!$C$2:$C$1000,MATCH($C366,'🎓 Alumnas'!$B$2:$B$1000,0))="","",INDEX('🎓 Alumnas'!$C$2:$C$1000,MATCH($C366,'🎓 Alumnas'!$B$2:$B$1000,0))),""))</f>
        <v/>
      </c>
      <c r="E366" s="29" t="str">
        <f>IF($C366="","",IFERROR(IF(INDEX('🎓 Alumnas'!$D$2:$D$1000,MATCH($C366,'🎓 Alumnas'!$B$2:$B$1000,0))="","",INDEX('🎓 Alumnas'!$D$2:$D$1000,MATCH($C366,'🎓 Alumnas'!$B$2:$B$1000,0))),""))</f>
        <v/>
      </c>
      <c r="F366" s="29" t="str">
        <f>IF($C366="","",IFERROR(IF(INDEX('🎓 Alumnas'!$E$2:$E$1000,MATCH($C366,'🎓 Alumnas'!$B$2:$B$1000,0))="","",INDEX('🎓 Alumnas'!$E$2:$E$1000,MATCH($C366,'🎓 Alumnas'!$B$2:$B$1000,0))),""))</f>
        <v/>
      </c>
      <c r="G366" s="31" t="str">
        <f>IF($C366="","",IFERROR(IF(INDEX('🎓 Alumnas'!$F$2:$F$1000,MATCH($C366,'🎓 Alumnas'!$B$2:$B$1000,0))="","",INDEX('🎓 Alumnas'!$F$2:$F$1000,MATCH($C366,'🎓 Alumnas'!$B$2:$B$1000,0))),""))</f>
        <v/>
      </c>
      <c r="H366" s="29" t="str">
        <f t="shared" ca="1" si="15"/>
        <v/>
      </c>
      <c r="I366" s="26"/>
      <c r="J366" s="29" t="str">
        <f t="shared" si="16"/>
        <v/>
      </c>
      <c r="K366" s="26"/>
      <c r="L366" s="26"/>
      <c r="M366" s="35"/>
      <c r="N366" s="30" t="str">
        <f t="shared" si="17"/>
        <v/>
      </c>
      <c r="O366" s="36"/>
      <c r="P366" s="26"/>
      <c r="Q366" s="26"/>
      <c r="R366" s="29" t="str">
        <f>IF(C366="","",IF(COUNTIF($C$2:C366,C366)=1,"Nueva","Recurrente"))</f>
        <v/>
      </c>
      <c r="S366" s="29" t="str">
        <f>IF(OR(C366="",J366&lt;&gt;"Paquete"),"",COUNTIFS($C$2:C366,C366,$J$2:J366,"Paquete"))</f>
        <v/>
      </c>
      <c r="T366" s="26"/>
    </row>
    <row r="367" spans="1:20" x14ac:dyDescent="0.35">
      <c r="A367" s="26" t="s">
        <v>794</v>
      </c>
      <c r="B367" s="28"/>
      <c r="C367" s="26"/>
      <c r="D367" s="34" t="str">
        <f>IF($C367="","",IFERROR(IF(INDEX('🎓 Alumnas'!$C$2:$C$1000,MATCH($C367,'🎓 Alumnas'!$B$2:$B$1000,0))="","",INDEX('🎓 Alumnas'!$C$2:$C$1000,MATCH($C367,'🎓 Alumnas'!$B$2:$B$1000,0))),""))</f>
        <v/>
      </c>
      <c r="E367" s="29" t="str">
        <f>IF($C367="","",IFERROR(IF(INDEX('🎓 Alumnas'!$D$2:$D$1000,MATCH($C367,'🎓 Alumnas'!$B$2:$B$1000,0))="","",INDEX('🎓 Alumnas'!$D$2:$D$1000,MATCH($C367,'🎓 Alumnas'!$B$2:$B$1000,0))),""))</f>
        <v/>
      </c>
      <c r="F367" s="29" t="str">
        <f>IF($C367="","",IFERROR(IF(INDEX('🎓 Alumnas'!$E$2:$E$1000,MATCH($C367,'🎓 Alumnas'!$B$2:$B$1000,0))="","",INDEX('🎓 Alumnas'!$E$2:$E$1000,MATCH($C367,'🎓 Alumnas'!$B$2:$B$1000,0))),""))</f>
        <v/>
      </c>
      <c r="G367" s="31" t="str">
        <f>IF($C367="","",IFERROR(IF(INDEX('🎓 Alumnas'!$F$2:$F$1000,MATCH($C367,'🎓 Alumnas'!$B$2:$B$1000,0))="","",INDEX('🎓 Alumnas'!$F$2:$F$1000,MATCH($C367,'🎓 Alumnas'!$B$2:$B$1000,0))),""))</f>
        <v/>
      </c>
      <c r="H367" s="29" t="str">
        <f t="shared" ca="1" si="15"/>
        <v/>
      </c>
      <c r="I367" s="26"/>
      <c r="J367" s="29" t="str">
        <f t="shared" si="16"/>
        <v/>
      </c>
      <c r="K367" s="26"/>
      <c r="L367" s="26"/>
      <c r="M367" s="35"/>
      <c r="N367" s="30" t="str">
        <f t="shared" si="17"/>
        <v/>
      </c>
      <c r="O367" s="36"/>
      <c r="P367" s="26"/>
      <c r="Q367" s="26"/>
      <c r="R367" s="29" t="str">
        <f>IF(C367="","",IF(COUNTIF($C$2:C367,C367)=1,"Nueva","Recurrente"))</f>
        <v/>
      </c>
      <c r="S367" s="29" t="str">
        <f>IF(OR(C367="",J367&lt;&gt;"Paquete"),"",COUNTIFS($C$2:C367,C367,$J$2:J367,"Paquete"))</f>
        <v/>
      </c>
      <c r="T367" s="26"/>
    </row>
    <row r="368" spans="1:20" x14ac:dyDescent="0.35">
      <c r="A368" s="26" t="s">
        <v>795</v>
      </c>
      <c r="B368" s="28"/>
      <c r="C368" s="26"/>
      <c r="D368" s="34" t="str">
        <f>IF($C368="","",IFERROR(IF(INDEX('🎓 Alumnas'!$C$2:$C$1000,MATCH($C368,'🎓 Alumnas'!$B$2:$B$1000,0))="","",INDEX('🎓 Alumnas'!$C$2:$C$1000,MATCH($C368,'🎓 Alumnas'!$B$2:$B$1000,0))),""))</f>
        <v/>
      </c>
      <c r="E368" s="29" t="str">
        <f>IF($C368="","",IFERROR(IF(INDEX('🎓 Alumnas'!$D$2:$D$1000,MATCH($C368,'🎓 Alumnas'!$B$2:$B$1000,0))="","",INDEX('🎓 Alumnas'!$D$2:$D$1000,MATCH($C368,'🎓 Alumnas'!$B$2:$B$1000,0))),""))</f>
        <v/>
      </c>
      <c r="F368" s="29" t="str">
        <f>IF($C368="","",IFERROR(IF(INDEX('🎓 Alumnas'!$E$2:$E$1000,MATCH($C368,'🎓 Alumnas'!$B$2:$B$1000,0))="","",INDEX('🎓 Alumnas'!$E$2:$E$1000,MATCH($C368,'🎓 Alumnas'!$B$2:$B$1000,0))),""))</f>
        <v/>
      </c>
      <c r="G368" s="31" t="str">
        <f>IF($C368="","",IFERROR(IF(INDEX('🎓 Alumnas'!$F$2:$F$1000,MATCH($C368,'🎓 Alumnas'!$B$2:$B$1000,0))="","",INDEX('🎓 Alumnas'!$F$2:$F$1000,MATCH($C368,'🎓 Alumnas'!$B$2:$B$1000,0))),""))</f>
        <v/>
      </c>
      <c r="H368" s="29" t="str">
        <f t="shared" ca="1" si="15"/>
        <v/>
      </c>
      <c r="I368" s="26"/>
      <c r="J368" s="29" t="str">
        <f t="shared" si="16"/>
        <v/>
      </c>
      <c r="K368" s="26"/>
      <c r="L368" s="26"/>
      <c r="M368" s="35"/>
      <c r="N368" s="30" t="str">
        <f t="shared" si="17"/>
        <v/>
      </c>
      <c r="O368" s="36"/>
      <c r="P368" s="26"/>
      <c r="Q368" s="26"/>
      <c r="R368" s="29" t="str">
        <f>IF(C368="","",IF(COUNTIF($C$2:C368,C368)=1,"Nueva","Recurrente"))</f>
        <v/>
      </c>
      <c r="S368" s="29" t="str">
        <f>IF(OR(C368="",J368&lt;&gt;"Paquete"),"",COUNTIFS($C$2:C368,C368,$J$2:J368,"Paquete"))</f>
        <v/>
      </c>
      <c r="T368" s="26"/>
    </row>
    <row r="369" spans="1:20" x14ac:dyDescent="0.35">
      <c r="A369" s="26" t="s">
        <v>796</v>
      </c>
      <c r="B369" s="28"/>
      <c r="C369" s="26"/>
      <c r="D369" s="34" t="str">
        <f>IF($C369="","",IFERROR(IF(INDEX('🎓 Alumnas'!$C$2:$C$1000,MATCH($C369,'🎓 Alumnas'!$B$2:$B$1000,0))="","",INDEX('🎓 Alumnas'!$C$2:$C$1000,MATCH($C369,'🎓 Alumnas'!$B$2:$B$1000,0))),""))</f>
        <v/>
      </c>
      <c r="E369" s="29" t="str">
        <f>IF($C369="","",IFERROR(IF(INDEX('🎓 Alumnas'!$D$2:$D$1000,MATCH($C369,'🎓 Alumnas'!$B$2:$B$1000,0))="","",INDEX('🎓 Alumnas'!$D$2:$D$1000,MATCH($C369,'🎓 Alumnas'!$B$2:$B$1000,0))),""))</f>
        <v/>
      </c>
      <c r="F369" s="29" t="str">
        <f>IF($C369="","",IFERROR(IF(INDEX('🎓 Alumnas'!$E$2:$E$1000,MATCH($C369,'🎓 Alumnas'!$B$2:$B$1000,0))="","",INDEX('🎓 Alumnas'!$E$2:$E$1000,MATCH($C369,'🎓 Alumnas'!$B$2:$B$1000,0))),""))</f>
        <v/>
      </c>
      <c r="G369" s="31" t="str">
        <f>IF($C369="","",IFERROR(IF(INDEX('🎓 Alumnas'!$F$2:$F$1000,MATCH($C369,'🎓 Alumnas'!$B$2:$B$1000,0))="","",INDEX('🎓 Alumnas'!$F$2:$F$1000,MATCH($C369,'🎓 Alumnas'!$B$2:$B$1000,0))),""))</f>
        <v/>
      </c>
      <c r="H369" s="29" t="str">
        <f t="shared" ca="1" si="15"/>
        <v/>
      </c>
      <c r="I369" s="26"/>
      <c r="J369" s="29" t="str">
        <f t="shared" si="16"/>
        <v/>
      </c>
      <c r="K369" s="26"/>
      <c r="L369" s="26"/>
      <c r="M369" s="35"/>
      <c r="N369" s="30" t="str">
        <f t="shared" si="17"/>
        <v/>
      </c>
      <c r="O369" s="36"/>
      <c r="P369" s="26"/>
      <c r="Q369" s="26"/>
      <c r="R369" s="29" t="str">
        <f>IF(C369="","",IF(COUNTIF($C$2:C369,C369)=1,"Nueva","Recurrente"))</f>
        <v/>
      </c>
      <c r="S369" s="29" t="str">
        <f>IF(OR(C369="",J369&lt;&gt;"Paquete"),"",COUNTIFS($C$2:C369,C369,$J$2:J369,"Paquete"))</f>
        <v/>
      </c>
      <c r="T369" s="26"/>
    </row>
    <row r="370" spans="1:20" x14ac:dyDescent="0.35">
      <c r="A370" s="26" t="s">
        <v>797</v>
      </c>
      <c r="B370" s="28"/>
      <c r="C370" s="26"/>
      <c r="D370" s="34" t="str">
        <f>IF($C370="","",IFERROR(IF(INDEX('🎓 Alumnas'!$C$2:$C$1000,MATCH($C370,'🎓 Alumnas'!$B$2:$B$1000,0))="","",INDEX('🎓 Alumnas'!$C$2:$C$1000,MATCH($C370,'🎓 Alumnas'!$B$2:$B$1000,0))),""))</f>
        <v/>
      </c>
      <c r="E370" s="29" t="str">
        <f>IF($C370="","",IFERROR(IF(INDEX('🎓 Alumnas'!$D$2:$D$1000,MATCH($C370,'🎓 Alumnas'!$B$2:$B$1000,0))="","",INDEX('🎓 Alumnas'!$D$2:$D$1000,MATCH($C370,'🎓 Alumnas'!$B$2:$B$1000,0))),""))</f>
        <v/>
      </c>
      <c r="F370" s="29" t="str">
        <f>IF($C370="","",IFERROR(IF(INDEX('🎓 Alumnas'!$E$2:$E$1000,MATCH($C370,'🎓 Alumnas'!$B$2:$B$1000,0))="","",INDEX('🎓 Alumnas'!$E$2:$E$1000,MATCH($C370,'🎓 Alumnas'!$B$2:$B$1000,0))),""))</f>
        <v/>
      </c>
      <c r="G370" s="31" t="str">
        <f>IF($C370="","",IFERROR(IF(INDEX('🎓 Alumnas'!$F$2:$F$1000,MATCH($C370,'🎓 Alumnas'!$B$2:$B$1000,0))="","",INDEX('🎓 Alumnas'!$F$2:$F$1000,MATCH($C370,'🎓 Alumnas'!$B$2:$B$1000,0))),""))</f>
        <v/>
      </c>
      <c r="H370" s="29" t="str">
        <f t="shared" ca="1" si="15"/>
        <v/>
      </c>
      <c r="I370" s="26"/>
      <c r="J370" s="29" t="str">
        <f t="shared" si="16"/>
        <v/>
      </c>
      <c r="K370" s="26"/>
      <c r="L370" s="26"/>
      <c r="M370" s="35"/>
      <c r="N370" s="30" t="str">
        <f t="shared" si="17"/>
        <v/>
      </c>
      <c r="O370" s="36"/>
      <c r="P370" s="26"/>
      <c r="Q370" s="26"/>
      <c r="R370" s="29" t="str">
        <f>IF(C370="","",IF(COUNTIF($C$2:C370,C370)=1,"Nueva","Recurrente"))</f>
        <v/>
      </c>
      <c r="S370" s="29" t="str">
        <f>IF(OR(C370="",J370&lt;&gt;"Paquete"),"",COUNTIFS($C$2:C370,C370,$J$2:J370,"Paquete"))</f>
        <v/>
      </c>
      <c r="T370" s="26"/>
    </row>
    <row r="371" spans="1:20" x14ac:dyDescent="0.35">
      <c r="A371" s="26" t="s">
        <v>798</v>
      </c>
      <c r="B371" s="28"/>
      <c r="C371" s="26"/>
      <c r="D371" s="34" t="str">
        <f>IF($C371="","",IFERROR(IF(INDEX('🎓 Alumnas'!$C$2:$C$1000,MATCH($C371,'🎓 Alumnas'!$B$2:$B$1000,0))="","",INDEX('🎓 Alumnas'!$C$2:$C$1000,MATCH($C371,'🎓 Alumnas'!$B$2:$B$1000,0))),""))</f>
        <v/>
      </c>
      <c r="E371" s="29" t="str">
        <f>IF($C371="","",IFERROR(IF(INDEX('🎓 Alumnas'!$D$2:$D$1000,MATCH($C371,'🎓 Alumnas'!$B$2:$B$1000,0))="","",INDEX('🎓 Alumnas'!$D$2:$D$1000,MATCH($C371,'🎓 Alumnas'!$B$2:$B$1000,0))),""))</f>
        <v/>
      </c>
      <c r="F371" s="29" t="str">
        <f>IF($C371="","",IFERROR(IF(INDEX('🎓 Alumnas'!$E$2:$E$1000,MATCH($C371,'🎓 Alumnas'!$B$2:$B$1000,0))="","",INDEX('🎓 Alumnas'!$E$2:$E$1000,MATCH($C371,'🎓 Alumnas'!$B$2:$B$1000,0))),""))</f>
        <v/>
      </c>
      <c r="G371" s="31" t="str">
        <f>IF($C371="","",IFERROR(IF(INDEX('🎓 Alumnas'!$F$2:$F$1000,MATCH($C371,'🎓 Alumnas'!$B$2:$B$1000,0))="","",INDEX('🎓 Alumnas'!$F$2:$F$1000,MATCH($C371,'🎓 Alumnas'!$B$2:$B$1000,0))),""))</f>
        <v/>
      </c>
      <c r="H371" s="29" t="str">
        <f t="shared" ca="1" si="15"/>
        <v/>
      </c>
      <c r="I371" s="26"/>
      <c r="J371" s="29" t="str">
        <f t="shared" si="16"/>
        <v/>
      </c>
      <c r="K371" s="26"/>
      <c r="L371" s="26"/>
      <c r="M371" s="35"/>
      <c r="N371" s="30" t="str">
        <f t="shared" si="17"/>
        <v/>
      </c>
      <c r="O371" s="36"/>
      <c r="P371" s="26"/>
      <c r="Q371" s="26"/>
      <c r="R371" s="29" t="str">
        <f>IF(C371="","",IF(COUNTIF($C$2:C371,C371)=1,"Nueva","Recurrente"))</f>
        <v/>
      </c>
      <c r="S371" s="29" t="str">
        <f>IF(OR(C371="",J371&lt;&gt;"Paquete"),"",COUNTIFS($C$2:C371,C371,$J$2:J371,"Paquete"))</f>
        <v/>
      </c>
      <c r="T371" s="26"/>
    </row>
    <row r="372" spans="1:20" x14ac:dyDescent="0.35">
      <c r="A372" s="26" t="s">
        <v>799</v>
      </c>
      <c r="B372" s="28"/>
      <c r="C372" s="26"/>
      <c r="D372" s="34" t="str">
        <f>IF($C372="","",IFERROR(IF(INDEX('🎓 Alumnas'!$C$2:$C$1000,MATCH($C372,'🎓 Alumnas'!$B$2:$B$1000,0))="","",INDEX('🎓 Alumnas'!$C$2:$C$1000,MATCH($C372,'🎓 Alumnas'!$B$2:$B$1000,0))),""))</f>
        <v/>
      </c>
      <c r="E372" s="29" t="str">
        <f>IF($C372="","",IFERROR(IF(INDEX('🎓 Alumnas'!$D$2:$D$1000,MATCH($C372,'🎓 Alumnas'!$B$2:$B$1000,0))="","",INDEX('🎓 Alumnas'!$D$2:$D$1000,MATCH($C372,'🎓 Alumnas'!$B$2:$B$1000,0))),""))</f>
        <v/>
      </c>
      <c r="F372" s="29" t="str">
        <f>IF($C372="","",IFERROR(IF(INDEX('🎓 Alumnas'!$E$2:$E$1000,MATCH($C372,'🎓 Alumnas'!$B$2:$B$1000,0))="","",INDEX('🎓 Alumnas'!$E$2:$E$1000,MATCH($C372,'🎓 Alumnas'!$B$2:$B$1000,0))),""))</f>
        <v/>
      </c>
      <c r="G372" s="31" t="str">
        <f>IF($C372="","",IFERROR(IF(INDEX('🎓 Alumnas'!$F$2:$F$1000,MATCH($C372,'🎓 Alumnas'!$B$2:$B$1000,0))="","",INDEX('🎓 Alumnas'!$F$2:$F$1000,MATCH($C372,'🎓 Alumnas'!$B$2:$B$1000,0))),""))</f>
        <v/>
      </c>
      <c r="H372" s="29" t="str">
        <f t="shared" ca="1" si="15"/>
        <v/>
      </c>
      <c r="I372" s="26"/>
      <c r="J372" s="29" t="str">
        <f t="shared" si="16"/>
        <v/>
      </c>
      <c r="K372" s="26"/>
      <c r="L372" s="26"/>
      <c r="M372" s="35"/>
      <c r="N372" s="30" t="str">
        <f t="shared" si="17"/>
        <v/>
      </c>
      <c r="O372" s="36"/>
      <c r="P372" s="26"/>
      <c r="Q372" s="26"/>
      <c r="R372" s="29" t="str">
        <f>IF(C372="","",IF(COUNTIF($C$2:C372,C372)=1,"Nueva","Recurrente"))</f>
        <v/>
      </c>
      <c r="S372" s="29" t="str">
        <f>IF(OR(C372="",J372&lt;&gt;"Paquete"),"",COUNTIFS($C$2:C372,C372,$J$2:J372,"Paquete"))</f>
        <v/>
      </c>
      <c r="T372" s="26"/>
    </row>
    <row r="373" spans="1:20" x14ac:dyDescent="0.35">
      <c r="A373" s="26" t="s">
        <v>800</v>
      </c>
      <c r="B373" s="28"/>
      <c r="C373" s="26"/>
      <c r="D373" s="34" t="str">
        <f>IF($C373="","",IFERROR(IF(INDEX('🎓 Alumnas'!$C$2:$C$1000,MATCH($C373,'🎓 Alumnas'!$B$2:$B$1000,0))="","",INDEX('🎓 Alumnas'!$C$2:$C$1000,MATCH($C373,'🎓 Alumnas'!$B$2:$B$1000,0))),""))</f>
        <v/>
      </c>
      <c r="E373" s="29" t="str">
        <f>IF($C373="","",IFERROR(IF(INDEX('🎓 Alumnas'!$D$2:$D$1000,MATCH($C373,'🎓 Alumnas'!$B$2:$B$1000,0))="","",INDEX('🎓 Alumnas'!$D$2:$D$1000,MATCH($C373,'🎓 Alumnas'!$B$2:$B$1000,0))),""))</f>
        <v/>
      </c>
      <c r="F373" s="29" t="str">
        <f>IF($C373="","",IFERROR(IF(INDEX('🎓 Alumnas'!$E$2:$E$1000,MATCH($C373,'🎓 Alumnas'!$B$2:$B$1000,0))="","",INDEX('🎓 Alumnas'!$E$2:$E$1000,MATCH($C373,'🎓 Alumnas'!$B$2:$B$1000,0))),""))</f>
        <v/>
      </c>
      <c r="G373" s="31" t="str">
        <f>IF($C373="","",IFERROR(IF(INDEX('🎓 Alumnas'!$F$2:$F$1000,MATCH($C373,'🎓 Alumnas'!$B$2:$B$1000,0))="","",INDEX('🎓 Alumnas'!$F$2:$F$1000,MATCH($C373,'🎓 Alumnas'!$B$2:$B$1000,0))),""))</f>
        <v/>
      </c>
      <c r="H373" s="29" t="str">
        <f t="shared" ca="1" si="15"/>
        <v/>
      </c>
      <c r="I373" s="26"/>
      <c r="J373" s="29" t="str">
        <f t="shared" si="16"/>
        <v/>
      </c>
      <c r="K373" s="26"/>
      <c r="L373" s="26"/>
      <c r="M373" s="35"/>
      <c r="N373" s="30" t="str">
        <f t="shared" si="17"/>
        <v/>
      </c>
      <c r="O373" s="36"/>
      <c r="P373" s="26"/>
      <c r="Q373" s="26"/>
      <c r="R373" s="29" t="str">
        <f>IF(C373="","",IF(COUNTIF($C$2:C373,C373)=1,"Nueva","Recurrente"))</f>
        <v/>
      </c>
      <c r="S373" s="29" t="str">
        <f>IF(OR(C373="",J373&lt;&gt;"Paquete"),"",COUNTIFS($C$2:C373,C373,$J$2:J373,"Paquete"))</f>
        <v/>
      </c>
      <c r="T373" s="26"/>
    </row>
    <row r="374" spans="1:20" x14ac:dyDescent="0.35">
      <c r="A374" s="26" t="s">
        <v>801</v>
      </c>
      <c r="B374" s="28"/>
      <c r="C374" s="26"/>
      <c r="D374" s="34" t="str">
        <f>IF($C374="","",IFERROR(IF(INDEX('🎓 Alumnas'!$C$2:$C$1000,MATCH($C374,'🎓 Alumnas'!$B$2:$B$1000,0))="","",INDEX('🎓 Alumnas'!$C$2:$C$1000,MATCH($C374,'🎓 Alumnas'!$B$2:$B$1000,0))),""))</f>
        <v/>
      </c>
      <c r="E374" s="29" t="str">
        <f>IF($C374="","",IFERROR(IF(INDEX('🎓 Alumnas'!$D$2:$D$1000,MATCH($C374,'🎓 Alumnas'!$B$2:$B$1000,0))="","",INDEX('🎓 Alumnas'!$D$2:$D$1000,MATCH($C374,'🎓 Alumnas'!$B$2:$B$1000,0))),""))</f>
        <v/>
      </c>
      <c r="F374" s="29" t="str">
        <f>IF($C374="","",IFERROR(IF(INDEX('🎓 Alumnas'!$E$2:$E$1000,MATCH($C374,'🎓 Alumnas'!$B$2:$B$1000,0))="","",INDEX('🎓 Alumnas'!$E$2:$E$1000,MATCH($C374,'🎓 Alumnas'!$B$2:$B$1000,0))),""))</f>
        <v/>
      </c>
      <c r="G374" s="31" t="str">
        <f>IF($C374="","",IFERROR(IF(INDEX('🎓 Alumnas'!$F$2:$F$1000,MATCH($C374,'🎓 Alumnas'!$B$2:$B$1000,0))="","",INDEX('🎓 Alumnas'!$F$2:$F$1000,MATCH($C374,'🎓 Alumnas'!$B$2:$B$1000,0))),""))</f>
        <v/>
      </c>
      <c r="H374" s="29" t="str">
        <f t="shared" ca="1" si="15"/>
        <v/>
      </c>
      <c r="I374" s="26"/>
      <c r="J374" s="29" t="str">
        <f t="shared" si="16"/>
        <v/>
      </c>
      <c r="K374" s="26"/>
      <c r="L374" s="26"/>
      <c r="M374" s="35"/>
      <c r="N374" s="30" t="str">
        <f t="shared" si="17"/>
        <v/>
      </c>
      <c r="O374" s="36"/>
      <c r="P374" s="26"/>
      <c r="Q374" s="26"/>
      <c r="R374" s="29" t="str">
        <f>IF(C374="","",IF(COUNTIF($C$2:C374,C374)=1,"Nueva","Recurrente"))</f>
        <v/>
      </c>
      <c r="S374" s="29" t="str">
        <f>IF(OR(C374="",J374&lt;&gt;"Paquete"),"",COUNTIFS($C$2:C374,C374,$J$2:J374,"Paquete"))</f>
        <v/>
      </c>
      <c r="T374" s="26"/>
    </row>
    <row r="375" spans="1:20" x14ac:dyDescent="0.35">
      <c r="A375" s="26" t="s">
        <v>802</v>
      </c>
      <c r="B375" s="28"/>
      <c r="C375" s="26"/>
      <c r="D375" s="34" t="str">
        <f>IF($C375="","",IFERROR(IF(INDEX('🎓 Alumnas'!$C$2:$C$1000,MATCH($C375,'🎓 Alumnas'!$B$2:$B$1000,0))="","",INDEX('🎓 Alumnas'!$C$2:$C$1000,MATCH($C375,'🎓 Alumnas'!$B$2:$B$1000,0))),""))</f>
        <v/>
      </c>
      <c r="E375" s="29" t="str">
        <f>IF($C375="","",IFERROR(IF(INDEX('🎓 Alumnas'!$D$2:$D$1000,MATCH($C375,'🎓 Alumnas'!$B$2:$B$1000,0))="","",INDEX('🎓 Alumnas'!$D$2:$D$1000,MATCH($C375,'🎓 Alumnas'!$B$2:$B$1000,0))),""))</f>
        <v/>
      </c>
      <c r="F375" s="29" t="str">
        <f>IF($C375="","",IFERROR(IF(INDEX('🎓 Alumnas'!$E$2:$E$1000,MATCH($C375,'🎓 Alumnas'!$B$2:$B$1000,0))="","",INDEX('🎓 Alumnas'!$E$2:$E$1000,MATCH($C375,'🎓 Alumnas'!$B$2:$B$1000,0))),""))</f>
        <v/>
      </c>
      <c r="G375" s="31" t="str">
        <f>IF($C375="","",IFERROR(IF(INDEX('🎓 Alumnas'!$F$2:$F$1000,MATCH($C375,'🎓 Alumnas'!$B$2:$B$1000,0))="","",INDEX('🎓 Alumnas'!$F$2:$F$1000,MATCH($C375,'🎓 Alumnas'!$B$2:$B$1000,0))),""))</f>
        <v/>
      </c>
      <c r="H375" s="29" t="str">
        <f t="shared" ca="1" si="15"/>
        <v/>
      </c>
      <c r="I375" s="26"/>
      <c r="J375" s="29" t="str">
        <f t="shared" si="16"/>
        <v/>
      </c>
      <c r="K375" s="26"/>
      <c r="L375" s="26"/>
      <c r="M375" s="35"/>
      <c r="N375" s="30" t="str">
        <f t="shared" si="17"/>
        <v/>
      </c>
      <c r="O375" s="36"/>
      <c r="P375" s="26"/>
      <c r="Q375" s="26"/>
      <c r="R375" s="29" t="str">
        <f>IF(C375="","",IF(COUNTIF($C$2:C375,C375)=1,"Nueva","Recurrente"))</f>
        <v/>
      </c>
      <c r="S375" s="29" t="str">
        <f>IF(OR(C375="",J375&lt;&gt;"Paquete"),"",COUNTIFS($C$2:C375,C375,$J$2:J375,"Paquete"))</f>
        <v/>
      </c>
      <c r="T375" s="26"/>
    </row>
    <row r="376" spans="1:20" x14ac:dyDescent="0.35">
      <c r="A376" s="26" t="s">
        <v>803</v>
      </c>
      <c r="B376" s="28"/>
      <c r="C376" s="26"/>
      <c r="D376" s="34" t="str">
        <f>IF($C376="","",IFERROR(IF(INDEX('🎓 Alumnas'!$C$2:$C$1000,MATCH($C376,'🎓 Alumnas'!$B$2:$B$1000,0))="","",INDEX('🎓 Alumnas'!$C$2:$C$1000,MATCH($C376,'🎓 Alumnas'!$B$2:$B$1000,0))),""))</f>
        <v/>
      </c>
      <c r="E376" s="29" t="str">
        <f>IF($C376="","",IFERROR(IF(INDEX('🎓 Alumnas'!$D$2:$D$1000,MATCH($C376,'🎓 Alumnas'!$B$2:$B$1000,0))="","",INDEX('🎓 Alumnas'!$D$2:$D$1000,MATCH($C376,'🎓 Alumnas'!$B$2:$B$1000,0))),""))</f>
        <v/>
      </c>
      <c r="F376" s="29" t="str">
        <f>IF($C376="","",IFERROR(IF(INDEX('🎓 Alumnas'!$E$2:$E$1000,MATCH($C376,'🎓 Alumnas'!$B$2:$B$1000,0))="","",INDEX('🎓 Alumnas'!$E$2:$E$1000,MATCH($C376,'🎓 Alumnas'!$B$2:$B$1000,0))),""))</f>
        <v/>
      </c>
      <c r="G376" s="31" t="str">
        <f>IF($C376="","",IFERROR(IF(INDEX('🎓 Alumnas'!$F$2:$F$1000,MATCH($C376,'🎓 Alumnas'!$B$2:$B$1000,0))="","",INDEX('🎓 Alumnas'!$F$2:$F$1000,MATCH($C376,'🎓 Alumnas'!$B$2:$B$1000,0))),""))</f>
        <v/>
      </c>
      <c r="H376" s="29" t="str">
        <f t="shared" ca="1" si="15"/>
        <v/>
      </c>
      <c r="I376" s="26"/>
      <c r="J376" s="29" t="str">
        <f t="shared" si="16"/>
        <v/>
      </c>
      <c r="K376" s="26"/>
      <c r="L376" s="26"/>
      <c r="M376" s="35"/>
      <c r="N376" s="30" t="str">
        <f t="shared" si="17"/>
        <v/>
      </c>
      <c r="O376" s="36"/>
      <c r="P376" s="26"/>
      <c r="Q376" s="26"/>
      <c r="R376" s="29" t="str">
        <f>IF(C376="","",IF(COUNTIF($C$2:C376,C376)=1,"Nueva","Recurrente"))</f>
        <v/>
      </c>
      <c r="S376" s="29" t="str">
        <f>IF(OR(C376="",J376&lt;&gt;"Paquete"),"",COUNTIFS($C$2:C376,C376,$J$2:J376,"Paquete"))</f>
        <v/>
      </c>
      <c r="T376" s="26"/>
    </row>
    <row r="377" spans="1:20" x14ac:dyDescent="0.35">
      <c r="A377" s="26" t="s">
        <v>804</v>
      </c>
      <c r="B377" s="28"/>
      <c r="C377" s="26"/>
      <c r="D377" s="34" t="str">
        <f>IF($C377="","",IFERROR(IF(INDEX('🎓 Alumnas'!$C$2:$C$1000,MATCH($C377,'🎓 Alumnas'!$B$2:$B$1000,0))="","",INDEX('🎓 Alumnas'!$C$2:$C$1000,MATCH($C377,'🎓 Alumnas'!$B$2:$B$1000,0))),""))</f>
        <v/>
      </c>
      <c r="E377" s="29" t="str">
        <f>IF($C377="","",IFERROR(IF(INDEX('🎓 Alumnas'!$D$2:$D$1000,MATCH($C377,'🎓 Alumnas'!$B$2:$B$1000,0))="","",INDEX('🎓 Alumnas'!$D$2:$D$1000,MATCH($C377,'🎓 Alumnas'!$B$2:$B$1000,0))),""))</f>
        <v/>
      </c>
      <c r="F377" s="29" t="str">
        <f>IF($C377="","",IFERROR(IF(INDEX('🎓 Alumnas'!$E$2:$E$1000,MATCH($C377,'🎓 Alumnas'!$B$2:$B$1000,0))="","",INDEX('🎓 Alumnas'!$E$2:$E$1000,MATCH($C377,'🎓 Alumnas'!$B$2:$B$1000,0))),""))</f>
        <v/>
      </c>
      <c r="G377" s="31" t="str">
        <f>IF($C377="","",IFERROR(IF(INDEX('🎓 Alumnas'!$F$2:$F$1000,MATCH($C377,'🎓 Alumnas'!$B$2:$B$1000,0))="","",INDEX('🎓 Alumnas'!$F$2:$F$1000,MATCH($C377,'🎓 Alumnas'!$B$2:$B$1000,0))),""))</f>
        <v/>
      </c>
      <c r="H377" s="29" t="str">
        <f t="shared" ca="1" si="15"/>
        <v/>
      </c>
      <c r="I377" s="26"/>
      <c r="J377" s="29" t="str">
        <f t="shared" si="16"/>
        <v/>
      </c>
      <c r="K377" s="26"/>
      <c r="L377" s="26"/>
      <c r="M377" s="35"/>
      <c r="N377" s="30" t="str">
        <f t="shared" si="17"/>
        <v/>
      </c>
      <c r="O377" s="36"/>
      <c r="P377" s="26"/>
      <c r="Q377" s="26"/>
      <c r="R377" s="29" t="str">
        <f>IF(C377="","",IF(COUNTIF($C$2:C377,C377)=1,"Nueva","Recurrente"))</f>
        <v/>
      </c>
      <c r="S377" s="29" t="str">
        <f>IF(OR(C377="",J377&lt;&gt;"Paquete"),"",COUNTIFS($C$2:C377,C377,$J$2:J377,"Paquete"))</f>
        <v/>
      </c>
      <c r="T377" s="26"/>
    </row>
    <row r="378" spans="1:20" x14ac:dyDescent="0.35">
      <c r="A378" s="26" t="s">
        <v>805</v>
      </c>
      <c r="B378" s="28"/>
      <c r="C378" s="26"/>
      <c r="D378" s="34" t="str">
        <f>IF($C378="","",IFERROR(IF(INDEX('🎓 Alumnas'!$C$2:$C$1000,MATCH($C378,'🎓 Alumnas'!$B$2:$B$1000,0))="","",INDEX('🎓 Alumnas'!$C$2:$C$1000,MATCH($C378,'🎓 Alumnas'!$B$2:$B$1000,0))),""))</f>
        <v/>
      </c>
      <c r="E378" s="29" t="str">
        <f>IF($C378="","",IFERROR(IF(INDEX('🎓 Alumnas'!$D$2:$D$1000,MATCH($C378,'🎓 Alumnas'!$B$2:$B$1000,0))="","",INDEX('🎓 Alumnas'!$D$2:$D$1000,MATCH($C378,'🎓 Alumnas'!$B$2:$B$1000,0))),""))</f>
        <v/>
      </c>
      <c r="F378" s="29" t="str">
        <f>IF($C378="","",IFERROR(IF(INDEX('🎓 Alumnas'!$E$2:$E$1000,MATCH($C378,'🎓 Alumnas'!$B$2:$B$1000,0))="","",INDEX('🎓 Alumnas'!$E$2:$E$1000,MATCH($C378,'🎓 Alumnas'!$B$2:$B$1000,0))),""))</f>
        <v/>
      </c>
      <c r="G378" s="31" t="str">
        <f>IF($C378="","",IFERROR(IF(INDEX('🎓 Alumnas'!$F$2:$F$1000,MATCH($C378,'🎓 Alumnas'!$B$2:$B$1000,0))="","",INDEX('🎓 Alumnas'!$F$2:$F$1000,MATCH($C378,'🎓 Alumnas'!$B$2:$B$1000,0))),""))</f>
        <v/>
      </c>
      <c r="H378" s="29" t="str">
        <f t="shared" ca="1" si="15"/>
        <v/>
      </c>
      <c r="I378" s="26"/>
      <c r="J378" s="29" t="str">
        <f t="shared" si="16"/>
        <v/>
      </c>
      <c r="K378" s="26"/>
      <c r="L378" s="26"/>
      <c r="M378" s="35"/>
      <c r="N378" s="30" t="str">
        <f t="shared" si="17"/>
        <v/>
      </c>
      <c r="O378" s="36"/>
      <c r="P378" s="26"/>
      <c r="Q378" s="26"/>
      <c r="R378" s="29" t="str">
        <f>IF(C378="","",IF(COUNTIF($C$2:C378,C378)=1,"Nueva","Recurrente"))</f>
        <v/>
      </c>
      <c r="S378" s="29" t="str">
        <f>IF(OR(C378="",J378&lt;&gt;"Paquete"),"",COUNTIFS($C$2:C378,C378,$J$2:J378,"Paquete"))</f>
        <v/>
      </c>
      <c r="T378" s="26"/>
    </row>
    <row r="379" spans="1:20" x14ac:dyDescent="0.35">
      <c r="A379" s="26" t="s">
        <v>806</v>
      </c>
      <c r="B379" s="28"/>
      <c r="C379" s="26"/>
      <c r="D379" s="34" t="str">
        <f>IF($C379="","",IFERROR(IF(INDEX('🎓 Alumnas'!$C$2:$C$1000,MATCH($C379,'🎓 Alumnas'!$B$2:$B$1000,0))="","",INDEX('🎓 Alumnas'!$C$2:$C$1000,MATCH($C379,'🎓 Alumnas'!$B$2:$B$1000,0))),""))</f>
        <v/>
      </c>
      <c r="E379" s="29" t="str">
        <f>IF($C379="","",IFERROR(IF(INDEX('🎓 Alumnas'!$D$2:$D$1000,MATCH($C379,'🎓 Alumnas'!$B$2:$B$1000,0))="","",INDEX('🎓 Alumnas'!$D$2:$D$1000,MATCH($C379,'🎓 Alumnas'!$B$2:$B$1000,0))),""))</f>
        <v/>
      </c>
      <c r="F379" s="29" t="str">
        <f>IF($C379="","",IFERROR(IF(INDEX('🎓 Alumnas'!$E$2:$E$1000,MATCH($C379,'🎓 Alumnas'!$B$2:$B$1000,0))="","",INDEX('🎓 Alumnas'!$E$2:$E$1000,MATCH($C379,'🎓 Alumnas'!$B$2:$B$1000,0))),""))</f>
        <v/>
      </c>
      <c r="G379" s="31" t="str">
        <f>IF($C379="","",IFERROR(IF(INDEX('🎓 Alumnas'!$F$2:$F$1000,MATCH($C379,'🎓 Alumnas'!$B$2:$B$1000,0))="","",INDEX('🎓 Alumnas'!$F$2:$F$1000,MATCH($C379,'🎓 Alumnas'!$B$2:$B$1000,0))),""))</f>
        <v/>
      </c>
      <c r="H379" s="29" t="str">
        <f t="shared" ca="1" si="15"/>
        <v/>
      </c>
      <c r="I379" s="26"/>
      <c r="J379" s="29" t="str">
        <f t="shared" si="16"/>
        <v/>
      </c>
      <c r="K379" s="26"/>
      <c r="L379" s="26"/>
      <c r="M379" s="35"/>
      <c r="N379" s="30" t="str">
        <f t="shared" si="17"/>
        <v/>
      </c>
      <c r="O379" s="36"/>
      <c r="P379" s="26"/>
      <c r="Q379" s="26"/>
      <c r="R379" s="29" t="str">
        <f>IF(C379="","",IF(COUNTIF($C$2:C379,C379)=1,"Nueva","Recurrente"))</f>
        <v/>
      </c>
      <c r="S379" s="29" t="str">
        <f>IF(OR(C379="",J379&lt;&gt;"Paquete"),"",COUNTIFS($C$2:C379,C379,$J$2:J379,"Paquete"))</f>
        <v/>
      </c>
      <c r="T379" s="26"/>
    </row>
    <row r="380" spans="1:20" x14ac:dyDescent="0.35">
      <c r="A380" s="26" t="s">
        <v>807</v>
      </c>
      <c r="B380" s="28"/>
      <c r="C380" s="26"/>
      <c r="D380" s="34" t="str">
        <f>IF($C380="","",IFERROR(IF(INDEX('🎓 Alumnas'!$C$2:$C$1000,MATCH($C380,'🎓 Alumnas'!$B$2:$B$1000,0))="","",INDEX('🎓 Alumnas'!$C$2:$C$1000,MATCH($C380,'🎓 Alumnas'!$B$2:$B$1000,0))),""))</f>
        <v/>
      </c>
      <c r="E380" s="29" t="str">
        <f>IF($C380="","",IFERROR(IF(INDEX('🎓 Alumnas'!$D$2:$D$1000,MATCH($C380,'🎓 Alumnas'!$B$2:$B$1000,0))="","",INDEX('🎓 Alumnas'!$D$2:$D$1000,MATCH($C380,'🎓 Alumnas'!$B$2:$B$1000,0))),""))</f>
        <v/>
      </c>
      <c r="F380" s="29" t="str">
        <f>IF($C380="","",IFERROR(IF(INDEX('🎓 Alumnas'!$E$2:$E$1000,MATCH($C380,'🎓 Alumnas'!$B$2:$B$1000,0))="","",INDEX('🎓 Alumnas'!$E$2:$E$1000,MATCH($C380,'🎓 Alumnas'!$B$2:$B$1000,0))),""))</f>
        <v/>
      </c>
      <c r="G380" s="31" t="str">
        <f>IF($C380="","",IFERROR(IF(INDEX('🎓 Alumnas'!$F$2:$F$1000,MATCH($C380,'🎓 Alumnas'!$B$2:$B$1000,0))="","",INDEX('🎓 Alumnas'!$F$2:$F$1000,MATCH($C380,'🎓 Alumnas'!$B$2:$B$1000,0))),""))</f>
        <v/>
      </c>
      <c r="H380" s="29" t="str">
        <f t="shared" ca="1" si="15"/>
        <v/>
      </c>
      <c r="I380" s="26"/>
      <c r="J380" s="29" t="str">
        <f t="shared" si="16"/>
        <v/>
      </c>
      <c r="K380" s="26"/>
      <c r="L380" s="26"/>
      <c r="M380" s="35"/>
      <c r="N380" s="30" t="str">
        <f t="shared" si="17"/>
        <v/>
      </c>
      <c r="O380" s="36"/>
      <c r="P380" s="26"/>
      <c r="Q380" s="26"/>
      <c r="R380" s="29" t="str">
        <f>IF(C380="","",IF(COUNTIF($C$2:C380,C380)=1,"Nueva","Recurrente"))</f>
        <v/>
      </c>
      <c r="S380" s="29" t="str">
        <f>IF(OR(C380="",J380&lt;&gt;"Paquete"),"",COUNTIFS($C$2:C380,C380,$J$2:J380,"Paquete"))</f>
        <v/>
      </c>
      <c r="T380" s="26"/>
    </row>
    <row r="381" spans="1:20" x14ac:dyDescent="0.35">
      <c r="A381" s="26" t="s">
        <v>808</v>
      </c>
      <c r="B381" s="28"/>
      <c r="C381" s="26"/>
      <c r="D381" s="34" t="str">
        <f>IF($C381="","",IFERROR(IF(INDEX('🎓 Alumnas'!$C$2:$C$1000,MATCH($C381,'🎓 Alumnas'!$B$2:$B$1000,0))="","",INDEX('🎓 Alumnas'!$C$2:$C$1000,MATCH($C381,'🎓 Alumnas'!$B$2:$B$1000,0))),""))</f>
        <v/>
      </c>
      <c r="E381" s="29" t="str">
        <f>IF($C381="","",IFERROR(IF(INDEX('🎓 Alumnas'!$D$2:$D$1000,MATCH($C381,'🎓 Alumnas'!$B$2:$B$1000,0))="","",INDEX('🎓 Alumnas'!$D$2:$D$1000,MATCH($C381,'🎓 Alumnas'!$B$2:$B$1000,0))),""))</f>
        <v/>
      </c>
      <c r="F381" s="29" t="str">
        <f>IF($C381="","",IFERROR(IF(INDEX('🎓 Alumnas'!$E$2:$E$1000,MATCH($C381,'🎓 Alumnas'!$B$2:$B$1000,0))="","",INDEX('🎓 Alumnas'!$E$2:$E$1000,MATCH($C381,'🎓 Alumnas'!$B$2:$B$1000,0))),""))</f>
        <v/>
      </c>
      <c r="G381" s="31" t="str">
        <f>IF($C381="","",IFERROR(IF(INDEX('🎓 Alumnas'!$F$2:$F$1000,MATCH($C381,'🎓 Alumnas'!$B$2:$B$1000,0))="","",INDEX('🎓 Alumnas'!$F$2:$F$1000,MATCH($C381,'🎓 Alumnas'!$B$2:$B$1000,0))),""))</f>
        <v/>
      </c>
      <c r="H381" s="29" t="str">
        <f t="shared" ca="1" si="15"/>
        <v/>
      </c>
      <c r="I381" s="26"/>
      <c r="J381" s="29" t="str">
        <f t="shared" si="16"/>
        <v/>
      </c>
      <c r="K381" s="26"/>
      <c r="L381" s="26"/>
      <c r="M381" s="35"/>
      <c r="N381" s="30" t="str">
        <f t="shared" si="17"/>
        <v/>
      </c>
      <c r="O381" s="36"/>
      <c r="P381" s="26"/>
      <c r="Q381" s="26"/>
      <c r="R381" s="29" t="str">
        <f>IF(C381="","",IF(COUNTIF($C$2:C381,C381)=1,"Nueva","Recurrente"))</f>
        <v/>
      </c>
      <c r="S381" s="29" t="str">
        <f>IF(OR(C381="",J381&lt;&gt;"Paquete"),"",COUNTIFS($C$2:C381,C381,$J$2:J381,"Paquete"))</f>
        <v/>
      </c>
      <c r="T381" s="26"/>
    </row>
    <row r="382" spans="1:20" x14ac:dyDescent="0.35">
      <c r="A382" s="26" t="s">
        <v>809</v>
      </c>
      <c r="B382" s="28"/>
      <c r="C382" s="26"/>
      <c r="D382" s="34" t="str">
        <f>IF($C382="","",IFERROR(IF(INDEX('🎓 Alumnas'!$C$2:$C$1000,MATCH($C382,'🎓 Alumnas'!$B$2:$B$1000,0))="","",INDEX('🎓 Alumnas'!$C$2:$C$1000,MATCH($C382,'🎓 Alumnas'!$B$2:$B$1000,0))),""))</f>
        <v/>
      </c>
      <c r="E382" s="29" t="str">
        <f>IF($C382="","",IFERROR(IF(INDEX('🎓 Alumnas'!$D$2:$D$1000,MATCH($C382,'🎓 Alumnas'!$B$2:$B$1000,0))="","",INDEX('🎓 Alumnas'!$D$2:$D$1000,MATCH($C382,'🎓 Alumnas'!$B$2:$B$1000,0))),""))</f>
        <v/>
      </c>
      <c r="F382" s="29" t="str">
        <f>IF($C382="","",IFERROR(IF(INDEX('🎓 Alumnas'!$E$2:$E$1000,MATCH($C382,'🎓 Alumnas'!$B$2:$B$1000,0))="","",INDEX('🎓 Alumnas'!$E$2:$E$1000,MATCH($C382,'🎓 Alumnas'!$B$2:$B$1000,0))),""))</f>
        <v/>
      </c>
      <c r="G382" s="31" t="str">
        <f>IF($C382="","",IFERROR(IF(INDEX('🎓 Alumnas'!$F$2:$F$1000,MATCH($C382,'🎓 Alumnas'!$B$2:$B$1000,0))="","",INDEX('🎓 Alumnas'!$F$2:$F$1000,MATCH($C382,'🎓 Alumnas'!$B$2:$B$1000,0))),""))</f>
        <v/>
      </c>
      <c r="H382" s="29" t="str">
        <f t="shared" ca="1" si="15"/>
        <v/>
      </c>
      <c r="I382" s="26"/>
      <c r="J382" s="29" t="str">
        <f t="shared" si="16"/>
        <v/>
      </c>
      <c r="K382" s="26"/>
      <c r="L382" s="26"/>
      <c r="M382" s="35"/>
      <c r="N382" s="30" t="str">
        <f t="shared" si="17"/>
        <v/>
      </c>
      <c r="O382" s="36"/>
      <c r="P382" s="26"/>
      <c r="Q382" s="26"/>
      <c r="R382" s="29" t="str">
        <f>IF(C382="","",IF(COUNTIF($C$2:C382,C382)=1,"Nueva","Recurrente"))</f>
        <v/>
      </c>
      <c r="S382" s="29" t="str">
        <f>IF(OR(C382="",J382&lt;&gt;"Paquete"),"",COUNTIFS($C$2:C382,C382,$J$2:J382,"Paquete"))</f>
        <v/>
      </c>
      <c r="T382" s="26"/>
    </row>
    <row r="383" spans="1:20" x14ac:dyDescent="0.35">
      <c r="A383" s="26" t="s">
        <v>810</v>
      </c>
      <c r="B383" s="28"/>
      <c r="C383" s="26"/>
      <c r="D383" s="34" t="str">
        <f>IF($C383="","",IFERROR(IF(INDEX('🎓 Alumnas'!$C$2:$C$1000,MATCH($C383,'🎓 Alumnas'!$B$2:$B$1000,0))="","",INDEX('🎓 Alumnas'!$C$2:$C$1000,MATCH($C383,'🎓 Alumnas'!$B$2:$B$1000,0))),""))</f>
        <v/>
      </c>
      <c r="E383" s="29" t="str">
        <f>IF($C383="","",IFERROR(IF(INDEX('🎓 Alumnas'!$D$2:$D$1000,MATCH($C383,'🎓 Alumnas'!$B$2:$B$1000,0))="","",INDEX('🎓 Alumnas'!$D$2:$D$1000,MATCH($C383,'🎓 Alumnas'!$B$2:$B$1000,0))),""))</f>
        <v/>
      </c>
      <c r="F383" s="29" t="str">
        <f>IF($C383="","",IFERROR(IF(INDEX('🎓 Alumnas'!$E$2:$E$1000,MATCH($C383,'🎓 Alumnas'!$B$2:$B$1000,0))="","",INDEX('🎓 Alumnas'!$E$2:$E$1000,MATCH($C383,'🎓 Alumnas'!$B$2:$B$1000,0))),""))</f>
        <v/>
      </c>
      <c r="G383" s="31" t="str">
        <f>IF($C383="","",IFERROR(IF(INDEX('🎓 Alumnas'!$F$2:$F$1000,MATCH($C383,'🎓 Alumnas'!$B$2:$B$1000,0))="","",INDEX('🎓 Alumnas'!$F$2:$F$1000,MATCH($C383,'🎓 Alumnas'!$B$2:$B$1000,0))),""))</f>
        <v/>
      </c>
      <c r="H383" s="29" t="str">
        <f t="shared" ca="1" si="15"/>
        <v/>
      </c>
      <c r="I383" s="26"/>
      <c r="J383" s="29" t="str">
        <f t="shared" si="16"/>
        <v/>
      </c>
      <c r="K383" s="26"/>
      <c r="L383" s="26"/>
      <c r="M383" s="35"/>
      <c r="N383" s="30" t="str">
        <f t="shared" si="17"/>
        <v/>
      </c>
      <c r="O383" s="36"/>
      <c r="P383" s="26"/>
      <c r="Q383" s="26"/>
      <c r="R383" s="29" t="str">
        <f>IF(C383="","",IF(COUNTIF($C$2:C383,C383)=1,"Nueva","Recurrente"))</f>
        <v/>
      </c>
      <c r="S383" s="29" t="str">
        <f>IF(OR(C383="",J383&lt;&gt;"Paquete"),"",COUNTIFS($C$2:C383,C383,$J$2:J383,"Paquete"))</f>
        <v/>
      </c>
      <c r="T383" s="26"/>
    </row>
    <row r="384" spans="1:20" x14ac:dyDescent="0.35">
      <c r="A384" s="26" t="s">
        <v>811</v>
      </c>
      <c r="B384" s="28"/>
      <c r="C384" s="26"/>
      <c r="D384" s="34" t="str">
        <f>IF($C384="","",IFERROR(IF(INDEX('🎓 Alumnas'!$C$2:$C$1000,MATCH($C384,'🎓 Alumnas'!$B$2:$B$1000,0))="","",INDEX('🎓 Alumnas'!$C$2:$C$1000,MATCH($C384,'🎓 Alumnas'!$B$2:$B$1000,0))),""))</f>
        <v/>
      </c>
      <c r="E384" s="29" t="str">
        <f>IF($C384="","",IFERROR(IF(INDEX('🎓 Alumnas'!$D$2:$D$1000,MATCH($C384,'🎓 Alumnas'!$B$2:$B$1000,0))="","",INDEX('🎓 Alumnas'!$D$2:$D$1000,MATCH($C384,'🎓 Alumnas'!$B$2:$B$1000,0))),""))</f>
        <v/>
      </c>
      <c r="F384" s="29" t="str">
        <f>IF($C384="","",IFERROR(IF(INDEX('🎓 Alumnas'!$E$2:$E$1000,MATCH($C384,'🎓 Alumnas'!$B$2:$B$1000,0))="","",INDEX('🎓 Alumnas'!$E$2:$E$1000,MATCH($C384,'🎓 Alumnas'!$B$2:$B$1000,0))),""))</f>
        <v/>
      </c>
      <c r="G384" s="31" t="str">
        <f>IF($C384="","",IFERROR(IF(INDEX('🎓 Alumnas'!$F$2:$F$1000,MATCH($C384,'🎓 Alumnas'!$B$2:$B$1000,0))="","",INDEX('🎓 Alumnas'!$F$2:$F$1000,MATCH($C384,'🎓 Alumnas'!$B$2:$B$1000,0))),""))</f>
        <v/>
      </c>
      <c r="H384" s="29" t="str">
        <f t="shared" ca="1" si="15"/>
        <v/>
      </c>
      <c r="I384" s="26"/>
      <c r="J384" s="29" t="str">
        <f t="shared" si="16"/>
        <v/>
      </c>
      <c r="K384" s="26"/>
      <c r="L384" s="26"/>
      <c r="M384" s="35"/>
      <c r="N384" s="30" t="str">
        <f t="shared" si="17"/>
        <v/>
      </c>
      <c r="O384" s="36"/>
      <c r="P384" s="26"/>
      <c r="Q384" s="26"/>
      <c r="R384" s="29" t="str">
        <f>IF(C384="","",IF(COUNTIF($C$2:C384,C384)=1,"Nueva","Recurrente"))</f>
        <v/>
      </c>
      <c r="S384" s="29" t="str">
        <f>IF(OR(C384="",J384&lt;&gt;"Paquete"),"",COUNTIFS($C$2:C384,C384,$J$2:J384,"Paquete"))</f>
        <v/>
      </c>
      <c r="T384" s="26"/>
    </row>
    <row r="385" spans="1:20" x14ac:dyDescent="0.35">
      <c r="A385" s="26" t="s">
        <v>812</v>
      </c>
      <c r="B385" s="28"/>
      <c r="C385" s="26"/>
      <c r="D385" s="34" t="str">
        <f>IF($C385="","",IFERROR(IF(INDEX('🎓 Alumnas'!$C$2:$C$1000,MATCH($C385,'🎓 Alumnas'!$B$2:$B$1000,0))="","",INDEX('🎓 Alumnas'!$C$2:$C$1000,MATCH($C385,'🎓 Alumnas'!$B$2:$B$1000,0))),""))</f>
        <v/>
      </c>
      <c r="E385" s="29" t="str">
        <f>IF($C385="","",IFERROR(IF(INDEX('🎓 Alumnas'!$D$2:$D$1000,MATCH($C385,'🎓 Alumnas'!$B$2:$B$1000,0))="","",INDEX('🎓 Alumnas'!$D$2:$D$1000,MATCH($C385,'🎓 Alumnas'!$B$2:$B$1000,0))),""))</f>
        <v/>
      </c>
      <c r="F385" s="29" t="str">
        <f>IF($C385="","",IFERROR(IF(INDEX('🎓 Alumnas'!$E$2:$E$1000,MATCH($C385,'🎓 Alumnas'!$B$2:$B$1000,0))="","",INDEX('🎓 Alumnas'!$E$2:$E$1000,MATCH($C385,'🎓 Alumnas'!$B$2:$B$1000,0))),""))</f>
        <v/>
      </c>
      <c r="G385" s="31" t="str">
        <f>IF($C385="","",IFERROR(IF(INDEX('🎓 Alumnas'!$F$2:$F$1000,MATCH($C385,'🎓 Alumnas'!$B$2:$B$1000,0))="","",INDEX('🎓 Alumnas'!$F$2:$F$1000,MATCH($C385,'🎓 Alumnas'!$B$2:$B$1000,0))),""))</f>
        <v/>
      </c>
      <c r="H385" s="29" t="str">
        <f t="shared" ca="1" si="15"/>
        <v/>
      </c>
      <c r="I385" s="26"/>
      <c r="J385" s="29" t="str">
        <f t="shared" si="16"/>
        <v/>
      </c>
      <c r="K385" s="26"/>
      <c r="L385" s="26"/>
      <c r="M385" s="35"/>
      <c r="N385" s="30" t="str">
        <f t="shared" si="17"/>
        <v/>
      </c>
      <c r="O385" s="36"/>
      <c r="P385" s="26"/>
      <c r="Q385" s="26"/>
      <c r="R385" s="29" t="str">
        <f>IF(C385="","",IF(COUNTIF($C$2:C385,C385)=1,"Nueva","Recurrente"))</f>
        <v/>
      </c>
      <c r="S385" s="29" t="str">
        <f>IF(OR(C385="",J385&lt;&gt;"Paquete"),"",COUNTIFS($C$2:C385,C385,$J$2:J385,"Paquete"))</f>
        <v/>
      </c>
      <c r="T385" s="26"/>
    </row>
    <row r="386" spans="1:20" x14ac:dyDescent="0.35">
      <c r="A386" s="26" t="s">
        <v>813</v>
      </c>
      <c r="B386" s="28"/>
      <c r="C386" s="26"/>
      <c r="D386" s="34" t="str">
        <f>IF($C386="","",IFERROR(IF(INDEX('🎓 Alumnas'!$C$2:$C$1000,MATCH($C386,'🎓 Alumnas'!$B$2:$B$1000,0))="","",INDEX('🎓 Alumnas'!$C$2:$C$1000,MATCH($C386,'🎓 Alumnas'!$B$2:$B$1000,0))),""))</f>
        <v/>
      </c>
      <c r="E386" s="29" t="str">
        <f>IF($C386="","",IFERROR(IF(INDEX('🎓 Alumnas'!$D$2:$D$1000,MATCH($C386,'🎓 Alumnas'!$B$2:$B$1000,0))="","",INDEX('🎓 Alumnas'!$D$2:$D$1000,MATCH($C386,'🎓 Alumnas'!$B$2:$B$1000,0))),""))</f>
        <v/>
      </c>
      <c r="F386" s="29" t="str">
        <f>IF($C386="","",IFERROR(IF(INDEX('🎓 Alumnas'!$E$2:$E$1000,MATCH($C386,'🎓 Alumnas'!$B$2:$B$1000,0))="","",INDEX('🎓 Alumnas'!$E$2:$E$1000,MATCH($C386,'🎓 Alumnas'!$B$2:$B$1000,0))),""))</f>
        <v/>
      </c>
      <c r="G386" s="31" t="str">
        <f>IF($C386="","",IFERROR(IF(INDEX('🎓 Alumnas'!$F$2:$F$1000,MATCH($C386,'🎓 Alumnas'!$B$2:$B$1000,0))="","",INDEX('🎓 Alumnas'!$F$2:$F$1000,MATCH($C386,'🎓 Alumnas'!$B$2:$B$1000,0))),""))</f>
        <v/>
      </c>
      <c r="H386" s="29" t="str">
        <f t="shared" ref="H386:H449" ca="1" si="18">IF(G386="","",DATEDIF(G386,TODAY(),"Y"))</f>
        <v/>
      </c>
      <c r="I386" s="26"/>
      <c r="J386" s="29" t="str">
        <f t="shared" ref="J386:J449" si="19">IF(I386="","",IF(LEFT(I386,6)="1 Pole","Alquiler",IF(LEFT(I386,7)="1 Clase","Clase suelta","Paquete")))</f>
        <v/>
      </c>
      <c r="K386" s="26"/>
      <c r="L386" s="26"/>
      <c r="M386" s="35"/>
      <c r="N386" s="30" t="str">
        <f t="shared" ref="N386:N449" si="20">IF(M386="","",L386*M386)</f>
        <v/>
      </c>
      <c r="O386" s="36"/>
      <c r="P386" s="26"/>
      <c r="Q386" s="26"/>
      <c r="R386" s="29" t="str">
        <f>IF(C386="","",IF(COUNTIF($C$2:C386,C386)=1,"Nueva","Recurrente"))</f>
        <v/>
      </c>
      <c r="S386" s="29" t="str">
        <f>IF(OR(C386="",J386&lt;&gt;"Paquete"),"",COUNTIFS($C$2:C386,C386,$J$2:J386,"Paquete"))</f>
        <v/>
      </c>
      <c r="T386" s="26"/>
    </row>
    <row r="387" spans="1:20" x14ac:dyDescent="0.35">
      <c r="A387" s="26" t="s">
        <v>814</v>
      </c>
      <c r="B387" s="28"/>
      <c r="C387" s="26"/>
      <c r="D387" s="34" t="str">
        <f>IF($C387="","",IFERROR(IF(INDEX('🎓 Alumnas'!$C$2:$C$1000,MATCH($C387,'🎓 Alumnas'!$B$2:$B$1000,0))="","",INDEX('🎓 Alumnas'!$C$2:$C$1000,MATCH($C387,'🎓 Alumnas'!$B$2:$B$1000,0))),""))</f>
        <v/>
      </c>
      <c r="E387" s="29" t="str">
        <f>IF($C387="","",IFERROR(IF(INDEX('🎓 Alumnas'!$D$2:$D$1000,MATCH($C387,'🎓 Alumnas'!$B$2:$B$1000,0))="","",INDEX('🎓 Alumnas'!$D$2:$D$1000,MATCH($C387,'🎓 Alumnas'!$B$2:$B$1000,0))),""))</f>
        <v/>
      </c>
      <c r="F387" s="29" t="str">
        <f>IF($C387="","",IFERROR(IF(INDEX('🎓 Alumnas'!$E$2:$E$1000,MATCH($C387,'🎓 Alumnas'!$B$2:$B$1000,0))="","",INDEX('🎓 Alumnas'!$E$2:$E$1000,MATCH($C387,'🎓 Alumnas'!$B$2:$B$1000,0))),""))</f>
        <v/>
      </c>
      <c r="G387" s="31" t="str">
        <f>IF($C387="","",IFERROR(IF(INDEX('🎓 Alumnas'!$F$2:$F$1000,MATCH($C387,'🎓 Alumnas'!$B$2:$B$1000,0))="","",INDEX('🎓 Alumnas'!$F$2:$F$1000,MATCH($C387,'🎓 Alumnas'!$B$2:$B$1000,0))),""))</f>
        <v/>
      </c>
      <c r="H387" s="29" t="str">
        <f t="shared" ca="1" si="18"/>
        <v/>
      </c>
      <c r="I387" s="26"/>
      <c r="J387" s="29" t="str">
        <f t="shared" si="19"/>
        <v/>
      </c>
      <c r="K387" s="26"/>
      <c r="L387" s="26"/>
      <c r="M387" s="35"/>
      <c r="N387" s="30" t="str">
        <f t="shared" si="20"/>
        <v/>
      </c>
      <c r="O387" s="36"/>
      <c r="P387" s="26"/>
      <c r="Q387" s="26"/>
      <c r="R387" s="29" t="str">
        <f>IF(C387="","",IF(COUNTIF($C$2:C387,C387)=1,"Nueva","Recurrente"))</f>
        <v/>
      </c>
      <c r="S387" s="29" t="str">
        <f>IF(OR(C387="",J387&lt;&gt;"Paquete"),"",COUNTIFS($C$2:C387,C387,$J$2:J387,"Paquete"))</f>
        <v/>
      </c>
      <c r="T387" s="26"/>
    </row>
    <row r="388" spans="1:20" x14ac:dyDescent="0.35">
      <c r="A388" s="26" t="s">
        <v>815</v>
      </c>
      <c r="B388" s="28"/>
      <c r="C388" s="26"/>
      <c r="D388" s="34" t="str">
        <f>IF($C388="","",IFERROR(IF(INDEX('🎓 Alumnas'!$C$2:$C$1000,MATCH($C388,'🎓 Alumnas'!$B$2:$B$1000,0))="","",INDEX('🎓 Alumnas'!$C$2:$C$1000,MATCH($C388,'🎓 Alumnas'!$B$2:$B$1000,0))),""))</f>
        <v/>
      </c>
      <c r="E388" s="29" t="str">
        <f>IF($C388="","",IFERROR(IF(INDEX('🎓 Alumnas'!$D$2:$D$1000,MATCH($C388,'🎓 Alumnas'!$B$2:$B$1000,0))="","",INDEX('🎓 Alumnas'!$D$2:$D$1000,MATCH($C388,'🎓 Alumnas'!$B$2:$B$1000,0))),""))</f>
        <v/>
      </c>
      <c r="F388" s="29" t="str">
        <f>IF($C388="","",IFERROR(IF(INDEX('🎓 Alumnas'!$E$2:$E$1000,MATCH($C388,'🎓 Alumnas'!$B$2:$B$1000,0))="","",INDEX('🎓 Alumnas'!$E$2:$E$1000,MATCH($C388,'🎓 Alumnas'!$B$2:$B$1000,0))),""))</f>
        <v/>
      </c>
      <c r="G388" s="31" t="str">
        <f>IF($C388="","",IFERROR(IF(INDEX('🎓 Alumnas'!$F$2:$F$1000,MATCH($C388,'🎓 Alumnas'!$B$2:$B$1000,0))="","",INDEX('🎓 Alumnas'!$F$2:$F$1000,MATCH($C388,'🎓 Alumnas'!$B$2:$B$1000,0))),""))</f>
        <v/>
      </c>
      <c r="H388" s="29" t="str">
        <f t="shared" ca="1" si="18"/>
        <v/>
      </c>
      <c r="I388" s="26"/>
      <c r="J388" s="29" t="str">
        <f t="shared" si="19"/>
        <v/>
      </c>
      <c r="K388" s="26"/>
      <c r="L388" s="26"/>
      <c r="M388" s="35"/>
      <c r="N388" s="30" t="str">
        <f t="shared" si="20"/>
        <v/>
      </c>
      <c r="O388" s="36"/>
      <c r="P388" s="26"/>
      <c r="Q388" s="26"/>
      <c r="R388" s="29" t="str">
        <f>IF(C388="","",IF(COUNTIF($C$2:C388,C388)=1,"Nueva","Recurrente"))</f>
        <v/>
      </c>
      <c r="S388" s="29" t="str">
        <f>IF(OR(C388="",J388&lt;&gt;"Paquete"),"",COUNTIFS($C$2:C388,C388,$J$2:J388,"Paquete"))</f>
        <v/>
      </c>
      <c r="T388" s="26"/>
    </row>
    <row r="389" spans="1:20" x14ac:dyDescent="0.35">
      <c r="A389" s="26" t="s">
        <v>816</v>
      </c>
      <c r="B389" s="28"/>
      <c r="C389" s="26"/>
      <c r="D389" s="34" t="str">
        <f>IF($C389="","",IFERROR(IF(INDEX('🎓 Alumnas'!$C$2:$C$1000,MATCH($C389,'🎓 Alumnas'!$B$2:$B$1000,0))="","",INDEX('🎓 Alumnas'!$C$2:$C$1000,MATCH($C389,'🎓 Alumnas'!$B$2:$B$1000,0))),""))</f>
        <v/>
      </c>
      <c r="E389" s="29" t="str">
        <f>IF($C389="","",IFERROR(IF(INDEX('🎓 Alumnas'!$D$2:$D$1000,MATCH($C389,'🎓 Alumnas'!$B$2:$B$1000,0))="","",INDEX('🎓 Alumnas'!$D$2:$D$1000,MATCH($C389,'🎓 Alumnas'!$B$2:$B$1000,0))),""))</f>
        <v/>
      </c>
      <c r="F389" s="29" t="str">
        <f>IF($C389="","",IFERROR(IF(INDEX('🎓 Alumnas'!$E$2:$E$1000,MATCH($C389,'🎓 Alumnas'!$B$2:$B$1000,0))="","",INDEX('🎓 Alumnas'!$E$2:$E$1000,MATCH($C389,'🎓 Alumnas'!$B$2:$B$1000,0))),""))</f>
        <v/>
      </c>
      <c r="G389" s="31" t="str">
        <f>IF($C389="","",IFERROR(IF(INDEX('🎓 Alumnas'!$F$2:$F$1000,MATCH($C389,'🎓 Alumnas'!$B$2:$B$1000,0))="","",INDEX('🎓 Alumnas'!$F$2:$F$1000,MATCH($C389,'🎓 Alumnas'!$B$2:$B$1000,0))),""))</f>
        <v/>
      </c>
      <c r="H389" s="29" t="str">
        <f t="shared" ca="1" si="18"/>
        <v/>
      </c>
      <c r="I389" s="26"/>
      <c r="J389" s="29" t="str">
        <f t="shared" si="19"/>
        <v/>
      </c>
      <c r="K389" s="26"/>
      <c r="L389" s="26"/>
      <c r="M389" s="35"/>
      <c r="N389" s="30" t="str">
        <f t="shared" si="20"/>
        <v/>
      </c>
      <c r="O389" s="36"/>
      <c r="P389" s="26"/>
      <c r="Q389" s="26"/>
      <c r="R389" s="29" t="str">
        <f>IF(C389="","",IF(COUNTIF($C$2:C389,C389)=1,"Nueva","Recurrente"))</f>
        <v/>
      </c>
      <c r="S389" s="29" t="str">
        <f>IF(OR(C389="",J389&lt;&gt;"Paquete"),"",COUNTIFS($C$2:C389,C389,$J$2:J389,"Paquete"))</f>
        <v/>
      </c>
      <c r="T389" s="26"/>
    </row>
    <row r="390" spans="1:20" x14ac:dyDescent="0.35">
      <c r="A390" s="26" t="s">
        <v>817</v>
      </c>
      <c r="B390" s="28"/>
      <c r="C390" s="26"/>
      <c r="D390" s="34" t="str">
        <f>IF($C390="","",IFERROR(IF(INDEX('🎓 Alumnas'!$C$2:$C$1000,MATCH($C390,'🎓 Alumnas'!$B$2:$B$1000,0))="","",INDEX('🎓 Alumnas'!$C$2:$C$1000,MATCH($C390,'🎓 Alumnas'!$B$2:$B$1000,0))),""))</f>
        <v/>
      </c>
      <c r="E390" s="29" t="str">
        <f>IF($C390="","",IFERROR(IF(INDEX('🎓 Alumnas'!$D$2:$D$1000,MATCH($C390,'🎓 Alumnas'!$B$2:$B$1000,0))="","",INDEX('🎓 Alumnas'!$D$2:$D$1000,MATCH($C390,'🎓 Alumnas'!$B$2:$B$1000,0))),""))</f>
        <v/>
      </c>
      <c r="F390" s="29" t="str">
        <f>IF($C390="","",IFERROR(IF(INDEX('🎓 Alumnas'!$E$2:$E$1000,MATCH($C390,'🎓 Alumnas'!$B$2:$B$1000,0))="","",INDEX('🎓 Alumnas'!$E$2:$E$1000,MATCH($C390,'🎓 Alumnas'!$B$2:$B$1000,0))),""))</f>
        <v/>
      </c>
      <c r="G390" s="31" t="str">
        <f>IF($C390="","",IFERROR(IF(INDEX('🎓 Alumnas'!$F$2:$F$1000,MATCH($C390,'🎓 Alumnas'!$B$2:$B$1000,0))="","",INDEX('🎓 Alumnas'!$F$2:$F$1000,MATCH($C390,'🎓 Alumnas'!$B$2:$B$1000,0))),""))</f>
        <v/>
      </c>
      <c r="H390" s="29" t="str">
        <f t="shared" ca="1" si="18"/>
        <v/>
      </c>
      <c r="I390" s="26"/>
      <c r="J390" s="29" t="str">
        <f t="shared" si="19"/>
        <v/>
      </c>
      <c r="K390" s="26"/>
      <c r="L390" s="26"/>
      <c r="M390" s="35"/>
      <c r="N390" s="30" t="str">
        <f t="shared" si="20"/>
        <v/>
      </c>
      <c r="O390" s="36"/>
      <c r="P390" s="26"/>
      <c r="Q390" s="26"/>
      <c r="R390" s="29" t="str">
        <f>IF(C390="","",IF(COUNTIF($C$2:C390,C390)=1,"Nueva","Recurrente"))</f>
        <v/>
      </c>
      <c r="S390" s="29" t="str">
        <f>IF(OR(C390="",J390&lt;&gt;"Paquete"),"",COUNTIFS($C$2:C390,C390,$J$2:J390,"Paquete"))</f>
        <v/>
      </c>
      <c r="T390" s="26"/>
    </row>
    <row r="391" spans="1:20" x14ac:dyDescent="0.35">
      <c r="A391" s="26" t="s">
        <v>818</v>
      </c>
      <c r="B391" s="28"/>
      <c r="C391" s="26"/>
      <c r="D391" s="34" t="str">
        <f>IF($C391="","",IFERROR(IF(INDEX('🎓 Alumnas'!$C$2:$C$1000,MATCH($C391,'🎓 Alumnas'!$B$2:$B$1000,0))="","",INDEX('🎓 Alumnas'!$C$2:$C$1000,MATCH($C391,'🎓 Alumnas'!$B$2:$B$1000,0))),""))</f>
        <v/>
      </c>
      <c r="E391" s="29" t="str">
        <f>IF($C391="","",IFERROR(IF(INDEX('🎓 Alumnas'!$D$2:$D$1000,MATCH($C391,'🎓 Alumnas'!$B$2:$B$1000,0))="","",INDEX('🎓 Alumnas'!$D$2:$D$1000,MATCH($C391,'🎓 Alumnas'!$B$2:$B$1000,0))),""))</f>
        <v/>
      </c>
      <c r="F391" s="29" t="str">
        <f>IF($C391="","",IFERROR(IF(INDEX('🎓 Alumnas'!$E$2:$E$1000,MATCH($C391,'🎓 Alumnas'!$B$2:$B$1000,0))="","",INDEX('🎓 Alumnas'!$E$2:$E$1000,MATCH($C391,'🎓 Alumnas'!$B$2:$B$1000,0))),""))</f>
        <v/>
      </c>
      <c r="G391" s="31" t="str">
        <f>IF($C391="","",IFERROR(IF(INDEX('🎓 Alumnas'!$F$2:$F$1000,MATCH($C391,'🎓 Alumnas'!$B$2:$B$1000,0))="","",INDEX('🎓 Alumnas'!$F$2:$F$1000,MATCH($C391,'🎓 Alumnas'!$B$2:$B$1000,0))),""))</f>
        <v/>
      </c>
      <c r="H391" s="29" t="str">
        <f t="shared" ca="1" si="18"/>
        <v/>
      </c>
      <c r="I391" s="26"/>
      <c r="J391" s="29" t="str">
        <f t="shared" si="19"/>
        <v/>
      </c>
      <c r="K391" s="26"/>
      <c r="L391" s="26"/>
      <c r="M391" s="35"/>
      <c r="N391" s="30" t="str">
        <f t="shared" si="20"/>
        <v/>
      </c>
      <c r="O391" s="36"/>
      <c r="P391" s="26"/>
      <c r="Q391" s="26"/>
      <c r="R391" s="29" t="str">
        <f>IF(C391="","",IF(COUNTIF($C$2:C391,C391)=1,"Nueva","Recurrente"))</f>
        <v/>
      </c>
      <c r="S391" s="29" t="str">
        <f>IF(OR(C391="",J391&lt;&gt;"Paquete"),"",COUNTIFS($C$2:C391,C391,$J$2:J391,"Paquete"))</f>
        <v/>
      </c>
      <c r="T391" s="26"/>
    </row>
    <row r="392" spans="1:20" x14ac:dyDescent="0.35">
      <c r="A392" s="26" t="s">
        <v>819</v>
      </c>
      <c r="B392" s="28"/>
      <c r="C392" s="26"/>
      <c r="D392" s="34" t="str">
        <f>IF($C392="","",IFERROR(IF(INDEX('🎓 Alumnas'!$C$2:$C$1000,MATCH($C392,'🎓 Alumnas'!$B$2:$B$1000,0))="","",INDEX('🎓 Alumnas'!$C$2:$C$1000,MATCH($C392,'🎓 Alumnas'!$B$2:$B$1000,0))),""))</f>
        <v/>
      </c>
      <c r="E392" s="29" t="str">
        <f>IF($C392="","",IFERROR(IF(INDEX('🎓 Alumnas'!$D$2:$D$1000,MATCH($C392,'🎓 Alumnas'!$B$2:$B$1000,0))="","",INDEX('🎓 Alumnas'!$D$2:$D$1000,MATCH($C392,'🎓 Alumnas'!$B$2:$B$1000,0))),""))</f>
        <v/>
      </c>
      <c r="F392" s="29" t="str">
        <f>IF($C392="","",IFERROR(IF(INDEX('🎓 Alumnas'!$E$2:$E$1000,MATCH($C392,'🎓 Alumnas'!$B$2:$B$1000,0))="","",INDEX('🎓 Alumnas'!$E$2:$E$1000,MATCH($C392,'🎓 Alumnas'!$B$2:$B$1000,0))),""))</f>
        <v/>
      </c>
      <c r="G392" s="31" t="str">
        <f>IF($C392="","",IFERROR(IF(INDEX('🎓 Alumnas'!$F$2:$F$1000,MATCH($C392,'🎓 Alumnas'!$B$2:$B$1000,0))="","",INDEX('🎓 Alumnas'!$F$2:$F$1000,MATCH($C392,'🎓 Alumnas'!$B$2:$B$1000,0))),""))</f>
        <v/>
      </c>
      <c r="H392" s="29" t="str">
        <f t="shared" ca="1" si="18"/>
        <v/>
      </c>
      <c r="I392" s="26"/>
      <c r="J392" s="29" t="str">
        <f t="shared" si="19"/>
        <v/>
      </c>
      <c r="K392" s="26"/>
      <c r="L392" s="26"/>
      <c r="M392" s="35"/>
      <c r="N392" s="30" t="str">
        <f t="shared" si="20"/>
        <v/>
      </c>
      <c r="O392" s="36"/>
      <c r="P392" s="26"/>
      <c r="Q392" s="26"/>
      <c r="R392" s="29" t="str">
        <f>IF(C392="","",IF(COUNTIF($C$2:C392,C392)=1,"Nueva","Recurrente"))</f>
        <v/>
      </c>
      <c r="S392" s="29" t="str">
        <f>IF(OR(C392="",J392&lt;&gt;"Paquete"),"",COUNTIFS($C$2:C392,C392,$J$2:J392,"Paquete"))</f>
        <v/>
      </c>
      <c r="T392" s="26"/>
    </row>
    <row r="393" spans="1:20" x14ac:dyDescent="0.35">
      <c r="A393" s="26" t="s">
        <v>820</v>
      </c>
      <c r="B393" s="28"/>
      <c r="C393" s="26"/>
      <c r="D393" s="34" t="str">
        <f>IF($C393="","",IFERROR(IF(INDEX('🎓 Alumnas'!$C$2:$C$1000,MATCH($C393,'🎓 Alumnas'!$B$2:$B$1000,0))="","",INDEX('🎓 Alumnas'!$C$2:$C$1000,MATCH($C393,'🎓 Alumnas'!$B$2:$B$1000,0))),""))</f>
        <v/>
      </c>
      <c r="E393" s="29" t="str">
        <f>IF($C393="","",IFERROR(IF(INDEX('🎓 Alumnas'!$D$2:$D$1000,MATCH($C393,'🎓 Alumnas'!$B$2:$B$1000,0))="","",INDEX('🎓 Alumnas'!$D$2:$D$1000,MATCH($C393,'🎓 Alumnas'!$B$2:$B$1000,0))),""))</f>
        <v/>
      </c>
      <c r="F393" s="29" t="str">
        <f>IF($C393="","",IFERROR(IF(INDEX('🎓 Alumnas'!$E$2:$E$1000,MATCH($C393,'🎓 Alumnas'!$B$2:$B$1000,0))="","",INDEX('🎓 Alumnas'!$E$2:$E$1000,MATCH($C393,'🎓 Alumnas'!$B$2:$B$1000,0))),""))</f>
        <v/>
      </c>
      <c r="G393" s="31" t="str">
        <f>IF($C393="","",IFERROR(IF(INDEX('🎓 Alumnas'!$F$2:$F$1000,MATCH($C393,'🎓 Alumnas'!$B$2:$B$1000,0))="","",INDEX('🎓 Alumnas'!$F$2:$F$1000,MATCH($C393,'🎓 Alumnas'!$B$2:$B$1000,0))),""))</f>
        <v/>
      </c>
      <c r="H393" s="29" t="str">
        <f t="shared" ca="1" si="18"/>
        <v/>
      </c>
      <c r="I393" s="26"/>
      <c r="J393" s="29" t="str">
        <f t="shared" si="19"/>
        <v/>
      </c>
      <c r="K393" s="26"/>
      <c r="L393" s="26"/>
      <c r="M393" s="35"/>
      <c r="N393" s="30" t="str">
        <f t="shared" si="20"/>
        <v/>
      </c>
      <c r="O393" s="36"/>
      <c r="P393" s="26"/>
      <c r="Q393" s="26"/>
      <c r="R393" s="29" t="str">
        <f>IF(C393="","",IF(COUNTIF($C$2:C393,C393)=1,"Nueva","Recurrente"))</f>
        <v/>
      </c>
      <c r="S393" s="29" t="str">
        <f>IF(OR(C393="",J393&lt;&gt;"Paquete"),"",COUNTIFS($C$2:C393,C393,$J$2:J393,"Paquete"))</f>
        <v/>
      </c>
      <c r="T393" s="26"/>
    </row>
    <row r="394" spans="1:20" x14ac:dyDescent="0.35">
      <c r="A394" s="26" t="s">
        <v>821</v>
      </c>
      <c r="B394" s="28"/>
      <c r="C394" s="26"/>
      <c r="D394" s="34" t="str">
        <f>IF($C394="","",IFERROR(IF(INDEX('🎓 Alumnas'!$C$2:$C$1000,MATCH($C394,'🎓 Alumnas'!$B$2:$B$1000,0))="","",INDEX('🎓 Alumnas'!$C$2:$C$1000,MATCH($C394,'🎓 Alumnas'!$B$2:$B$1000,0))),""))</f>
        <v/>
      </c>
      <c r="E394" s="29" t="str">
        <f>IF($C394="","",IFERROR(IF(INDEX('🎓 Alumnas'!$D$2:$D$1000,MATCH($C394,'🎓 Alumnas'!$B$2:$B$1000,0))="","",INDEX('🎓 Alumnas'!$D$2:$D$1000,MATCH($C394,'🎓 Alumnas'!$B$2:$B$1000,0))),""))</f>
        <v/>
      </c>
      <c r="F394" s="29" t="str">
        <f>IF($C394="","",IFERROR(IF(INDEX('🎓 Alumnas'!$E$2:$E$1000,MATCH($C394,'🎓 Alumnas'!$B$2:$B$1000,0))="","",INDEX('🎓 Alumnas'!$E$2:$E$1000,MATCH($C394,'🎓 Alumnas'!$B$2:$B$1000,0))),""))</f>
        <v/>
      </c>
      <c r="G394" s="31" t="str">
        <f>IF($C394="","",IFERROR(IF(INDEX('🎓 Alumnas'!$F$2:$F$1000,MATCH($C394,'🎓 Alumnas'!$B$2:$B$1000,0))="","",INDEX('🎓 Alumnas'!$F$2:$F$1000,MATCH($C394,'🎓 Alumnas'!$B$2:$B$1000,0))),""))</f>
        <v/>
      </c>
      <c r="H394" s="29" t="str">
        <f t="shared" ca="1" si="18"/>
        <v/>
      </c>
      <c r="I394" s="26"/>
      <c r="J394" s="29" t="str">
        <f t="shared" si="19"/>
        <v/>
      </c>
      <c r="K394" s="26"/>
      <c r="L394" s="26"/>
      <c r="M394" s="35"/>
      <c r="N394" s="30" t="str">
        <f t="shared" si="20"/>
        <v/>
      </c>
      <c r="O394" s="36"/>
      <c r="P394" s="26"/>
      <c r="Q394" s="26"/>
      <c r="R394" s="29" t="str">
        <f>IF(C394="","",IF(COUNTIF($C$2:C394,C394)=1,"Nueva","Recurrente"))</f>
        <v/>
      </c>
      <c r="S394" s="29" t="str">
        <f>IF(OR(C394="",J394&lt;&gt;"Paquete"),"",COUNTIFS($C$2:C394,C394,$J$2:J394,"Paquete"))</f>
        <v/>
      </c>
      <c r="T394" s="26"/>
    </row>
    <row r="395" spans="1:20" x14ac:dyDescent="0.35">
      <c r="A395" s="26" t="s">
        <v>822</v>
      </c>
      <c r="B395" s="28"/>
      <c r="C395" s="26"/>
      <c r="D395" s="34" t="str">
        <f>IF($C395="","",IFERROR(IF(INDEX('🎓 Alumnas'!$C$2:$C$1000,MATCH($C395,'🎓 Alumnas'!$B$2:$B$1000,0))="","",INDEX('🎓 Alumnas'!$C$2:$C$1000,MATCH($C395,'🎓 Alumnas'!$B$2:$B$1000,0))),""))</f>
        <v/>
      </c>
      <c r="E395" s="29" t="str">
        <f>IF($C395="","",IFERROR(IF(INDEX('🎓 Alumnas'!$D$2:$D$1000,MATCH($C395,'🎓 Alumnas'!$B$2:$B$1000,0))="","",INDEX('🎓 Alumnas'!$D$2:$D$1000,MATCH($C395,'🎓 Alumnas'!$B$2:$B$1000,0))),""))</f>
        <v/>
      </c>
      <c r="F395" s="29" t="str">
        <f>IF($C395="","",IFERROR(IF(INDEX('🎓 Alumnas'!$E$2:$E$1000,MATCH($C395,'🎓 Alumnas'!$B$2:$B$1000,0))="","",INDEX('🎓 Alumnas'!$E$2:$E$1000,MATCH($C395,'🎓 Alumnas'!$B$2:$B$1000,0))),""))</f>
        <v/>
      </c>
      <c r="G395" s="31" t="str">
        <f>IF($C395="","",IFERROR(IF(INDEX('🎓 Alumnas'!$F$2:$F$1000,MATCH($C395,'🎓 Alumnas'!$B$2:$B$1000,0))="","",INDEX('🎓 Alumnas'!$F$2:$F$1000,MATCH($C395,'🎓 Alumnas'!$B$2:$B$1000,0))),""))</f>
        <v/>
      </c>
      <c r="H395" s="29" t="str">
        <f t="shared" ca="1" si="18"/>
        <v/>
      </c>
      <c r="I395" s="26"/>
      <c r="J395" s="29" t="str">
        <f t="shared" si="19"/>
        <v/>
      </c>
      <c r="K395" s="26"/>
      <c r="L395" s="26"/>
      <c r="M395" s="35"/>
      <c r="N395" s="30" t="str">
        <f t="shared" si="20"/>
        <v/>
      </c>
      <c r="O395" s="36"/>
      <c r="P395" s="26"/>
      <c r="Q395" s="26"/>
      <c r="R395" s="29" t="str">
        <f>IF(C395="","",IF(COUNTIF($C$2:C395,C395)=1,"Nueva","Recurrente"))</f>
        <v/>
      </c>
      <c r="S395" s="29" t="str">
        <f>IF(OR(C395="",J395&lt;&gt;"Paquete"),"",COUNTIFS($C$2:C395,C395,$J$2:J395,"Paquete"))</f>
        <v/>
      </c>
      <c r="T395" s="26"/>
    </row>
    <row r="396" spans="1:20" x14ac:dyDescent="0.35">
      <c r="A396" s="26" t="s">
        <v>823</v>
      </c>
      <c r="B396" s="28"/>
      <c r="C396" s="26"/>
      <c r="D396" s="34" t="str">
        <f>IF($C396="","",IFERROR(IF(INDEX('🎓 Alumnas'!$C$2:$C$1000,MATCH($C396,'🎓 Alumnas'!$B$2:$B$1000,0))="","",INDEX('🎓 Alumnas'!$C$2:$C$1000,MATCH($C396,'🎓 Alumnas'!$B$2:$B$1000,0))),""))</f>
        <v/>
      </c>
      <c r="E396" s="29" t="str">
        <f>IF($C396="","",IFERROR(IF(INDEX('🎓 Alumnas'!$D$2:$D$1000,MATCH($C396,'🎓 Alumnas'!$B$2:$B$1000,0))="","",INDEX('🎓 Alumnas'!$D$2:$D$1000,MATCH($C396,'🎓 Alumnas'!$B$2:$B$1000,0))),""))</f>
        <v/>
      </c>
      <c r="F396" s="29" t="str">
        <f>IF($C396="","",IFERROR(IF(INDEX('🎓 Alumnas'!$E$2:$E$1000,MATCH($C396,'🎓 Alumnas'!$B$2:$B$1000,0))="","",INDEX('🎓 Alumnas'!$E$2:$E$1000,MATCH($C396,'🎓 Alumnas'!$B$2:$B$1000,0))),""))</f>
        <v/>
      </c>
      <c r="G396" s="31" t="str">
        <f>IF($C396="","",IFERROR(IF(INDEX('🎓 Alumnas'!$F$2:$F$1000,MATCH($C396,'🎓 Alumnas'!$B$2:$B$1000,0))="","",INDEX('🎓 Alumnas'!$F$2:$F$1000,MATCH($C396,'🎓 Alumnas'!$B$2:$B$1000,0))),""))</f>
        <v/>
      </c>
      <c r="H396" s="29" t="str">
        <f t="shared" ca="1" si="18"/>
        <v/>
      </c>
      <c r="I396" s="26"/>
      <c r="J396" s="29" t="str">
        <f t="shared" si="19"/>
        <v/>
      </c>
      <c r="K396" s="26"/>
      <c r="L396" s="26"/>
      <c r="M396" s="35"/>
      <c r="N396" s="30" t="str">
        <f t="shared" si="20"/>
        <v/>
      </c>
      <c r="O396" s="36"/>
      <c r="P396" s="26"/>
      <c r="Q396" s="26"/>
      <c r="R396" s="29" t="str">
        <f>IF(C396="","",IF(COUNTIF($C$2:C396,C396)=1,"Nueva","Recurrente"))</f>
        <v/>
      </c>
      <c r="S396" s="29" t="str">
        <f>IF(OR(C396="",J396&lt;&gt;"Paquete"),"",COUNTIFS($C$2:C396,C396,$J$2:J396,"Paquete"))</f>
        <v/>
      </c>
      <c r="T396" s="26"/>
    </row>
    <row r="397" spans="1:20" x14ac:dyDescent="0.35">
      <c r="A397" s="26" t="s">
        <v>824</v>
      </c>
      <c r="B397" s="28"/>
      <c r="C397" s="26"/>
      <c r="D397" s="34" t="str">
        <f>IF($C397="","",IFERROR(IF(INDEX('🎓 Alumnas'!$C$2:$C$1000,MATCH($C397,'🎓 Alumnas'!$B$2:$B$1000,0))="","",INDEX('🎓 Alumnas'!$C$2:$C$1000,MATCH($C397,'🎓 Alumnas'!$B$2:$B$1000,0))),""))</f>
        <v/>
      </c>
      <c r="E397" s="29" t="str">
        <f>IF($C397="","",IFERROR(IF(INDEX('🎓 Alumnas'!$D$2:$D$1000,MATCH($C397,'🎓 Alumnas'!$B$2:$B$1000,0))="","",INDEX('🎓 Alumnas'!$D$2:$D$1000,MATCH($C397,'🎓 Alumnas'!$B$2:$B$1000,0))),""))</f>
        <v/>
      </c>
      <c r="F397" s="29" t="str">
        <f>IF($C397="","",IFERROR(IF(INDEX('🎓 Alumnas'!$E$2:$E$1000,MATCH($C397,'🎓 Alumnas'!$B$2:$B$1000,0))="","",INDEX('🎓 Alumnas'!$E$2:$E$1000,MATCH($C397,'🎓 Alumnas'!$B$2:$B$1000,0))),""))</f>
        <v/>
      </c>
      <c r="G397" s="31" t="str">
        <f>IF($C397="","",IFERROR(IF(INDEX('🎓 Alumnas'!$F$2:$F$1000,MATCH($C397,'🎓 Alumnas'!$B$2:$B$1000,0))="","",INDEX('🎓 Alumnas'!$F$2:$F$1000,MATCH($C397,'🎓 Alumnas'!$B$2:$B$1000,0))),""))</f>
        <v/>
      </c>
      <c r="H397" s="29" t="str">
        <f t="shared" ca="1" si="18"/>
        <v/>
      </c>
      <c r="I397" s="26"/>
      <c r="J397" s="29" t="str">
        <f t="shared" si="19"/>
        <v/>
      </c>
      <c r="K397" s="26"/>
      <c r="L397" s="26"/>
      <c r="M397" s="35"/>
      <c r="N397" s="30" t="str">
        <f t="shared" si="20"/>
        <v/>
      </c>
      <c r="O397" s="36"/>
      <c r="P397" s="26"/>
      <c r="Q397" s="26"/>
      <c r="R397" s="29" t="str">
        <f>IF(C397="","",IF(COUNTIF($C$2:C397,C397)=1,"Nueva","Recurrente"))</f>
        <v/>
      </c>
      <c r="S397" s="29" t="str">
        <f>IF(OR(C397="",J397&lt;&gt;"Paquete"),"",COUNTIFS($C$2:C397,C397,$J$2:J397,"Paquete"))</f>
        <v/>
      </c>
      <c r="T397" s="26"/>
    </row>
    <row r="398" spans="1:20" x14ac:dyDescent="0.35">
      <c r="A398" s="26" t="s">
        <v>825</v>
      </c>
      <c r="B398" s="28"/>
      <c r="C398" s="26"/>
      <c r="D398" s="34" t="str">
        <f>IF($C398="","",IFERROR(IF(INDEX('🎓 Alumnas'!$C$2:$C$1000,MATCH($C398,'🎓 Alumnas'!$B$2:$B$1000,0))="","",INDEX('🎓 Alumnas'!$C$2:$C$1000,MATCH($C398,'🎓 Alumnas'!$B$2:$B$1000,0))),""))</f>
        <v/>
      </c>
      <c r="E398" s="29" t="str">
        <f>IF($C398="","",IFERROR(IF(INDEX('🎓 Alumnas'!$D$2:$D$1000,MATCH($C398,'🎓 Alumnas'!$B$2:$B$1000,0))="","",INDEX('🎓 Alumnas'!$D$2:$D$1000,MATCH($C398,'🎓 Alumnas'!$B$2:$B$1000,0))),""))</f>
        <v/>
      </c>
      <c r="F398" s="29" t="str">
        <f>IF($C398="","",IFERROR(IF(INDEX('🎓 Alumnas'!$E$2:$E$1000,MATCH($C398,'🎓 Alumnas'!$B$2:$B$1000,0))="","",INDEX('🎓 Alumnas'!$E$2:$E$1000,MATCH($C398,'🎓 Alumnas'!$B$2:$B$1000,0))),""))</f>
        <v/>
      </c>
      <c r="G398" s="31" t="str">
        <f>IF($C398="","",IFERROR(IF(INDEX('🎓 Alumnas'!$F$2:$F$1000,MATCH($C398,'🎓 Alumnas'!$B$2:$B$1000,0))="","",INDEX('🎓 Alumnas'!$F$2:$F$1000,MATCH($C398,'🎓 Alumnas'!$B$2:$B$1000,0))),""))</f>
        <v/>
      </c>
      <c r="H398" s="29" t="str">
        <f t="shared" ca="1" si="18"/>
        <v/>
      </c>
      <c r="I398" s="26"/>
      <c r="J398" s="29" t="str">
        <f t="shared" si="19"/>
        <v/>
      </c>
      <c r="K398" s="26"/>
      <c r="L398" s="26"/>
      <c r="M398" s="35"/>
      <c r="N398" s="30" t="str">
        <f t="shared" si="20"/>
        <v/>
      </c>
      <c r="O398" s="36"/>
      <c r="P398" s="26"/>
      <c r="Q398" s="26"/>
      <c r="R398" s="29" t="str">
        <f>IF(C398="","",IF(COUNTIF($C$2:C398,C398)=1,"Nueva","Recurrente"))</f>
        <v/>
      </c>
      <c r="S398" s="29" t="str">
        <f>IF(OR(C398="",J398&lt;&gt;"Paquete"),"",COUNTIFS($C$2:C398,C398,$J$2:J398,"Paquete"))</f>
        <v/>
      </c>
      <c r="T398" s="26"/>
    </row>
    <row r="399" spans="1:20" x14ac:dyDescent="0.35">
      <c r="A399" s="26" t="s">
        <v>826</v>
      </c>
      <c r="B399" s="28"/>
      <c r="C399" s="26"/>
      <c r="D399" s="34" t="str">
        <f>IF($C399="","",IFERROR(IF(INDEX('🎓 Alumnas'!$C$2:$C$1000,MATCH($C399,'🎓 Alumnas'!$B$2:$B$1000,0))="","",INDEX('🎓 Alumnas'!$C$2:$C$1000,MATCH($C399,'🎓 Alumnas'!$B$2:$B$1000,0))),""))</f>
        <v/>
      </c>
      <c r="E399" s="29" t="str">
        <f>IF($C399="","",IFERROR(IF(INDEX('🎓 Alumnas'!$D$2:$D$1000,MATCH($C399,'🎓 Alumnas'!$B$2:$B$1000,0))="","",INDEX('🎓 Alumnas'!$D$2:$D$1000,MATCH($C399,'🎓 Alumnas'!$B$2:$B$1000,0))),""))</f>
        <v/>
      </c>
      <c r="F399" s="29" t="str">
        <f>IF($C399="","",IFERROR(IF(INDEX('🎓 Alumnas'!$E$2:$E$1000,MATCH($C399,'🎓 Alumnas'!$B$2:$B$1000,0))="","",INDEX('🎓 Alumnas'!$E$2:$E$1000,MATCH($C399,'🎓 Alumnas'!$B$2:$B$1000,0))),""))</f>
        <v/>
      </c>
      <c r="G399" s="31" t="str">
        <f>IF($C399="","",IFERROR(IF(INDEX('🎓 Alumnas'!$F$2:$F$1000,MATCH($C399,'🎓 Alumnas'!$B$2:$B$1000,0))="","",INDEX('🎓 Alumnas'!$F$2:$F$1000,MATCH($C399,'🎓 Alumnas'!$B$2:$B$1000,0))),""))</f>
        <v/>
      </c>
      <c r="H399" s="29" t="str">
        <f t="shared" ca="1" si="18"/>
        <v/>
      </c>
      <c r="I399" s="26"/>
      <c r="J399" s="29" t="str">
        <f t="shared" si="19"/>
        <v/>
      </c>
      <c r="K399" s="26"/>
      <c r="L399" s="26"/>
      <c r="M399" s="35"/>
      <c r="N399" s="30" t="str">
        <f t="shared" si="20"/>
        <v/>
      </c>
      <c r="O399" s="36"/>
      <c r="P399" s="26"/>
      <c r="Q399" s="26"/>
      <c r="R399" s="29" t="str">
        <f>IF(C399="","",IF(COUNTIF($C$2:C399,C399)=1,"Nueva","Recurrente"))</f>
        <v/>
      </c>
      <c r="S399" s="29" t="str">
        <f>IF(OR(C399="",J399&lt;&gt;"Paquete"),"",COUNTIFS($C$2:C399,C399,$J$2:J399,"Paquete"))</f>
        <v/>
      </c>
      <c r="T399" s="26"/>
    </row>
    <row r="400" spans="1:20" x14ac:dyDescent="0.35">
      <c r="A400" s="26" t="s">
        <v>827</v>
      </c>
      <c r="B400" s="28"/>
      <c r="C400" s="26"/>
      <c r="D400" s="34" t="str">
        <f>IF($C400="","",IFERROR(IF(INDEX('🎓 Alumnas'!$C$2:$C$1000,MATCH($C400,'🎓 Alumnas'!$B$2:$B$1000,0))="","",INDEX('🎓 Alumnas'!$C$2:$C$1000,MATCH($C400,'🎓 Alumnas'!$B$2:$B$1000,0))),""))</f>
        <v/>
      </c>
      <c r="E400" s="29" t="str">
        <f>IF($C400="","",IFERROR(IF(INDEX('🎓 Alumnas'!$D$2:$D$1000,MATCH($C400,'🎓 Alumnas'!$B$2:$B$1000,0))="","",INDEX('🎓 Alumnas'!$D$2:$D$1000,MATCH($C400,'🎓 Alumnas'!$B$2:$B$1000,0))),""))</f>
        <v/>
      </c>
      <c r="F400" s="29" t="str">
        <f>IF($C400="","",IFERROR(IF(INDEX('🎓 Alumnas'!$E$2:$E$1000,MATCH($C400,'🎓 Alumnas'!$B$2:$B$1000,0))="","",INDEX('🎓 Alumnas'!$E$2:$E$1000,MATCH($C400,'🎓 Alumnas'!$B$2:$B$1000,0))),""))</f>
        <v/>
      </c>
      <c r="G400" s="31" t="str">
        <f>IF($C400="","",IFERROR(IF(INDEX('🎓 Alumnas'!$F$2:$F$1000,MATCH($C400,'🎓 Alumnas'!$B$2:$B$1000,0))="","",INDEX('🎓 Alumnas'!$F$2:$F$1000,MATCH($C400,'🎓 Alumnas'!$B$2:$B$1000,0))),""))</f>
        <v/>
      </c>
      <c r="H400" s="29" t="str">
        <f t="shared" ca="1" si="18"/>
        <v/>
      </c>
      <c r="I400" s="26"/>
      <c r="J400" s="29" t="str">
        <f t="shared" si="19"/>
        <v/>
      </c>
      <c r="K400" s="26"/>
      <c r="L400" s="26"/>
      <c r="M400" s="35"/>
      <c r="N400" s="30" t="str">
        <f t="shared" si="20"/>
        <v/>
      </c>
      <c r="O400" s="36"/>
      <c r="P400" s="26"/>
      <c r="Q400" s="26"/>
      <c r="R400" s="29" t="str">
        <f>IF(C400="","",IF(COUNTIF($C$2:C400,C400)=1,"Nueva","Recurrente"))</f>
        <v/>
      </c>
      <c r="S400" s="29" t="str">
        <f>IF(OR(C400="",J400&lt;&gt;"Paquete"),"",COUNTIFS($C$2:C400,C400,$J$2:J400,"Paquete"))</f>
        <v/>
      </c>
      <c r="T400" s="26"/>
    </row>
  </sheetData>
  <autoFilter ref="A1:T400" xr:uid="{00000000-0009-0000-0000-000003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xr:uid="{00000000-0002-0000-0300-000000000000}">
          <x14:formula1>
            <xm:f>'⚙️ Configuración'!$E$4:$E$8</xm:f>
          </x14:formula1>
          <x14:formula2>
            <xm:f>0</xm:f>
          </x14:formula2>
          <xm:sqref>P2:P400</xm:sqref>
        </x14:dataValidation>
        <x14:dataValidation type="list" allowBlank="1" xr:uid="{00000000-0002-0000-0300-000001000000}">
          <x14:formula1>
            <xm:f>'⚙️ Configuración'!$AA$4:$AA$9</xm:f>
          </x14:formula1>
          <x14:formula2>
            <xm:f>0</xm:f>
          </x14:formula2>
          <xm:sqref>I2:I400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showGridLines="0" zoomScaleNormal="100" workbookViewId="0">
      <selection activeCell="B25" sqref="B25"/>
    </sheetView>
  </sheetViews>
  <sheetFormatPr baseColWidth="10" defaultColWidth="8.6328125" defaultRowHeight="14.5" x14ac:dyDescent="0.35"/>
  <cols>
    <col min="1" max="1" width="42" customWidth="1"/>
    <col min="2" max="2" width="18" customWidth="1"/>
    <col min="3" max="3" width="3" customWidth="1"/>
    <col min="4" max="4" width="55" customWidth="1"/>
  </cols>
  <sheetData>
    <row r="1" spans="1:4" ht="17.25" customHeight="1" x14ac:dyDescent="0.4">
      <c r="A1" s="37" t="s">
        <v>828</v>
      </c>
    </row>
    <row r="2" spans="1:4" ht="15" customHeight="1" x14ac:dyDescent="0.35">
      <c r="A2" s="2" t="s">
        <v>829</v>
      </c>
      <c r="B2" s="2"/>
      <c r="C2" s="2"/>
      <c r="D2" s="2"/>
    </row>
    <row r="4" spans="1:4" ht="15" customHeight="1" x14ac:dyDescent="0.35">
      <c r="A4" s="1" t="s">
        <v>830</v>
      </c>
      <c r="B4" s="1"/>
    </row>
    <row r="5" spans="1:4" ht="15" customHeight="1" x14ac:dyDescent="0.35">
      <c r="A5" t="s">
        <v>831</v>
      </c>
      <c r="B5" s="39">
        <f>SUM('🤸 Ingresos Pole'!N2:N1000)</f>
        <v>7624000</v>
      </c>
      <c r="D5" s="38" t="s">
        <v>832</v>
      </c>
    </row>
    <row r="6" spans="1:4" ht="15" customHeight="1" x14ac:dyDescent="0.35">
      <c r="A6" t="s">
        <v>833</v>
      </c>
      <c r="B6" s="39">
        <f>SUM('🛒 Ventas'!I:I)</f>
        <v>0</v>
      </c>
      <c r="D6" s="38" t="s">
        <v>834</v>
      </c>
    </row>
    <row r="7" spans="1:4" ht="15" customHeight="1" x14ac:dyDescent="0.35">
      <c r="A7" s="40" t="s">
        <v>835</v>
      </c>
      <c r="B7" s="41">
        <f>B5+B6</f>
        <v>7624000</v>
      </c>
    </row>
    <row r="9" spans="1:4" ht="15" customHeight="1" x14ac:dyDescent="0.35">
      <c r="A9" t="s">
        <v>836</v>
      </c>
      <c r="B9" s="39">
        <f>SUMIF('💸 Gastos'!F:F,"Operativo",'💸 Gastos'!E:E)</f>
        <v>906000</v>
      </c>
      <c r="D9" s="38" t="s">
        <v>837</v>
      </c>
    </row>
    <row r="11" spans="1:4" ht="15" customHeight="1" x14ac:dyDescent="0.35">
      <c r="A11" s="42" t="s">
        <v>838</v>
      </c>
      <c r="B11" s="43">
        <f>B7-B9</f>
        <v>6718000</v>
      </c>
      <c r="D11" s="38" t="s">
        <v>839</v>
      </c>
    </row>
    <row r="13" spans="1:4" ht="15" customHeight="1" x14ac:dyDescent="0.35">
      <c r="A13" s="1" t="s">
        <v>840</v>
      </c>
      <c r="B13" s="1"/>
    </row>
    <row r="14" spans="1:4" ht="15" customHeight="1" x14ac:dyDescent="0.35">
      <c r="A14" t="s">
        <v>841</v>
      </c>
      <c r="B14" s="39">
        <f>SUMIF('🏢 Activos Fijos'!K:K,"Inversión Inicial",'🏢 Activos Fijos'!H:H)</f>
        <v>20857007</v>
      </c>
      <c r="D14" s="38" t="s">
        <v>842</v>
      </c>
    </row>
    <row r="15" spans="1:4" ht="15" customHeight="1" x14ac:dyDescent="0.35">
      <c r="A15" t="s">
        <v>843</v>
      </c>
      <c r="B15" s="39">
        <f>SUMIF(Marcancia!M:M,"Inversión Inicial",Marcancia!J:J)</f>
        <v>1393575</v>
      </c>
      <c r="D15" s="38" t="s">
        <v>844</v>
      </c>
    </row>
    <row r="16" spans="1:4" ht="15" customHeight="1" x14ac:dyDescent="0.35">
      <c r="A16" t="s">
        <v>845</v>
      </c>
      <c r="B16" s="39">
        <f>SUMIF('💸 Gastos'!F:F,"Preoperativo",'💸 Gastos'!E:E)</f>
        <v>11050280</v>
      </c>
      <c r="D16" s="38" t="s">
        <v>846</v>
      </c>
    </row>
    <row r="17" spans="1:4" ht="15" customHeight="1" x14ac:dyDescent="0.35">
      <c r="A17" t="s">
        <v>847</v>
      </c>
      <c r="B17" s="39">
        <f>SUMIF('💸 Gastos'!F:F,"Inversión Inicial",'💸 Gastos'!E:E)</f>
        <v>2300000</v>
      </c>
      <c r="D17" s="38" t="s">
        <v>848</v>
      </c>
    </row>
    <row r="18" spans="1:4" ht="15" customHeight="1" x14ac:dyDescent="0.35">
      <c r="A18" s="40" t="s">
        <v>849</v>
      </c>
      <c r="B18" s="41">
        <f>B14+B15+B16+B17</f>
        <v>35600862</v>
      </c>
      <c r="D18" s="38" t="s">
        <v>850</v>
      </c>
    </row>
    <row r="19" spans="1:4" ht="15" customHeight="1" x14ac:dyDescent="0.35"/>
    <row r="20" spans="1:4" ht="15" customHeight="1" x14ac:dyDescent="0.35">
      <c r="A20" s="1" t="s">
        <v>851</v>
      </c>
      <c r="B20" s="1"/>
    </row>
    <row r="21" spans="1:4" ht="15" customHeight="1" x14ac:dyDescent="0.35">
      <c r="A21" t="s">
        <v>852</v>
      </c>
      <c r="B21" s="39">
        <f>B11</f>
        <v>6718000</v>
      </c>
    </row>
    <row r="22" spans="1:4" ht="15" customHeight="1" x14ac:dyDescent="0.35">
      <c r="A22" t="s">
        <v>853</v>
      </c>
      <c r="B22" s="39">
        <f>-B18</f>
        <v>-35600862</v>
      </c>
    </row>
    <row r="23" spans="1:4" ht="15" customHeight="1" x14ac:dyDescent="0.35">
      <c r="A23" s="42" t="s">
        <v>854</v>
      </c>
      <c r="B23" s="43">
        <f>B21+B22</f>
        <v>-28882862</v>
      </c>
      <c r="D23" s="38" t="s">
        <v>855</v>
      </c>
    </row>
  </sheetData>
  <mergeCells count="4">
    <mergeCell ref="A2:D2"/>
    <mergeCell ref="A4:B4"/>
    <mergeCell ref="A13:B13"/>
    <mergeCell ref="A20:B2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1"/>
  <sheetViews>
    <sheetView tabSelected="1" zoomScaleNormal="100" workbookViewId="0">
      <pane ySplit="1" topLeftCell="A56" activePane="bottomLeft" state="frozen"/>
      <selection pane="bottomLeft" activeCell="C60" sqref="C60"/>
    </sheetView>
  </sheetViews>
  <sheetFormatPr baseColWidth="10" defaultColWidth="8.6328125" defaultRowHeight="14.5" x14ac:dyDescent="0.35"/>
  <cols>
    <col min="1" max="1" width="12" customWidth="1"/>
    <col min="2" max="2" width="13" style="44" customWidth="1"/>
    <col min="3" max="3" width="32.08984375" customWidth="1"/>
    <col min="4" max="4" width="35.7265625" customWidth="1"/>
    <col min="5" max="5" width="15" customWidth="1"/>
    <col min="6" max="6" width="26.08984375" customWidth="1"/>
    <col min="7" max="8" width="16" customWidth="1"/>
    <col min="9" max="9" width="31.6328125" customWidth="1"/>
  </cols>
  <sheetData>
    <row r="1" spans="1:9" ht="27.75" customHeight="1" x14ac:dyDescent="0.35">
      <c r="A1" s="13" t="s">
        <v>856</v>
      </c>
      <c r="B1" s="45" t="s">
        <v>409</v>
      </c>
      <c r="C1" s="13" t="s">
        <v>40</v>
      </c>
      <c r="D1" s="13" t="s">
        <v>857</v>
      </c>
      <c r="E1" s="13" t="s">
        <v>858</v>
      </c>
      <c r="F1" s="46" t="s">
        <v>859</v>
      </c>
      <c r="G1" s="13" t="s">
        <v>418</v>
      </c>
      <c r="H1" s="46" t="s">
        <v>417</v>
      </c>
      <c r="I1" s="13" t="s">
        <v>421</v>
      </c>
    </row>
    <row r="2" spans="1:9" ht="19.5" customHeight="1" x14ac:dyDescent="0.35">
      <c r="A2" s="47" t="s">
        <v>860</v>
      </c>
      <c r="B2" s="48">
        <v>46260</v>
      </c>
      <c r="C2" s="47" t="s">
        <v>50</v>
      </c>
      <c r="D2" s="14" t="s">
        <v>861</v>
      </c>
      <c r="E2" s="16">
        <v>5000000</v>
      </c>
      <c r="F2" s="49" t="s">
        <v>862</v>
      </c>
      <c r="G2" s="14" t="s">
        <v>424</v>
      </c>
      <c r="H2" s="50" t="s">
        <v>30</v>
      </c>
      <c r="I2" s="14" t="s">
        <v>863</v>
      </c>
    </row>
    <row r="3" spans="1:9" ht="19.5" customHeight="1" x14ac:dyDescent="0.35">
      <c r="A3" s="47" t="s">
        <v>864</v>
      </c>
      <c r="B3" s="48">
        <v>46259</v>
      </c>
      <c r="C3" s="47" t="s">
        <v>51</v>
      </c>
      <c r="D3" s="14" t="s">
        <v>865</v>
      </c>
      <c r="E3" s="16">
        <v>195000</v>
      </c>
      <c r="F3" s="49" t="s">
        <v>862</v>
      </c>
      <c r="G3" s="14" t="s">
        <v>424</v>
      </c>
      <c r="H3" s="50" t="s">
        <v>30</v>
      </c>
      <c r="I3" s="14"/>
    </row>
    <row r="4" spans="1:9" ht="19.5" customHeight="1" x14ac:dyDescent="0.35">
      <c r="A4" s="47" t="s">
        <v>866</v>
      </c>
      <c r="B4" s="48">
        <v>46248</v>
      </c>
      <c r="C4" s="47" t="s">
        <v>47</v>
      </c>
      <c r="D4" s="14" t="s">
        <v>867</v>
      </c>
      <c r="E4" s="16">
        <v>6543</v>
      </c>
      <c r="F4" s="49" t="s">
        <v>862</v>
      </c>
      <c r="G4" s="14" t="s">
        <v>424</v>
      </c>
      <c r="H4" s="50" t="s">
        <v>30</v>
      </c>
      <c r="I4" s="14"/>
    </row>
    <row r="5" spans="1:9" ht="19.5" customHeight="1" x14ac:dyDescent="0.35">
      <c r="A5" s="47" t="s">
        <v>868</v>
      </c>
      <c r="B5" s="48">
        <v>46248</v>
      </c>
      <c r="C5" s="47" t="s">
        <v>47</v>
      </c>
      <c r="D5" s="14" t="s">
        <v>869</v>
      </c>
      <c r="E5" s="16">
        <v>10362</v>
      </c>
      <c r="F5" s="49" t="s">
        <v>862</v>
      </c>
      <c r="G5" s="14" t="s">
        <v>424</v>
      </c>
      <c r="H5" s="50" t="s">
        <v>30</v>
      </c>
      <c r="I5" s="14"/>
    </row>
    <row r="6" spans="1:9" ht="19.5" customHeight="1" x14ac:dyDescent="0.35">
      <c r="A6" s="47" t="s">
        <v>870</v>
      </c>
      <c r="B6" s="48">
        <v>46248</v>
      </c>
      <c r="C6" s="47" t="s">
        <v>47</v>
      </c>
      <c r="D6" s="51" t="s">
        <v>871</v>
      </c>
      <c r="E6" s="16">
        <v>24090</v>
      </c>
      <c r="F6" s="49" t="s">
        <v>862</v>
      </c>
      <c r="G6" s="14" t="s">
        <v>424</v>
      </c>
      <c r="H6" s="50" t="s">
        <v>30</v>
      </c>
      <c r="I6" s="14" t="s">
        <v>872</v>
      </c>
    </row>
    <row r="7" spans="1:9" ht="19.5" customHeight="1" x14ac:dyDescent="0.35">
      <c r="A7" s="47" t="s">
        <v>873</v>
      </c>
      <c r="B7" s="48">
        <v>46216</v>
      </c>
      <c r="C7" s="47" t="s">
        <v>874</v>
      </c>
      <c r="D7" s="14" t="s">
        <v>875</v>
      </c>
      <c r="E7" s="16">
        <v>2164</v>
      </c>
      <c r="F7" s="49" t="s">
        <v>862</v>
      </c>
      <c r="G7" s="14" t="s">
        <v>424</v>
      </c>
      <c r="H7" s="50" t="s">
        <v>30</v>
      </c>
      <c r="I7" s="14"/>
    </row>
    <row r="8" spans="1:9" ht="19.5" customHeight="1" x14ac:dyDescent="0.35">
      <c r="A8" s="47" t="s">
        <v>876</v>
      </c>
      <c r="B8" s="48">
        <v>46216</v>
      </c>
      <c r="C8" s="47" t="s">
        <v>874</v>
      </c>
      <c r="D8" s="14" t="s">
        <v>877</v>
      </c>
      <c r="E8" s="16">
        <v>5339</v>
      </c>
      <c r="F8" s="49" t="s">
        <v>862</v>
      </c>
      <c r="G8" s="14" t="s">
        <v>424</v>
      </c>
      <c r="H8" s="50" t="s">
        <v>30</v>
      </c>
      <c r="I8" s="14"/>
    </row>
    <row r="9" spans="1:9" ht="19.5" customHeight="1" x14ac:dyDescent="0.35">
      <c r="A9" s="47" t="s">
        <v>878</v>
      </c>
      <c r="B9" s="48">
        <v>46248</v>
      </c>
      <c r="C9" s="47" t="s">
        <v>47</v>
      </c>
      <c r="D9" s="14" t="s">
        <v>879</v>
      </c>
      <c r="E9" s="16">
        <v>14031</v>
      </c>
      <c r="F9" s="49" t="s">
        <v>862</v>
      </c>
      <c r="G9" s="14" t="s">
        <v>424</v>
      </c>
      <c r="H9" s="50" t="s">
        <v>30</v>
      </c>
      <c r="I9" s="14"/>
    </row>
    <row r="10" spans="1:9" ht="19.5" customHeight="1" x14ac:dyDescent="0.35">
      <c r="A10" s="47" t="s">
        <v>880</v>
      </c>
      <c r="B10" s="48">
        <v>46248</v>
      </c>
      <c r="C10" s="47" t="s">
        <v>47</v>
      </c>
      <c r="D10" s="14" t="s">
        <v>881</v>
      </c>
      <c r="E10" s="16">
        <v>11352</v>
      </c>
      <c r="F10" s="49" t="s">
        <v>862</v>
      </c>
      <c r="G10" s="14" t="s">
        <v>424</v>
      </c>
      <c r="H10" s="50" t="s">
        <v>30</v>
      </c>
      <c r="I10" s="14"/>
    </row>
    <row r="11" spans="1:9" ht="19.5" customHeight="1" x14ac:dyDescent="0.35">
      <c r="A11" s="47" t="s">
        <v>882</v>
      </c>
      <c r="B11" s="48">
        <v>46248</v>
      </c>
      <c r="C11" s="47" t="s">
        <v>874</v>
      </c>
      <c r="D11" s="14" t="s">
        <v>883</v>
      </c>
      <c r="E11" s="16">
        <v>6683</v>
      </c>
      <c r="F11" s="49" t="s">
        <v>862</v>
      </c>
      <c r="G11" s="14" t="s">
        <v>424</v>
      </c>
      <c r="H11" s="50" t="s">
        <v>30</v>
      </c>
      <c r="I11" s="14"/>
    </row>
    <row r="12" spans="1:9" ht="19.5" customHeight="1" x14ac:dyDescent="0.35">
      <c r="A12" s="47" t="s">
        <v>884</v>
      </c>
      <c r="B12" s="48">
        <v>46248</v>
      </c>
      <c r="C12" s="47" t="s">
        <v>885</v>
      </c>
      <c r="D12" s="14" t="s">
        <v>886</v>
      </c>
      <c r="E12" s="16">
        <v>3701</v>
      </c>
      <c r="F12" s="49" t="s">
        <v>862</v>
      </c>
      <c r="G12" s="14" t="s">
        <v>424</v>
      </c>
      <c r="H12" s="50" t="s">
        <v>30</v>
      </c>
      <c r="I12" s="14"/>
    </row>
    <row r="13" spans="1:9" ht="19.5" customHeight="1" x14ac:dyDescent="0.35">
      <c r="A13" s="47" t="s">
        <v>887</v>
      </c>
      <c r="B13" s="48">
        <v>46248</v>
      </c>
      <c r="C13" s="47" t="s">
        <v>874</v>
      </c>
      <c r="D13" s="14" t="s">
        <v>888</v>
      </c>
      <c r="E13" s="16">
        <v>17691</v>
      </c>
      <c r="F13" s="49" t="s">
        <v>862</v>
      </c>
      <c r="G13" s="14" t="s">
        <v>424</v>
      </c>
      <c r="H13" s="50" t="s">
        <v>30</v>
      </c>
      <c r="I13" s="14"/>
    </row>
    <row r="14" spans="1:9" ht="19.5" customHeight="1" x14ac:dyDescent="0.35">
      <c r="A14" s="47" t="s">
        <v>889</v>
      </c>
      <c r="B14" s="48">
        <v>46248</v>
      </c>
      <c r="C14" s="47" t="s">
        <v>874</v>
      </c>
      <c r="D14" s="14" t="s">
        <v>890</v>
      </c>
      <c r="E14" s="16">
        <v>2719</v>
      </c>
      <c r="F14" s="49" t="s">
        <v>862</v>
      </c>
      <c r="G14" s="14" t="s">
        <v>424</v>
      </c>
      <c r="H14" s="50" t="s">
        <v>30</v>
      </c>
      <c r="I14" s="14"/>
    </row>
    <row r="15" spans="1:9" ht="19.5" customHeight="1" x14ac:dyDescent="0.35">
      <c r="A15" s="47" t="s">
        <v>891</v>
      </c>
      <c r="B15" s="48">
        <v>46248</v>
      </c>
      <c r="C15" s="47" t="s">
        <v>874</v>
      </c>
      <c r="D15" s="14" t="s">
        <v>892</v>
      </c>
      <c r="E15" s="16">
        <v>8984</v>
      </c>
      <c r="F15" s="49" t="s">
        <v>862</v>
      </c>
      <c r="G15" s="14" t="s">
        <v>424</v>
      </c>
      <c r="H15" s="50" t="s">
        <v>30</v>
      </c>
      <c r="I15" s="14"/>
    </row>
    <row r="16" spans="1:9" ht="19.5" customHeight="1" x14ac:dyDescent="0.35">
      <c r="A16" s="47" t="s">
        <v>893</v>
      </c>
      <c r="B16" s="48">
        <v>46248</v>
      </c>
      <c r="C16" s="47" t="s">
        <v>874</v>
      </c>
      <c r="D16" s="14" t="s">
        <v>894</v>
      </c>
      <c r="E16" s="16">
        <v>13776</v>
      </c>
      <c r="F16" s="49" t="s">
        <v>862</v>
      </c>
      <c r="G16" s="14" t="s">
        <v>424</v>
      </c>
      <c r="H16" s="50" t="s">
        <v>30</v>
      </c>
      <c r="I16" s="14"/>
    </row>
    <row r="17" spans="1:9" ht="19.5" customHeight="1" x14ac:dyDescent="0.35">
      <c r="A17" s="47" t="s">
        <v>895</v>
      </c>
      <c r="B17" s="48">
        <v>46248</v>
      </c>
      <c r="C17" s="47" t="s">
        <v>874</v>
      </c>
      <c r="D17" s="51" t="s">
        <v>896</v>
      </c>
      <c r="E17" s="16">
        <v>3508</v>
      </c>
      <c r="F17" s="49" t="s">
        <v>862</v>
      </c>
      <c r="G17" s="14" t="s">
        <v>424</v>
      </c>
      <c r="H17" s="50" t="s">
        <v>30</v>
      </c>
      <c r="I17" s="14"/>
    </row>
    <row r="18" spans="1:9" ht="19.5" customHeight="1" x14ac:dyDescent="0.35">
      <c r="A18" s="47" t="s">
        <v>897</v>
      </c>
      <c r="B18" s="48">
        <v>46259</v>
      </c>
      <c r="C18" s="47" t="s">
        <v>45</v>
      </c>
      <c r="D18" s="51" t="s">
        <v>898</v>
      </c>
      <c r="E18" s="16">
        <v>42443</v>
      </c>
      <c r="F18" s="49" t="s">
        <v>862</v>
      </c>
      <c r="G18" s="14" t="s">
        <v>424</v>
      </c>
      <c r="H18" s="50" t="s">
        <v>30</v>
      </c>
      <c r="I18" s="14"/>
    </row>
    <row r="19" spans="1:9" ht="19.5" customHeight="1" x14ac:dyDescent="0.35">
      <c r="A19" s="47" t="s">
        <v>899</v>
      </c>
      <c r="B19" s="48">
        <v>46259</v>
      </c>
      <c r="C19" s="47" t="s">
        <v>885</v>
      </c>
      <c r="D19" s="51" t="s">
        <v>900</v>
      </c>
      <c r="E19" s="16">
        <v>1357</v>
      </c>
      <c r="F19" s="49" t="s">
        <v>862</v>
      </c>
      <c r="G19" s="14" t="s">
        <v>424</v>
      </c>
      <c r="H19" s="50" t="s">
        <v>30</v>
      </c>
      <c r="I19" s="14"/>
    </row>
    <row r="20" spans="1:9" ht="19.5" customHeight="1" x14ac:dyDescent="0.35">
      <c r="A20" s="47" t="s">
        <v>901</v>
      </c>
      <c r="B20" s="48">
        <v>46259</v>
      </c>
      <c r="C20" s="47" t="s">
        <v>885</v>
      </c>
      <c r="D20" s="51" t="s">
        <v>902</v>
      </c>
      <c r="E20" s="16">
        <v>3774</v>
      </c>
      <c r="F20" s="49" t="s">
        <v>862</v>
      </c>
      <c r="G20" s="14" t="s">
        <v>424</v>
      </c>
      <c r="H20" s="50" t="s">
        <v>30</v>
      </c>
      <c r="I20" s="14"/>
    </row>
    <row r="21" spans="1:9" ht="19.5" customHeight="1" x14ac:dyDescent="0.35">
      <c r="A21" s="47" t="s">
        <v>903</v>
      </c>
      <c r="B21" s="48">
        <v>46259</v>
      </c>
      <c r="C21" s="47" t="s">
        <v>885</v>
      </c>
      <c r="D21" s="51" t="s">
        <v>904</v>
      </c>
      <c r="E21" s="16">
        <v>12778</v>
      </c>
      <c r="F21" s="49" t="s">
        <v>862</v>
      </c>
      <c r="G21" s="14" t="s">
        <v>424</v>
      </c>
      <c r="H21" s="50" t="s">
        <v>30</v>
      </c>
      <c r="I21" s="14"/>
    </row>
    <row r="22" spans="1:9" ht="19.5" customHeight="1" x14ac:dyDescent="0.35">
      <c r="A22" s="47" t="s">
        <v>905</v>
      </c>
      <c r="B22" s="48">
        <v>46268</v>
      </c>
      <c r="C22" s="47" t="s">
        <v>885</v>
      </c>
      <c r="D22" s="51" t="s">
        <v>906</v>
      </c>
      <c r="E22" s="16">
        <v>5138</v>
      </c>
      <c r="F22" s="49" t="s">
        <v>862</v>
      </c>
      <c r="G22" s="14" t="s">
        <v>424</v>
      </c>
      <c r="H22" s="50" t="s">
        <v>30</v>
      </c>
      <c r="I22" s="14"/>
    </row>
    <row r="23" spans="1:9" ht="19.5" customHeight="1" x14ac:dyDescent="0.35">
      <c r="A23" s="47" t="s">
        <v>907</v>
      </c>
      <c r="B23" s="48">
        <v>46277</v>
      </c>
      <c r="C23" s="47" t="s">
        <v>47</v>
      </c>
      <c r="D23" s="14" t="s">
        <v>908</v>
      </c>
      <c r="E23" s="16">
        <v>43456</v>
      </c>
      <c r="F23" s="49" t="s">
        <v>862</v>
      </c>
      <c r="G23" s="14" t="s">
        <v>424</v>
      </c>
      <c r="H23" s="50" t="s">
        <v>30</v>
      </c>
      <c r="I23" s="14"/>
    </row>
    <row r="24" spans="1:9" ht="19.5" customHeight="1" x14ac:dyDescent="0.35">
      <c r="A24" s="47" t="s">
        <v>909</v>
      </c>
      <c r="B24" s="48">
        <v>46277</v>
      </c>
      <c r="C24" s="47" t="s">
        <v>47</v>
      </c>
      <c r="D24" s="14" t="s">
        <v>910</v>
      </c>
      <c r="E24" s="16">
        <v>44345</v>
      </c>
      <c r="F24" s="49" t="s">
        <v>862</v>
      </c>
      <c r="G24" s="14" t="s">
        <v>424</v>
      </c>
      <c r="H24" s="50" t="s">
        <v>30</v>
      </c>
      <c r="I24" s="14"/>
    </row>
    <row r="25" spans="1:9" ht="19.5" customHeight="1" x14ac:dyDescent="0.35">
      <c r="A25" s="47" t="s">
        <v>911</v>
      </c>
      <c r="B25" s="48">
        <v>46209</v>
      </c>
      <c r="C25" s="47" t="s">
        <v>912</v>
      </c>
      <c r="D25" s="14" t="s">
        <v>913</v>
      </c>
      <c r="E25" s="16">
        <v>40936</v>
      </c>
      <c r="F25" s="49" t="s">
        <v>862</v>
      </c>
      <c r="G25" s="14" t="s">
        <v>424</v>
      </c>
      <c r="H25" s="50" t="s">
        <v>30</v>
      </c>
      <c r="I25" s="14"/>
    </row>
    <row r="26" spans="1:9" ht="19.5" customHeight="1" x14ac:dyDescent="0.35">
      <c r="A26" s="47" t="s">
        <v>914</v>
      </c>
      <c r="B26" s="48">
        <v>46240</v>
      </c>
      <c r="C26" s="47" t="s">
        <v>50</v>
      </c>
      <c r="D26" s="14" t="s">
        <v>915</v>
      </c>
      <c r="E26" s="16">
        <v>1364500</v>
      </c>
      <c r="F26" s="49" t="s">
        <v>862</v>
      </c>
      <c r="G26" s="14" t="s">
        <v>424</v>
      </c>
      <c r="H26" s="50" t="s">
        <v>30</v>
      </c>
      <c r="I26" s="14"/>
    </row>
    <row r="27" spans="1:9" ht="19.5" customHeight="1" x14ac:dyDescent="0.35">
      <c r="A27" s="47" t="s">
        <v>916</v>
      </c>
      <c r="B27" s="48">
        <v>46246</v>
      </c>
      <c r="C27" s="47" t="s">
        <v>45</v>
      </c>
      <c r="D27" s="14" t="s">
        <v>917</v>
      </c>
      <c r="E27" s="16">
        <v>95160</v>
      </c>
      <c r="F27" s="49" t="s">
        <v>862</v>
      </c>
      <c r="G27" s="14" t="s">
        <v>424</v>
      </c>
      <c r="H27" s="50" t="s">
        <v>30</v>
      </c>
      <c r="I27" s="14"/>
    </row>
    <row r="28" spans="1:9" ht="19.5" customHeight="1" x14ac:dyDescent="0.35">
      <c r="A28" s="47" t="s">
        <v>918</v>
      </c>
      <c r="B28" s="48">
        <v>46255</v>
      </c>
      <c r="C28" s="47" t="s">
        <v>885</v>
      </c>
      <c r="D28" s="14" t="s">
        <v>919</v>
      </c>
      <c r="E28" s="16">
        <v>55000</v>
      </c>
      <c r="F28" s="49" t="s">
        <v>862</v>
      </c>
      <c r="G28" s="14" t="s">
        <v>424</v>
      </c>
      <c r="H28" s="50" t="s">
        <v>30</v>
      </c>
      <c r="I28" s="14"/>
    </row>
    <row r="29" spans="1:9" ht="19.5" customHeight="1" x14ac:dyDescent="0.35">
      <c r="A29" s="47" t="s">
        <v>920</v>
      </c>
      <c r="B29" s="48">
        <v>46255</v>
      </c>
      <c r="C29" s="47" t="s">
        <v>885</v>
      </c>
      <c r="D29" s="14" t="s">
        <v>921</v>
      </c>
      <c r="E29" s="16">
        <v>52000</v>
      </c>
      <c r="F29" s="49" t="s">
        <v>862</v>
      </c>
      <c r="G29" s="14" t="s">
        <v>424</v>
      </c>
      <c r="H29" s="50" t="s">
        <v>30</v>
      </c>
      <c r="I29" s="14"/>
    </row>
    <row r="30" spans="1:9" ht="19.5" customHeight="1" x14ac:dyDescent="0.35">
      <c r="A30" s="47" t="s">
        <v>922</v>
      </c>
      <c r="B30" s="48">
        <v>46256</v>
      </c>
      <c r="C30" s="47" t="s">
        <v>45</v>
      </c>
      <c r="D30" s="14" t="s">
        <v>923</v>
      </c>
      <c r="E30" s="16">
        <v>3400</v>
      </c>
      <c r="F30" s="49" t="s">
        <v>862</v>
      </c>
      <c r="G30" s="14" t="s">
        <v>424</v>
      </c>
      <c r="H30" s="50" t="s">
        <v>30</v>
      </c>
      <c r="I30" s="14"/>
    </row>
    <row r="31" spans="1:9" ht="19.5" customHeight="1" x14ac:dyDescent="0.35">
      <c r="A31" s="47" t="s">
        <v>924</v>
      </c>
      <c r="B31" s="48">
        <v>46256</v>
      </c>
      <c r="C31" s="47" t="s">
        <v>885</v>
      </c>
      <c r="D31" s="14" t="s">
        <v>925</v>
      </c>
      <c r="E31" s="16">
        <v>61500</v>
      </c>
      <c r="F31" s="49" t="s">
        <v>862</v>
      </c>
      <c r="G31" s="14" t="s">
        <v>424</v>
      </c>
      <c r="H31" s="50" t="s">
        <v>30</v>
      </c>
      <c r="I31" s="14"/>
    </row>
    <row r="32" spans="1:9" ht="19.5" customHeight="1" x14ac:dyDescent="0.35">
      <c r="A32" s="47" t="s">
        <v>926</v>
      </c>
      <c r="B32" s="48">
        <v>46256</v>
      </c>
      <c r="C32" s="47" t="s">
        <v>885</v>
      </c>
      <c r="D32" s="14" t="s">
        <v>927</v>
      </c>
      <c r="E32" s="16">
        <v>71000</v>
      </c>
      <c r="F32" s="49" t="s">
        <v>862</v>
      </c>
      <c r="G32" s="14" t="s">
        <v>424</v>
      </c>
      <c r="H32" s="50" t="s">
        <v>30</v>
      </c>
      <c r="I32" s="14"/>
    </row>
    <row r="33" spans="1:9" ht="19.5" customHeight="1" x14ac:dyDescent="0.35">
      <c r="A33" s="47" t="s">
        <v>928</v>
      </c>
      <c r="B33" s="48">
        <v>46256</v>
      </c>
      <c r="C33" s="47" t="s">
        <v>885</v>
      </c>
      <c r="D33" s="14" t="s">
        <v>929</v>
      </c>
      <c r="E33" s="16">
        <v>257000</v>
      </c>
      <c r="F33" s="49" t="s">
        <v>862</v>
      </c>
      <c r="G33" s="14" t="s">
        <v>424</v>
      </c>
      <c r="H33" s="50" t="s">
        <v>30</v>
      </c>
      <c r="I33" s="14"/>
    </row>
    <row r="34" spans="1:9" ht="19.5" customHeight="1" x14ac:dyDescent="0.35">
      <c r="A34" s="47" t="s">
        <v>930</v>
      </c>
      <c r="B34" s="48">
        <v>46256</v>
      </c>
      <c r="C34" s="47" t="s">
        <v>885</v>
      </c>
      <c r="D34" s="14" t="s">
        <v>931</v>
      </c>
      <c r="E34" s="16">
        <v>20000</v>
      </c>
      <c r="F34" s="49" t="s">
        <v>862</v>
      </c>
      <c r="G34" s="14" t="s">
        <v>424</v>
      </c>
      <c r="H34" s="50" t="s">
        <v>30</v>
      </c>
      <c r="I34" s="14"/>
    </row>
    <row r="35" spans="1:9" ht="19.5" customHeight="1" x14ac:dyDescent="0.35">
      <c r="A35" s="47" t="s">
        <v>932</v>
      </c>
      <c r="B35" s="48">
        <v>46256</v>
      </c>
      <c r="C35" s="47" t="s">
        <v>885</v>
      </c>
      <c r="D35" s="14" t="s">
        <v>933</v>
      </c>
      <c r="E35" s="16">
        <v>56000</v>
      </c>
      <c r="F35" s="49" t="s">
        <v>862</v>
      </c>
      <c r="G35" s="14" t="s">
        <v>424</v>
      </c>
      <c r="H35" s="50" t="s">
        <v>30</v>
      </c>
      <c r="I35" s="14"/>
    </row>
    <row r="36" spans="1:9" ht="19.5" customHeight="1" x14ac:dyDescent="0.35">
      <c r="A36" s="47" t="s">
        <v>934</v>
      </c>
      <c r="B36" s="48">
        <v>46258</v>
      </c>
      <c r="C36" s="47" t="s">
        <v>885</v>
      </c>
      <c r="D36" s="14" t="s">
        <v>927</v>
      </c>
      <c r="E36" s="16">
        <v>28000</v>
      </c>
      <c r="F36" s="49" t="s">
        <v>862</v>
      </c>
      <c r="G36" s="14" t="s">
        <v>424</v>
      </c>
      <c r="H36" s="50" t="s">
        <v>30</v>
      </c>
      <c r="I36" s="14"/>
    </row>
    <row r="37" spans="1:9" ht="19.5" customHeight="1" x14ac:dyDescent="0.35">
      <c r="A37" s="47" t="s">
        <v>935</v>
      </c>
      <c r="B37" s="48">
        <v>46258</v>
      </c>
      <c r="C37" s="47" t="s">
        <v>874</v>
      </c>
      <c r="D37" s="14" t="s">
        <v>936</v>
      </c>
      <c r="E37" s="16">
        <v>50000</v>
      </c>
      <c r="F37" s="49" t="s">
        <v>862</v>
      </c>
      <c r="G37" s="14" t="s">
        <v>424</v>
      </c>
      <c r="H37" s="50" t="s">
        <v>30</v>
      </c>
      <c r="I37" s="14"/>
    </row>
    <row r="38" spans="1:9" ht="19.5" customHeight="1" x14ac:dyDescent="0.35">
      <c r="A38" s="47" t="s">
        <v>937</v>
      </c>
      <c r="B38" s="48">
        <v>46258</v>
      </c>
      <c r="C38" s="47" t="s">
        <v>45</v>
      </c>
      <c r="D38" s="14" t="s">
        <v>938</v>
      </c>
      <c r="E38" s="16">
        <v>150000</v>
      </c>
      <c r="F38" s="49" t="s">
        <v>862</v>
      </c>
      <c r="G38" s="14" t="s">
        <v>424</v>
      </c>
      <c r="H38" s="50" t="s">
        <v>30</v>
      </c>
      <c r="I38" s="14"/>
    </row>
    <row r="39" spans="1:9" ht="19.5" customHeight="1" x14ac:dyDescent="0.35">
      <c r="A39" s="47" t="s">
        <v>939</v>
      </c>
      <c r="B39" s="48">
        <v>46259</v>
      </c>
      <c r="C39" s="47" t="s">
        <v>940</v>
      </c>
      <c r="D39" s="14" t="s">
        <v>941</v>
      </c>
      <c r="E39" s="16">
        <v>130900</v>
      </c>
      <c r="F39" s="49" t="s">
        <v>862</v>
      </c>
      <c r="G39" s="14" t="s">
        <v>424</v>
      </c>
      <c r="H39" s="50" t="s">
        <v>30</v>
      </c>
      <c r="I39" s="14"/>
    </row>
    <row r="40" spans="1:9" ht="19.5" customHeight="1" x14ac:dyDescent="0.35">
      <c r="A40" s="47" t="s">
        <v>942</v>
      </c>
      <c r="B40" s="48">
        <v>46259</v>
      </c>
      <c r="C40" s="47" t="s">
        <v>885</v>
      </c>
      <c r="D40" s="14" t="s">
        <v>929</v>
      </c>
      <c r="E40" s="16">
        <v>43500</v>
      </c>
      <c r="F40" s="49" t="s">
        <v>862</v>
      </c>
      <c r="G40" s="14" t="s">
        <v>424</v>
      </c>
      <c r="H40" s="50" t="s">
        <v>30</v>
      </c>
      <c r="I40" s="14"/>
    </row>
    <row r="41" spans="1:9" ht="19.5" customHeight="1" x14ac:dyDescent="0.35">
      <c r="A41" s="47" t="s">
        <v>943</v>
      </c>
      <c r="B41" s="48">
        <v>46259</v>
      </c>
      <c r="C41" s="47" t="s">
        <v>885</v>
      </c>
      <c r="D41" s="14" t="s">
        <v>929</v>
      </c>
      <c r="E41" s="16">
        <v>1200</v>
      </c>
      <c r="F41" s="49" t="s">
        <v>862</v>
      </c>
      <c r="G41" s="14" t="s">
        <v>424</v>
      </c>
      <c r="H41" s="50" t="s">
        <v>30</v>
      </c>
      <c r="I41" s="14"/>
    </row>
    <row r="42" spans="1:9" ht="19.5" customHeight="1" x14ac:dyDescent="0.35">
      <c r="A42" s="47" t="s">
        <v>944</v>
      </c>
      <c r="B42" s="48">
        <v>46259</v>
      </c>
      <c r="C42" s="47" t="s">
        <v>885</v>
      </c>
      <c r="D42" s="14" t="s">
        <v>929</v>
      </c>
      <c r="E42" s="16">
        <v>7000</v>
      </c>
      <c r="F42" s="49" t="s">
        <v>862</v>
      </c>
      <c r="G42" s="14" t="s">
        <v>424</v>
      </c>
      <c r="H42" s="50" t="s">
        <v>30</v>
      </c>
      <c r="I42" s="14"/>
    </row>
    <row r="43" spans="1:9" ht="19.5" customHeight="1" x14ac:dyDescent="0.35">
      <c r="A43" s="47" t="s">
        <v>945</v>
      </c>
      <c r="B43" s="48">
        <v>46262</v>
      </c>
      <c r="C43" s="47" t="s">
        <v>912</v>
      </c>
      <c r="D43" s="14" t="s">
        <v>946</v>
      </c>
      <c r="E43" s="16">
        <v>11000</v>
      </c>
      <c r="F43" s="49" t="s">
        <v>862</v>
      </c>
      <c r="G43" s="14" t="s">
        <v>424</v>
      </c>
      <c r="H43" s="50" t="s">
        <v>30</v>
      </c>
      <c r="I43" s="14"/>
    </row>
    <row r="44" spans="1:9" ht="19.5" customHeight="1" x14ac:dyDescent="0.35">
      <c r="A44" s="47" t="s">
        <v>947</v>
      </c>
      <c r="B44" s="48">
        <v>46262</v>
      </c>
      <c r="C44" s="47" t="s">
        <v>45</v>
      </c>
      <c r="D44" s="14" t="s">
        <v>948</v>
      </c>
      <c r="E44" s="16">
        <v>18500</v>
      </c>
      <c r="F44" s="49" t="s">
        <v>862</v>
      </c>
      <c r="G44" s="14" t="s">
        <v>424</v>
      </c>
      <c r="H44" s="50" t="s">
        <v>30</v>
      </c>
      <c r="I44" s="14"/>
    </row>
    <row r="45" spans="1:9" ht="19.5" customHeight="1" x14ac:dyDescent="0.35">
      <c r="A45" s="47" t="s">
        <v>949</v>
      </c>
      <c r="B45" s="48">
        <v>46262</v>
      </c>
      <c r="C45" s="47" t="s">
        <v>885</v>
      </c>
      <c r="D45" s="14" t="s">
        <v>929</v>
      </c>
      <c r="E45" s="16">
        <v>16500</v>
      </c>
      <c r="F45" s="49" t="s">
        <v>862</v>
      </c>
      <c r="G45" s="14" t="s">
        <v>424</v>
      </c>
      <c r="H45" s="50" t="s">
        <v>30</v>
      </c>
      <c r="I45" s="14"/>
    </row>
    <row r="46" spans="1:9" ht="19.5" customHeight="1" x14ac:dyDescent="0.35">
      <c r="A46" s="47" t="s">
        <v>950</v>
      </c>
      <c r="B46" s="48">
        <v>46262</v>
      </c>
      <c r="C46" s="47" t="s">
        <v>940</v>
      </c>
      <c r="D46" s="14" t="s">
        <v>951</v>
      </c>
      <c r="E46" s="16"/>
      <c r="F46" s="49" t="s">
        <v>862</v>
      </c>
      <c r="G46" s="14" t="s">
        <v>424</v>
      </c>
      <c r="H46" s="50" t="s">
        <v>30</v>
      </c>
      <c r="I46" s="14" t="s">
        <v>952</v>
      </c>
    </row>
    <row r="47" spans="1:9" ht="19.5" customHeight="1" x14ac:dyDescent="0.35">
      <c r="A47" s="47" t="s">
        <v>953</v>
      </c>
      <c r="B47" s="48">
        <v>46260</v>
      </c>
      <c r="C47" s="47" t="s">
        <v>47</v>
      </c>
      <c r="D47" s="14" t="s">
        <v>954</v>
      </c>
      <c r="E47" s="16">
        <v>400000</v>
      </c>
      <c r="F47" s="49" t="s">
        <v>862</v>
      </c>
      <c r="G47" s="14" t="s">
        <v>424</v>
      </c>
      <c r="H47" s="50" t="s">
        <v>30</v>
      </c>
      <c r="I47" s="14"/>
    </row>
    <row r="48" spans="1:9" ht="19.5" customHeight="1" x14ac:dyDescent="0.35">
      <c r="A48" s="47" t="s">
        <v>955</v>
      </c>
      <c r="B48" s="48">
        <v>46261</v>
      </c>
      <c r="C48" s="47" t="s">
        <v>885</v>
      </c>
      <c r="D48" s="14" t="s">
        <v>927</v>
      </c>
      <c r="E48" s="16">
        <v>4500</v>
      </c>
      <c r="F48" s="49" t="s">
        <v>862</v>
      </c>
      <c r="G48" s="14" t="s">
        <v>424</v>
      </c>
      <c r="H48" s="50" t="s">
        <v>30</v>
      </c>
      <c r="I48" s="14"/>
    </row>
    <row r="49" spans="1:9" ht="19.5" customHeight="1" x14ac:dyDescent="0.35">
      <c r="A49" s="47" t="s">
        <v>956</v>
      </c>
      <c r="B49" s="48">
        <v>46261</v>
      </c>
      <c r="C49" s="47" t="s">
        <v>885</v>
      </c>
      <c r="D49" s="14" t="s">
        <v>957</v>
      </c>
      <c r="E49" s="16">
        <v>300000</v>
      </c>
      <c r="F49" s="49" t="s">
        <v>862</v>
      </c>
      <c r="G49" s="14" t="s">
        <v>424</v>
      </c>
      <c r="H49" s="50" t="s">
        <v>30</v>
      </c>
      <c r="I49" s="14"/>
    </row>
    <row r="50" spans="1:9" ht="19.5" customHeight="1" x14ac:dyDescent="0.35">
      <c r="A50" s="47" t="s">
        <v>958</v>
      </c>
      <c r="B50" s="48">
        <v>46263</v>
      </c>
      <c r="C50" s="47" t="s">
        <v>940</v>
      </c>
      <c r="D50" s="14" t="s">
        <v>959</v>
      </c>
      <c r="E50" s="16">
        <v>5700</v>
      </c>
      <c r="F50" s="49" t="s">
        <v>862</v>
      </c>
      <c r="G50" s="14" t="s">
        <v>424</v>
      </c>
      <c r="H50" s="50" t="s">
        <v>30</v>
      </c>
      <c r="I50" s="14" t="s">
        <v>960</v>
      </c>
    </row>
    <row r="51" spans="1:9" ht="19.5" customHeight="1" x14ac:dyDescent="0.35">
      <c r="A51" s="47" t="s">
        <v>961</v>
      </c>
      <c r="B51" s="48">
        <v>46263</v>
      </c>
      <c r="C51" s="47" t="s">
        <v>885</v>
      </c>
      <c r="D51" s="14" t="s">
        <v>962</v>
      </c>
      <c r="E51" s="16">
        <v>9500</v>
      </c>
      <c r="F51" s="49" t="s">
        <v>862</v>
      </c>
      <c r="G51" s="14" t="s">
        <v>424</v>
      </c>
      <c r="H51" s="50" t="s">
        <v>30</v>
      </c>
      <c r="I51" s="14"/>
    </row>
    <row r="52" spans="1:9" ht="19.5" customHeight="1" x14ac:dyDescent="0.35">
      <c r="A52" s="47" t="s">
        <v>963</v>
      </c>
      <c r="B52" s="48">
        <v>46263</v>
      </c>
      <c r="C52" s="47" t="s">
        <v>885</v>
      </c>
      <c r="D52" s="14" t="s">
        <v>927</v>
      </c>
      <c r="E52" s="16">
        <v>4500</v>
      </c>
      <c r="F52" s="49" t="s">
        <v>862</v>
      </c>
      <c r="G52" s="14" t="s">
        <v>424</v>
      </c>
      <c r="H52" s="50" t="s">
        <v>30</v>
      </c>
      <c r="I52" s="14"/>
    </row>
    <row r="53" spans="1:9" ht="19.5" customHeight="1" x14ac:dyDescent="0.35">
      <c r="A53" s="47" t="s">
        <v>964</v>
      </c>
      <c r="B53" s="48">
        <v>46263</v>
      </c>
      <c r="C53" s="47" t="s">
        <v>940</v>
      </c>
      <c r="D53" s="14" t="s">
        <v>965</v>
      </c>
      <c r="E53" s="16">
        <v>19800</v>
      </c>
      <c r="F53" s="49" t="s">
        <v>862</v>
      </c>
      <c r="G53" s="14" t="s">
        <v>424</v>
      </c>
      <c r="H53" s="50" t="s">
        <v>30</v>
      </c>
      <c r="I53" s="14" t="s">
        <v>960</v>
      </c>
    </row>
    <row r="54" spans="1:9" ht="19.5" customHeight="1" x14ac:dyDescent="0.35">
      <c r="A54" s="47" t="s">
        <v>966</v>
      </c>
      <c r="B54" s="48">
        <v>46265</v>
      </c>
      <c r="C54" s="47" t="s">
        <v>45</v>
      </c>
      <c r="D54" s="14" t="s">
        <v>967</v>
      </c>
      <c r="E54" s="16">
        <v>20900</v>
      </c>
      <c r="F54" s="49" t="s">
        <v>862</v>
      </c>
      <c r="G54" s="14" t="s">
        <v>424</v>
      </c>
      <c r="H54" s="50" t="s">
        <v>30</v>
      </c>
      <c r="I54" s="14"/>
    </row>
    <row r="55" spans="1:9" ht="19.5" customHeight="1" x14ac:dyDescent="0.35">
      <c r="A55" s="47" t="s">
        <v>968</v>
      </c>
      <c r="B55" s="48">
        <v>46266</v>
      </c>
      <c r="C55" s="47" t="s">
        <v>940</v>
      </c>
      <c r="D55" s="14" t="s">
        <v>969</v>
      </c>
      <c r="E55" s="16">
        <v>16100</v>
      </c>
      <c r="F55" s="49" t="s">
        <v>862</v>
      </c>
      <c r="G55" s="14" t="s">
        <v>424</v>
      </c>
      <c r="H55" s="50" t="s">
        <v>30</v>
      </c>
      <c r="I55" s="14" t="s">
        <v>952</v>
      </c>
    </row>
    <row r="56" spans="1:9" ht="19.5" customHeight="1" x14ac:dyDescent="0.35">
      <c r="A56" s="47" t="s">
        <v>920</v>
      </c>
      <c r="B56" s="48">
        <v>46274</v>
      </c>
      <c r="C56" s="47" t="s">
        <v>43</v>
      </c>
      <c r="D56" s="14" t="s">
        <v>970</v>
      </c>
      <c r="E56" s="16">
        <v>35850</v>
      </c>
      <c r="F56" s="49" t="s">
        <v>862</v>
      </c>
      <c r="G56" s="14" t="s">
        <v>424</v>
      </c>
      <c r="H56" s="50" t="s">
        <v>30</v>
      </c>
      <c r="I56" s="14"/>
    </row>
    <row r="57" spans="1:9" ht="19.5" customHeight="1" x14ac:dyDescent="0.35">
      <c r="A57" s="47" t="s">
        <v>922</v>
      </c>
      <c r="B57" s="48">
        <v>46281</v>
      </c>
      <c r="C57" s="47" t="s">
        <v>874</v>
      </c>
      <c r="D57" s="14" t="s">
        <v>971</v>
      </c>
      <c r="E57" s="16">
        <v>28100</v>
      </c>
      <c r="F57" s="49" t="s">
        <v>862</v>
      </c>
      <c r="G57" s="14" t="s">
        <v>424</v>
      </c>
      <c r="H57" s="50" t="s">
        <v>30</v>
      </c>
      <c r="I57" s="14"/>
    </row>
    <row r="58" spans="1:9" ht="19.5" customHeight="1" x14ac:dyDescent="0.35">
      <c r="A58" s="47" t="s">
        <v>924</v>
      </c>
      <c r="B58" s="48">
        <v>46281</v>
      </c>
      <c r="C58" s="47" t="s">
        <v>45</v>
      </c>
      <c r="D58" s="14" t="s">
        <v>972</v>
      </c>
      <c r="E58" s="16">
        <v>8000</v>
      </c>
      <c r="F58" s="49" t="s">
        <v>862</v>
      </c>
      <c r="G58" s="14" t="s">
        <v>424</v>
      </c>
      <c r="H58" s="50" t="s">
        <v>30</v>
      </c>
      <c r="I58" s="14"/>
    </row>
    <row r="59" spans="1:9" ht="19.5" customHeight="1" x14ac:dyDescent="0.35">
      <c r="A59" s="47" t="s">
        <v>943</v>
      </c>
      <c r="B59" s="48">
        <v>46244</v>
      </c>
      <c r="C59" s="47" t="s">
        <v>42</v>
      </c>
      <c r="D59" s="51" t="s">
        <v>973</v>
      </c>
      <c r="E59" s="16">
        <v>1650000</v>
      </c>
      <c r="F59" s="49" t="s">
        <v>862</v>
      </c>
      <c r="G59" s="14" t="s">
        <v>424</v>
      </c>
      <c r="H59" s="50" t="s">
        <v>30</v>
      </c>
      <c r="I59" s="14"/>
    </row>
    <row r="60" spans="1:9" ht="19.5" customHeight="1" x14ac:dyDescent="0.35">
      <c r="A60" s="47" t="s">
        <v>944</v>
      </c>
      <c r="B60" s="48">
        <v>46266</v>
      </c>
      <c r="C60" s="47" t="s">
        <v>42</v>
      </c>
      <c r="D60" s="14"/>
      <c r="E60" s="16">
        <v>2300000</v>
      </c>
      <c r="F60" s="49" t="s">
        <v>974</v>
      </c>
      <c r="G60" s="14" t="s">
        <v>424</v>
      </c>
      <c r="H60" s="50" t="s">
        <v>30</v>
      </c>
      <c r="I60" s="14"/>
    </row>
    <row r="61" spans="1:9" ht="19.5" customHeight="1" x14ac:dyDescent="0.35">
      <c r="A61" s="47" t="s">
        <v>945</v>
      </c>
      <c r="B61" s="48">
        <v>46274</v>
      </c>
      <c r="C61" s="47" t="s">
        <v>885</v>
      </c>
      <c r="D61" s="51" t="s">
        <v>975</v>
      </c>
      <c r="E61" s="16">
        <v>475000</v>
      </c>
      <c r="F61" s="49" t="s">
        <v>862</v>
      </c>
      <c r="G61" s="14" t="s">
        <v>424</v>
      </c>
      <c r="H61" s="50" t="s">
        <v>30</v>
      </c>
      <c r="I61" s="14"/>
    </row>
    <row r="62" spans="1:9" ht="19.5" customHeight="1" x14ac:dyDescent="0.35">
      <c r="A62" s="47" t="s">
        <v>947</v>
      </c>
      <c r="B62" s="48">
        <v>46275</v>
      </c>
      <c r="C62" s="47" t="s">
        <v>45</v>
      </c>
      <c r="D62" s="51" t="s">
        <v>976</v>
      </c>
      <c r="E62" s="16">
        <v>60000</v>
      </c>
      <c r="F62" s="49" t="s">
        <v>862</v>
      </c>
      <c r="G62" s="14" t="s">
        <v>424</v>
      </c>
      <c r="H62" s="50" t="s">
        <v>30</v>
      </c>
      <c r="I62" s="14"/>
    </row>
    <row r="63" spans="1:9" ht="19.5" customHeight="1" x14ac:dyDescent="0.35">
      <c r="A63" s="47" t="s">
        <v>949</v>
      </c>
      <c r="B63" s="48">
        <v>46280</v>
      </c>
      <c r="C63" s="47" t="s">
        <v>44</v>
      </c>
      <c r="D63" s="51" t="s">
        <v>977</v>
      </c>
      <c r="E63" s="16">
        <v>906000</v>
      </c>
      <c r="F63" s="49" t="s">
        <v>978</v>
      </c>
      <c r="G63" s="14" t="s">
        <v>424</v>
      </c>
      <c r="H63" s="50" t="s">
        <v>30</v>
      </c>
      <c r="I63" s="14"/>
    </row>
    <row r="64" spans="1:9" ht="19.5" customHeight="1" x14ac:dyDescent="0.35">
      <c r="A64" s="47" t="s">
        <v>950</v>
      </c>
      <c r="B64" s="48"/>
      <c r="C64" s="47"/>
      <c r="D64" s="51"/>
      <c r="E64" s="16"/>
      <c r="F64" s="49"/>
      <c r="G64" s="14"/>
      <c r="H64" s="50"/>
      <c r="I64" s="14"/>
    </row>
    <row r="65" spans="1:9" ht="19.5" customHeight="1" x14ac:dyDescent="0.35">
      <c r="A65" s="47" t="s">
        <v>953</v>
      </c>
      <c r="B65" s="48"/>
      <c r="C65" s="47"/>
      <c r="D65" s="14"/>
      <c r="E65" s="16"/>
      <c r="F65" s="49"/>
      <c r="G65" s="14"/>
      <c r="H65" s="50"/>
      <c r="I65" s="14"/>
    </row>
    <row r="66" spans="1:9" ht="19.5" customHeight="1" x14ac:dyDescent="0.35">
      <c r="A66" s="21"/>
      <c r="B66" s="52"/>
      <c r="C66" s="53"/>
      <c r="D66" s="21"/>
      <c r="E66" s="23">
        <f>SUM(E2:E65)</f>
        <v>14256280</v>
      </c>
      <c r="F66" s="23"/>
      <c r="G66" s="21"/>
      <c r="H66" s="21"/>
      <c r="I66" s="21"/>
    </row>
    <row r="67" spans="1:9" ht="14.25" customHeight="1" x14ac:dyDescent="0.35">
      <c r="E67" s="54"/>
      <c r="F67" s="54"/>
    </row>
    <row r="68" spans="1:9" ht="14.25" customHeight="1" x14ac:dyDescent="0.35">
      <c r="E68" s="55"/>
      <c r="F68" s="55"/>
    </row>
    <row r="69" spans="1:9" ht="14.25" customHeight="1" x14ac:dyDescent="0.35">
      <c r="A69" s="2" t="s">
        <v>979</v>
      </c>
      <c r="B69" s="2"/>
      <c r="C69" s="2"/>
      <c r="D69" s="2"/>
      <c r="E69" s="2"/>
      <c r="F69" s="2"/>
      <c r="G69" s="2"/>
      <c r="H69" s="2"/>
      <c r="I69" s="2"/>
    </row>
    <row r="70" spans="1:9" ht="14.25" customHeight="1" x14ac:dyDescent="0.35">
      <c r="E70" s="56"/>
      <c r="F70" s="56"/>
    </row>
    <row r="71" spans="1:9" ht="14.25" customHeight="1" x14ac:dyDescent="0.35">
      <c r="E71" s="56"/>
      <c r="F71" s="56"/>
    </row>
  </sheetData>
  <autoFilter ref="A1:I66" xr:uid="{00000000-0009-0000-0000-000005000000}"/>
  <mergeCells count="1">
    <mergeCell ref="A69:I6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00"/>
  <sheetViews>
    <sheetView topLeftCell="G1" zoomScaleNormal="100" workbookViewId="0">
      <pane ySplit="1" topLeftCell="A37" activePane="bottomLeft" state="frozen"/>
      <selection activeCell="G1" sqref="G1"/>
      <selection pane="bottomLeft" activeCell="G51" sqref="G51"/>
    </sheetView>
  </sheetViews>
  <sheetFormatPr baseColWidth="10" defaultColWidth="8.6328125" defaultRowHeight="14.5" x14ac:dyDescent="0.35"/>
  <cols>
    <col min="1" max="1" width="12" customWidth="1"/>
    <col min="2" max="2" width="13" style="57" customWidth="1"/>
    <col min="3" max="3" width="14" customWidth="1"/>
    <col min="4" max="4" width="47.54296875" customWidth="1"/>
    <col min="5" max="5" width="9" customWidth="1"/>
    <col min="6" max="6" width="11" customWidth="1"/>
    <col min="7" max="7" width="12" customWidth="1"/>
    <col min="8" max="8" width="14" customWidth="1"/>
    <col min="9" max="9" width="19.6328125" customWidth="1"/>
    <col min="10" max="10" width="14" customWidth="1"/>
    <col min="11" max="11" width="15.7265625" style="56" customWidth="1"/>
    <col min="12" max="12" width="24" customWidth="1"/>
    <col min="13" max="13" width="20" customWidth="1"/>
  </cols>
  <sheetData>
    <row r="1" spans="1:13" ht="27.75" customHeight="1" x14ac:dyDescent="0.35">
      <c r="A1" s="13" t="s">
        <v>980</v>
      </c>
      <c r="B1" s="45" t="s">
        <v>409</v>
      </c>
      <c r="C1" s="13" t="s">
        <v>981</v>
      </c>
      <c r="D1" s="13" t="s">
        <v>413</v>
      </c>
      <c r="E1" s="13" t="s">
        <v>982</v>
      </c>
      <c r="F1" s="13" t="s">
        <v>54</v>
      </c>
      <c r="G1" s="13" t="s">
        <v>983</v>
      </c>
      <c r="H1" s="13" t="s">
        <v>984</v>
      </c>
      <c r="I1" s="13" t="s">
        <v>985</v>
      </c>
      <c r="J1" s="13" t="s">
        <v>986</v>
      </c>
      <c r="K1" s="58" t="s">
        <v>987</v>
      </c>
      <c r="L1" s="13" t="s">
        <v>988</v>
      </c>
      <c r="M1" s="59" t="s">
        <v>989</v>
      </c>
    </row>
    <row r="2" spans="1:13" ht="19.5" customHeight="1" x14ac:dyDescent="0.35">
      <c r="A2" s="47" t="s">
        <v>990</v>
      </c>
      <c r="B2" s="48">
        <v>46216</v>
      </c>
      <c r="C2" s="47" t="s">
        <v>3</v>
      </c>
      <c r="D2" s="14" t="s">
        <v>991</v>
      </c>
      <c r="E2" s="47" t="str">
        <f t="shared" ref="E2:E48" si="0">MID(C2,2,LEN(C2))</f>
        <v>M</v>
      </c>
      <c r="F2" s="47" t="s">
        <v>55</v>
      </c>
      <c r="G2" s="15">
        <v>1</v>
      </c>
      <c r="H2" s="47" t="s">
        <v>992</v>
      </c>
      <c r="I2" s="16">
        <v>13727</v>
      </c>
      <c r="J2" s="16">
        <f t="shared" ref="J2:J46" si="1">IF(OR(G2="",I2=""),"",G2*I2)</f>
        <v>13727</v>
      </c>
      <c r="K2" s="16">
        <f t="shared" ref="K2:K17" si="2">I2*2</f>
        <v>27454</v>
      </c>
      <c r="L2" s="14"/>
      <c r="M2" t="s">
        <v>974</v>
      </c>
    </row>
    <row r="3" spans="1:13" ht="19.5" customHeight="1" x14ac:dyDescent="0.35">
      <c r="A3" s="47" t="s">
        <v>993</v>
      </c>
      <c r="B3" s="48">
        <v>46216</v>
      </c>
      <c r="C3" s="47" t="s">
        <v>994</v>
      </c>
      <c r="D3" s="14" t="s">
        <v>995</v>
      </c>
      <c r="E3" s="47" t="str">
        <f t="shared" si="0"/>
        <v>S</v>
      </c>
      <c r="F3" s="47" t="s">
        <v>55</v>
      </c>
      <c r="G3" s="15">
        <v>1</v>
      </c>
      <c r="H3" s="47" t="s">
        <v>992</v>
      </c>
      <c r="I3" s="16">
        <v>13856</v>
      </c>
      <c r="J3" s="16">
        <f t="shared" si="1"/>
        <v>13856</v>
      </c>
      <c r="K3" s="16">
        <f t="shared" si="2"/>
        <v>27712</v>
      </c>
      <c r="L3" s="14"/>
      <c r="M3" t="s">
        <v>974</v>
      </c>
    </row>
    <row r="4" spans="1:13" ht="19.5" customHeight="1" x14ac:dyDescent="0.35">
      <c r="A4" s="47" t="s">
        <v>996</v>
      </c>
      <c r="B4" s="48">
        <v>46216</v>
      </c>
      <c r="C4" s="47" t="s">
        <v>997</v>
      </c>
      <c r="D4" s="14" t="s">
        <v>998</v>
      </c>
      <c r="E4" s="47" t="str">
        <f t="shared" si="0"/>
        <v>S</v>
      </c>
      <c r="F4" s="47" t="s">
        <v>60</v>
      </c>
      <c r="G4" s="15">
        <v>1</v>
      </c>
      <c r="H4" s="47" t="s">
        <v>992</v>
      </c>
      <c r="I4" s="16">
        <v>13424</v>
      </c>
      <c r="J4" s="16">
        <f t="shared" si="1"/>
        <v>13424</v>
      </c>
      <c r="K4" s="16">
        <f t="shared" si="2"/>
        <v>26848</v>
      </c>
      <c r="L4" s="14"/>
      <c r="M4" t="s">
        <v>974</v>
      </c>
    </row>
    <row r="5" spans="1:13" ht="19.5" customHeight="1" x14ac:dyDescent="0.35">
      <c r="A5" s="47" t="s">
        <v>999</v>
      </c>
      <c r="B5" s="48">
        <v>46229</v>
      </c>
      <c r="C5" s="47" t="s">
        <v>1000</v>
      </c>
      <c r="D5" s="14" t="s">
        <v>1001</v>
      </c>
      <c r="E5" s="47" t="str">
        <f t="shared" si="0"/>
        <v>S</v>
      </c>
      <c r="F5" s="47" t="s">
        <v>55</v>
      </c>
      <c r="G5" s="15">
        <v>2</v>
      </c>
      <c r="H5" s="47" t="s">
        <v>1002</v>
      </c>
      <c r="I5" s="16">
        <v>8659</v>
      </c>
      <c r="J5" s="16">
        <f t="shared" si="1"/>
        <v>17318</v>
      </c>
      <c r="K5" s="16">
        <f t="shared" si="2"/>
        <v>17318</v>
      </c>
      <c r="L5" s="14"/>
      <c r="M5" t="s">
        <v>974</v>
      </c>
    </row>
    <row r="6" spans="1:13" ht="19.5" customHeight="1" x14ac:dyDescent="0.35">
      <c r="A6" s="47" t="s">
        <v>1003</v>
      </c>
      <c r="B6" s="48">
        <v>46216</v>
      </c>
      <c r="C6" s="47" t="s">
        <v>1004</v>
      </c>
      <c r="D6" s="14" t="s">
        <v>1005</v>
      </c>
      <c r="E6" s="47" t="str">
        <f t="shared" si="0"/>
        <v>M</v>
      </c>
      <c r="F6" s="47" t="s">
        <v>1006</v>
      </c>
      <c r="G6" s="15">
        <v>1</v>
      </c>
      <c r="H6" s="47" t="s">
        <v>992</v>
      </c>
      <c r="I6" s="16">
        <v>9977</v>
      </c>
      <c r="J6" s="16">
        <f t="shared" si="1"/>
        <v>9977</v>
      </c>
      <c r="K6" s="16">
        <f t="shared" si="2"/>
        <v>19954</v>
      </c>
      <c r="L6" s="14"/>
      <c r="M6" t="s">
        <v>974</v>
      </c>
    </row>
    <row r="7" spans="1:13" ht="19.5" customHeight="1" x14ac:dyDescent="0.35">
      <c r="A7" s="47" t="s">
        <v>1007</v>
      </c>
      <c r="B7" s="48">
        <v>46226</v>
      </c>
      <c r="C7" s="47" t="s">
        <v>3</v>
      </c>
      <c r="D7" s="14" t="s">
        <v>1008</v>
      </c>
      <c r="E7" s="47" t="str">
        <f t="shared" si="0"/>
        <v>M</v>
      </c>
      <c r="F7" s="47" t="s">
        <v>56</v>
      </c>
      <c r="G7" s="15">
        <v>1</v>
      </c>
      <c r="H7" s="47" t="s">
        <v>992</v>
      </c>
      <c r="I7" s="16">
        <v>8622</v>
      </c>
      <c r="J7" s="16">
        <f t="shared" si="1"/>
        <v>8622</v>
      </c>
      <c r="K7" s="16">
        <f t="shared" si="2"/>
        <v>17244</v>
      </c>
      <c r="L7" s="14"/>
      <c r="M7" t="s">
        <v>974</v>
      </c>
    </row>
    <row r="8" spans="1:13" ht="19.5" customHeight="1" x14ac:dyDescent="0.35">
      <c r="A8" s="47" t="s">
        <v>1009</v>
      </c>
      <c r="B8" s="48">
        <v>46226</v>
      </c>
      <c r="C8" s="47" t="s">
        <v>997</v>
      </c>
      <c r="D8" s="14" t="s">
        <v>1010</v>
      </c>
      <c r="E8" s="47" t="str">
        <f t="shared" si="0"/>
        <v>S</v>
      </c>
      <c r="F8" s="47" t="s">
        <v>55</v>
      </c>
      <c r="G8" s="15">
        <v>1</v>
      </c>
      <c r="H8" s="47" t="s">
        <v>992</v>
      </c>
      <c r="I8" s="16">
        <v>7501</v>
      </c>
      <c r="J8" s="16">
        <f t="shared" si="1"/>
        <v>7501</v>
      </c>
      <c r="K8" s="16">
        <f t="shared" si="2"/>
        <v>15002</v>
      </c>
      <c r="L8" s="14"/>
      <c r="M8" t="s">
        <v>974</v>
      </c>
    </row>
    <row r="9" spans="1:13" ht="19.5" customHeight="1" x14ac:dyDescent="0.35">
      <c r="A9" s="47" t="s">
        <v>1011</v>
      </c>
      <c r="B9" s="48">
        <v>46226</v>
      </c>
      <c r="C9" s="47" t="s">
        <v>1004</v>
      </c>
      <c r="D9" s="14" t="s">
        <v>1012</v>
      </c>
      <c r="E9" s="47" t="str">
        <f t="shared" si="0"/>
        <v>M</v>
      </c>
      <c r="F9" s="47" t="s">
        <v>1013</v>
      </c>
      <c r="G9" s="15">
        <v>3</v>
      </c>
      <c r="H9" s="47" t="s">
        <v>992</v>
      </c>
      <c r="I9" s="16">
        <v>5672</v>
      </c>
      <c r="J9" s="16">
        <f t="shared" si="1"/>
        <v>17016</v>
      </c>
      <c r="K9" s="16">
        <f t="shared" si="2"/>
        <v>11344</v>
      </c>
      <c r="L9" s="14"/>
      <c r="M9" t="s">
        <v>974</v>
      </c>
    </row>
    <row r="10" spans="1:13" ht="19.5" customHeight="1" x14ac:dyDescent="0.35">
      <c r="A10" s="47" t="s">
        <v>1014</v>
      </c>
      <c r="B10" s="48">
        <v>46226</v>
      </c>
      <c r="C10" s="47" t="s">
        <v>994</v>
      </c>
      <c r="D10" s="14" t="s">
        <v>1015</v>
      </c>
      <c r="E10" s="47" t="str">
        <f t="shared" si="0"/>
        <v>S</v>
      </c>
      <c r="F10" s="47" t="s">
        <v>55</v>
      </c>
      <c r="G10" s="15">
        <v>1</v>
      </c>
      <c r="H10" s="47" t="s">
        <v>992</v>
      </c>
      <c r="I10" s="16">
        <v>13779</v>
      </c>
      <c r="J10" s="16">
        <f t="shared" si="1"/>
        <v>13779</v>
      </c>
      <c r="K10" s="16">
        <f t="shared" si="2"/>
        <v>27558</v>
      </c>
      <c r="L10" s="14"/>
      <c r="M10" t="s">
        <v>974</v>
      </c>
    </row>
    <row r="11" spans="1:13" ht="19.5" customHeight="1" x14ac:dyDescent="0.35">
      <c r="A11" s="47" t="s">
        <v>1016</v>
      </c>
      <c r="B11" s="48">
        <v>46226</v>
      </c>
      <c r="C11" s="47" t="s">
        <v>1017</v>
      </c>
      <c r="D11" s="14" t="s">
        <v>1001</v>
      </c>
      <c r="E11" s="47" t="str">
        <f t="shared" si="0"/>
        <v>M</v>
      </c>
      <c r="F11" s="47" t="s">
        <v>55</v>
      </c>
      <c r="G11" s="15">
        <v>2</v>
      </c>
      <c r="H11" s="47" t="s">
        <v>1002</v>
      </c>
      <c r="I11" s="16">
        <v>9762</v>
      </c>
      <c r="J11" s="16">
        <f t="shared" si="1"/>
        <v>19524</v>
      </c>
      <c r="K11" s="16">
        <f t="shared" si="2"/>
        <v>19524</v>
      </c>
      <c r="L11" s="14"/>
      <c r="M11" t="s">
        <v>974</v>
      </c>
    </row>
    <row r="12" spans="1:13" ht="19.5" customHeight="1" x14ac:dyDescent="0.35">
      <c r="A12" s="47" t="s">
        <v>1018</v>
      </c>
      <c r="B12" s="48">
        <v>46248</v>
      </c>
      <c r="C12" s="47" t="s">
        <v>1019</v>
      </c>
      <c r="D12" s="14" t="s">
        <v>1020</v>
      </c>
      <c r="E12" s="47" t="str">
        <f t="shared" si="0"/>
        <v>L</v>
      </c>
      <c r="F12" s="47" t="s">
        <v>1021</v>
      </c>
      <c r="G12" s="15">
        <v>1</v>
      </c>
      <c r="H12" s="47" t="s">
        <v>992</v>
      </c>
      <c r="I12" s="16">
        <v>5420</v>
      </c>
      <c r="J12" s="16">
        <f t="shared" si="1"/>
        <v>5420</v>
      </c>
      <c r="K12" s="16">
        <f t="shared" si="2"/>
        <v>10840</v>
      </c>
      <c r="L12" s="14"/>
      <c r="M12" t="s">
        <v>974</v>
      </c>
    </row>
    <row r="13" spans="1:13" ht="19.5" customHeight="1" x14ac:dyDescent="0.35">
      <c r="A13" s="47" t="s">
        <v>1022</v>
      </c>
      <c r="B13" s="48">
        <v>46248</v>
      </c>
      <c r="C13" s="47" t="s">
        <v>1023</v>
      </c>
      <c r="D13" s="14" t="s">
        <v>1024</v>
      </c>
      <c r="E13" s="47" t="str">
        <f t="shared" si="0"/>
        <v>XL</v>
      </c>
      <c r="F13" s="47" t="s">
        <v>55</v>
      </c>
      <c r="G13" s="15">
        <v>1</v>
      </c>
      <c r="H13" s="47" t="s">
        <v>992</v>
      </c>
      <c r="I13" s="16">
        <v>10074</v>
      </c>
      <c r="J13" s="16">
        <f t="shared" si="1"/>
        <v>10074</v>
      </c>
      <c r="K13" s="16">
        <f t="shared" si="2"/>
        <v>20148</v>
      </c>
      <c r="L13" s="14"/>
      <c r="M13" t="s">
        <v>974</v>
      </c>
    </row>
    <row r="14" spans="1:13" ht="19.5" customHeight="1" x14ac:dyDescent="0.35">
      <c r="A14" s="47" t="s">
        <v>1025</v>
      </c>
      <c r="B14" s="48">
        <v>46248</v>
      </c>
      <c r="C14" s="47" t="s">
        <v>1026</v>
      </c>
      <c r="D14" s="14" t="s">
        <v>1027</v>
      </c>
      <c r="E14" s="47" t="str">
        <f t="shared" si="0"/>
        <v>L</v>
      </c>
      <c r="F14" s="47" t="s">
        <v>1021</v>
      </c>
      <c r="G14" s="15">
        <v>1</v>
      </c>
      <c r="H14" s="47" t="s">
        <v>992</v>
      </c>
      <c r="I14" s="16">
        <v>9360</v>
      </c>
      <c r="J14" s="16">
        <f t="shared" si="1"/>
        <v>9360</v>
      </c>
      <c r="K14" s="16">
        <f t="shared" si="2"/>
        <v>18720</v>
      </c>
      <c r="L14" s="14"/>
      <c r="M14" t="s">
        <v>974</v>
      </c>
    </row>
    <row r="15" spans="1:13" ht="19.5" customHeight="1" x14ac:dyDescent="0.35">
      <c r="A15" s="47" t="s">
        <v>1028</v>
      </c>
      <c r="B15" s="48">
        <v>46248</v>
      </c>
      <c r="C15" s="47" t="s">
        <v>1029</v>
      </c>
      <c r="D15" s="51" t="s">
        <v>1030</v>
      </c>
      <c r="E15" s="47" t="str">
        <f t="shared" si="0"/>
        <v>XL</v>
      </c>
      <c r="F15" s="47" t="s">
        <v>55</v>
      </c>
      <c r="G15" s="15">
        <v>1</v>
      </c>
      <c r="H15" s="47" t="s">
        <v>992</v>
      </c>
      <c r="I15" s="16">
        <v>6031</v>
      </c>
      <c r="J15" s="16">
        <f t="shared" si="1"/>
        <v>6031</v>
      </c>
      <c r="K15" s="16">
        <f t="shared" si="2"/>
        <v>12062</v>
      </c>
      <c r="L15" s="14"/>
      <c r="M15" t="s">
        <v>974</v>
      </c>
    </row>
    <row r="16" spans="1:13" ht="19.5" customHeight="1" x14ac:dyDescent="0.35">
      <c r="A16" s="47" t="s">
        <v>1031</v>
      </c>
      <c r="B16" s="48">
        <v>46268</v>
      </c>
      <c r="C16" s="47" t="s">
        <v>1004</v>
      </c>
      <c r="D16" s="51" t="s">
        <v>1032</v>
      </c>
      <c r="E16" s="47" t="str">
        <f t="shared" si="0"/>
        <v>M</v>
      </c>
      <c r="F16" s="47" t="s">
        <v>56</v>
      </c>
      <c r="G16" s="15">
        <v>1</v>
      </c>
      <c r="H16" s="47" t="s">
        <v>992</v>
      </c>
      <c r="I16" s="16">
        <v>12504</v>
      </c>
      <c r="J16" s="16">
        <f t="shared" si="1"/>
        <v>12504</v>
      </c>
      <c r="K16" s="16">
        <f t="shared" si="2"/>
        <v>25008</v>
      </c>
      <c r="L16" s="14"/>
      <c r="M16" t="s">
        <v>974</v>
      </c>
    </row>
    <row r="17" spans="1:13" ht="19.5" customHeight="1" x14ac:dyDescent="0.35">
      <c r="A17" s="47" t="s">
        <v>1033</v>
      </c>
      <c r="B17" s="48">
        <v>46268</v>
      </c>
      <c r="C17" s="47" t="s">
        <v>1034</v>
      </c>
      <c r="D17" s="51" t="s">
        <v>1035</v>
      </c>
      <c r="E17" s="47" t="str">
        <f t="shared" si="0"/>
        <v>S</v>
      </c>
      <c r="F17" s="47" t="s">
        <v>1006</v>
      </c>
      <c r="G17" s="15">
        <v>1</v>
      </c>
      <c r="H17" s="47" t="s">
        <v>992</v>
      </c>
      <c r="I17" s="16">
        <v>14979</v>
      </c>
      <c r="J17" s="16">
        <f t="shared" si="1"/>
        <v>14979</v>
      </c>
      <c r="K17" s="16">
        <f t="shared" si="2"/>
        <v>29958</v>
      </c>
      <c r="L17" s="14"/>
      <c r="M17" t="s">
        <v>974</v>
      </c>
    </row>
    <row r="18" spans="1:13" ht="19.5" customHeight="1" x14ac:dyDescent="0.35">
      <c r="A18" s="47" t="s">
        <v>1036</v>
      </c>
      <c r="B18" s="48">
        <v>46268</v>
      </c>
      <c r="C18" s="47" t="s">
        <v>1037</v>
      </c>
      <c r="D18" s="51" t="s">
        <v>1038</v>
      </c>
      <c r="E18" s="47" t="str">
        <f t="shared" si="0"/>
        <v>U</v>
      </c>
      <c r="F18" s="47" t="s">
        <v>1013</v>
      </c>
      <c r="G18" s="15">
        <v>6</v>
      </c>
      <c r="H18" s="47" t="s">
        <v>992</v>
      </c>
      <c r="I18" s="16">
        <v>2832</v>
      </c>
      <c r="J18" s="16">
        <f t="shared" si="1"/>
        <v>16992</v>
      </c>
      <c r="K18" s="16">
        <v>10000</v>
      </c>
      <c r="L18" s="14"/>
      <c r="M18" t="s">
        <v>974</v>
      </c>
    </row>
    <row r="19" spans="1:13" ht="19.5" customHeight="1" x14ac:dyDescent="0.35">
      <c r="A19" s="47" t="s">
        <v>1039</v>
      </c>
      <c r="B19" s="48">
        <v>46268</v>
      </c>
      <c r="C19" s="47" t="s">
        <v>997</v>
      </c>
      <c r="D19" s="51" t="s">
        <v>1040</v>
      </c>
      <c r="E19" s="47" t="str">
        <f t="shared" si="0"/>
        <v>S</v>
      </c>
      <c r="F19" s="47" t="s">
        <v>1006</v>
      </c>
      <c r="G19" s="15">
        <v>1</v>
      </c>
      <c r="H19" s="47" t="s">
        <v>992</v>
      </c>
      <c r="I19" s="16">
        <v>10038</v>
      </c>
      <c r="J19" s="16">
        <f t="shared" si="1"/>
        <v>10038</v>
      </c>
      <c r="K19" s="16">
        <f>I19*2</f>
        <v>20076</v>
      </c>
      <c r="L19" s="14"/>
      <c r="M19" t="s">
        <v>974</v>
      </c>
    </row>
    <row r="20" spans="1:13" ht="19.5" customHeight="1" x14ac:dyDescent="0.35">
      <c r="A20" s="47" t="s">
        <v>1041</v>
      </c>
      <c r="B20" s="48">
        <v>46268</v>
      </c>
      <c r="C20" s="47" t="s">
        <v>1042</v>
      </c>
      <c r="D20" s="51" t="s">
        <v>1043</v>
      </c>
      <c r="E20" s="47" t="str">
        <f t="shared" si="0"/>
        <v/>
      </c>
      <c r="F20" s="47" t="s">
        <v>1006</v>
      </c>
      <c r="G20" s="15">
        <v>1</v>
      </c>
      <c r="H20" s="47" t="s">
        <v>992</v>
      </c>
      <c r="I20" s="16">
        <v>8078</v>
      </c>
      <c r="J20" s="16">
        <f t="shared" si="1"/>
        <v>8078</v>
      </c>
      <c r="K20" s="16">
        <f>I20*2</f>
        <v>16156</v>
      </c>
      <c r="L20" s="14"/>
      <c r="M20" t="s">
        <v>974</v>
      </c>
    </row>
    <row r="21" spans="1:13" ht="19.5" customHeight="1" x14ac:dyDescent="0.35">
      <c r="A21" s="47" t="s">
        <v>1044</v>
      </c>
      <c r="B21" s="48">
        <v>46268</v>
      </c>
      <c r="C21" s="47" t="s">
        <v>997</v>
      </c>
      <c r="D21" s="51" t="s">
        <v>1045</v>
      </c>
      <c r="E21" s="47" t="str">
        <f t="shared" si="0"/>
        <v>S</v>
      </c>
      <c r="F21" s="47" t="s">
        <v>1006</v>
      </c>
      <c r="G21" s="15">
        <v>1</v>
      </c>
      <c r="H21" s="47" t="s">
        <v>992</v>
      </c>
      <c r="I21" s="16">
        <v>6759</v>
      </c>
      <c r="J21" s="16">
        <f t="shared" si="1"/>
        <v>6759</v>
      </c>
      <c r="K21" s="16">
        <v>15000</v>
      </c>
      <c r="L21" s="14"/>
      <c r="M21" t="s">
        <v>974</v>
      </c>
    </row>
    <row r="22" spans="1:13" ht="19.5" customHeight="1" x14ac:dyDescent="0.35">
      <c r="A22" s="47" t="s">
        <v>1046</v>
      </c>
      <c r="B22" s="48">
        <v>46268</v>
      </c>
      <c r="C22" s="47" t="s">
        <v>1042</v>
      </c>
      <c r="D22" s="51" t="s">
        <v>1047</v>
      </c>
      <c r="E22" s="47" t="str">
        <f t="shared" si="0"/>
        <v/>
      </c>
      <c r="F22" s="47" t="s">
        <v>55</v>
      </c>
      <c r="G22" s="15">
        <v>1</v>
      </c>
      <c r="H22" s="47" t="s">
        <v>1002</v>
      </c>
      <c r="I22" s="16">
        <v>4719</v>
      </c>
      <c r="J22" s="16">
        <f t="shared" si="1"/>
        <v>4719</v>
      </c>
      <c r="K22" s="16">
        <f t="shared" ref="K22:K44" si="3">I22*2</f>
        <v>9438</v>
      </c>
      <c r="L22" s="14"/>
      <c r="M22" t="s">
        <v>974</v>
      </c>
    </row>
    <row r="23" spans="1:13" ht="19.5" customHeight="1" x14ac:dyDescent="0.35">
      <c r="A23" s="47" t="s">
        <v>1048</v>
      </c>
      <c r="B23" s="48">
        <v>46268</v>
      </c>
      <c r="C23" s="47" t="s">
        <v>1042</v>
      </c>
      <c r="D23" s="51" t="s">
        <v>1049</v>
      </c>
      <c r="E23" s="47" t="str">
        <f t="shared" si="0"/>
        <v/>
      </c>
      <c r="F23" s="47" t="s">
        <v>55</v>
      </c>
      <c r="G23" s="15">
        <v>1</v>
      </c>
      <c r="H23" s="47" t="s">
        <v>992</v>
      </c>
      <c r="I23" s="16">
        <v>5206</v>
      </c>
      <c r="J23" s="16">
        <f t="shared" si="1"/>
        <v>5206</v>
      </c>
      <c r="K23" s="16">
        <f t="shared" si="3"/>
        <v>10412</v>
      </c>
      <c r="L23" s="14"/>
      <c r="M23" t="s">
        <v>974</v>
      </c>
    </row>
    <row r="24" spans="1:13" ht="19.5" customHeight="1" x14ac:dyDescent="0.35">
      <c r="A24" s="47" t="s">
        <v>1050</v>
      </c>
      <c r="B24" s="48">
        <v>46268</v>
      </c>
      <c r="C24" s="47" t="s">
        <v>1042</v>
      </c>
      <c r="D24" s="51" t="s">
        <v>1051</v>
      </c>
      <c r="E24" s="47" t="str">
        <f t="shared" si="0"/>
        <v/>
      </c>
      <c r="F24" s="47" t="s">
        <v>55</v>
      </c>
      <c r="G24" s="15">
        <v>1</v>
      </c>
      <c r="H24" s="47" t="s">
        <v>992</v>
      </c>
      <c r="I24" s="16">
        <v>7600</v>
      </c>
      <c r="J24" s="16">
        <f t="shared" si="1"/>
        <v>7600</v>
      </c>
      <c r="K24" s="16">
        <f t="shared" si="3"/>
        <v>15200</v>
      </c>
      <c r="L24" s="14"/>
      <c r="M24" t="s">
        <v>974</v>
      </c>
    </row>
    <row r="25" spans="1:13" ht="19.5" customHeight="1" x14ac:dyDescent="0.35">
      <c r="A25" s="47" t="s">
        <v>1052</v>
      </c>
      <c r="B25" s="48">
        <v>46268</v>
      </c>
      <c r="C25" s="47" t="s">
        <v>1042</v>
      </c>
      <c r="D25" s="51" t="s">
        <v>1053</v>
      </c>
      <c r="E25" s="47" t="str">
        <f t="shared" si="0"/>
        <v/>
      </c>
      <c r="F25" s="47" t="s">
        <v>55</v>
      </c>
      <c r="G25" s="15">
        <v>1</v>
      </c>
      <c r="H25" s="47" t="s">
        <v>992</v>
      </c>
      <c r="I25" s="16">
        <v>5498</v>
      </c>
      <c r="J25" s="16">
        <f t="shared" si="1"/>
        <v>5498</v>
      </c>
      <c r="K25" s="16">
        <f t="shared" si="3"/>
        <v>10996</v>
      </c>
      <c r="L25" s="14"/>
      <c r="M25" t="s">
        <v>974</v>
      </c>
    </row>
    <row r="26" spans="1:13" ht="19.5" customHeight="1" x14ac:dyDescent="0.35">
      <c r="A26" s="47" t="s">
        <v>1054</v>
      </c>
      <c r="B26" s="48">
        <v>46268</v>
      </c>
      <c r="C26" s="47" t="s">
        <v>1042</v>
      </c>
      <c r="D26" s="51" t="s">
        <v>1055</v>
      </c>
      <c r="E26" s="47" t="str">
        <f t="shared" si="0"/>
        <v/>
      </c>
      <c r="F26" s="47" t="s">
        <v>56</v>
      </c>
      <c r="G26" s="15">
        <v>1</v>
      </c>
      <c r="H26" s="47" t="s">
        <v>992</v>
      </c>
      <c r="I26" s="16">
        <v>10995</v>
      </c>
      <c r="J26" s="16">
        <f t="shared" si="1"/>
        <v>10995</v>
      </c>
      <c r="K26" s="16">
        <f t="shared" si="3"/>
        <v>21990</v>
      </c>
      <c r="L26" s="14"/>
      <c r="M26" t="s">
        <v>974</v>
      </c>
    </row>
    <row r="27" spans="1:13" ht="19.5" customHeight="1" x14ac:dyDescent="0.35">
      <c r="A27" s="47" t="s">
        <v>1056</v>
      </c>
      <c r="B27" s="48">
        <v>46268</v>
      </c>
      <c r="C27" s="47" t="s">
        <v>994</v>
      </c>
      <c r="D27" s="14" t="s">
        <v>1057</v>
      </c>
      <c r="E27" s="47" t="str">
        <f t="shared" si="0"/>
        <v>S</v>
      </c>
      <c r="F27" s="47" t="s">
        <v>1058</v>
      </c>
      <c r="G27" s="15">
        <v>1</v>
      </c>
      <c r="H27" s="47" t="s">
        <v>992</v>
      </c>
      <c r="I27" s="16">
        <v>12479</v>
      </c>
      <c r="J27" s="16">
        <f t="shared" si="1"/>
        <v>12479</v>
      </c>
      <c r="K27" s="16">
        <f t="shared" si="3"/>
        <v>24958</v>
      </c>
      <c r="L27" s="14"/>
      <c r="M27" t="s">
        <v>974</v>
      </c>
    </row>
    <row r="28" spans="1:13" ht="19.5" customHeight="1" x14ac:dyDescent="0.35">
      <c r="A28" s="47" t="s">
        <v>1059</v>
      </c>
      <c r="B28" s="48">
        <v>46268</v>
      </c>
      <c r="C28" s="47" t="s">
        <v>1019</v>
      </c>
      <c r="D28" s="14" t="s">
        <v>1015</v>
      </c>
      <c r="E28" s="47" t="str">
        <f t="shared" si="0"/>
        <v>L</v>
      </c>
      <c r="F28" s="47" t="s">
        <v>55</v>
      </c>
      <c r="G28" s="15">
        <v>1</v>
      </c>
      <c r="H28" s="47" t="s">
        <v>992</v>
      </c>
      <c r="I28" s="16">
        <v>9069</v>
      </c>
      <c r="J28" s="16">
        <f t="shared" si="1"/>
        <v>9069</v>
      </c>
      <c r="K28" s="16">
        <f t="shared" si="3"/>
        <v>18138</v>
      </c>
      <c r="L28" s="14"/>
      <c r="M28" t="s">
        <v>974</v>
      </c>
    </row>
    <row r="29" spans="1:13" ht="19.5" customHeight="1" x14ac:dyDescent="0.35">
      <c r="A29" s="47" t="s">
        <v>1060</v>
      </c>
      <c r="B29" s="48">
        <v>46268</v>
      </c>
      <c r="C29" s="47" t="s">
        <v>1026</v>
      </c>
      <c r="D29" s="14" t="s">
        <v>1061</v>
      </c>
      <c r="E29" s="47" t="str">
        <f t="shared" si="0"/>
        <v>L</v>
      </c>
      <c r="F29" s="47" t="s">
        <v>57</v>
      </c>
      <c r="G29" s="15">
        <v>1</v>
      </c>
      <c r="H29" s="47" t="s">
        <v>992</v>
      </c>
      <c r="I29" s="16">
        <v>8141</v>
      </c>
      <c r="J29" s="16">
        <f t="shared" si="1"/>
        <v>8141</v>
      </c>
      <c r="K29" s="16">
        <f t="shared" si="3"/>
        <v>16282</v>
      </c>
      <c r="L29" s="14"/>
      <c r="M29" t="s">
        <v>974</v>
      </c>
    </row>
    <row r="30" spans="1:13" ht="19.5" customHeight="1" x14ac:dyDescent="0.35">
      <c r="A30" s="47" t="s">
        <v>1062</v>
      </c>
      <c r="B30" s="48">
        <v>46268</v>
      </c>
      <c r="C30" s="47" t="s">
        <v>3</v>
      </c>
      <c r="D30" s="14" t="s">
        <v>1063</v>
      </c>
      <c r="E30" s="47" t="str">
        <f t="shared" si="0"/>
        <v>M</v>
      </c>
      <c r="F30" s="47" t="s">
        <v>1064</v>
      </c>
      <c r="G30" s="15">
        <v>1</v>
      </c>
      <c r="H30" s="47" t="s">
        <v>992</v>
      </c>
      <c r="I30" s="16">
        <v>9400</v>
      </c>
      <c r="J30" s="16">
        <f t="shared" si="1"/>
        <v>9400</v>
      </c>
      <c r="K30" s="16">
        <f t="shared" si="3"/>
        <v>18800</v>
      </c>
      <c r="L30" s="14"/>
      <c r="M30" t="s">
        <v>974</v>
      </c>
    </row>
    <row r="31" spans="1:13" ht="19.5" customHeight="1" x14ac:dyDescent="0.35">
      <c r="A31" s="47" t="s">
        <v>1065</v>
      </c>
      <c r="B31" s="48">
        <v>46268</v>
      </c>
      <c r="C31" s="47" t="s">
        <v>1026</v>
      </c>
      <c r="D31" s="14" t="s">
        <v>1066</v>
      </c>
      <c r="E31" s="47" t="str">
        <f t="shared" si="0"/>
        <v>L</v>
      </c>
      <c r="F31" s="47" t="s">
        <v>1064</v>
      </c>
      <c r="G31" s="15">
        <v>1</v>
      </c>
      <c r="H31" s="47" t="s">
        <v>992</v>
      </c>
      <c r="I31" s="16">
        <v>8608</v>
      </c>
      <c r="J31" s="16">
        <f t="shared" si="1"/>
        <v>8608</v>
      </c>
      <c r="K31" s="16">
        <f t="shared" si="3"/>
        <v>17216</v>
      </c>
      <c r="L31" s="14"/>
      <c r="M31" t="s">
        <v>974</v>
      </c>
    </row>
    <row r="32" spans="1:13" ht="14.25" customHeight="1" x14ac:dyDescent="0.35">
      <c r="A32" s="47" t="s">
        <v>1067</v>
      </c>
      <c r="B32" s="48">
        <v>46268</v>
      </c>
      <c r="C32" s="47" t="s">
        <v>997</v>
      </c>
      <c r="D32" s="14" t="s">
        <v>1066</v>
      </c>
      <c r="E32" s="60" t="str">
        <f t="shared" si="0"/>
        <v>S</v>
      </c>
      <c r="F32" s="47" t="s">
        <v>60</v>
      </c>
      <c r="G32" s="15">
        <v>1</v>
      </c>
      <c r="H32" s="47" t="s">
        <v>992</v>
      </c>
      <c r="I32" s="61">
        <v>8358</v>
      </c>
      <c r="J32" s="61">
        <f t="shared" si="1"/>
        <v>8358</v>
      </c>
      <c r="K32" s="56">
        <f t="shared" si="3"/>
        <v>16716</v>
      </c>
      <c r="M32" t="s">
        <v>974</v>
      </c>
    </row>
    <row r="33" spans="1:13" ht="14.25" customHeight="1" x14ac:dyDescent="0.35">
      <c r="A33" s="47" t="s">
        <v>1068</v>
      </c>
      <c r="B33" s="48">
        <v>46268</v>
      </c>
      <c r="C33" s="47" t="s">
        <v>1029</v>
      </c>
      <c r="D33" s="14" t="s">
        <v>1069</v>
      </c>
      <c r="E33" s="60" t="str">
        <f t="shared" si="0"/>
        <v>XL</v>
      </c>
      <c r="F33" s="47" t="s">
        <v>1006</v>
      </c>
      <c r="G33" s="15">
        <v>1</v>
      </c>
      <c r="H33" s="47" t="s">
        <v>992</v>
      </c>
      <c r="I33" s="61">
        <v>7825</v>
      </c>
      <c r="J33" s="61">
        <f t="shared" si="1"/>
        <v>7825</v>
      </c>
      <c r="K33" s="56">
        <f t="shared" si="3"/>
        <v>15650</v>
      </c>
      <c r="M33" t="s">
        <v>974</v>
      </c>
    </row>
    <row r="34" spans="1:13" ht="14.25" customHeight="1" x14ac:dyDescent="0.35">
      <c r="A34" s="47" t="s">
        <v>1070</v>
      </c>
      <c r="B34" s="48">
        <v>46268</v>
      </c>
      <c r="C34" s="47" t="s">
        <v>3</v>
      </c>
      <c r="D34" s="14" t="s">
        <v>1071</v>
      </c>
      <c r="E34" s="60" t="str">
        <f t="shared" si="0"/>
        <v>M</v>
      </c>
      <c r="F34" s="47" t="s">
        <v>55</v>
      </c>
      <c r="G34" s="15">
        <v>1</v>
      </c>
      <c r="H34" s="47" t="s">
        <v>992</v>
      </c>
      <c r="I34" s="61">
        <v>7421</v>
      </c>
      <c r="J34" s="61">
        <f t="shared" si="1"/>
        <v>7421</v>
      </c>
      <c r="K34" s="56">
        <f t="shared" si="3"/>
        <v>14842</v>
      </c>
      <c r="M34" t="s">
        <v>974</v>
      </c>
    </row>
    <row r="35" spans="1:13" ht="14.25" customHeight="1" x14ac:dyDescent="0.35">
      <c r="A35" s="47" t="s">
        <v>1072</v>
      </c>
      <c r="B35" s="48">
        <v>46268</v>
      </c>
      <c r="C35" s="47" t="s">
        <v>3</v>
      </c>
      <c r="D35" s="14" t="s">
        <v>1010</v>
      </c>
      <c r="E35" s="60" t="str">
        <f t="shared" si="0"/>
        <v>M</v>
      </c>
      <c r="F35" s="47" t="s">
        <v>55</v>
      </c>
      <c r="G35" s="15">
        <v>1</v>
      </c>
      <c r="H35" s="47" t="s">
        <v>992</v>
      </c>
      <c r="I35" s="61">
        <v>6818</v>
      </c>
      <c r="J35" s="61">
        <f t="shared" si="1"/>
        <v>6818</v>
      </c>
      <c r="K35" s="56">
        <f t="shared" si="3"/>
        <v>13636</v>
      </c>
      <c r="M35" t="s">
        <v>974</v>
      </c>
    </row>
    <row r="36" spans="1:13" ht="14.25" customHeight="1" x14ac:dyDescent="0.35">
      <c r="A36" s="47" t="s">
        <v>1073</v>
      </c>
      <c r="B36" s="48">
        <v>46268</v>
      </c>
      <c r="C36" s="47" t="s">
        <v>1026</v>
      </c>
      <c r="D36" s="62" t="s">
        <v>1074</v>
      </c>
      <c r="E36" s="60" t="str">
        <f t="shared" si="0"/>
        <v>L</v>
      </c>
      <c r="F36" s="47" t="s">
        <v>57</v>
      </c>
      <c r="G36" s="15">
        <v>1</v>
      </c>
      <c r="H36" s="47" t="s">
        <v>992</v>
      </c>
      <c r="I36" s="61">
        <v>11400</v>
      </c>
      <c r="J36" s="61">
        <f t="shared" si="1"/>
        <v>11400</v>
      </c>
      <c r="K36" s="56">
        <f t="shared" si="3"/>
        <v>22800</v>
      </c>
      <c r="M36" t="s">
        <v>974</v>
      </c>
    </row>
    <row r="37" spans="1:13" ht="14.25" customHeight="1" x14ac:dyDescent="0.35">
      <c r="A37" s="47" t="s">
        <v>1075</v>
      </c>
      <c r="B37" s="48">
        <v>46268</v>
      </c>
      <c r="C37" s="47" t="s">
        <v>1076</v>
      </c>
      <c r="D37" s="62" t="s">
        <v>1077</v>
      </c>
      <c r="E37" s="60" t="str">
        <f t="shared" si="0"/>
        <v>XXL</v>
      </c>
      <c r="F37" s="47" t="s">
        <v>55</v>
      </c>
      <c r="G37" s="15">
        <v>1</v>
      </c>
      <c r="H37" s="47" t="s">
        <v>992</v>
      </c>
      <c r="I37" s="61">
        <v>11295</v>
      </c>
      <c r="J37" s="61">
        <f t="shared" si="1"/>
        <v>11295</v>
      </c>
      <c r="K37" s="56">
        <f t="shared" si="3"/>
        <v>22590</v>
      </c>
      <c r="M37" t="s">
        <v>974</v>
      </c>
    </row>
    <row r="38" spans="1:13" ht="14.25" customHeight="1" x14ac:dyDescent="0.35">
      <c r="A38" s="47" t="s">
        <v>1078</v>
      </c>
      <c r="B38" s="48">
        <v>46268</v>
      </c>
      <c r="C38" s="47" t="s">
        <v>1079</v>
      </c>
      <c r="D38" s="62" t="s">
        <v>1080</v>
      </c>
      <c r="E38" s="60" t="str">
        <f t="shared" si="0"/>
        <v>U</v>
      </c>
      <c r="F38" s="47" t="s">
        <v>55</v>
      </c>
      <c r="G38" s="15">
        <v>1</v>
      </c>
      <c r="H38" s="47" t="s">
        <v>992</v>
      </c>
      <c r="I38" s="61">
        <v>4908</v>
      </c>
      <c r="J38" s="61">
        <f t="shared" si="1"/>
        <v>4908</v>
      </c>
      <c r="K38" s="56">
        <f t="shared" si="3"/>
        <v>9816</v>
      </c>
      <c r="M38" t="s">
        <v>974</v>
      </c>
    </row>
    <row r="39" spans="1:13" ht="14.25" customHeight="1" x14ac:dyDescent="0.35">
      <c r="A39" s="47" t="s">
        <v>1081</v>
      </c>
      <c r="B39" s="48">
        <v>46268</v>
      </c>
      <c r="C39" s="47" t="s">
        <v>1037</v>
      </c>
      <c r="D39" s="62" t="s">
        <v>1082</v>
      </c>
      <c r="E39" s="60" t="str">
        <f t="shared" si="0"/>
        <v>U</v>
      </c>
      <c r="F39" s="47" t="s">
        <v>55</v>
      </c>
      <c r="G39" s="15">
        <v>8</v>
      </c>
      <c r="H39" s="47" t="s">
        <v>992</v>
      </c>
      <c r="I39" s="61">
        <v>2365</v>
      </c>
      <c r="J39" s="61">
        <f t="shared" si="1"/>
        <v>18920</v>
      </c>
      <c r="K39" s="56">
        <f t="shared" si="3"/>
        <v>4730</v>
      </c>
      <c r="M39" t="s">
        <v>974</v>
      </c>
    </row>
    <row r="40" spans="1:13" ht="14.25" customHeight="1" x14ac:dyDescent="0.35">
      <c r="A40" s="47" t="s">
        <v>1083</v>
      </c>
      <c r="B40" s="48">
        <v>46268</v>
      </c>
      <c r="C40" s="47"/>
      <c r="D40" s="62" t="s">
        <v>1084</v>
      </c>
      <c r="E40" s="60" t="str">
        <f t="shared" si="0"/>
        <v/>
      </c>
      <c r="F40" s="47" t="s">
        <v>60</v>
      </c>
      <c r="G40" s="15">
        <v>1</v>
      </c>
      <c r="H40" s="47" t="s">
        <v>992</v>
      </c>
      <c r="I40" s="61">
        <v>10362</v>
      </c>
      <c r="J40" s="61">
        <f t="shared" si="1"/>
        <v>10362</v>
      </c>
      <c r="K40" s="56">
        <f t="shared" si="3"/>
        <v>20724</v>
      </c>
      <c r="M40" t="s">
        <v>974</v>
      </c>
    </row>
    <row r="41" spans="1:13" ht="14.25" customHeight="1" x14ac:dyDescent="0.35">
      <c r="A41" s="47" t="s">
        <v>1085</v>
      </c>
      <c r="B41" s="48">
        <v>46268</v>
      </c>
      <c r="C41" s="47" t="s">
        <v>1019</v>
      </c>
      <c r="D41" s="62" t="s">
        <v>1086</v>
      </c>
      <c r="E41" s="60" t="str">
        <f t="shared" si="0"/>
        <v>L</v>
      </c>
      <c r="F41" s="47" t="s">
        <v>55</v>
      </c>
      <c r="G41" s="15">
        <v>1</v>
      </c>
      <c r="H41" s="47" t="s">
        <v>992</v>
      </c>
      <c r="I41" s="61">
        <v>9918</v>
      </c>
      <c r="J41" s="61">
        <f t="shared" si="1"/>
        <v>9918</v>
      </c>
      <c r="K41" s="56">
        <f t="shared" si="3"/>
        <v>19836</v>
      </c>
      <c r="M41" t="s">
        <v>974</v>
      </c>
    </row>
    <row r="42" spans="1:13" ht="14.25" customHeight="1" x14ac:dyDescent="0.35">
      <c r="A42" s="47" t="s">
        <v>1087</v>
      </c>
      <c r="B42" s="48">
        <v>46268</v>
      </c>
      <c r="C42" s="47" t="s">
        <v>1004</v>
      </c>
      <c r="D42" s="62" t="s">
        <v>1088</v>
      </c>
      <c r="E42" s="60" t="str">
        <f t="shared" si="0"/>
        <v>M</v>
      </c>
      <c r="F42" s="47" t="s">
        <v>55</v>
      </c>
      <c r="G42" s="15">
        <v>1</v>
      </c>
      <c r="H42" s="47" t="s">
        <v>992</v>
      </c>
      <c r="I42" s="61">
        <v>9666</v>
      </c>
      <c r="J42" s="61">
        <f t="shared" si="1"/>
        <v>9666</v>
      </c>
      <c r="K42" s="56">
        <f t="shared" si="3"/>
        <v>19332</v>
      </c>
      <c r="M42" t="s">
        <v>974</v>
      </c>
    </row>
    <row r="43" spans="1:13" ht="14.25" customHeight="1" x14ac:dyDescent="0.35">
      <c r="A43" s="47" t="s">
        <v>1089</v>
      </c>
      <c r="B43" s="48">
        <v>46268</v>
      </c>
      <c r="C43" s="47" t="s">
        <v>1090</v>
      </c>
      <c r="D43" s="62" t="s">
        <v>1091</v>
      </c>
      <c r="E43" s="60" t="str">
        <f t="shared" si="0"/>
        <v>U</v>
      </c>
      <c r="F43" s="47" t="s">
        <v>55</v>
      </c>
      <c r="G43" s="15">
        <v>1</v>
      </c>
      <c r="H43" s="47" t="s">
        <v>992</v>
      </c>
      <c r="I43" s="61">
        <v>7992</v>
      </c>
      <c r="J43" s="61">
        <f t="shared" si="1"/>
        <v>7992</v>
      </c>
      <c r="K43" s="56">
        <f t="shared" si="3"/>
        <v>15984</v>
      </c>
      <c r="M43" t="s">
        <v>974</v>
      </c>
    </row>
    <row r="44" spans="1:13" ht="14.25" customHeight="1" x14ac:dyDescent="0.35">
      <c r="A44" s="47" t="s">
        <v>1092</v>
      </c>
      <c r="B44" s="48">
        <v>46268</v>
      </c>
      <c r="C44" s="47"/>
      <c r="D44" s="62" t="s">
        <v>1093</v>
      </c>
      <c r="E44" s="60" t="str">
        <f t="shared" si="0"/>
        <v/>
      </c>
      <c r="F44" s="47" t="s">
        <v>1094</v>
      </c>
      <c r="G44" s="15">
        <v>1</v>
      </c>
      <c r="H44" s="47" t="s">
        <v>992</v>
      </c>
      <c r="I44" s="61">
        <v>1998</v>
      </c>
      <c r="J44" s="61">
        <f t="shared" si="1"/>
        <v>1998</v>
      </c>
      <c r="K44" s="56">
        <f t="shared" si="3"/>
        <v>3996</v>
      </c>
      <c r="M44" t="s">
        <v>974</v>
      </c>
    </row>
    <row r="45" spans="1:13" ht="14.25" customHeight="1" x14ac:dyDescent="0.35">
      <c r="A45" s="47" t="s">
        <v>1095</v>
      </c>
      <c r="B45" s="57">
        <v>46262</v>
      </c>
      <c r="C45" s="47"/>
      <c r="D45" s="62" t="s">
        <v>1096</v>
      </c>
      <c r="E45" s="60" t="str">
        <f t="shared" si="0"/>
        <v/>
      </c>
      <c r="F45" s="47"/>
      <c r="G45" s="15">
        <v>6</v>
      </c>
      <c r="H45" s="47" t="s">
        <v>992</v>
      </c>
      <c r="I45" s="61">
        <v>70000</v>
      </c>
      <c r="J45" s="61">
        <f t="shared" si="1"/>
        <v>420000</v>
      </c>
      <c r="K45" s="56">
        <v>100000</v>
      </c>
      <c r="M45" t="s">
        <v>974</v>
      </c>
    </row>
    <row r="46" spans="1:13" ht="14.25" customHeight="1" x14ac:dyDescent="0.35">
      <c r="A46" s="47" t="s">
        <v>1097</v>
      </c>
      <c r="B46" s="57">
        <v>46262</v>
      </c>
      <c r="C46" s="47"/>
      <c r="D46" s="62" t="s">
        <v>1098</v>
      </c>
      <c r="E46" s="60" t="str">
        <f t="shared" si="0"/>
        <v/>
      </c>
      <c r="F46" s="47"/>
      <c r="G46" s="15">
        <v>6</v>
      </c>
      <c r="H46" s="47" t="s">
        <v>992</v>
      </c>
      <c r="I46" s="61">
        <v>90000</v>
      </c>
      <c r="J46" s="61">
        <f t="shared" si="1"/>
        <v>540000</v>
      </c>
      <c r="K46" s="56">
        <v>120000</v>
      </c>
      <c r="M46" t="s">
        <v>974</v>
      </c>
    </row>
    <row r="47" spans="1:13" ht="14.25" customHeight="1" x14ac:dyDescent="0.35">
      <c r="A47" s="47" t="s">
        <v>1099</v>
      </c>
      <c r="C47" s="47"/>
      <c r="E47" s="60" t="str">
        <f t="shared" si="0"/>
        <v/>
      </c>
      <c r="F47" s="47"/>
      <c r="G47" s="15"/>
      <c r="H47" s="47"/>
      <c r="J47" s="61"/>
    </row>
    <row r="48" spans="1:13" ht="14.25" customHeight="1" x14ac:dyDescent="0.35">
      <c r="A48" s="47" t="s">
        <v>1100</v>
      </c>
      <c r="C48" s="47"/>
      <c r="E48" s="60" t="str">
        <f t="shared" si="0"/>
        <v/>
      </c>
      <c r="F48" s="47"/>
      <c r="G48" s="15"/>
      <c r="H48" s="47"/>
      <c r="J48" s="61"/>
    </row>
    <row r="49" spans="1:12" ht="14.25" customHeight="1" x14ac:dyDescent="0.35"/>
    <row r="50" spans="1:12" ht="14.25" customHeight="1" x14ac:dyDescent="0.35"/>
    <row r="51" spans="1:12" ht="14.25" customHeight="1" x14ac:dyDescent="0.35">
      <c r="H51" s="63" t="s">
        <v>1101</v>
      </c>
      <c r="I51" s="64">
        <f>SUM(I2:I50)</f>
        <v>533095</v>
      </c>
      <c r="J51" s="56">
        <f>SUM(J2:J50)</f>
        <v>1393575</v>
      </c>
    </row>
    <row r="52" spans="1:12" ht="14.25" customHeight="1" x14ac:dyDescent="0.35"/>
    <row r="53" spans="1:12" ht="14.25" customHeight="1" x14ac:dyDescent="0.35"/>
    <row r="54" spans="1:12" ht="14.25" customHeight="1" x14ac:dyDescent="0.35">
      <c r="A54" s="2" t="s">
        <v>1102</v>
      </c>
      <c r="B54" s="2"/>
      <c r="C54" s="2"/>
      <c r="D54" s="2"/>
      <c r="E54" s="2"/>
      <c r="F54" s="2"/>
      <c r="G54" s="2"/>
      <c r="H54" s="2"/>
      <c r="I54" s="2"/>
      <c r="J54" s="2"/>
      <c r="K54" s="2"/>
      <c r="L54" s="2"/>
    </row>
    <row r="55" spans="1:12" ht="14.25" customHeight="1" x14ac:dyDescent="0.35"/>
    <row r="56" spans="1:12" ht="14.25" customHeight="1" x14ac:dyDescent="0.35"/>
    <row r="57" spans="1:12" ht="14.25" customHeight="1" x14ac:dyDescent="0.35"/>
    <row r="58" spans="1:12" ht="14.25" customHeight="1" x14ac:dyDescent="0.35"/>
    <row r="59" spans="1:12" ht="14.25" customHeight="1" x14ac:dyDescent="0.35"/>
    <row r="60" spans="1:12" ht="14.25" customHeight="1" x14ac:dyDescent="0.35"/>
    <row r="61" spans="1:12" ht="14.25" customHeight="1" x14ac:dyDescent="0.35"/>
    <row r="62" spans="1:12" ht="14.25" customHeight="1" x14ac:dyDescent="0.35"/>
    <row r="63" spans="1:12" ht="14.25" customHeight="1" x14ac:dyDescent="0.35"/>
    <row r="64" spans="1:12"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sheetData>
  <autoFilter ref="A1:L48" xr:uid="{00000000-0009-0000-0000-000006000000}"/>
  <mergeCells count="1">
    <mergeCell ref="A54:L5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0"/>
  <sheetViews>
    <sheetView zoomScaleNormal="100" workbookViewId="0">
      <pane xSplit="2" ySplit="1" topLeftCell="C23" activePane="bottomRight" state="frozen"/>
      <selection pane="topRight" activeCell="C1" sqref="C1"/>
      <selection pane="bottomLeft" activeCell="A23" sqref="A23"/>
      <selection pane="bottomRight" activeCell="B11" sqref="B11"/>
    </sheetView>
  </sheetViews>
  <sheetFormatPr baseColWidth="10" defaultColWidth="8.6328125" defaultRowHeight="14.5" x14ac:dyDescent="0.35"/>
  <cols>
    <col min="1" max="1" width="12" customWidth="1"/>
    <col min="2" max="2" width="43.1796875" customWidth="1"/>
    <col min="3" max="3" width="20" customWidth="1"/>
    <col min="4" max="4" width="18" customWidth="1"/>
    <col min="5" max="5" width="10" customWidth="1"/>
    <col min="6" max="6" width="20" customWidth="1"/>
    <col min="7" max="8" width="16" customWidth="1"/>
    <col min="9" max="9" width="31.54296875" style="44" customWidth="1"/>
    <col min="10" max="10" width="31.90625" customWidth="1"/>
    <col min="11" max="11" width="20" customWidth="1"/>
  </cols>
  <sheetData>
    <row r="1" spans="1:11" ht="27.75" customHeight="1" x14ac:dyDescent="0.35">
      <c r="A1" s="13" t="s">
        <v>1103</v>
      </c>
      <c r="B1" s="13" t="s">
        <v>1104</v>
      </c>
      <c r="C1" s="13" t="s">
        <v>40</v>
      </c>
      <c r="D1" s="13" t="s">
        <v>1105</v>
      </c>
      <c r="E1" s="13" t="s">
        <v>414</v>
      </c>
      <c r="F1" s="13" t="s">
        <v>73</v>
      </c>
      <c r="G1" s="13" t="s">
        <v>1106</v>
      </c>
      <c r="H1" s="13" t="s">
        <v>1107</v>
      </c>
      <c r="I1" s="45" t="s">
        <v>1108</v>
      </c>
      <c r="J1" s="13" t="s">
        <v>1109</v>
      </c>
      <c r="K1" s="59" t="s">
        <v>989</v>
      </c>
    </row>
    <row r="2" spans="1:11" ht="19.5" customHeight="1" x14ac:dyDescent="0.35">
      <c r="A2" s="47" t="s">
        <v>1110</v>
      </c>
      <c r="B2" s="14" t="s">
        <v>1111</v>
      </c>
      <c r="C2" s="47" t="s">
        <v>1112</v>
      </c>
      <c r="D2" s="47" t="s">
        <v>1113</v>
      </c>
      <c r="E2" s="15">
        <v>2</v>
      </c>
      <c r="F2" s="47" t="s">
        <v>1114</v>
      </c>
      <c r="G2" s="65">
        <v>2850000</v>
      </c>
      <c r="H2" s="16">
        <f t="shared" ref="H2:H44" si="0">IF(OR(E2="",G2=""),"",E2*G2)</f>
        <v>5700000</v>
      </c>
      <c r="I2" s="66">
        <v>46274</v>
      </c>
      <c r="J2" s="14" t="s">
        <v>1115</v>
      </c>
      <c r="K2" t="s">
        <v>974</v>
      </c>
    </row>
    <row r="3" spans="1:11" ht="19.5" customHeight="1" x14ac:dyDescent="0.35">
      <c r="A3" s="47" t="s">
        <v>1116</v>
      </c>
      <c r="B3" s="14" t="s">
        <v>1117</v>
      </c>
      <c r="C3" s="47" t="s">
        <v>1112</v>
      </c>
      <c r="D3" s="47" t="s">
        <v>1113</v>
      </c>
      <c r="E3" s="15">
        <v>3</v>
      </c>
      <c r="F3" s="47" t="s">
        <v>1114</v>
      </c>
      <c r="G3" s="65">
        <v>2000000</v>
      </c>
      <c r="H3" s="16">
        <f t="shared" si="0"/>
        <v>6000000</v>
      </c>
      <c r="I3" s="66">
        <v>46274</v>
      </c>
      <c r="J3" s="14" t="s">
        <v>1118</v>
      </c>
      <c r="K3" t="s">
        <v>974</v>
      </c>
    </row>
    <row r="4" spans="1:11" ht="19.5" customHeight="1" x14ac:dyDescent="0.35">
      <c r="A4" s="47" t="s">
        <v>1119</v>
      </c>
      <c r="B4" s="14" t="s">
        <v>1120</v>
      </c>
      <c r="C4" s="47" t="s">
        <v>1121</v>
      </c>
      <c r="D4" s="47" t="s">
        <v>1122</v>
      </c>
      <c r="E4" s="15">
        <v>2</v>
      </c>
      <c r="F4" s="47" t="s">
        <v>1114</v>
      </c>
      <c r="G4" s="65">
        <v>750000</v>
      </c>
      <c r="H4" s="16">
        <f t="shared" si="0"/>
        <v>1500000</v>
      </c>
      <c r="I4" s="66">
        <v>46280</v>
      </c>
      <c r="J4" s="14" t="s">
        <v>1123</v>
      </c>
      <c r="K4" t="s">
        <v>974</v>
      </c>
    </row>
    <row r="5" spans="1:11" ht="19.5" customHeight="1" x14ac:dyDescent="0.35">
      <c r="A5" s="47" t="s">
        <v>1124</v>
      </c>
      <c r="B5" s="14" t="s">
        <v>1125</v>
      </c>
      <c r="C5" s="47" t="s">
        <v>1112</v>
      </c>
      <c r="D5" s="47" t="s">
        <v>1113</v>
      </c>
      <c r="E5" s="15">
        <v>1</v>
      </c>
      <c r="F5" s="47" t="s">
        <v>1114</v>
      </c>
      <c r="G5" s="65">
        <v>895000</v>
      </c>
      <c r="H5" s="16">
        <f t="shared" si="0"/>
        <v>895000</v>
      </c>
      <c r="I5" s="66">
        <v>46249</v>
      </c>
      <c r="J5" s="14" t="s">
        <v>1126</v>
      </c>
      <c r="K5" t="s">
        <v>974</v>
      </c>
    </row>
    <row r="6" spans="1:11" ht="19.5" customHeight="1" x14ac:dyDescent="0.35">
      <c r="A6" s="47" t="s">
        <v>1127</v>
      </c>
      <c r="B6" s="14" t="s">
        <v>1128</v>
      </c>
      <c r="C6" s="47" t="s">
        <v>1112</v>
      </c>
      <c r="D6" s="47" t="s">
        <v>1113</v>
      </c>
      <c r="E6" s="15">
        <v>1</v>
      </c>
      <c r="F6" s="47" t="s">
        <v>1114</v>
      </c>
      <c r="G6" s="65">
        <v>1180000</v>
      </c>
      <c r="H6" s="16">
        <f t="shared" si="0"/>
        <v>1180000</v>
      </c>
      <c r="I6" s="66">
        <v>46249</v>
      </c>
      <c r="J6" s="14" t="s">
        <v>1129</v>
      </c>
      <c r="K6" t="s">
        <v>974</v>
      </c>
    </row>
    <row r="7" spans="1:11" ht="19.5" customHeight="1" x14ac:dyDescent="0.35">
      <c r="A7" s="47" t="s">
        <v>1130</v>
      </c>
      <c r="B7" s="14" t="s">
        <v>1131</v>
      </c>
      <c r="C7" s="47" t="s">
        <v>1132</v>
      </c>
      <c r="D7" s="47" t="s">
        <v>1133</v>
      </c>
      <c r="E7" s="15">
        <v>1</v>
      </c>
      <c r="F7" s="47" t="s">
        <v>1134</v>
      </c>
      <c r="G7" s="65">
        <v>5048</v>
      </c>
      <c r="H7" s="16">
        <f t="shared" si="0"/>
        <v>5048</v>
      </c>
      <c r="I7" s="66">
        <v>46249</v>
      </c>
      <c r="J7" s="14" t="s">
        <v>1135</v>
      </c>
      <c r="K7" t="s">
        <v>974</v>
      </c>
    </row>
    <row r="8" spans="1:11" ht="19.5" customHeight="1" x14ac:dyDescent="0.35">
      <c r="A8" s="47" t="s">
        <v>1136</v>
      </c>
      <c r="B8" s="14" t="s">
        <v>1137</v>
      </c>
      <c r="C8" s="47" t="s">
        <v>1132</v>
      </c>
      <c r="D8" s="47" t="s">
        <v>1133</v>
      </c>
      <c r="E8" s="15">
        <v>1</v>
      </c>
      <c r="F8" s="47" t="s">
        <v>1114</v>
      </c>
      <c r="G8" s="65">
        <v>6939</v>
      </c>
      <c r="H8" s="16">
        <f t="shared" si="0"/>
        <v>6939</v>
      </c>
      <c r="I8" s="66">
        <v>46249</v>
      </c>
      <c r="J8" s="14" t="s">
        <v>1138</v>
      </c>
      <c r="K8" t="s">
        <v>974</v>
      </c>
    </row>
    <row r="9" spans="1:11" ht="19.5" customHeight="1" x14ac:dyDescent="0.35">
      <c r="A9" s="47" t="s">
        <v>1139</v>
      </c>
      <c r="B9" s="14" t="s">
        <v>1140</v>
      </c>
      <c r="C9" s="47" t="s">
        <v>1132</v>
      </c>
      <c r="D9" s="47" t="s">
        <v>1133</v>
      </c>
      <c r="E9" s="15">
        <v>1</v>
      </c>
      <c r="F9" s="47" t="s">
        <v>1114</v>
      </c>
      <c r="G9" s="65">
        <v>4950</v>
      </c>
      <c r="H9" s="16">
        <f t="shared" si="0"/>
        <v>4950</v>
      </c>
      <c r="I9" s="66">
        <v>46249</v>
      </c>
      <c r="J9" s="14" t="s">
        <v>1138</v>
      </c>
      <c r="K9" t="s">
        <v>974</v>
      </c>
    </row>
    <row r="10" spans="1:11" ht="19.5" customHeight="1" x14ac:dyDescent="0.35">
      <c r="A10" s="47" t="s">
        <v>1141</v>
      </c>
      <c r="B10" s="14" t="s">
        <v>1142</v>
      </c>
      <c r="C10" s="47" t="s">
        <v>1121</v>
      </c>
      <c r="D10" s="47" t="s">
        <v>1143</v>
      </c>
      <c r="E10" s="15">
        <v>6</v>
      </c>
      <c r="F10" s="47" t="s">
        <v>1114</v>
      </c>
      <c r="G10" s="65">
        <v>8232</v>
      </c>
      <c r="H10" s="16">
        <f t="shared" si="0"/>
        <v>49392</v>
      </c>
      <c r="I10" s="66">
        <v>46249</v>
      </c>
      <c r="J10" s="14" t="s">
        <v>1144</v>
      </c>
      <c r="K10" t="s">
        <v>974</v>
      </c>
    </row>
    <row r="11" spans="1:11" ht="19.5" customHeight="1" x14ac:dyDescent="0.35">
      <c r="A11" s="47" t="s">
        <v>1145</v>
      </c>
      <c r="B11" s="14" t="s">
        <v>1146</v>
      </c>
      <c r="C11" s="47" t="s">
        <v>1147</v>
      </c>
      <c r="D11" s="47" t="s">
        <v>1113</v>
      </c>
      <c r="E11" s="15">
        <v>1</v>
      </c>
      <c r="F11" s="47" t="s">
        <v>1114</v>
      </c>
      <c r="G11" s="65">
        <v>590000</v>
      </c>
      <c r="H11" s="16">
        <f t="shared" si="0"/>
        <v>590000</v>
      </c>
      <c r="I11" s="66">
        <v>46249</v>
      </c>
      <c r="J11" s="14" t="s">
        <v>1148</v>
      </c>
      <c r="K11" t="s">
        <v>974</v>
      </c>
    </row>
    <row r="12" spans="1:11" ht="19.5" customHeight="1" x14ac:dyDescent="0.35">
      <c r="A12" s="47" t="s">
        <v>1149</v>
      </c>
      <c r="B12" s="14" t="s">
        <v>1150</v>
      </c>
      <c r="C12" s="47" t="s">
        <v>1112</v>
      </c>
      <c r="D12" s="47" t="s">
        <v>1113</v>
      </c>
      <c r="E12" s="15">
        <v>4</v>
      </c>
      <c r="F12" s="47" t="s">
        <v>1114</v>
      </c>
      <c r="G12" s="65">
        <v>13856</v>
      </c>
      <c r="H12" s="16">
        <f t="shared" si="0"/>
        <v>55424</v>
      </c>
      <c r="I12" s="66">
        <v>46249</v>
      </c>
      <c r="J12" s="14" t="s">
        <v>1151</v>
      </c>
      <c r="K12" t="s">
        <v>974</v>
      </c>
    </row>
    <row r="13" spans="1:11" ht="19.5" customHeight="1" x14ac:dyDescent="0.35">
      <c r="A13" s="47" t="s">
        <v>1152</v>
      </c>
      <c r="B13" s="14" t="s">
        <v>1153</v>
      </c>
      <c r="C13" s="47" t="s">
        <v>1112</v>
      </c>
      <c r="D13" s="47" t="s">
        <v>1113</v>
      </c>
      <c r="E13" s="15">
        <v>1</v>
      </c>
      <c r="F13" s="47" t="s">
        <v>1114</v>
      </c>
      <c r="G13" s="65">
        <v>13220</v>
      </c>
      <c r="H13" s="16">
        <f t="shared" si="0"/>
        <v>13220</v>
      </c>
      <c r="I13" s="66">
        <v>46249</v>
      </c>
      <c r="J13" s="14"/>
      <c r="K13" t="s">
        <v>974</v>
      </c>
    </row>
    <row r="14" spans="1:11" ht="19.5" customHeight="1" x14ac:dyDescent="0.35">
      <c r="A14" s="47" t="s">
        <v>1154</v>
      </c>
      <c r="B14" s="14" t="s">
        <v>1155</v>
      </c>
      <c r="C14" s="47" t="s">
        <v>1112</v>
      </c>
      <c r="D14" s="47" t="s">
        <v>1113</v>
      </c>
      <c r="E14" s="15">
        <v>10</v>
      </c>
      <c r="F14" s="47" t="s">
        <v>1114</v>
      </c>
      <c r="G14" s="65">
        <v>1666</v>
      </c>
      <c r="H14" s="16">
        <f t="shared" si="0"/>
        <v>16660</v>
      </c>
      <c r="I14" s="66">
        <v>46249</v>
      </c>
      <c r="J14" s="14"/>
      <c r="K14" t="s">
        <v>974</v>
      </c>
    </row>
    <row r="15" spans="1:11" ht="19.5" customHeight="1" x14ac:dyDescent="0.35">
      <c r="A15" s="47" t="s">
        <v>1156</v>
      </c>
      <c r="B15" s="14" t="s">
        <v>1157</v>
      </c>
      <c r="C15" s="47" t="s">
        <v>1121</v>
      </c>
      <c r="D15" s="47" t="s">
        <v>1113</v>
      </c>
      <c r="E15" s="15">
        <v>2</v>
      </c>
      <c r="F15" s="47" t="s">
        <v>1114</v>
      </c>
      <c r="G15" s="65">
        <v>1703</v>
      </c>
      <c r="H15" s="16">
        <f t="shared" si="0"/>
        <v>3406</v>
      </c>
      <c r="I15" s="66">
        <v>46249</v>
      </c>
      <c r="J15" s="14"/>
      <c r="K15" t="s">
        <v>974</v>
      </c>
    </row>
    <row r="16" spans="1:11" ht="19.5" customHeight="1" x14ac:dyDescent="0.35">
      <c r="A16" s="47" t="s">
        <v>1158</v>
      </c>
      <c r="B16" s="14" t="s">
        <v>1159</v>
      </c>
      <c r="C16" s="47" t="s">
        <v>1132</v>
      </c>
      <c r="D16" s="47" t="s">
        <v>1113</v>
      </c>
      <c r="E16" s="15">
        <v>6</v>
      </c>
      <c r="F16" s="47" t="s">
        <v>1114</v>
      </c>
      <c r="G16" s="65">
        <v>1486</v>
      </c>
      <c r="H16" s="16">
        <f t="shared" si="0"/>
        <v>8916</v>
      </c>
      <c r="I16" s="66">
        <v>46216</v>
      </c>
      <c r="J16" s="14"/>
      <c r="K16" t="s">
        <v>974</v>
      </c>
    </row>
    <row r="17" spans="1:11" ht="19.5" customHeight="1" x14ac:dyDescent="0.35">
      <c r="A17" s="47" t="s">
        <v>1160</v>
      </c>
      <c r="B17" s="14" t="s">
        <v>1161</v>
      </c>
      <c r="C17" s="47" t="s">
        <v>1121</v>
      </c>
      <c r="D17" s="47" t="s">
        <v>1122</v>
      </c>
      <c r="E17" s="15">
        <v>1</v>
      </c>
      <c r="F17" s="47" t="s">
        <v>1114</v>
      </c>
      <c r="G17" s="65">
        <v>17921</v>
      </c>
      <c r="H17" s="16">
        <f t="shared" si="0"/>
        <v>17921</v>
      </c>
      <c r="I17" s="66">
        <v>46249</v>
      </c>
      <c r="J17" s="14"/>
      <c r="K17" t="s">
        <v>974</v>
      </c>
    </row>
    <row r="18" spans="1:11" ht="19.5" customHeight="1" x14ac:dyDescent="0.35">
      <c r="A18" s="47" t="s">
        <v>1162</v>
      </c>
      <c r="B18" s="14" t="s">
        <v>1163</v>
      </c>
      <c r="C18" s="47" t="s">
        <v>1164</v>
      </c>
      <c r="D18" s="47" t="s">
        <v>1122</v>
      </c>
      <c r="E18" s="15">
        <v>1</v>
      </c>
      <c r="F18" s="47" t="s">
        <v>1114</v>
      </c>
      <c r="G18" s="65">
        <v>13929</v>
      </c>
      <c r="H18" s="16">
        <f t="shared" si="0"/>
        <v>13929</v>
      </c>
      <c r="I18" s="66">
        <v>46249</v>
      </c>
      <c r="J18" s="14"/>
      <c r="K18" t="s">
        <v>974</v>
      </c>
    </row>
    <row r="19" spans="1:11" ht="19.5" customHeight="1" x14ac:dyDescent="0.35">
      <c r="A19" s="47" t="s">
        <v>1165</v>
      </c>
      <c r="B19" s="14" t="s">
        <v>1166</v>
      </c>
      <c r="C19" s="47" t="s">
        <v>1164</v>
      </c>
      <c r="D19" s="47" t="s">
        <v>1122</v>
      </c>
      <c r="E19" s="15">
        <v>1</v>
      </c>
      <c r="F19" s="47" t="s">
        <v>1114</v>
      </c>
      <c r="G19" s="65">
        <v>11662</v>
      </c>
      <c r="H19" s="16">
        <f t="shared" si="0"/>
        <v>11662</v>
      </c>
      <c r="I19" s="66">
        <v>46249</v>
      </c>
      <c r="J19" s="14"/>
      <c r="K19" t="s">
        <v>974</v>
      </c>
    </row>
    <row r="20" spans="1:11" ht="19.5" customHeight="1" x14ac:dyDescent="0.35">
      <c r="A20" s="47" t="s">
        <v>1167</v>
      </c>
      <c r="B20" s="14" t="s">
        <v>1168</v>
      </c>
      <c r="C20" s="47" t="s">
        <v>1164</v>
      </c>
      <c r="D20" s="47" t="s">
        <v>1122</v>
      </c>
      <c r="E20" s="15">
        <v>1</v>
      </c>
      <c r="F20" s="47" t="s">
        <v>1114</v>
      </c>
      <c r="G20" s="65">
        <v>10994</v>
      </c>
      <c r="H20" s="16">
        <f t="shared" si="0"/>
        <v>10994</v>
      </c>
      <c r="I20" s="66">
        <v>46249</v>
      </c>
      <c r="J20" s="14"/>
      <c r="K20" t="s">
        <v>974</v>
      </c>
    </row>
    <row r="21" spans="1:11" ht="19.5" customHeight="1" x14ac:dyDescent="0.35">
      <c r="A21" s="47" t="s">
        <v>1169</v>
      </c>
      <c r="B21" s="51" t="s">
        <v>1170</v>
      </c>
      <c r="C21" s="47" t="s">
        <v>1121</v>
      </c>
      <c r="D21" s="67" t="s">
        <v>1122</v>
      </c>
      <c r="E21" s="15">
        <v>20</v>
      </c>
      <c r="F21" s="47" t="s">
        <v>1114</v>
      </c>
      <c r="G21" s="16">
        <v>924</v>
      </c>
      <c r="H21" s="16">
        <f t="shared" si="0"/>
        <v>18480</v>
      </c>
      <c r="I21" s="66">
        <v>46249</v>
      </c>
      <c r="J21" s="14"/>
      <c r="K21" t="s">
        <v>974</v>
      </c>
    </row>
    <row r="22" spans="1:11" ht="19.5" customHeight="1" x14ac:dyDescent="0.35">
      <c r="A22" s="47" t="s">
        <v>1171</v>
      </c>
      <c r="B22" s="51" t="s">
        <v>1172</v>
      </c>
      <c r="C22" s="47" t="s">
        <v>1121</v>
      </c>
      <c r="D22" s="67" t="s">
        <v>1122</v>
      </c>
      <c r="E22" s="15">
        <v>1</v>
      </c>
      <c r="F22" s="47" t="s">
        <v>1114</v>
      </c>
      <c r="G22" s="16">
        <v>17108</v>
      </c>
      <c r="H22" s="16">
        <f t="shared" si="0"/>
        <v>17108</v>
      </c>
      <c r="I22" s="66">
        <v>46249</v>
      </c>
      <c r="J22" s="14"/>
      <c r="K22" t="s">
        <v>974</v>
      </c>
    </row>
    <row r="23" spans="1:11" ht="19.5" customHeight="1" x14ac:dyDescent="0.35">
      <c r="A23" s="47" t="s">
        <v>1173</v>
      </c>
      <c r="B23" s="51" t="s">
        <v>1174</v>
      </c>
      <c r="C23" s="47" t="s">
        <v>1112</v>
      </c>
      <c r="D23" s="67" t="s">
        <v>1122</v>
      </c>
      <c r="E23" s="15">
        <v>1</v>
      </c>
      <c r="F23" s="47" t="s">
        <v>1114</v>
      </c>
      <c r="G23" s="16">
        <v>9583</v>
      </c>
      <c r="H23" s="16">
        <f t="shared" si="0"/>
        <v>9583</v>
      </c>
      <c r="I23" s="66">
        <v>46249</v>
      </c>
      <c r="J23" s="14"/>
      <c r="K23" t="s">
        <v>974</v>
      </c>
    </row>
    <row r="24" spans="1:11" ht="19.5" customHeight="1" x14ac:dyDescent="0.35">
      <c r="A24" s="47" t="s">
        <v>1175</v>
      </c>
      <c r="B24" s="51" t="s">
        <v>1176</v>
      </c>
      <c r="C24" s="47" t="s">
        <v>1147</v>
      </c>
      <c r="D24" s="47" t="s">
        <v>1113</v>
      </c>
      <c r="E24" s="15">
        <v>1</v>
      </c>
      <c r="F24" s="47" t="s">
        <v>1114</v>
      </c>
      <c r="G24" s="16">
        <v>8842</v>
      </c>
      <c r="H24" s="16">
        <f t="shared" si="0"/>
        <v>8842</v>
      </c>
      <c r="I24" s="66">
        <v>46259</v>
      </c>
      <c r="J24" s="14"/>
      <c r="K24" t="s">
        <v>974</v>
      </c>
    </row>
    <row r="25" spans="1:11" ht="19.5" customHeight="1" x14ac:dyDescent="0.35">
      <c r="A25" s="47" t="s">
        <v>1177</v>
      </c>
      <c r="B25" s="51" t="s">
        <v>1178</v>
      </c>
      <c r="C25" s="47" t="s">
        <v>1147</v>
      </c>
      <c r="D25" s="47" t="s">
        <v>1113</v>
      </c>
      <c r="E25" s="15">
        <v>1</v>
      </c>
      <c r="F25" s="47" t="s">
        <v>1114</v>
      </c>
      <c r="G25" s="16">
        <v>11575</v>
      </c>
      <c r="H25" s="16">
        <f t="shared" si="0"/>
        <v>11575</v>
      </c>
      <c r="I25" s="66">
        <v>46259</v>
      </c>
      <c r="J25" s="14"/>
      <c r="K25" t="s">
        <v>974</v>
      </c>
    </row>
    <row r="26" spans="1:11" ht="19.5" customHeight="1" x14ac:dyDescent="0.35">
      <c r="A26" s="47" t="s">
        <v>1179</v>
      </c>
      <c r="B26" s="51" t="s">
        <v>1180</v>
      </c>
      <c r="C26" s="47" t="s">
        <v>1121</v>
      </c>
      <c r="D26" s="47" t="s">
        <v>1113</v>
      </c>
      <c r="E26" s="15">
        <v>1</v>
      </c>
      <c r="F26" s="47" t="s">
        <v>1114</v>
      </c>
      <c r="G26" s="16">
        <v>12846</v>
      </c>
      <c r="H26" s="16">
        <f t="shared" si="0"/>
        <v>12846</v>
      </c>
      <c r="I26" s="66">
        <v>46259</v>
      </c>
      <c r="J26" s="14"/>
      <c r="K26" t="s">
        <v>974</v>
      </c>
    </row>
    <row r="27" spans="1:11" ht="19.5" customHeight="1" x14ac:dyDescent="0.35">
      <c r="A27" s="47" t="s">
        <v>1181</v>
      </c>
      <c r="B27" s="51" t="s">
        <v>1182</v>
      </c>
      <c r="C27" s="47" t="s">
        <v>1121</v>
      </c>
      <c r="D27" s="47" t="s">
        <v>1113</v>
      </c>
      <c r="E27" s="15">
        <v>1</v>
      </c>
      <c r="F27" s="47" t="s">
        <v>1114</v>
      </c>
      <c r="G27" s="16">
        <v>5029</v>
      </c>
      <c r="H27" s="16">
        <f t="shared" si="0"/>
        <v>5029</v>
      </c>
      <c r="I27" s="66">
        <v>46259</v>
      </c>
      <c r="J27" s="14"/>
      <c r="K27" t="s">
        <v>974</v>
      </c>
    </row>
    <row r="28" spans="1:11" ht="19.5" customHeight="1" x14ac:dyDescent="0.35">
      <c r="A28" s="47" t="s">
        <v>1183</v>
      </c>
      <c r="B28" s="51" t="s">
        <v>1184</v>
      </c>
      <c r="C28" s="47" t="s">
        <v>1121</v>
      </c>
      <c r="D28" s="47" t="s">
        <v>1113</v>
      </c>
      <c r="E28" s="15">
        <v>1</v>
      </c>
      <c r="F28" s="47" t="s">
        <v>1114</v>
      </c>
      <c r="G28" s="16">
        <v>8621</v>
      </c>
      <c r="H28" s="16">
        <f t="shared" si="0"/>
        <v>8621</v>
      </c>
      <c r="I28" s="66">
        <v>46259</v>
      </c>
      <c r="J28" s="14"/>
      <c r="K28" t="s">
        <v>974</v>
      </c>
    </row>
    <row r="29" spans="1:11" ht="19.5" customHeight="1" x14ac:dyDescent="0.35">
      <c r="A29" s="47" t="s">
        <v>1185</v>
      </c>
      <c r="B29" s="51" t="s">
        <v>1186</v>
      </c>
      <c r="C29" s="47" t="s">
        <v>1121</v>
      </c>
      <c r="D29" s="47" t="s">
        <v>1113</v>
      </c>
      <c r="E29" s="15">
        <v>1</v>
      </c>
      <c r="F29" s="47" t="s">
        <v>1114</v>
      </c>
      <c r="G29" s="16">
        <v>12509</v>
      </c>
      <c r="H29" s="16">
        <f t="shared" si="0"/>
        <v>12509</v>
      </c>
      <c r="I29" s="66">
        <v>46259</v>
      </c>
      <c r="J29" s="14"/>
      <c r="K29" t="s">
        <v>974</v>
      </c>
    </row>
    <row r="30" spans="1:11" ht="19.5" customHeight="1" x14ac:dyDescent="0.35">
      <c r="A30" s="47" t="s">
        <v>1187</v>
      </c>
      <c r="B30" s="51" t="s">
        <v>1188</v>
      </c>
      <c r="C30" s="47" t="s">
        <v>1121</v>
      </c>
      <c r="D30" s="47" t="s">
        <v>1113</v>
      </c>
      <c r="E30" s="15">
        <v>1</v>
      </c>
      <c r="F30" s="47" t="s">
        <v>1114</v>
      </c>
      <c r="G30" s="16">
        <v>6371</v>
      </c>
      <c r="H30" s="16">
        <f t="shared" si="0"/>
        <v>6371</v>
      </c>
      <c r="I30" s="66">
        <v>46259</v>
      </c>
      <c r="J30" s="14"/>
      <c r="K30" t="s">
        <v>974</v>
      </c>
    </row>
    <row r="31" spans="1:11" ht="19.5" customHeight="1" x14ac:dyDescent="0.35">
      <c r="A31" s="47" t="s">
        <v>1189</v>
      </c>
      <c r="B31" s="51" t="s">
        <v>1190</v>
      </c>
      <c r="C31" s="47" t="s">
        <v>1121</v>
      </c>
      <c r="D31" s="47" t="s">
        <v>1113</v>
      </c>
      <c r="E31" s="15">
        <v>1</v>
      </c>
      <c r="F31" s="47" t="s">
        <v>1114</v>
      </c>
      <c r="G31" s="16">
        <v>7784</v>
      </c>
      <c r="H31" s="16">
        <f t="shared" si="0"/>
        <v>7784</v>
      </c>
      <c r="I31" s="66">
        <v>46259</v>
      </c>
      <c r="J31" s="14"/>
      <c r="K31" t="s">
        <v>974</v>
      </c>
    </row>
    <row r="32" spans="1:11" ht="19.5" customHeight="1" x14ac:dyDescent="0.35">
      <c r="A32" s="47" t="s">
        <v>1191</v>
      </c>
      <c r="B32" s="51" t="s">
        <v>1192</v>
      </c>
      <c r="C32" s="47" t="s">
        <v>1121</v>
      </c>
      <c r="D32" s="47" t="s">
        <v>1113</v>
      </c>
      <c r="E32" s="15">
        <v>1</v>
      </c>
      <c r="F32" s="47" t="s">
        <v>1114</v>
      </c>
      <c r="G32" s="16">
        <v>8074</v>
      </c>
      <c r="H32" s="16">
        <f t="shared" si="0"/>
        <v>8074</v>
      </c>
      <c r="I32" s="66">
        <v>46268</v>
      </c>
      <c r="J32" s="14"/>
      <c r="K32" t="s">
        <v>974</v>
      </c>
    </row>
    <row r="33" spans="1:11" ht="19.5" customHeight="1" x14ac:dyDescent="0.35">
      <c r="A33" s="47" t="s">
        <v>1193</v>
      </c>
      <c r="B33" s="14" t="s">
        <v>1194</v>
      </c>
      <c r="C33" s="47" t="s">
        <v>1132</v>
      </c>
      <c r="D33" s="47" t="s">
        <v>1113</v>
      </c>
      <c r="E33" s="15">
        <v>2</v>
      </c>
      <c r="F33" s="47" t="s">
        <v>1114</v>
      </c>
      <c r="G33" s="16">
        <v>5165</v>
      </c>
      <c r="H33" s="16">
        <f t="shared" si="0"/>
        <v>10330</v>
      </c>
      <c r="I33" s="66">
        <v>46268</v>
      </c>
      <c r="J33" s="14"/>
      <c r="K33" t="s">
        <v>974</v>
      </c>
    </row>
    <row r="34" spans="1:11" ht="19.5" customHeight="1" x14ac:dyDescent="0.35">
      <c r="A34" s="47" t="s">
        <v>1195</v>
      </c>
      <c r="B34" s="14" t="s">
        <v>1196</v>
      </c>
      <c r="C34" s="47" t="s">
        <v>1132</v>
      </c>
      <c r="D34" s="47" t="s">
        <v>1113</v>
      </c>
      <c r="E34" s="15">
        <v>2</v>
      </c>
      <c r="F34" s="47" t="s">
        <v>1114</v>
      </c>
      <c r="G34" s="16">
        <v>4647</v>
      </c>
      <c r="H34" s="16">
        <f t="shared" si="0"/>
        <v>9294</v>
      </c>
      <c r="I34" s="66">
        <v>46268</v>
      </c>
      <c r="J34" s="14"/>
      <c r="K34" t="s">
        <v>974</v>
      </c>
    </row>
    <row r="35" spans="1:11" ht="19.5" customHeight="1" x14ac:dyDescent="0.35">
      <c r="A35" s="47" t="s">
        <v>1197</v>
      </c>
      <c r="B35" s="14" t="s">
        <v>1198</v>
      </c>
      <c r="C35" s="47" t="s">
        <v>1112</v>
      </c>
      <c r="D35" s="47" t="s">
        <v>1113</v>
      </c>
      <c r="E35" s="15">
        <v>11</v>
      </c>
      <c r="F35" s="47" t="s">
        <v>1114</v>
      </c>
      <c r="G35" s="16">
        <v>7518</v>
      </c>
      <c r="H35" s="16">
        <f t="shared" si="0"/>
        <v>82698</v>
      </c>
      <c r="I35" s="66">
        <v>46268</v>
      </c>
      <c r="J35" s="14"/>
      <c r="K35" t="s">
        <v>974</v>
      </c>
    </row>
    <row r="36" spans="1:11" ht="19.5" customHeight="1" x14ac:dyDescent="0.35">
      <c r="A36" s="47" t="s">
        <v>1199</v>
      </c>
      <c r="B36" s="14" t="s">
        <v>1200</v>
      </c>
      <c r="C36" s="47" t="s">
        <v>1132</v>
      </c>
      <c r="D36" s="47" t="s">
        <v>1113</v>
      </c>
      <c r="E36" s="15">
        <v>22</v>
      </c>
      <c r="F36" s="47" t="s">
        <v>1114</v>
      </c>
      <c r="G36" s="16">
        <v>541</v>
      </c>
      <c r="H36" s="16">
        <f t="shared" si="0"/>
        <v>11902</v>
      </c>
      <c r="I36" s="66">
        <v>46277</v>
      </c>
      <c r="J36" s="14"/>
      <c r="K36" t="s">
        <v>974</v>
      </c>
    </row>
    <row r="37" spans="1:11" ht="19.5" customHeight="1" x14ac:dyDescent="0.35">
      <c r="A37" s="47" t="s">
        <v>1201</v>
      </c>
      <c r="B37" s="14" t="s">
        <v>1202</v>
      </c>
      <c r="C37" s="47" t="s">
        <v>1112</v>
      </c>
      <c r="D37" s="47" t="s">
        <v>1113</v>
      </c>
      <c r="E37" s="15"/>
      <c r="F37" s="47" t="s">
        <v>1114</v>
      </c>
      <c r="G37" s="16">
        <v>25000</v>
      </c>
      <c r="H37" s="16" t="str">
        <f t="shared" si="0"/>
        <v/>
      </c>
      <c r="I37" s="66">
        <v>46253</v>
      </c>
      <c r="J37" s="14"/>
      <c r="K37" t="s">
        <v>974</v>
      </c>
    </row>
    <row r="38" spans="1:11" ht="19.5" customHeight="1" x14ac:dyDescent="0.35">
      <c r="A38" s="47" t="s">
        <v>1203</v>
      </c>
      <c r="B38" s="14" t="s">
        <v>1204</v>
      </c>
      <c r="C38" s="47" t="s">
        <v>1112</v>
      </c>
      <c r="D38" s="47" t="s">
        <v>1113</v>
      </c>
      <c r="E38" s="15">
        <v>1</v>
      </c>
      <c r="F38" s="47" t="s">
        <v>1114</v>
      </c>
      <c r="G38" s="16">
        <v>1300000</v>
      </c>
      <c r="H38" s="16">
        <f t="shared" si="0"/>
        <v>1300000</v>
      </c>
      <c r="I38" s="66">
        <v>46260</v>
      </c>
      <c r="J38" s="14"/>
      <c r="K38" t="s">
        <v>974</v>
      </c>
    </row>
    <row r="39" spans="1:11" ht="19.5" customHeight="1" x14ac:dyDescent="0.35">
      <c r="A39" s="47" t="s">
        <v>1205</v>
      </c>
      <c r="B39" s="14" t="s">
        <v>1206</v>
      </c>
      <c r="C39" s="47" t="s">
        <v>1121</v>
      </c>
      <c r="D39" s="47" t="s">
        <v>1113</v>
      </c>
      <c r="E39" s="15">
        <v>1</v>
      </c>
      <c r="F39" s="47" t="s">
        <v>1114</v>
      </c>
      <c r="G39" s="16">
        <v>380000</v>
      </c>
      <c r="H39" s="16">
        <f t="shared" si="0"/>
        <v>380000</v>
      </c>
      <c r="I39" s="66">
        <v>46260</v>
      </c>
      <c r="J39" s="14"/>
      <c r="K39" t="s">
        <v>974</v>
      </c>
    </row>
    <row r="40" spans="1:11" ht="19.5" customHeight="1" x14ac:dyDescent="0.35">
      <c r="A40" s="47" t="s">
        <v>1207</v>
      </c>
      <c r="B40" s="14" t="s">
        <v>1208</v>
      </c>
      <c r="C40" s="47" t="s">
        <v>1121</v>
      </c>
      <c r="D40" s="47" t="s">
        <v>1209</v>
      </c>
      <c r="E40" s="15">
        <v>1</v>
      </c>
      <c r="F40" s="47" t="s">
        <v>1114</v>
      </c>
      <c r="G40" s="16">
        <v>1030000</v>
      </c>
      <c r="H40" s="16">
        <f t="shared" si="0"/>
        <v>1030000</v>
      </c>
      <c r="I40" s="66">
        <v>46260</v>
      </c>
      <c r="J40" s="14"/>
      <c r="K40" t="s">
        <v>974</v>
      </c>
    </row>
    <row r="41" spans="1:11" ht="19.5" customHeight="1" x14ac:dyDescent="0.35">
      <c r="A41" s="47" t="s">
        <v>1210</v>
      </c>
      <c r="B41" s="14" t="s">
        <v>1211</v>
      </c>
      <c r="C41" s="47" t="s">
        <v>1112</v>
      </c>
      <c r="D41" s="47" t="s">
        <v>1113</v>
      </c>
      <c r="E41" s="15">
        <v>1</v>
      </c>
      <c r="F41" s="47" t="s">
        <v>1114</v>
      </c>
      <c r="G41" s="16">
        <v>1550000</v>
      </c>
      <c r="H41" s="16">
        <f t="shared" si="0"/>
        <v>1550000</v>
      </c>
      <c r="I41" s="66">
        <v>46255</v>
      </c>
      <c r="J41" s="14"/>
      <c r="K41" t="s">
        <v>974</v>
      </c>
    </row>
    <row r="42" spans="1:11" ht="19.5" customHeight="1" x14ac:dyDescent="0.35">
      <c r="A42" s="47" t="s">
        <v>1212</v>
      </c>
      <c r="B42" s="14" t="s">
        <v>1213</v>
      </c>
      <c r="C42" s="47" t="s">
        <v>1132</v>
      </c>
      <c r="D42" s="47" t="s">
        <v>1122</v>
      </c>
      <c r="E42" s="15">
        <v>1</v>
      </c>
      <c r="F42" s="47" t="s">
        <v>1114</v>
      </c>
      <c r="G42" s="16">
        <v>12500</v>
      </c>
      <c r="H42" s="16">
        <f t="shared" si="0"/>
        <v>12500</v>
      </c>
      <c r="I42" s="66">
        <v>46268</v>
      </c>
      <c r="J42" s="14"/>
      <c r="K42" t="s">
        <v>974</v>
      </c>
    </row>
    <row r="43" spans="1:11" ht="19.5" customHeight="1" x14ac:dyDescent="0.35">
      <c r="A43" s="47" t="s">
        <v>1214</v>
      </c>
      <c r="B43" s="14" t="s">
        <v>1215</v>
      </c>
      <c r="C43" s="47" t="s">
        <v>1147</v>
      </c>
      <c r="D43" s="47" t="s">
        <v>1216</v>
      </c>
      <c r="E43" s="47">
        <v>1</v>
      </c>
      <c r="F43" s="47" t="s">
        <v>1114</v>
      </c>
      <c r="G43" s="16">
        <v>10000</v>
      </c>
      <c r="H43" s="16">
        <f t="shared" si="0"/>
        <v>10000</v>
      </c>
      <c r="I43" s="66">
        <v>46281</v>
      </c>
      <c r="J43" s="14"/>
      <c r="K43" t="s">
        <v>974</v>
      </c>
    </row>
    <row r="44" spans="1:11" ht="19.5" customHeight="1" x14ac:dyDescent="0.35">
      <c r="A44" s="47" t="s">
        <v>1217</v>
      </c>
      <c r="B44" s="51" t="s">
        <v>1218</v>
      </c>
      <c r="C44" s="47" t="s">
        <v>1112</v>
      </c>
      <c r="D44" s="47" t="s">
        <v>1113</v>
      </c>
      <c r="E44" s="47">
        <v>5</v>
      </c>
      <c r="F44" s="47" t="s">
        <v>1114</v>
      </c>
      <c r="G44" s="16">
        <v>50000</v>
      </c>
      <c r="H44" s="16">
        <f t="shared" si="0"/>
        <v>250000</v>
      </c>
      <c r="I44" s="66">
        <v>46274</v>
      </c>
      <c r="J44" s="14"/>
      <c r="K44" t="s">
        <v>974</v>
      </c>
    </row>
    <row r="45" spans="1:11" ht="19.5" customHeight="1" x14ac:dyDescent="0.35">
      <c r="A45" s="47"/>
      <c r="B45" s="14"/>
      <c r="C45" s="47"/>
      <c r="D45" s="47"/>
      <c r="E45" s="15"/>
      <c r="F45" s="47"/>
      <c r="G45" s="16"/>
      <c r="H45" s="16"/>
      <c r="I45" s="66"/>
      <c r="J45" s="14"/>
    </row>
    <row r="46" spans="1:11" ht="19.5" customHeight="1" x14ac:dyDescent="0.35">
      <c r="A46" s="47"/>
      <c r="B46" s="14"/>
      <c r="C46" s="47"/>
      <c r="D46" s="47"/>
      <c r="E46" s="15"/>
      <c r="F46" s="47"/>
      <c r="G46" s="16"/>
      <c r="H46" s="16"/>
      <c r="I46" s="66"/>
      <c r="J46" s="14"/>
    </row>
    <row r="47" spans="1:11" ht="19.5" customHeight="1" x14ac:dyDescent="0.35">
      <c r="A47" s="47" t="s">
        <v>1203</v>
      </c>
      <c r="B47" s="14"/>
      <c r="C47" s="47"/>
      <c r="D47" s="47"/>
      <c r="E47" s="15"/>
      <c r="F47" s="47"/>
      <c r="G47" s="16"/>
      <c r="H47" s="16" t="str">
        <f>IF(OR(E47="",G47=""),"",E47*G47)</f>
        <v/>
      </c>
      <c r="I47" s="48"/>
      <c r="J47" s="14"/>
      <c r="K47" t="s">
        <v>974</v>
      </c>
    </row>
    <row r="48" spans="1:11" ht="19.5" customHeight="1" x14ac:dyDescent="0.35">
      <c r="A48" s="21"/>
      <c r="B48" s="21"/>
      <c r="C48" s="21"/>
      <c r="D48" s="53" t="s">
        <v>1219</v>
      </c>
      <c r="E48" s="18">
        <f>SUM(E2:E47)</f>
        <v>125</v>
      </c>
      <c r="F48" s="21"/>
      <c r="G48" s="21"/>
      <c r="H48" s="23">
        <f>SUM(H2:H47)</f>
        <v>20857007</v>
      </c>
      <c r="I48" s="52"/>
      <c r="J48" s="21"/>
    </row>
    <row r="49" spans="1:10" ht="14.25" customHeight="1" x14ac:dyDescent="0.35"/>
    <row r="50" spans="1:10" ht="14.25" customHeight="1" x14ac:dyDescent="0.35">
      <c r="A50" s="2" t="s">
        <v>1220</v>
      </c>
      <c r="B50" s="2"/>
      <c r="C50" s="2"/>
      <c r="D50" s="2"/>
      <c r="E50" s="2"/>
      <c r="F50" s="2"/>
      <c r="G50" s="2"/>
      <c r="H50" s="2"/>
      <c r="I50" s="2"/>
      <c r="J50" s="2"/>
    </row>
    <row r="51" spans="1:10" ht="14.25" customHeight="1" x14ac:dyDescent="0.35"/>
    <row r="52" spans="1:10" ht="14.25" customHeight="1" x14ac:dyDescent="0.35"/>
    <row r="53" spans="1:10" ht="14.25" customHeight="1" x14ac:dyDescent="0.35"/>
    <row r="54" spans="1:10" ht="14.25" customHeight="1" x14ac:dyDescent="0.35"/>
    <row r="55" spans="1:10" ht="14.25" customHeight="1" x14ac:dyDescent="0.35"/>
    <row r="56" spans="1:10" ht="14.25" customHeight="1" x14ac:dyDescent="0.35"/>
    <row r="57" spans="1:10" ht="14.25" customHeight="1" x14ac:dyDescent="0.35"/>
    <row r="58" spans="1:10" ht="14.25" customHeight="1" x14ac:dyDescent="0.35"/>
    <row r="59" spans="1:10" ht="14.25" customHeight="1" x14ac:dyDescent="0.35"/>
    <row r="60" spans="1:10" ht="14.25" customHeight="1" x14ac:dyDescent="0.35"/>
    <row r="61" spans="1:10" ht="14.25" customHeight="1" x14ac:dyDescent="0.35"/>
    <row r="62" spans="1:10" ht="14.25" customHeight="1" x14ac:dyDescent="0.35"/>
    <row r="63" spans="1:10" ht="14.25" customHeight="1" x14ac:dyDescent="0.35"/>
    <row r="64" spans="1:10"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sheetData>
  <autoFilter ref="A1:J47" xr:uid="{00000000-0009-0000-0000-000007000000}"/>
  <mergeCells count="1">
    <mergeCell ref="A50:J5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1"/>
  <sheetViews>
    <sheetView zoomScaleNormal="100" workbookViewId="0">
      <pane ySplit="1" topLeftCell="A2" activePane="bottomLeft" state="frozen"/>
      <selection pane="bottomLeft" activeCell="C2" sqref="C2"/>
    </sheetView>
  </sheetViews>
  <sheetFormatPr baseColWidth="10" defaultColWidth="8.6328125" defaultRowHeight="14.5" x14ac:dyDescent="0.35"/>
  <cols>
    <col min="1" max="1" width="14" customWidth="1"/>
    <col min="2" max="2" width="13" customWidth="1"/>
    <col min="3" max="3" width="14" customWidth="1"/>
    <col min="4" max="4" width="24" customWidth="1"/>
    <col min="5" max="5" width="9" customWidth="1"/>
    <col min="6" max="6" width="11" customWidth="1"/>
    <col min="7" max="8" width="13" customWidth="1"/>
    <col min="9" max="9" width="14" customWidth="1"/>
    <col min="10" max="10" width="22" customWidth="1"/>
    <col min="11" max="11" width="16" customWidth="1"/>
  </cols>
  <sheetData>
    <row r="1" spans="1:11" ht="27.75" customHeight="1" x14ac:dyDescent="0.35">
      <c r="A1" s="13" t="s">
        <v>1221</v>
      </c>
      <c r="B1" s="13" t="s">
        <v>409</v>
      </c>
      <c r="C1" s="13" t="s">
        <v>981</v>
      </c>
      <c r="D1" s="13" t="s">
        <v>413</v>
      </c>
      <c r="E1" s="13" t="s">
        <v>982</v>
      </c>
      <c r="F1" s="13" t="s">
        <v>54</v>
      </c>
      <c r="G1" s="13" t="s">
        <v>1222</v>
      </c>
      <c r="H1" s="13" t="s">
        <v>1223</v>
      </c>
      <c r="I1" s="13" t="s">
        <v>1224</v>
      </c>
      <c r="J1" s="13" t="s">
        <v>22</v>
      </c>
      <c r="K1" s="13" t="s">
        <v>418</v>
      </c>
    </row>
    <row r="2" spans="1:11" ht="19.5" customHeight="1" x14ac:dyDescent="0.35">
      <c r="A2" s="47" t="s">
        <v>1225</v>
      </c>
      <c r="B2" s="68">
        <v>46263</v>
      </c>
      <c r="C2" s="47"/>
      <c r="D2" s="14" t="str">
        <f>IFERROR(IF(C2="","",VLOOKUP(C2,#REF!, 3, FALSE())), "")</f>
        <v/>
      </c>
      <c r="E2" s="47" t="str">
        <f>IFERROR(IF(C2="","",VLOOKUP(C2,#REF!, 4, FALSE())), "")</f>
        <v/>
      </c>
      <c r="F2" s="47"/>
      <c r="G2" s="15"/>
      <c r="H2" s="16" t="str">
        <f>IFERROR(IF(C2="","",VLOOKUP(C2,#REF!, 6, FALSE())), 0)</f>
        <v/>
      </c>
      <c r="I2" s="16" t="str">
        <f t="shared" ref="I2:I41" si="0">IF(OR(G2="",H2=""),"",G2*H2)</f>
        <v/>
      </c>
      <c r="J2" s="47" t="s">
        <v>26</v>
      </c>
      <c r="K2" s="14" t="s">
        <v>1226</v>
      </c>
    </row>
    <row r="3" spans="1:11" ht="19.5" customHeight="1" x14ac:dyDescent="0.35">
      <c r="A3" s="47" t="s">
        <v>1227</v>
      </c>
      <c r="B3" s="68"/>
      <c r="C3" s="47"/>
      <c r="D3" s="14" t="str">
        <f>IFERROR(IF(C3="","",VLOOKUP(C3,#REF!, 3, FALSE())), "")</f>
        <v/>
      </c>
      <c r="E3" s="47" t="str">
        <f>IFERROR(IF(C3="","",VLOOKUP(C3,#REF!, 4, FALSE())), "")</f>
        <v/>
      </c>
      <c r="F3" s="47"/>
      <c r="G3" s="15"/>
      <c r="H3" s="16" t="str">
        <f>IFERROR(IF(C3="","",VLOOKUP(C3,#REF!, 6, FALSE())), 0)</f>
        <v/>
      </c>
      <c r="I3" s="16" t="str">
        <f t="shared" si="0"/>
        <v/>
      </c>
      <c r="J3" s="47"/>
      <c r="K3" s="14"/>
    </row>
    <row r="4" spans="1:11" ht="19.5" customHeight="1" x14ac:dyDescent="0.35">
      <c r="A4" s="47" t="s">
        <v>1228</v>
      </c>
      <c r="B4" s="68"/>
      <c r="C4" s="47"/>
      <c r="D4" s="14" t="str">
        <f>IFERROR(IF(C4="","",VLOOKUP(C4,#REF!, 3, FALSE())), "")</f>
        <v/>
      </c>
      <c r="E4" s="47" t="str">
        <f>IFERROR(IF(C4="","",VLOOKUP(C4,#REF!, 4, FALSE())), "")</f>
        <v/>
      </c>
      <c r="F4" s="47"/>
      <c r="G4" s="15"/>
      <c r="H4" s="16" t="str">
        <f>IFERROR(IF(C4="","",VLOOKUP(C4,#REF!, 6, FALSE())), 0)</f>
        <v/>
      </c>
      <c r="I4" s="16" t="str">
        <f t="shared" si="0"/>
        <v/>
      </c>
      <c r="J4" s="47"/>
      <c r="K4" s="14"/>
    </row>
    <row r="5" spans="1:11" ht="19.5" customHeight="1" x14ac:dyDescent="0.35">
      <c r="A5" s="47" t="s">
        <v>1229</v>
      </c>
      <c r="B5" s="68"/>
      <c r="C5" s="47"/>
      <c r="D5" s="14" t="str">
        <f>IFERROR(IF(C5="","",VLOOKUP(C5,#REF!, 3, FALSE())), "")</f>
        <v/>
      </c>
      <c r="E5" s="47" t="str">
        <f>IFERROR(IF(C5="","",VLOOKUP(C5,#REF!, 4, FALSE())), "")</f>
        <v/>
      </c>
      <c r="F5" s="47"/>
      <c r="G5" s="15"/>
      <c r="H5" s="16" t="str">
        <f>IFERROR(IF(C5="","",VLOOKUP(C5,#REF!, 6, FALSE())), 0)</f>
        <v/>
      </c>
      <c r="I5" s="16" t="str">
        <f t="shared" si="0"/>
        <v/>
      </c>
      <c r="J5" s="47"/>
      <c r="K5" s="14"/>
    </row>
    <row r="6" spans="1:11" ht="19.5" customHeight="1" x14ac:dyDescent="0.35">
      <c r="A6" s="47" t="s">
        <v>1230</v>
      </c>
      <c r="B6" s="68"/>
      <c r="C6" s="47"/>
      <c r="D6" s="14" t="str">
        <f>IFERROR(IF(C6="","",VLOOKUP(C6,#REF!, 3, FALSE())), "")</f>
        <v/>
      </c>
      <c r="E6" s="47" t="str">
        <f>IFERROR(IF(C6="","",VLOOKUP(C6,#REF!, 4, FALSE())), "")</f>
        <v/>
      </c>
      <c r="F6" s="47"/>
      <c r="G6" s="15"/>
      <c r="H6" s="16" t="str">
        <f>IFERROR(IF(C6="","",VLOOKUP(C6,#REF!, 6, FALSE())), 0)</f>
        <v/>
      </c>
      <c r="I6" s="16" t="str">
        <f t="shared" si="0"/>
        <v/>
      </c>
      <c r="J6" s="47"/>
      <c r="K6" s="14"/>
    </row>
    <row r="7" spans="1:11" ht="19.5" customHeight="1" x14ac:dyDescent="0.35">
      <c r="A7" s="47" t="s">
        <v>1231</v>
      </c>
      <c r="B7" s="68"/>
      <c r="C7" s="47"/>
      <c r="D7" s="14" t="str">
        <f>IFERROR(IF(C7="","",VLOOKUP(C7,#REF!, 3, FALSE())), "")</f>
        <v/>
      </c>
      <c r="E7" s="47" t="str">
        <f>IFERROR(IF(C7="","",VLOOKUP(C7,#REF!, 4, FALSE())), "")</f>
        <v/>
      </c>
      <c r="F7" s="47"/>
      <c r="G7" s="15"/>
      <c r="H7" s="16" t="str">
        <f>IFERROR(IF(C7="","",VLOOKUP(C7,#REF!, 6, FALSE())), 0)</f>
        <v/>
      </c>
      <c r="I7" s="16" t="str">
        <f t="shared" si="0"/>
        <v/>
      </c>
      <c r="J7" s="47"/>
      <c r="K7" s="14"/>
    </row>
    <row r="8" spans="1:11" ht="19.5" customHeight="1" x14ac:dyDescent="0.35">
      <c r="A8" s="47" t="s">
        <v>1232</v>
      </c>
      <c r="B8" s="68"/>
      <c r="C8" s="47"/>
      <c r="D8" s="14" t="str">
        <f>IFERROR(IF(C8="","",VLOOKUP(C8,#REF!, 3, FALSE())), "")</f>
        <v/>
      </c>
      <c r="E8" s="47" t="str">
        <f>IFERROR(IF(C8="","",VLOOKUP(C8,#REF!, 4, FALSE())), "")</f>
        <v/>
      </c>
      <c r="F8" s="47"/>
      <c r="G8" s="15"/>
      <c r="H8" s="16" t="str">
        <f>IFERROR(IF(C8="","",VLOOKUP(C8,#REF!, 6, FALSE())), 0)</f>
        <v/>
      </c>
      <c r="I8" s="16" t="str">
        <f t="shared" si="0"/>
        <v/>
      </c>
      <c r="J8" s="47"/>
      <c r="K8" s="14"/>
    </row>
    <row r="9" spans="1:11" ht="19.5" customHeight="1" x14ac:dyDescent="0.35">
      <c r="A9" s="47" t="s">
        <v>1233</v>
      </c>
      <c r="B9" s="68"/>
      <c r="C9" s="47"/>
      <c r="D9" s="14" t="str">
        <f>IFERROR(IF(C9="","",VLOOKUP(C9,#REF!, 3, FALSE())), "")</f>
        <v/>
      </c>
      <c r="E9" s="47" t="str">
        <f>IFERROR(IF(C9="","",VLOOKUP(C9,#REF!, 4, FALSE())), "")</f>
        <v/>
      </c>
      <c r="F9" s="47"/>
      <c r="G9" s="15"/>
      <c r="H9" s="16" t="str">
        <f>IFERROR(IF(C9="","",VLOOKUP(C9,#REF!, 6, FALSE())), 0)</f>
        <v/>
      </c>
      <c r="I9" s="16" t="str">
        <f t="shared" si="0"/>
        <v/>
      </c>
      <c r="J9" s="47"/>
      <c r="K9" s="14"/>
    </row>
    <row r="10" spans="1:11" ht="19.5" customHeight="1" x14ac:dyDescent="0.35">
      <c r="A10" s="47" t="s">
        <v>1234</v>
      </c>
      <c r="B10" s="68"/>
      <c r="C10" s="47"/>
      <c r="D10" s="14" t="str">
        <f>IFERROR(IF(C10="","",VLOOKUP(C10,#REF!, 3, FALSE())), "")</f>
        <v/>
      </c>
      <c r="E10" s="47" t="str">
        <f>IFERROR(IF(C10="","",VLOOKUP(C10,#REF!, 4, FALSE())), "")</f>
        <v/>
      </c>
      <c r="F10" s="47"/>
      <c r="G10" s="15"/>
      <c r="H10" s="16" t="str">
        <f>IFERROR(IF(C10="","",VLOOKUP(C10,#REF!, 6, FALSE())), 0)</f>
        <v/>
      </c>
      <c r="I10" s="16" t="str">
        <f t="shared" si="0"/>
        <v/>
      </c>
      <c r="J10" s="47"/>
      <c r="K10" s="14"/>
    </row>
    <row r="11" spans="1:11" ht="19.5" customHeight="1" x14ac:dyDescent="0.35">
      <c r="A11" s="47" t="s">
        <v>1235</v>
      </c>
      <c r="B11" s="68"/>
      <c r="C11" s="47"/>
      <c r="D11" s="14" t="str">
        <f>IFERROR(IF(C11="","",VLOOKUP(C11,#REF!, 3, FALSE())), "")</f>
        <v/>
      </c>
      <c r="E11" s="47" t="str">
        <f>IFERROR(IF(C11="","",VLOOKUP(C11,#REF!, 4, FALSE())), "")</f>
        <v/>
      </c>
      <c r="F11" s="47"/>
      <c r="G11" s="15"/>
      <c r="H11" s="16" t="str">
        <f>IFERROR(IF(C11="","",VLOOKUP(C11,#REF!, 6, FALSE())), 0)</f>
        <v/>
      </c>
      <c r="I11" s="16" t="str">
        <f t="shared" si="0"/>
        <v/>
      </c>
      <c r="J11" s="47"/>
      <c r="K11" s="14"/>
    </row>
    <row r="12" spans="1:11" ht="19.5" customHeight="1" x14ac:dyDescent="0.35">
      <c r="A12" s="47" t="s">
        <v>1236</v>
      </c>
      <c r="B12" s="68"/>
      <c r="C12" s="47"/>
      <c r="D12" s="14" t="str">
        <f>IFERROR(IF(C12="","",VLOOKUP(C12,#REF!, 3, FALSE())), "")</f>
        <v/>
      </c>
      <c r="E12" s="47" t="str">
        <f>IFERROR(IF(C12="","",VLOOKUP(C12,#REF!, 4, FALSE())), "")</f>
        <v/>
      </c>
      <c r="F12" s="47"/>
      <c r="G12" s="15"/>
      <c r="H12" s="16" t="str">
        <f>IFERROR(IF(C12="","",VLOOKUP(C12,#REF!, 6, FALSE())), 0)</f>
        <v/>
      </c>
      <c r="I12" s="16" t="str">
        <f t="shared" si="0"/>
        <v/>
      </c>
      <c r="J12" s="47"/>
      <c r="K12" s="14"/>
    </row>
    <row r="13" spans="1:11" ht="19.5" customHeight="1" x14ac:dyDescent="0.35">
      <c r="A13" s="47" t="s">
        <v>1237</v>
      </c>
      <c r="B13" s="68"/>
      <c r="C13" s="47"/>
      <c r="D13" s="14" t="str">
        <f>IFERROR(IF(C13="","",VLOOKUP(C13,#REF!, 3, FALSE())), "")</f>
        <v/>
      </c>
      <c r="E13" s="47" t="str">
        <f>IFERROR(IF(C13="","",VLOOKUP(C13,#REF!, 4, FALSE())), "")</f>
        <v/>
      </c>
      <c r="F13" s="47"/>
      <c r="G13" s="15"/>
      <c r="H13" s="16" t="str">
        <f>IFERROR(IF(C13="","",VLOOKUP(C13,#REF!, 6, FALSE())), 0)</f>
        <v/>
      </c>
      <c r="I13" s="16" t="str">
        <f t="shared" si="0"/>
        <v/>
      </c>
      <c r="J13" s="47"/>
      <c r="K13" s="14"/>
    </row>
    <row r="14" spans="1:11" ht="19.5" customHeight="1" x14ac:dyDescent="0.35">
      <c r="A14" s="47" t="s">
        <v>1238</v>
      </c>
      <c r="B14" s="68"/>
      <c r="C14" s="47"/>
      <c r="D14" s="14" t="str">
        <f>IFERROR(IF(C14="","",VLOOKUP(C14,#REF!, 3, FALSE())), "")</f>
        <v/>
      </c>
      <c r="E14" s="47" t="str">
        <f>IFERROR(IF(C14="","",VLOOKUP(C14,#REF!, 4, FALSE())), "")</f>
        <v/>
      </c>
      <c r="F14" s="47"/>
      <c r="G14" s="15"/>
      <c r="H14" s="16" t="str">
        <f>IFERROR(IF(C14="","",VLOOKUP(C14,#REF!, 6, FALSE())), 0)</f>
        <v/>
      </c>
      <c r="I14" s="16" t="str">
        <f t="shared" si="0"/>
        <v/>
      </c>
      <c r="J14" s="47"/>
      <c r="K14" s="14"/>
    </row>
    <row r="15" spans="1:11" ht="19.5" customHeight="1" x14ac:dyDescent="0.35">
      <c r="A15" s="47" t="s">
        <v>1239</v>
      </c>
      <c r="B15" s="68"/>
      <c r="C15" s="47"/>
      <c r="D15" s="14" t="str">
        <f>IFERROR(IF(C15="","",VLOOKUP(C15,#REF!, 3, FALSE())), "")</f>
        <v/>
      </c>
      <c r="E15" s="47" t="str">
        <f>IFERROR(IF(C15="","",VLOOKUP(C15,#REF!, 4, FALSE())), "")</f>
        <v/>
      </c>
      <c r="F15" s="47"/>
      <c r="G15" s="15"/>
      <c r="H15" s="16" t="str">
        <f>IFERROR(IF(C15="","",VLOOKUP(C15,#REF!, 6, FALSE())), 0)</f>
        <v/>
      </c>
      <c r="I15" s="16" t="str">
        <f t="shared" si="0"/>
        <v/>
      </c>
      <c r="J15" s="47"/>
      <c r="K15" s="14"/>
    </row>
    <row r="16" spans="1:11" ht="19.5" customHeight="1" x14ac:dyDescent="0.35">
      <c r="A16" s="47" t="s">
        <v>1240</v>
      </c>
      <c r="B16" s="68"/>
      <c r="C16" s="47"/>
      <c r="D16" s="14" t="str">
        <f>IFERROR(IF(C16="","",VLOOKUP(C16,#REF!, 3, FALSE())), "")</f>
        <v/>
      </c>
      <c r="E16" s="47" t="str">
        <f>IFERROR(IF(C16="","",VLOOKUP(C16,#REF!, 4, FALSE())), "")</f>
        <v/>
      </c>
      <c r="F16" s="47"/>
      <c r="G16" s="15"/>
      <c r="H16" s="16" t="str">
        <f>IFERROR(IF(C16="","",VLOOKUP(C16,#REF!, 6, FALSE())), 0)</f>
        <v/>
      </c>
      <c r="I16" s="16" t="str">
        <f t="shared" si="0"/>
        <v/>
      </c>
      <c r="J16" s="47"/>
      <c r="K16" s="14"/>
    </row>
    <row r="17" spans="1:11" ht="19.5" customHeight="1" x14ac:dyDescent="0.35">
      <c r="A17" s="47" t="s">
        <v>1241</v>
      </c>
      <c r="B17" s="68"/>
      <c r="C17" s="47"/>
      <c r="D17" s="14" t="str">
        <f>IFERROR(IF(C17="","",VLOOKUP(C17,#REF!, 3, FALSE())), "")</f>
        <v/>
      </c>
      <c r="E17" s="47" t="str">
        <f>IFERROR(IF(C17="","",VLOOKUP(C17,#REF!, 4, FALSE())), "")</f>
        <v/>
      </c>
      <c r="F17" s="47"/>
      <c r="G17" s="15"/>
      <c r="H17" s="16" t="str">
        <f>IFERROR(IF(C17="","",VLOOKUP(C17,#REF!, 6, FALSE())), 0)</f>
        <v/>
      </c>
      <c r="I17" s="16" t="str">
        <f t="shared" si="0"/>
        <v/>
      </c>
      <c r="J17" s="47"/>
      <c r="K17" s="14"/>
    </row>
    <row r="18" spans="1:11" ht="19.5" customHeight="1" x14ac:dyDescent="0.35">
      <c r="A18" s="47" t="s">
        <v>1242</v>
      </c>
      <c r="B18" s="68"/>
      <c r="C18" s="47"/>
      <c r="D18" s="14" t="str">
        <f>IFERROR(IF(C18="","",VLOOKUP(C18,#REF!, 3, FALSE())), "")</f>
        <v/>
      </c>
      <c r="E18" s="47" t="str">
        <f>IFERROR(IF(C18="","",VLOOKUP(C18,#REF!, 4, FALSE())), "")</f>
        <v/>
      </c>
      <c r="F18" s="47"/>
      <c r="G18" s="15"/>
      <c r="H18" s="16" t="str">
        <f>IFERROR(IF(C18="","",VLOOKUP(C18,#REF!, 6, FALSE())), 0)</f>
        <v/>
      </c>
      <c r="I18" s="16" t="str">
        <f t="shared" si="0"/>
        <v/>
      </c>
      <c r="J18" s="47"/>
      <c r="K18" s="14"/>
    </row>
    <row r="19" spans="1:11" ht="19.5" customHeight="1" x14ac:dyDescent="0.35">
      <c r="A19" s="47" t="s">
        <v>1243</v>
      </c>
      <c r="B19" s="68"/>
      <c r="C19" s="47"/>
      <c r="D19" s="14" t="str">
        <f>IFERROR(IF(C19="","",VLOOKUP(C19,#REF!, 3, FALSE())), "")</f>
        <v/>
      </c>
      <c r="E19" s="47" t="str">
        <f>IFERROR(IF(C19="","",VLOOKUP(C19,#REF!, 4, FALSE())), "")</f>
        <v/>
      </c>
      <c r="F19" s="47"/>
      <c r="G19" s="15"/>
      <c r="H19" s="16" t="str">
        <f>IFERROR(IF(C19="","",VLOOKUP(C19,#REF!, 6, FALSE())), 0)</f>
        <v/>
      </c>
      <c r="I19" s="16" t="str">
        <f t="shared" si="0"/>
        <v/>
      </c>
      <c r="J19" s="47"/>
      <c r="K19" s="14"/>
    </row>
    <row r="20" spans="1:11" ht="19.5" customHeight="1" x14ac:dyDescent="0.35">
      <c r="A20" s="47" t="s">
        <v>1244</v>
      </c>
      <c r="B20" s="68"/>
      <c r="C20" s="47"/>
      <c r="D20" s="14" t="str">
        <f>IFERROR(IF(C20="","",VLOOKUP(C20,#REF!, 3, FALSE())), "")</f>
        <v/>
      </c>
      <c r="E20" s="47" t="str">
        <f>IFERROR(IF(C20="","",VLOOKUP(C20,#REF!, 4, FALSE())), "")</f>
        <v/>
      </c>
      <c r="F20" s="47"/>
      <c r="G20" s="15"/>
      <c r="H20" s="16" t="str">
        <f>IFERROR(IF(C20="","",VLOOKUP(C20,#REF!, 6, FALSE())), 0)</f>
        <v/>
      </c>
      <c r="I20" s="16" t="str">
        <f t="shared" si="0"/>
        <v/>
      </c>
      <c r="J20" s="47"/>
      <c r="K20" s="14"/>
    </row>
    <row r="21" spans="1:11" ht="19.5" customHeight="1" x14ac:dyDescent="0.35">
      <c r="A21" s="47" t="s">
        <v>1245</v>
      </c>
      <c r="B21" s="68"/>
      <c r="C21" s="47"/>
      <c r="D21" s="14" t="str">
        <f>IFERROR(IF(C21="","",VLOOKUP(C21,#REF!, 3, FALSE())), "")</f>
        <v/>
      </c>
      <c r="E21" s="47" t="str">
        <f>IFERROR(IF(C21="","",VLOOKUP(C21,#REF!, 4, FALSE())), "")</f>
        <v/>
      </c>
      <c r="F21" s="47"/>
      <c r="G21" s="15"/>
      <c r="H21" s="16" t="str">
        <f>IFERROR(IF(C21="","",VLOOKUP(C21,#REF!, 6, FALSE())), 0)</f>
        <v/>
      </c>
      <c r="I21" s="16" t="str">
        <f t="shared" si="0"/>
        <v/>
      </c>
      <c r="J21" s="47"/>
      <c r="K21" s="14"/>
    </row>
    <row r="22" spans="1:11" ht="19.5" customHeight="1" x14ac:dyDescent="0.35">
      <c r="A22" s="47" t="s">
        <v>1246</v>
      </c>
      <c r="B22" s="68"/>
      <c r="C22" s="47"/>
      <c r="D22" s="14" t="str">
        <f>IFERROR(IF(C22="","",VLOOKUP(C22,#REF!, 3, FALSE())), "")</f>
        <v/>
      </c>
      <c r="E22" s="47" t="str">
        <f>IFERROR(IF(C22="","",VLOOKUP(C22,#REF!, 4, FALSE())), "")</f>
        <v/>
      </c>
      <c r="F22" s="47"/>
      <c r="G22" s="15"/>
      <c r="H22" s="16" t="str">
        <f>IFERROR(IF(C22="","",VLOOKUP(C22,#REF!, 6, FALSE())), 0)</f>
        <v/>
      </c>
      <c r="I22" s="16" t="str">
        <f t="shared" si="0"/>
        <v/>
      </c>
      <c r="J22" s="47"/>
      <c r="K22" s="14"/>
    </row>
    <row r="23" spans="1:11" ht="19.5" customHeight="1" x14ac:dyDescent="0.35">
      <c r="A23" s="47" t="s">
        <v>1247</v>
      </c>
      <c r="B23" s="68"/>
      <c r="C23" s="47"/>
      <c r="D23" s="14" t="str">
        <f>IFERROR(IF(C23="","",VLOOKUP(C23,#REF!, 3, FALSE())), "")</f>
        <v/>
      </c>
      <c r="E23" s="47" t="str">
        <f>IFERROR(IF(C23="","",VLOOKUP(C23,#REF!, 4, FALSE())), "")</f>
        <v/>
      </c>
      <c r="F23" s="47"/>
      <c r="G23" s="15"/>
      <c r="H23" s="16" t="str">
        <f>IFERROR(IF(C23="","",VLOOKUP(C23,#REF!, 6, FALSE())), 0)</f>
        <v/>
      </c>
      <c r="I23" s="16" t="str">
        <f t="shared" si="0"/>
        <v/>
      </c>
      <c r="J23" s="47"/>
      <c r="K23" s="14"/>
    </row>
    <row r="24" spans="1:11" ht="19.5" customHeight="1" x14ac:dyDescent="0.35">
      <c r="A24" s="47" t="s">
        <v>1248</v>
      </c>
      <c r="B24" s="68"/>
      <c r="C24" s="47"/>
      <c r="D24" s="14" t="str">
        <f>IFERROR(IF(C24="","",VLOOKUP(C24,#REF!, 3, FALSE())), "")</f>
        <v/>
      </c>
      <c r="E24" s="47" t="str">
        <f>IFERROR(IF(C24="","",VLOOKUP(C24,#REF!, 4, FALSE())), "")</f>
        <v/>
      </c>
      <c r="F24" s="47"/>
      <c r="G24" s="15"/>
      <c r="H24" s="16" t="str">
        <f>IFERROR(IF(C24="","",VLOOKUP(C24,#REF!, 6, FALSE())), 0)</f>
        <v/>
      </c>
      <c r="I24" s="16" t="str">
        <f t="shared" si="0"/>
        <v/>
      </c>
      <c r="J24" s="47"/>
      <c r="K24" s="14"/>
    </row>
    <row r="25" spans="1:11" ht="19.5" customHeight="1" x14ac:dyDescent="0.35">
      <c r="A25" s="47" t="s">
        <v>1249</v>
      </c>
      <c r="B25" s="68"/>
      <c r="C25" s="47"/>
      <c r="D25" s="14" t="str">
        <f>IFERROR(IF(C25="","",VLOOKUP(C25,#REF!, 3, FALSE())), "")</f>
        <v/>
      </c>
      <c r="E25" s="47" t="str">
        <f>IFERROR(IF(C25="","",VLOOKUP(C25,#REF!, 4, FALSE())), "")</f>
        <v/>
      </c>
      <c r="F25" s="47"/>
      <c r="G25" s="15"/>
      <c r="H25" s="16" t="str">
        <f>IFERROR(IF(C25="","",VLOOKUP(C25,#REF!, 6, FALSE())), 0)</f>
        <v/>
      </c>
      <c r="I25" s="16" t="str">
        <f t="shared" si="0"/>
        <v/>
      </c>
      <c r="J25" s="47"/>
      <c r="K25" s="14"/>
    </row>
    <row r="26" spans="1:11" ht="19.5" customHeight="1" x14ac:dyDescent="0.35">
      <c r="A26" s="47" t="s">
        <v>1250</v>
      </c>
      <c r="B26" s="68"/>
      <c r="C26" s="47"/>
      <c r="D26" s="14" t="str">
        <f>IFERROR(IF(C26="","",VLOOKUP(C26,#REF!, 3, FALSE())), "")</f>
        <v/>
      </c>
      <c r="E26" s="47" t="str">
        <f>IFERROR(IF(C26="","",VLOOKUP(C26,#REF!, 4, FALSE())), "")</f>
        <v/>
      </c>
      <c r="F26" s="47"/>
      <c r="G26" s="15"/>
      <c r="H26" s="16" t="str">
        <f>IFERROR(IF(C26="","",VLOOKUP(C26,#REF!, 6, FALSE())), 0)</f>
        <v/>
      </c>
      <c r="I26" s="16" t="str">
        <f t="shared" si="0"/>
        <v/>
      </c>
      <c r="J26" s="47"/>
      <c r="K26" s="14"/>
    </row>
    <row r="27" spans="1:11" ht="19.5" customHeight="1" x14ac:dyDescent="0.35">
      <c r="A27" s="47" t="s">
        <v>1251</v>
      </c>
      <c r="B27" s="68"/>
      <c r="C27" s="47"/>
      <c r="D27" s="14" t="str">
        <f>IFERROR(IF(C27="","",VLOOKUP(C27,#REF!, 3, FALSE())), "")</f>
        <v/>
      </c>
      <c r="E27" s="47" t="str">
        <f>IFERROR(IF(C27="","",VLOOKUP(C27,#REF!, 4, FALSE())), "")</f>
        <v/>
      </c>
      <c r="F27" s="47"/>
      <c r="G27" s="15"/>
      <c r="H27" s="16" t="str">
        <f>IFERROR(IF(C27="","",VLOOKUP(C27,#REF!, 6, FALSE())), 0)</f>
        <v/>
      </c>
      <c r="I27" s="16" t="str">
        <f t="shared" si="0"/>
        <v/>
      </c>
      <c r="J27" s="47"/>
      <c r="K27" s="14"/>
    </row>
    <row r="28" spans="1:11" ht="19.5" customHeight="1" x14ac:dyDescent="0.35">
      <c r="A28" s="47" t="s">
        <v>1252</v>
      </c>
      <c r="B28" s="68"/>
      <c r="C28" s="47"/>
      <c r="D28" s="14" t="str">
        <f>IFERROR(IF(C28="","",VLOOKUP(C28,#REF!, 3, FALSE())), "")</f>
        <v/>
      </c>
      <c r="E28" s="47" t="str">
        <f>IFERROR(IF(C28="","",VLOOKUP(C28,#REF!, 4, FALSE())), "")</f>
        <v/>
      </c>
      <c r="F28" s="47"/>
      <c r="G28" s="15"/>
      <c r="H28" s="16" t="str">
        <f>IFERROR(IF(C28="","",VLOOKUP(C28,#REF!, 6, FALSE())), 0)</f>
        <v/>
      </c>
      <c r="I28" s="16" t="str">
        <f t="shared" si="0"/>
        <v/>
      </c>
      <c r="J28" s="47"/>
      <c r="K28" s="14"/>
    </row>
    <row r="29" spans="1:11" ht="19.5" customHeight="1" x14ac:dyDescent="0.35">
      <c r="A29" s="47" t="s">
        <v>1253</v>
      </c>
      <c r="B29" s="68"/>
      <c r="C29" s="47"/>
      <c r="D29" s="14" t="str">
        <f>IFERROR(IF(C29="","",VLOOKUP(C29,#REF!, 3, FALSE())), "")</f>
        <v/>
      </c>
      <c r="E29" s="47" t="str">
        <f>IFERROR(IF(C29="","",VLOOKUP(C29,#REF!, 4, FALSE())), "")</f>
        <v/>
      </c>
      <c r="F29" s="47"/>
      <c r="G29" s="15"/>
      <c r="H29" s="16" t="str">
        <f>IFERROR(IF(C29="","",VLOOKUP(C29,#REF!, 6, FALSE())), 0)</f>
        <v/>
      </c>
      <c r="I29" s="16" t="str">
        <f t="shared" si="0"/>
        <v/>
      </c>
      <c r="J29" s="47"/>
      <c r="K29" s="14"/>
    </row>
    <row r="30" spans="1:11" ht="19.5" customHeight="1" x14ac:dyDescent="0.35">
      <c r="A30" s="47" t="s">
        <v>1254</v>
      </c>
      <c r="B30" s="68"/>
      <c r="C30" s="47"/>
      <c r="D30" s="14" t="str">
        <f>IFERROR(IF(C30="","",VLOOKUP(C30,#REF!, 3, FALSE())), "")</f>
        <v/>
      </c>
      <c r="E30" s="47" t="str">
        <f>IFERROR(IF(C30="","",VLOOKUP(C30,#REF!, 4, FALSE())), "")</f>
        <v/>
      </c>
      <c r="F30" s="47"/>
      <c r="G30" s="15"/>
      <c r="H30" s="16" t="str">
        <f>IFERROR(IF(C30="","",VLOOKUP(C30,#REF!, 6, FALSE())), 0)</f>
        <v/>
      </c>
      <c r="I30" s="16" t="str">
        <f t="shared" si="0"/>
        <v/>
      </c>
      <c r="J30" s="47"/>
      <c r="K30" s="14"/>
    </row>
    <row r="31" spans="1:11" ht="19.5" customHeight="1" x14ac:dyDescent="0.35">
      <c r="A31" s="47" t="s">
        <v>1255</v>
      </c>
      <c r="B31" s="68"/>
      <c r="C31" s="47"/>
      <c r="D31" s="14" t="str">
        <f>IFERROR(IF(C31="","",VLOOKUP(C31,#REF!, 3, FALSE())), "")</f>
        <v/>
      </c>
      <c r="E31" s="47" t="str">
        <f>IFERROR(IF(C31="","",VLOOKUP(C31,#REF!, 4, FALSE())), "")</f>
        <v/>
      </c>
      <c r="F31" s="47"/>
      <c r="G31" s="15"/>
      <c r="H31" s="16" t="str">
        <f>IFERROR(IF(C31="","",VLOOKUP(C31,#REF!, 6, FALSE())), 0)</f>
        <v/>
      </c>
      <c r="I31" s="16" t="str">
        <f t="shared" si="0"/>
        <v/>
      </c>
      <c r="J31" s="47"/>
      <c r="K31" s="14"/>
    </row>
    <row r="32" spans="1:11" ht="19.5" customHeight="1" x14ac:dyDescent="0.35">
      <c r="A32" s="47" t="s">
        <v>1256</v>
      </c>
      <c r="B32" s="68"/>
      <c r="C32" s="47"/>
      <c r="D32" s="14" t="str">
        <f>IFERROR(IF(C32="","",VLOOKUP(C32,#REF!, 3, FALSE())), "")</f>
        <v/>
      </c>
      <c r="E32" s="47" t="str">
        <f>IFERROR(IF(C32="","",VLOOKUP(C32,#REF!, 4, FALSE())), "")</f>
        <v/>
      </c>
      <c r="F32" s="47"/>
      <c r="G32" s="15"/>
      <c r="H32" s="16" t="str">
        <f>IFERROR(IF(C32="","",VLOOKUP(C32,#REF!, 6, FALSE())), 0)</f>
        <v/>
      </c>
      <c r="I32" s="16" t="str">
        <f t="shared" si="0"/>
        <v/>
      </c>
      <c r="J32" s="47"/>
      <c r="K32" s="14"/>
    </row>
    <row r="33" spans="1:11" ht="19.5" customHeight="1" x14ac:dyDescent="0.35">
      <c r="A33" s="47" t="s">
        <v>1257</v>
      </c>
      <c r="B33" s="68"/>
      <c r="C33" s="47"/>
      <c r="D33" s="14" t="str">
        <f>IFERROR(IF(C33="","",VLOOKUP(C33,#REF!, 3, FALSE())), "")</f>
        <v/>
      </c>
      <c r="E33" s="47" t="str">
        <f>IFERROR(IF(C33="","",VLOOKUP(C33,#REF!, 4, FALSE())), "")</f>
        <v/>
      </c>
      <c r="F33" s="47"/>
      <c r="G33" s="15"/>
      <c r="H33" s="16" t="str">
        <f>IFERROR(IF(C33="","",VLOOKUP(C33,#REF!, 6, FALSE())), 0)</f>
        <v/>
      </c>
      <c r="I33" s="16" t="str">
        <f t="shared" si="0"/>
        <v/>
      </c>
      <c r="J33" s="47"/>
      <c r="K33" s="14"/>
    </row>
    <row r="34" spans="1:11" ht="19.5" customHeight="1" x14ac:dyDescent="0.35">
      <c r="A34" s="47" t="s">
        <v>1258</v>
      </c>
      <c r="B34" s="68"/>
      <c r="C34" s="47"/>
      <c r="D34" s="14" t="str">
        <f>IFERROR(IF(C34="","",VLOOKUP(C34,#REF!, 3, FALSE())), "")</f>
        <v/>
      </c>
      <c r="E34" s="47" t="str">
        <f>IFERROR(IF(C34="","",VLOOKUP(C34,#REF!, 4, FALSE())), "")</f>
        <v/>
      </c>
      <c r="F34" s="47"/>
      <c r="G34" s="15"/>
      <c r="H34" s="16" t="str">
        <f>IFERROR(IF(C34="","",VLOOKUP(C34,#REF!, 6, FALSE())), 0)</f>
        <v/>
      </c>
      <c r="I34" s="16" t="str">
        <f t="shared" si="0"/>
        <v/>
      </c>
      <c r="J34" s="47"/>
      <c r="K34" s="14"/>
    </row>
    <row r="35" spans="1:11" ht="19.5" customHeight="1" x14ac:dyDescent="0.35">
      <c r="A35" s="47" t="s">
        <v>1259</v>
      </c>
      <c r="B35" s="68"/>
      <c r="C35" s="47"/>
      <c r="D35" s="14" t="str">
        <f>IFERROR(IF(C35="","",VLOOKUP(C35,#REF!, 3, FALSE())), "")</f>
        <v/>
      </c>
      <c r="E35" s="47" t="str">
        <f>IFERROR(IF(C35="","",VLOOKUP(C35,#REF!, 4, FALSE())), "")</f>
        <v/>
      </c>
      <c r="F35" s="47"/>
      <c r="G35" s="15"/>
      <c r="H35" s="16" t="str">
        <f>IFERROR(IF(C35="","",VLOOKUP(C35,#REF!, 6, FALSE())), 0)</f>
        <v/>
      </c>
      <c r="I35" s="16" t="str">
        <f t="shared" si="0"/>
        <v/>
      </c>
      <c r="J35" s="47"/>
      <c r="K35" s="14"/>
    </row>
    <row r="36" spans="1:11" ht="19.5" customHeight="1" x14ac:dyDescent="0.35">
      <c r="A36" s="47" t="s">
        <v>1260</v>
      </c>
      <c r="B36" s="68"/>
      <c r="C36" s="47"/>
      <c r="D36" s="14" t="str">
        <f>IFERROR(IF(C36="","",VLOOKUP(C36,#REF!, 3, FALSE())), "")</f>
        <v/>
      </c>
      <c r="E36" s="47" t="str">
        <f>IFERROR(IF(C36="","",VLOOKUP(C36,#REF!, 4, FALSE())), "")</f>
        <v/>
      </c>
      <c r="F36" s="47"/>
      <c r="G36" s="15"/>
      <c r="H36" s="16" t="str">
        <f>IFERROR(IF(C36="","",VLOOKUP(C36,#REF!, 6, FALSE())), 0)</f>
        <v/>
      </c>
      <c r="I36" s="16" t="str">
        <f t="shared" si="0"/>
        <v/>
      </c>
      <c r="J36" s="47"/>
      <c r="K36" s="14"/>
    </row>
    <row r="37" spans="1:11" ht="19.5" customHeight="1" x14ac:dyDescent="0.35">
      <c r="A37" s="47" t="s">
        <v>1261</v>
      </c>
      <c r="B37" s="68"/>
      <c r="C37" s="47"/>
      <c r="D37" s="14" t="str">
        <f>IFERROR(IF(C37="","",VLOOKUP(C37,#REF!, 3, FALSE())), "")</f>
        <v/>
      </c>
      <c r="E37" s="47" t="str">
        <f>IFERROR(IF(C37="","",VLOOKUP(C37,#REF!, 4, FALSE())), "")</f>
        <v/>
      </c>
      <c r="F37" s="47"/>
      <c r="G37" s="15"/>
      <c r="H37" s="16" t="str">
        <f>IFERROR(IF(C37="","",VLOOKUP(C37,#REF!, 6, FALSE())), 0)</f>
        <v/>
      </c>
      <c r="I37" s="16" t="str">
        <f t="shared" si="0"/>
        <v/>
      </c>
      <c r="J37" s="47"/>
      <c r="K37" s="14"/>
    </row>
    <row r="38" spans="1:11" ht="19.5" customHeight="1" x14ac:dyDescent="0.35">
      <c r="A38" s="47" t="s">
        <v>1262</v>
      </c>
      <c r="B38" s="68"/>
      <c r="C38" s="47"/>
      <c r="D38" s="14" t="str">
        <f>IFERROR(IF(C38="","",VLOOKUP(C38,#REF!, 3, FALSE())), "")</f>
        <v/>
      </c>
      <c r="E38" s="47" t="str">
        <f>IFERROR(IF(C38="","",VLOOKUP(C38,#REF!, 4, FALSE())), "")</f>
        <v/>
      </c>
      <c r="F38" s="47"/>
      <c r="G38" s="15"/>
      <c r="H38" s="16" t="str">
        <f>IFERROR(IF(C38="","",VLOOKUP(C38,#REF!, 6, FALSE())), 0)</f>
        <v/>
      </c>
      <c r="I38" s="16" t="str">
        <f t="shared" si="0"/>
        <v/>
      </c>
      <c r="J38" s="47"/>
      <c r="K38" s="14"/>
    </row>
    <row r="39" spans="1:11" ht="19.5" customHeight="1" x14ac:dyDescent="0.35">
      <c r="A39" s="47" t="s">
        <v>1263</v>
      </c>
      <c r="B39" s="68"/>
      <c r="C39" s="47"/>
      <c r="D39" s="14" t="str">
        <f>IFERROR(IF(C39="","",VLOOKUP(C39,#REF!, 3, FALSE())), "")</f>
        <v/>
      </c>
      <c r="E39" s="47" t="str">
        <f>IFERROR(IF(C39="","",VLOOKUP(C39,#REF!, 4, FALSE())), "")</f>
        <v/>
      </c>
      <c r="F39" s="47"/>
      <c r="G39" s="15"/>
      <c r="H39" s="16" t="str">
        <f>IFERROR(IF(C39="","",VLOOKUP(C39,#REF!, 6, FALSE())), 0)</f>
        <v/>
      </c>
      <c r="I39" s="16" t="str">
        <f t="shared" si="0"/>
        <v/>
      </c>
      <c r="J39" s="47"/>
      <c r="K39" s="14"/>
    </row>
    <row r="40" spans="1:11" ht="19.5" customHeight="1" x14ac:dyDescent="0.35">
      <c r="A40" s="47" t="s">
        <v>1264</v>
      </c>
      <c r="B40" s="68"/>
      <c r="C40" s="47"/>
      <c r="D40" s="14" t="str">
        <f>IFERROR(IF(C40="","",VLOOKUP(C40,#REF!, 3, FALSE())), "")</f>
        <v/>
      </c>
      <c r="E40" s="47" t="str">
        <f>IFERROR(IF(C40="","",VLOOKUP(C40,#REF!, 4, FALSE())), "")</f>
        <v/>
      </c>
      <c r="F40" s="47"/>
      <c r="G40" s="15"/>
      <c r="H40" s="16" t="str">
        <f>IFERROR(IF(C40="","",VLOOKUP(C40,#REF!, 6, FALSE())), 0)</f>
        <v/>
      </c>
      <c r="I40" s="16" t="str">
        <f t="shared" si="0"/>
        <v/>
      </c>
      <c r="J40" s="47"/>
      <c r="K40" s="14"/>
    </row>
    <row r="41" spans="1:11" ht="19.5" customHeight="1" x14ac:dyDescent="0.35">
      <c r="A41" s="47" t="s">
        <v>1265</v>
      </c>
      <c r="B41" s="68"/>
      <c r="C41" s="47"/>
      <c r="D41" s="14" t="str">
        <f>IFERROR(IF(C41="","",VLOOKUP(C41,#REF!, 3, FALSE())), "")</f>
        <v/>
      </c>
      <c r="E41" s="47" t="str">
        <f>IFERROR(IF(C41="","",VLOOKUP(C41,#REF!, 4, FALSE())), "")</f>
        <v/>
      </c>
      <c r="F41" s="47"/>
      <c r="G41" s="15"/>
      <c r="H41" s="16" t="str">
        <f>IFERROR(IF(C41="","",VLOOKUP(C41,#REF!, 6, FALSE())), 0)</f>
        <v/>
      </c>
      <c r="I41" s="16" t="str">
        <f t="shared" si="0"/>
        <v/>
      </c>
      <c r="J41" s="47"/>
      <c r="K41" s="14"/>
    </row>
  </sheetData>
  <autoFilter ref="A1:K41"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8"/>
  <sheetViews>
    <sheetView showGridLines="0" topLeftCell="U1" zoomScaleNormal="100" workbookViewId="0">
      <selection activeCell="AA10" sqref="AA10"/>
    </sheetView>
  </sheetViews>
  <sheetFormatPr baseColWidth="10" defaultColWidth="8.6328125" defaultRowHeight="14.5" x14ac:dyDescent="0.35"/>
  <cols>
    <col min="1" max="1" width="22" customWidth="1"/>
    <col min="2" max="2" width="4" customWidth="1"/>
    <col min="3" max="3" width="10" customWidth="1"/>
    <col min="4" max="4" width="4" customWidth="1"/>
    <col min="5" max="5" width="24" customWidth="1"/>
    <col min="6" max="6" width="4" customWidth="1"/>
    <col min="7" max="7" width="24" customWidth="1"/>
    <col min="8" max="8" width="4" customWidth="1"/>
    <col min="9" max="9" width="22" customWidth="1"/>
    <col min="10" max="10" width="4" customWidth="1"/>
    <col min="11" max="11" width="26" customWidth="1"/>
    <col min="12" max="12" width="4" customWidth="1"/>
    <col min="13" max="13" width="12" customWidth="1"/>
    <col min="14" max="14" width="4" customWidth="1"/>
    <col min="15" max="15" width="14" customWidth="1"/>
    <col min="16" max="16" width="4" customWidth="1"/>
    <col min="19" max="19" width="20" customWidth="1"/>
    <col min="21" max="21" width="20" customWidth="1"/>
    <col min="23" max="23" width="20" customWidth="1"/>
    <col min="25" max="25" width="22" customWidth="1"/>
    <col min="27" max="27" width="53.81640625" customWidth="1"/>
  </cols>
  <sheetData>
    <row r="1" spans="1:27" ht="16.5" customHeight="1" x14ac:dyDescent="0.4">
      <c r="A1" s="12" t="s">
        <v>1266</v>
      </c>
    </row>
    <row r="2" spans="1:27" ht="14.25" customHeight="1" x14ac:dyDescent="0.35">
      <c r="A2" s="20" t="s">
        <v>1267</v>
      </c>
    </row>
    <row r="3" spans="1:27" ht="14.25" customHeight="1" x14ac:dyDescent="0.35">
      <c r="A3" s="13" t="s">
        <v>412</v>
      </c>
      <c r="C3" s="13" t="s">
        <v>1268</v>
      </c>
      <c r="E3" s="13" t="s">
        <v>1269</v>
      </c>
      <c r="G3" s="13" t="s">
        <v>1270</v>
      </c>
      <c r="I3" s="13" t="s">
        <v>1271</v>
      </c>
      <c r="K3" s="13" t="s">
        <v>1272</v>
      </c>
      <c r="M3" s="13" t="s">
        <v>54</v>
      </c>
      <c r="O3" s="13" t="s">
        <v>1273</v>
      </c>
      <c r="Q3" s="69" t="s">
        <v>1274</v>
      </c>
      <c r="S3" s="70" t="s">
        <v>859</v>
      </c>
      <c r="U3" s="70" t="s">
        <v>1275</v>
      </c>
      <c r="W3" s="70" t="s">
        <v>1276</v>
      </c>
      <c r="Y3" s="70" t="s">
        <v>1277</v>
      </c>
      <c r="AA3" s="70" t="s">
        <v>411</v>
      </c>
    </row>
    <row r="4" spans="1:27" ht="14.25" customHeight="1" x14ac:dyDescent="0.35">
      <c r="A4" s="11" t="s">
        <v>1278</v>
      </c>
      <c r="C4" s="11" t="s">
        <v>1279</v>
      </c>
      <c r="E4" s="11" t="s">
        <v>26</v>
      </c>
      <c r="G4" s="11" t="s">
        <v>1114</v>
      </c>
      <c r="I4" s="11" t="s">
        <v>1112</v>
      </c>
      <c r="K4" s="11" t="s">
        <v>42</v>
      </c>
      <c r="M4" s="11" t="s">
        <v>55</v>
      </c>
      <c r="O4" s="11" t="s">
        <v>992</v>
      </c>
      <c r="Q4" t="s">
        <v>3</v>
      </c>
      <c r="S4" t="s">
        <v>978</v>
      </c>
      <c r="U4" t="s">
        <v>1280</v>
      </c>
      <c r="W4" t="s">
        <v>974</v>
      </c>
      <c r="Y4" t="s">
        <v>974</v>
      </c>
      <c r="AA4" t="s">
        <v>423</v>
      </c>
    </row>
    <row r="5" spans="1:27" ht="14.25" customHeight="1" x14ac:dyDescent="0.35">
      <c r="A5" s="11" t="s">
        <v>1281</v>
      </c>
      <c r="C5" s="11" t="s">
        <v>1282</v>
      </c>
      <c r="E5" s="11" t="s">
        <v>28</v>
      </c>
      <c r="G5" s="11" t="s">
        <v>1283</v>
      </c>
      <c r="I5" s="11" t="s">
        <v>1132</v>
      </c>
      <c r="K5" s="11" t="s">
        <v>43</v>
      </c>
      <c r="M5" s="11" t="s">
        <v>56</v>
      </c>
      <c r="O5" s="11" t="s">
        <v>1002</v>
      </c>
      <c r="Q5" t="s">
        <v>997</v>
      </c>
      <c r="S5" t="s">
        <v>862</v>
      </c>
      <c r="U5" t="s">
        <v>1284</v>
      </c>
      <c r="W5" t="s">
        <v>1285</v>
      </c>
      <c r="Y5" t="s">
        <v>1286</v>
      </c>
      <c r="AA5" t="s">
        <v>426</v>
      </c>
    </row>
    <row r="6" spans="1:27" ht="14.25" customHeight="1" x14ac:dyDescent="0.35">
      <c r="A6" t="s">
        <v>1287</v>
      </c>
      <c r="C6" s="11" t="s">
        <v>1288</v>
      </c>
      <c r="E6" s="11" t="s">
        <v>30</v>
      </c>
      <c r="G6" s="11" t="s">
        <v>1289</v>
      </c>
      <c r="I6" s="11" t="s">
        <v>1121</v>
      </c>
      <c r="K6" s="11" t="s">
        <v>44</v>
      </c>
      <c r="M6" s="11" t="s">
        <v>57</v>
      </c>
      <c r="O6" s="11" t="s">
        <v>1290</v>
      </c>
      <c r="Q6" t="s">
        <v>1026</v>
      </c>
      <c r="S6" t="s">
        <v>974</v>
      </c>
      <c r="U6" t="s">
        <v>1291</v>
      </c>
      <c r="AA6" t="s">
        <v>1292</v>
      </c>
    </row>
    <row r="7" spans="1:27" ht="14.25" customHeight="1" x14ac:dyDescent="0.35">
      <c r="A7" s="11" t="s">
        <v>1293</v>
      </c>
      <c r="C7" s="11" t="s">
        <v>1294</v>
      </c>
      <c r="E7" s="11" t="s">
        <v>32</v>
      </c>
      <c r="G7" s="11" t="s">
        <v>1134</v>
      </c>
      <c r="I7" s="11" t="s">
        <v>1164</v>
      </c>
      <c r="K7" s="11" t="s">
        <v>45</v>
      </c>
      <c r="M7" s="11" t="s">
        <v>58</v>
      </c>
      <c r="O7" s="11" t="s">
        <v>1295</v>
      </c>
      <c r="Q7" t="s">
        <v>1296</v>
      </c>
      <c r="U7" t="s">
        <v>1297</v>
      </c>
      <c r="AA7" t="s">
        <v>429</v>
      </c>
    </row>
    <row r="8" spans="1:27" ht="14.25" customHeight="1" x14ac:dyDescent="0.35">
      <c r="A8" s="11" t="s">
        <v>1298</v>
      </c>
      <c r="C8" s="11" t="s">
        <v>1299</v>
      </c>
      <c r="E8" s="11" t="s">
        <v>34</v>
      </c>
      <c r="G8" s="11" t="s">
        <v>1300</v>
      </c>
      <c r="I8" s="71" t="s">
        <v>1147</v>
      </c>
      <c r="K8" s="11" t="s">
        <v>46</v>
      </c>
      <c r="M8" s="11" t="s">
        <v>59</v>
      </c>
      <c r="O8" s="11" t="s">
        <v>1301</v>
      </c>
      <c r="Q8" t="s">
        <v>1029</v>
      </c>
      <c r="U8" t="s">
        <v>1302</v>
      </c>
      <c r="AA8" t="s">
        <v>434</v>
      </c>
    </row>
    <row r="9" spans="1:27" ht="14.25" customHeight="1" x14ac:dyDescent="0.35">
      <c r="A9" s="71" t="s">
        <v>1303</v>
      </c>
      <c r="C9" s="11" t="s">
        <v>1304</v>
      </c>
      <c r="I9" s="11" t="s">
        <v>52</v>
      </c>
      <c r="K9" s="11" t="s">
        <v>47</v>
      </c>
      <c r="M9" s="11" t="s">
        <v>60</v>
      </c>
      <c r="Q9" t="s">
        <v>1305</v>
      </c>
      <c r="U9" t="s">
        <v>1306</v>
      </c>
      <c r="AA9" t="s">
        <v>449</v>
      </c>
    </row>
    <row r="10" spans="1:27" ht="14.25" customHeight="1" x14ac:dyDescent="0.35">
      <c r="C10" s="11" t="s">
        <v>1307</v>
      </c>
      <c r="K10" s="11" t="s">
        <v>49</v>
      </c>
      <c r="M10" s="11" t="s">
        <v>1006</v>
      </c>
      <c r="Q10" t="s">
        <v>994</v>
      </c>
      <c r="U10" t="s">
        <v>1308</v>
      </c>
    </row>
    <row r="11" spans="1:27" ht="14.25" customHeight="1" x14ac:dyDescent="0.35">
      <c r="K11" s="11" t="s">
        <v>50</v>
      </c>
      <c r="M11" s="11" t="s">
        <v>1013</v>
      </c>
      <c r="Q11" t="s">
        <v>1309</v>
      </c>
    </row>
    <row r="12" spans="1:27" ht="14.25" customHeight="1" x14ac:dyDescent="0.35">
      <c r="K12" s="11" t="s">
        <v>51</v>
      </c>
      <c r="M12" s="11" t="s">
        <v>1021</v>
      </c>
      <c r="Q12" t="s">
        <v>1004</v>
      </c>
    </row>
    <row r="13" spans="1:27" ht="14.25" customHeight="1" x14ac:dyDescent="0.35">
      <c r="K13" s="11" t="s">
        <v>874</v>
      </c>
      <c r="M13" s="11" t="s">
        <v>1058</v>
      </c>
      <c r="Q13" t="s">
        <v>1019</v>
      </c>
    </row>
    <row r="14" spans="1:27" ht="14.25" customHeight="1" x14ac:dyDescent="0.35">
      <c r="K14" s="11" t="s">
        <v>885</v>
      </c>
      <c r="M14" s="11" t="s">
        <v>1064</v>
      </c>
      <c r="Q14" t="s">
        <v>1023</v>
      </c>
    </row>
    <row r="15" spans="1:27" ht="14.25" customHeight="1" x14ac:dyDescent="0.35">
      <c r="K15" s="11" t="s">
        <v>912</v>
      </c>
      <c r="M15" s="11" t="s">
        <v>1094</v>
      </c>
      <c r="Q15" t="s">
        <v>1076</v>
      </c>
    </row>
    <row r="16" spans="1:27" ht="14.25" customHeight="1" x14ac:dyDescent="0.35">
      <c r="K16" s="11" t="s">
        <v>940</v>
      </c>
      <c r="Q16" t="s">
        <v>1000</v>
      </c>
    </row>
    <row r="17" spans="11:17" ht="14.25" customHeight="1" x14ac:dyDescent="0.35">
      <c r="K17" s="11" t="s">
        <v>52</v>
      </c>
      <c r="Q17" t="s">
        <v>1017</v>
      </c>
    </row>
    <row r="18" spans="11:17" ht="14.25" customHeight="1" x14ac:dyDescent="0.35">
      <c r="Q18" t="s">
        <v>1310</v>
      </c>
    </row>
    <row r="19" spans="11:17" ht="14.25" customHeight="1" x14ac:dyDescent="0.35">
      <c r="Q19" t="s">
        <v>1034</v>
      </c>
    </row>
    <row r="20" spans="11:17" ht="14.25" customHeight="1" x14ac:dyDescent="0.35">
      <c r="Q20" t="s">
        <v>1311</v>
      </c>
    </row>
    <row r="21" spans="11:17" ht="14.25" customHeight="1" x14ac:dyDescent="0.35">
      <c r="Q21" t="s">
        <v>1312</v>
      </c>
    </row>
    <row r="22" spans="11:17" ht="14.25" customHeight="1" x14ac:dyDescent="0.35">
      <c r="Q22" t="s">
        <v>1313</v>
      </c>
    </row>
    <row r="23" spans="11:17" ht="14.25" customHeight="1" x14ac:dyDescent="0.35">
      <c r="Q23" t="s">
        <v>1314</v>
      </c>
    </row>
    <row r="24" spans="11:17" ht="14.25" customHeight="1" x14ac:dyDescent="0.35">
      <c r="Q24" t="s">
        <v>1315</v>
      </c>
    </row>
    <row r="25" spans="11:17" ht="14.25" customHeight="1" x14ac:dyDescent="0.35">
      <c r="Q25" t="s">
        <v>1037</v>
      </c>
    </row>
    <row r="26" spans="11:17" ht="14.25" customHeight="1" x14ac:dyDescent="0.35">
      <c r="Q26" t="s">
        <v>1042</v>
      </c>
    </row>
    <row r="27" spans="11:17" ht="14.25" customHeight="1" x14ac:dyDescent="0.35">
      <c r="Q27" t="s">
        <v>1079</v>
      </c>
    </row>
    <row r="28" spans="11:17" ht="14.25" customHeight="1" x14ac:dyDescent="0.35">
      <c r="Q28" t="s">
        <v>1090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 Dashboard Control</vt:lpstr>
      <vt:lpstr>📈 Resumen Dinámico</vt:lpstr>
      <vt:lpstr>🎓 Alumnas</vt:lpstr>
      <vt:lpstr>🤸 Ingresos Pole</vt:lpstr>
      <vt:lpstr>📑 Resumen Contable</vt:lpstr>
      <vt:lpstr>💸 Gastos</vt:lpstr>
      <vt:lpstr>Marcancia</vt:lpstr>
      <vt:lpstr>🏢 Activos Fijos</vt:lpstr>
      <vt:lpstr>🛒 Ventas</vt:lpstr>
      <vt:lpstr>⚙️ Configuración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iavar3</cp:lastModifiedBy>
  <cp:revision>0</cp:revision>
  <dcterms:created xsi:type="dcterms:W3CDTF">2026-09-09T20:07:56Z</dcterms:created>
  <dcterms:modified xsi:type="dcterms:W3CDTF">2026-10-03T14:12:30Z</dcterms:modified>
  <dc:language>en-US</dc:language>
</cp:coreProperties>
</file>